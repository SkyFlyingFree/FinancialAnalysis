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17FA9B09-A58C-4022-8695-C98F97FDFED1}"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2" i="13" l="1"/>
  <c r="U28" i="12"/>
  <c r="Q28" i="12"/>
  <c r="M28" i="12"/>
  <c r="I28" i="12"/>
  <c r="F28" i="12"/>
  <c r="G28" i="12"/>
  <c r="H28" i="12"/>
  <c r="J28" i="12"/>
  <c r="K28" i="12"/>
  <c r="L28" i="12"/>
  <c r="N28" i="12"/>
  <c r="O28" i="12"/>
  <c r="P28" i="12"/>
  <c r="R28" i="12"/>
  <c r="S28" i="12"/>
  <c r="T28" i="12"/>
  <c r="E28" i="12"/>
  <c r="V28" i="12"/>
  <c r="W28" i="12"/>
  <c r="X28" i="12"/>
  <c r="Z28" i="12"/>
  <c r="AA28" i="12"/>
  <c r="AB28" i="12"/>
  <c r="AC28" i="12"/>
  <c r="AD28" i="12"/>
  <c r="AE28" i="12"/>
  <c r="AF28" i="12"/>
  <c r="AG28" i="12"/>
  <c r="AH28" i="12"/>
  <c r="AI28" i="12"/>
  <c r="AJ28" i="12"/>
  <c r="AK28" i="12"/>
  <c r="AL28" i="12"/>
  <c r="AM28" i="12"/>
  <c r="AN28" i="12"/>
  <c r="AO28" i="12"/>
  <c r="AP28" i="12"/>
  <c r="AQ28" i="12"/>
  <c r="AR28" i="12"/>
  <c r="AS28" i="12"/>
  <c r="AT28" i="12"/>
  <c r="AU28" i="12"/>
  <c r="AV28" i="12"/>
  <c r="AW28" i="12"/>
  <c r="AX28" i="12"/>
  <c r="AY28" i="12"/>
  <c r="AZ28" i="12"/>
  <c r="BA28" i="12"/>
  <c r="BB28" i="12"/>
  <c r="BC28" i="12"/>
  <c r="BD28" i="12"/>
  <c r="BE28" i="12"/>
  <c r="BF28" i="12"/>
  <c r="BG28" i="12"/>
  <c r="BH28" i="12"/>
  <c r="BI28" i="12"/>
  <c r="BJ28" i="12"/>
  <c r="BK28" i="12"/>
  <c r="BL28" i="12"/>
  <c r="BM28" i="12"/>
  <c r="BN28" i="12"/>
  <c r="BO28" i="12"/>
  <c r="BP28" i="12"/>
  <c r="BQ28" i="12"/>
  <c r="BR28" i="12"/>
  <c r="BS28" i="12"/>
  <c r="BT28" i="12"/>
  <c r="BU28" i="12"/>
  <c r="BV28" i="12"/>
  <c r="BW28" i="12"/>
  <c r="BX28" i="12"/>
  <c r="BY28" i="12"/>
  <c r="BZ28" i="12"/>
  <c r="CA28" i="12"/>
  <c r="CB28" i="12"/>
  <c r="CC28" i="12"/>
  <c r="CD28" i="12"/>
  <c r="CE28" i="12"/>
  <c r="CF28" i="12"/>
  <c r="CG28" i="12"/>
  <c r="CH28" i="12"/>
  <c r="CI28" i="12"/>
  <c r="CJ28" i="12"/>
  <c r="CK28" i="12"/>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E14" i="12" l="1"/>
  <c r="F14" i="12"/>
  <c r="G14" i="12"/>
  <c r="H14" i="12"/>
  <c r="I14" i="12"/>
  <c r="J14" i="12"/>
  <c r="K14" i="12"/>
  <c r="L14" i="12"/>
  <c r="M14"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F46" i="11" l="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E46" i="11"/>
  <c r="E5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E101" i="11"/>
  <c r="E100"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61" i="10"/>
  <c r="G61" i="10"/>
  <c r="G64" i="10" s="1"/>
  <c r="H61" i="10"/>
  <c r="I61" i="10"/>
  <c r="I64" i="10" s="1"/>
  <c r="J61" i="10"/>
  <c r="K61" i="10"/>
  <c r="K64" i="10" s="1"/>
  <c r="L61" i="10"/>
  <c r="M61" i="10"/>
  <c r="N61" i="10"/>
  <c r="O61" i="10"/>
  <c r="O64" i="10" s="1"/>
  <c r="P61" i="10"/>
  <c r="Q61" i="10"/>
  <c r="Q64" i="10" s="1"/>
  <c r="R61" i="10"/>
  <c r="S61" i="10"/>
  <c r="S64" i="10" s="1"/>
  <c r="T61" i="10"/>
  <c r="U61" i="10"/>
  <c r="V61" i="10"/>
  <c r="W61" i="10"/>
  <c r="W64" i="10" s="1"/>
  <c r="X61" i="10"/>
  <c r="Y61" i="10"/>
  <c r="Y64" i="10" s="1"/>
  <c r="Z61" i="10"/>
  <c r="AA61" i="10"/>
  <c r="AA64" i="10" s="1"/>
  <c r="AB61" i="10"/>
  <c r="AC61" i="10"/>
  <c r="E61" i="10"/>
  <c r="E64" i="10" s="1"/>
  <c r="F64" i="10"/>
  <c r="H64" i="10"/>
  <c r="J64" i="10"/>
  <c r="L64" i="10"/>
  <c r="M64" i="10"/>
  <c r="N64" i="10"/>
  <c r="P64" i="10"/>
  <c r="R64" i="10"/>
  <c r="T64" i="10"/>
  <c r="U64" i="10"/>
  <c r="V64" i="10"/>
  <c r="X64" i="10"/>
  <c r="Z64" i="10"/>
  <c r="AB64" i="10"/>
  <c r="AC64" i="10"/>
  <c r="F63" i="10"/>
  <c r="G63" i="10"/>
  <c r="H63" i="10"/>
  <c r="I63" i="10"/>
  <c r="J63" i="10"/>
  <c r="K63" i="10"/>
  <c r="L63" i="10"/>
  <c r="M63" i="10"/>
  <c r="N63" i="10"/>
  <c r="O63" i="10"/>
  <c r="P63" i="10"/>
  <c r="Q63" i="10"/>
  <c r="R63" i="10"/>
  <c r="S63" i="10"/>
  <c r="T63" i="10"/>
  <c r="U63" i="10"/>
  <c r="V63" i="10"/>
  <c r="W63" i="10"/>
  <c r="X63" i="10"/>
  <c r="Y63" i="10"/>
  <c r="Z63" i="10"/>
  <c r="AA63" i="10"/>
  <c r="AB63" i="10"/>
  <c r="AC63" i="10"/>
  <c r="F62" i="10"/>
  <c r="G62" i="10"/>
  <c r="H62" i="10"/>
  <c r="I62" i="10"/>
  <c r="J62" i="10"/>
  <c r="K62" i="10"/>
  <c r="L62" i="10"/>
  <c r="M62" i="10"/>
  <c r="N62" i="10"/>
  <c r="O62" i="10"/>
  <c r="P62" i="10"/>
  <c r="Q62" i="10"/>
  <c r="R62" i="10"/>
  <c r="S62" i="10"/>
  <c r="T62" i="10"/>
  <c r="U62" i="10"/>
  <c r="V62" i="10"/>
  <c r="W62" i="10"/>
  <c r="X62" i="10"/>
  <c r="Y62" i="10"/>
  <c r="Z62" i="10"/>
  <c r="AA62" i="10"/>
  <c r="AB62" i="10"/>
  <c r="AC62" i="10"/>
  <c r="E63" i="10"/>
  <c r="E62" i="10"/>
  <c r="F60" i="10"/>
  <c r="G60" i="10"/>
  <c r="H60" i="10"/>
  <c r="I60" i="10"/>
  <c r="J60" i="10"/>
  <c r="K60" i="10"/>
  <c r="L60" i="10"/>
  <c r="M60" i="10"/>
  <c r="N60" i="10"/>
  <c r="O60" i="10"/>
  <c r="P60" i="10"/>
  <c r="Q60" i="10"/>
  <c r="R60" i="10"/>
  <c r="S60" i="10"/>
  <c r="T60" i="10"/>
  <c r="U60" i="10"/>
  <c r="V60" i="10"/>
  <c r="W60" i="10"/>
  <c r="X60" i="10"/>
  <c r="Y60" i="10"/>
  <c r="Z60" i="10"/>
  <c r="AA60" i="10"/>
  <c r="AB60" i="10"/>
  <c r="AC60" i="10"/>
  <c r="E60" i="10"/>
  <c r="F55" i="10"/>
  <c r="G55" i="10"/>
  <c r="H55" i="10"/>
  <c r="I55" i="10"/>
  <c r="J55" i="10"/>
  <c r="K55" i="10"/>
  <c r="L55" i="10"/>
  <c r="M55" i="10"/>
  <c r="N55" i="10"/>
  <c r="O55" i="10"/>
  <c r="P55" i="10"/>
  <c r="Q55" i="10"/>
  <c r="R55" i="10"/>
  <c r="S55" i="10"/>
  <c r="T55" i="10"/>
  <c r="U55" i="10"/>
  <c r="V55" i="10"/>
  <c r="W55" i="10"/>
  <c r="X55" i="10"/>
  <c r="Y55" i="10"/>
  <c r="Z55" i="10"/>
  <c r="AA55" i="10"/>
  <c r="AB55" i="10"/>
  <c r="AC55" i="10"/>
  <c r="E55" i="10"/>
  <c r="F57" i="10"/>
  <c r="G57" i="10"/>
  <c r="H57" i="10"/>
  <c r="I57" i="10"/>
  <c r="J57" i="10"/>
  <c r="K57" i="10"/>
  <c r="L57" i="10"/>
  <c r="M57" i="10"/>
  <c r="N57" i="10"/>
  <c r="O57" i="10"/>
  <c r="P57" i="10"/>
  <c r="Q57" i="10"/>
  <c r="R57" i="10"/>
  <c r="S57" i="10"/>
  <c r="T57" i="10"/>
  <c r="U57" i="10"/>
  <c r="V57" i="10"/>
  <c r="W57" i="10"/>
  <c r="X57" i="10"/>
  <c r="Y57" i="10"/>
  <c r="Z57" i="10"/>
  <c r="AA57" i="10"/>
  <c r="AB57" i="10"/>
  <c r="AC57" i="10"/>
  <c r="E57" i="10"/>
  <c r="F56" i="10"/>
  <c r="G56" i="10"/>
  <c r="H56" i="10"/>
  <c r="I56" i="10"/>
  <c r="J56" i="10"/>
  <c r="K56" i="10"/>
  <c r="L56" i="10"/>
  <c r="M56" i="10"/>
  <c r="N56" i="10"/>
  <c r="O56" i="10"/>
  <c r="P56" i="10"/>
  <c r="Q56" i="10"/>
  <c r="R56" i="10"/>
  <c r="S56" i="10"/>
  <c r="T56" i="10"/>
  <c r="U56" i="10"/>
  <c r="V56" i="10"/>
  <c r="W56" i="10"/>
  <c r="X56" i="10"/>
  <c r="Y56" i="10"/>
  <c r="Z56" i="10"/>
  <c r="AA56" i="10"/>
  <c r="AB56" i="10"/>
  <c r="AC56" i="10"/>
  <c r="F54" i="10"/>
  <c r="G54" i="10"/>
  <c r="H54" i="10"/>
  <c r="I54" i="10"/>
  <c r="J54" i="10"/>
  <c r="K54" i="10"/>
  <c r="L54" i="10"/>
  <c r="M54" i="10"/>
  <c r="N54" i="10"/>
  <c r="O54" i="10"/>
  <c r="P54" i="10"/>
  <c r="Q54" i="10"/>
  <c r="R54" i="10"/>
  <c r="S54" i="10"/>
  <c r="T54" i="10"/>
  <c r="U54" i="10"/>
  <c r="V54" i="10"/>
  <c r="W54" i="10"/>
  <c r="X54" i="10"/>
  <c r="Y54" i="10"/>
  <c r="Z54" i="10"/>
  <c r="AA54" i="10"/>
  <c r="AB54" i="10"/>
  <c r="AC54" i="10"/>
  <c r="F53" i="10"/>
  <c r="G53" i="10"/>
  <c r="H53" i="10"/>
  <c r="I53" i="10"/>
  <c r="J53" i="10"/>
  <c r="K53" i="10"/>
  <c r="L53" i="10"/>
  <c r="M53" i="10"/>
  <c r="N53" i="10"/>
  <c r="O53" i="10"/>
  <c r="P53" i="10"/>
  <c r="Q53" i="10"/>
  <c r="R53" i="10"/>
  <c r="S53" i="10"/>
  <c r="T53" i="10"/>
  <c r="U53" i="10"/>
  <c r="V53" i="10"/>
  <c r="W53" i="10"/>
  <c r="X53" i="10"/>
  <c r="Y53" i="10"/>
  <c r="Z53" i="10"/>
  <c r="AA53" i="10"/>
  <c r="AB53" i="10"/>
  <c r="AC53" i="10"/>
  <c r="E56" i="10"/>
  <c r="E54" i="10"/>
  <c r="E53" i="10"/>
  <c r="F85" i="9"/>
  <c r="F84" i="9" s="1"/>
  <c r="G85" i="9"/>
  <c r="H85" i="9"/>
  <c r="I85" i="9"/>
  <c r="J85" i="9"/>
  <c r="K85" i="9"/>
  <c r="L85" i="9"/>
  <c r="M85" i="9"/>
  <c r="N85" i="9"/>
  <c r="O85" i="9"/>
  <c r="P85" i="9"/>
  <c r="Q85" i="9"/>
  <c r="R85" i="9"/>
  <c r="S85" i="9"/>
  <c r="T85" i="9"/>
  <c r="U85" i="9"/>
  <c r="G84" i="9"/>
  <c r="H84" i="9"/>
  <c r="I84" i="9"/>
  <c r="J84" i="9"/>
  <c r="K84" i="9"/>
  <c r="L84" i="9"/>
  <c r="M84" i="9"/>
  <c r="N84" i="9"/>
  <c r="O84" i="9"/>
  <c r="P84" i="9"/>
  <c r="Q84" i="9"/>
  <c r="R84" i="9"/>
  <c r="S84" i="9"/>
  <c r="T84" i="9"/>
  <c r="U84" i="9"/>
  <c r="F83" i="9"/>
  <c r="G83" i="9"/>
  <c r="H83" i="9"/>
  <c r="I83" i="9"/>
  <c r="J83" i="9"/>
  <c r="K83" i="9"/>
  <c r="L83" i="9"/>
  <c r="M83" i="9"/>
  <c r="N83" i="9"/>
  <c r="O83" i="9"/>
  <c r="P83" i="9"/>
  <c r="Q83" i="9"/>
  <c r="R83" i="9"/>
  <c r="S83" i="9"/>
  <c r="T83" i="9"/>
  <c r="U83" i="9"/>
  <c r="F82" i="9"/>
  <c r="G82" i="9"/>
  <c r="H82" i="9"/>
  <c r="I82" i="9"/>
  <c r="J82" i="9"/>
  <c r="K82" i="9"/>
  <c r="L82" i="9"/>
  <c r="M82" i="9"/>
  <c r="N82" i="9"/>
  <c r="O82" i="9"/>
  <c r="P82" i="9"/>
  <c r="Q82" i="9"/>
  <c r="R82" i="9"/>
  <c r="S82" i="9"/>
  <c r="T82" i="9"/>
  <c r="U82" i="9"/>
  <c r="F81" i="9"/>
  <c r="G81" i="9"/>
  <c r="H81" i="9"/>
  <c r="I81" i="9"/>
  <c r="J81" i="9"/>
  <c r="K81" i="9"/>
  <c r="L81" i="9"/>
  <c r="M81" i="9"/>
  <c r="N81" i="9"/>
  <c r="O81" i="9"/>
  <c r="P81" i="9"/>
  <c r="Q81" i="9"/>
  <c r="R81" i="9"/>
  <c r="S81" i="9"/>
  <c r="T81" i="9"/>
  <c r="U81" i="9"/>
  <c r="G80" i="9"/>
  <c r="H80" i="9"/>
  <c r="I80" i="9"/>
  <c r="J80" i="9"/>
  <c r="K80" i="9"/>
  <c r="L80" i="9"/>
  <c r="M80" i="9"/>
  <c r="N80" i="9"/>
  <c r="O80" i="9"/>
  <c r="P80" i="9"/>
  <c r="Q80" i="9"/>
  <c r="R80" i="9"/>
  <c r="S80" i="9"/>
  <c r="T80" i="9"/>
  <c r="U80" i="9"/>
  <c r="F79" i="9"/>
  <c r="G79" i="9"/>
  <c r="H79" i="9"/>
  <c r="I79" i="9"/>
  <c r="J79" i="9"/>
  <c r="K79" i="9"/>
  <c r="L79" i="9"/>
  <c r="M79" i="9"/>
  <c r="N79" i="9"/>
  <c r="O79" i="9"/>
  <c r="P79" i="9"/>
  <c r="Q79" i="9"/>
  <c r="R79" i="9"/>
  <c r="S79" i="9"/>
  <c r="T79" i="9"/>
  <c r="U79" i="9"/>
  <c r="F78" i="9"/>
  <c r="G78" i="9"/>
  <c r="H78" i="9"/>
  <c r="I78" i="9"/>
  <c r="J78" i="9"/>
  <c r="K78" i="9"/>
  <c r="L78" i="9"/>
  <c r="M78" i="9"/>
  <c r="N78" i="9"/>
  <c r="O78" i="9"/>
  <c r="P78" i="9"/>
  <c r="Q78" i="9"/>
  <c r="R78" i="9"/>
  <c r="S78" i="9"/>
  <c r="T78" i="9"/>
  <c r="U78" i="9"/>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E108" i="5"/>
  <c r="F80" i="9" l="1"/>
  <c r="Y55" i="6" l="1"/>
  <c r="U55" i="6"/>
  <c r="E55" i="6"/>
  <c r="AG54" i="6"/>
  <c r="Y54" i="6"/>
  <c r="U54" i="6"/>
  <c r="Q54" i="6"/>
  <c r="M54" i="6"/>
  <c r="I54" i="6"/>
  <c r="AO53" i="6"/>
  <c r="AK53" i="6"/>
  <c r="AG53" i="6"/>
  <c r="AC53" i="6"/>
  <c r="Y53" i="6"/>
  <c r="U53" i="6"/>
  <c r="Q53" i="6"/>
  <c r="M53" i="6"/>
  <c r="I53" i="6"/>
  <c r="E53" i="6"/>
  <c r="Z23" i="7"/>
  <c r="AA23" i="7"/>
  <c r="AB23" i="7"/>
  <c r="AC23" i="7"/>
  <c r="AD23" i="7"/>
  <c r="AE23" i="7"/>
  <c r="AF23" i="7"/>
  <c r="AG23" i="7"/>
  <c r="AH23" i="7"/>
  <c r="AI23" i="7"/>
  <c r="AJ23" i="7"/>
  <c r="AK23" i="7"/>
  <c r="AL23" i="7"/>
  <c r="AM23" i="7"/>
  <c r="AN23" i="7"/>
  <c r="AO23" i="7"/>
  <c r="AP23" i="7"/>
  <c r="AQ23" i="7"/>
  <c r="AR23" i="7"/>
  <c r="AS23" i="7"/>
  <c r="Z22" i="7"/>
  <c r="AA22" i="7"/>
  <c r="AB22" i="7"/>
  <c r="AC22" i="7"/>
  <c r="AD22" i="7"/>
  <c r="AE22" i="7"/>
  <c r="AF22" i="7"/>
  <c r="AG22" i="7"/>
  <c r="AH22" i="7"/>
  <c r="AI22" i="7"/>
  <c r="AJ22" i="7"/>
  <c r="AK22" i="7"/>
  <c r="AL22" i="7"/>
  <c r="AM22" i="7"/>
  <c r="AN22" i="7"/>
  <c r="AO22" i="7"/>
  <c r="AP22" i="7"/>
  <c r="AQ22" i="7"/>
  <c r="AR22" i="7"/>
  <c r="AS22" i="7"/>
  <c r="Z21" i="7"/>
  <c r="AA21" i="7"/>
  <c r="AB21" i="7"/>
  <c r="AC21" i="7"/>
  <c r="AD21" i="7"/>
  <c r="AE21" i="7"/>
  <c r="AF21" i="7"/>
  <c r="AG21" i="7"/>
  <c r="AH21" i="7"/>
  <c r="AI21" i="7"/>
  <c r="AJ21" i="7"/>
  <c r="AK21" i="7"/>
  <c r="AL21" i="7"/>
  <c r="AM21" i="7"/>
  <c r="AN21" i="7"/>
  <c r="AO21" i="7"/>
  <c r="AP21" i="7"/>
  <c r="AQ21" i="7"/>
  <c r="AR21" i="7"/>
  <c r="AS21" i="7"/>
  <c r="Z19" i="7"/>
  <c r="AA19" i="7"/>
  <c r="AB19" i="7"/>
  <c r="AC19" i="7"/>
  <c r="AD19" i="7"/>
  <c r="AE19" i="7"/>
  <c r="AF19" i="7"/>
  <c r="AG19" i="7"/>
  <c r="AH19" i="7"/>
  <c r="AI19" i="7"/>
  <c r="AJ19" i="7"/>
  <c r="AK19"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V12" i="7"/>
  <c r="W12" i="7"/>
  <c r="W13" i="7" s="1"/>
  <c r="X12" i="7"/>
  <c r="Y12" i="7"/>
  <c r="Z12" i="7"/>
  <c r="AA12" i="7"/>
  <c r="AB12" i="7"/>
  <c r="AC12" i="7"/>
  <c r="AD12" i="7"/>
  <c r="AE12" i="7"/>
  <c r="AF12" i="7"/>
  <c r="AG12" i="7"/>
  <c r="AH12" i="7"/>
  <c r="AI12" i="7"/>
  <c r="AI13" i="7" s="1"/>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R12" i="7"/>
  <c r="S12" i="7"/>
  <c r="T12" i="7"/>
  <c r="U12"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V13" i="7" s="1"/>
  <c r="BB34" i="7"/>
  <c r="BC34" i="7"/>
  <c r="BD34" i="7"/>
  <c r="BE34" i="7"/>
  <c r="BF34" i="7"/>
  <c r="BG34" i="7"/>
  <c r="BH34" i="7"/>
  <c r="AC13" i="7" s="1"/>
  <c r="BI34" i="7"/>
  <c r="BJ34" i="7"/>
  <c r="BK34" i="7"/>
  <c r="BL34" i="7"/>
  <c r="BM34" i="7"/>
  <c r="BN34" i="7"/>
  <c r="BO34" i="7"/>
  <c r="BP34" i="7"/>
  <c r="AK13" i="7" s="1"/>
  <c r="AL42" i="7"/>
  <c r="AM42" i="7"/>
  <c r="AN42" i="7"/>
  <c r="AO42" i="7"/>
  <c r="AP42" i="7"/>
  <c r="AQ42" i="7"/>
  <c r="AR42" i="7"/>
  <c r="AS42" i="7"/>
  <c r="AT42" i="7"/>
  <c r="AU42" i="7"/>
  <c r="AV42" i="7"/>
  <c r="AW42" i="7"/>
  <c r="AX42" i="7"/>
  <c r="AY42" i="7"/>
  <c r="AZ42" i="7"/>
  <c r="X13" i="7"/>
  <c r="BQ34" i="7"/>
  <c r="BR34" i="7"/>
  <c r="BS34" i="7"/>
  <c r="AP13" i="7"/>
  <c r="AR13" i="7"/>
  <c r="Y13" i="7"/>
  <c r="Z13" i="7"/>
  <c r="AA13" i="7"/>
  <c r="AB13" i="7"/>
  <c r="AJ13" i="7"/>
  <c r="Z11" i="7"/>
  <c r="AA11" i="7"/>
  <c r="AB11" i="7"/>
  <c r="AC11" i="7"/>
  <c r="AD11" i="7"/>
  <c r="AE11" i="7"/>
  <c r="AF11" i="7"/>
  <c r="AG11" i="7"/>
  <c r="AG13" i="7" s="1"/>
  <c r="AH11" i="7"/>
  <c r="AI11" i="7"/>
  <c r="AJ11" i="7"/>
  <c r="AK11"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H13" i="7" l="1"/>
  <c r="AD13" i="7"/>
  <c r="AN13" i="7"/>
  <c r="AF13" i="7"/>
  <c r="AM13" i="7"/>
  <c r="AE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F83" i="11" l="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F1" i="13" s="1"/>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M68" i="9" s="1"/>
  <c r="L81" i="5"/>
  <c r="L11" i="9" s="1"/>
  <c r="L68" i="9" s="1"/>
  <c r="K81" i="5"/>
  <c r="K11" i="9" s="1"/>
  <c r="K68" i="9" s="1"/>
  <c r="J81" i="5"/>
  <c r="J11" i="9" s="1"/>
  <c r="J68" i="9" s="1"/>
  <c r="I81" i="5"/>
  <c r="I11" i="9" s="1"/>
  <c r="I68" i="9" s="1"/>
  <c r="H81" i="5"/>
  <c r="H11" i="9" s="1"/>
  <c r="H68" i="9" s="1"/>
  <c r="G81" i="5"/>
  <c r="G11" i="9" s="1"/>
  <c r="G68" i="9" s="1"/>
  <c r="F81" i="5"/>
  <c r="F11" i="9" s="1"/>
  <c r="F68"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L67" i="9" s="1"/>
  <c r="K72" i="5"/>
  <c r="K10" i="9" s="1"/>
  <c r="K67" i="9" s="1"/>
  <c r="J72" i="5"/>
  <c r="I72" i="5"/>
  <c r="H72" i="5"/>
  <c r="H10" i="9" s="1"/>
  <c r="H67" i="9" s="1"/>
  <c r="G72" i="5"/>
  <c r="G10" i="9" s="1"/>
  <c r="G67" i="9" s="1"/>
  <c r="F72" i="5"/>
  <c r="F10" i="9" s="1"/>
  <c r="F67"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40" i="13" l="1"/>
  <c r="B20" i="13"/>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S12" i="12"/>
  <c r="AA12" i="12"/>
  <c r="AI12" i="12"/>
  <c r="AI13" i="12" s="1"/>
  <c r="AQ12" i="12"/>
  <c r="AY12" i="12"/>
  <c r="BG12" i="12"/>
  <c r="BO12" i="12"/>
  <c r="BW12" i="12"/>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7" i="6"/>
  <c r="BU7" i="10"/>
  <c r="BU9"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S25" i="12"/>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V25" i="12"/>
  <c r="AD25" i="12"/>
  <c r="AL25" i="12"/>
  <c r="AL26" i="12" s="1"/>
  <c r="AT25" i="12"/>
  <c r="AT26" i="12" s="1"/>
  <c r="BB25" i="12"/>
  <c r="BB26" i="12" s="1"/>
  <c r="BJ25" i="12"/>
  <c r="BJ26" i="12" s="1"/>
  <c r="BR25" i="12"/>
  <c r="BR26" i="12" s="1"/>
  <c r="BZ25" i="12"/>
  <c r="BZ26" i="12" s="1"/>
  <c r="CH25" i="12"/>
  <c r="I25" i="12"/>
  <c r="Q25" i="12"/>
  <c r="Q26" i="12" s="1"/>
  <c r="Y25" i="12"/>
  <c r="AG25" i="12"/>
  <c r="AG26" i="12" s="1"/>
  <c r="AO25" i="12"/>
  <c r="AO26" i="12" s="1"/>
  <c r="AW25" i="12"/>
  <c r="AW26" i="12" s="1"/>
  <c r="BE25" i="12"/>
  <c r="BE26"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7" i="6"/>
  <c r="AL7" i="10"/>
  <c r="AL8" i="10" s="1"/>
  <c r="AL7" i="6"/>
  <c r="AM7" i="10"/>
  <c r="AM7" i="6"/>
  <c r="H7" i="10"/>
  <c r="H8" i="10" s="1"/>
  <c r="H7" i="6"/>
  <c r="P7" i="10"/>
  <c r="P8" i="10" s="1"/>
  <c r="P7" i="6"/>
  <c r="X7" i="10"/>
  <c r="X7" i="6"/>
  <c r="AF7" i="10"/>
  <c r="AF7" i="6"/>
  <c r="I7" i="10"/>
  <c r="I8" i="10" s="1"/>
  <c r="I7" i="6"/>
  <c r="Q7" i="10"/>
  <c r="Q7" i="6"/>
  <c r="Y7" i="10"/>
  <c r="Y8" i="10" s="1"/>
  <c r="Y7" i="6"/>
  <c r="AG7" i="10"/>
  <c r="AG7" i="6"/>
  <c r="J7" i="10"/>
  <c r="J7" i="6"/>
  <c r="R7" i="10"/>
  <c r="R7" i="6"/>
  <c r="Z7" i="10"/>
  <c r="Z7" i="6"/>
  <c r="AH7" i="10"/>
  <c r="AH7" i="6"/>
  <c r="K7" i="10"/>
  <c r="K7" i="6"/>
  <c r="S7" i="10"/>
  <c r="S8" i="10" s="1"/>
  <c r="S7" i="6"/>
  <c r="AA7" i="10"/>
  <c r="AA8" i="10" s="1"/>
  <c r="AA7" i="6"/>
  <c r="AI7" i="10"/>
  <c r="AI7" i="6"/>
  <c r="L7" i="10"/>
  <c r="L8" i="10" s="1"/>
  <c r="L7" i="6"/>
  <c r="T7" i="10"/>
  <c r="T7" i="6"/>
  <c r="AB7" i="10"/>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AL9"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O8" i="10"/>
  <c r="AM8" i="10"/>
  <c r="AM9" i="10"/>
  <c r="AU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X8" i="10"/>
  <c r="AF8" i="10"/>
  <c r="AN8" i="10"/>
  <c r="AN9" i="10"/>
  <c r="AV8" i="10"/>
  <c r="AV9" i="10"/>
  <c r="BD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AB8"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Z8" i="10"/>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Q9" i="10"/>
  <c r="AY9" i="10"/>
  <c r="AY8"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O74"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BS74"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AX25" i="9" s="1"/>
  <c r="BF54" i="11"/>
  <c r="BF55" i="11" s="1"/>
  <c r="BF2" i="9"/>
  <c r="BN54" i="11"/>
  <c r="BN55" i="11" s="1"/>
  <c r="BN2" i="9"/>
  <c r="BV54" i="11"/>
  <c r="BV55" i="11" s="1"/>
  <c r="BV2" i="9"/>
  <c r="CD54" i="11"/>
  <c r="CD55" i="11" s="1"/>
  <c r="CD2" i="9"/>
  <c r="J50" i="5"/>
  <c r="J23" i="11" s="1"/>
  <c r="R50" i="5"/>
  <c r="R23" i="11" s="1"/>
  <c r="Z50" i="5"/>
  <c r="Z23" i="11" s="1"/>
  <c r="AH50" i="5"/>
  <c r="AH23" i="11" s="1"/>
  <c r="AP50" i="5"/>
  <c r="AP23" i="11" s="1"/>
  <c r="AX50" i="5"/>
  <c r="AX23" i="11" s="1"/>
  <c r="BF50" i="5"/>
  <c r="BF23" i="11" s="1"/>
  <c r="BN50" i="5"/>
  <c r="BN23" i="11" s="1"/>
  <c r="BV50" i="5"/>
  <c r="BV23" i="11" s="1"/>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K23" i="11" s="1"/>
  <c r="S50" i="5"/>
  <c r="S23" i="11" s="1"/>
  <c r="AA50" i="5"/>
  <c r="AA23" i="11" s="1"/>
  <c r="AI50" i="5"/>
  <c r="AI23" i="11" s="1"/>
  <c r="AQ50" i="5"/>
  <c r="AQ23" i="11" s="1"/>
  <c r="AY50" i="5"/>
  <c r="AY23" i="11" s="1"/>
  <c r="BG50" i="5"/>
  <c r="BG23" i="11" s="1"/>
  <c r="BO50" i="5"/>
  <c r="BO23" i="11" s="1"/>
  <c r="BW50" i="5"/>
  <c r="BW23" i="11" s="1"/>
  <c r="CE50" i="5"/>
  <c r="CE23" i="11" s="1"/>
  <c r="K52" i="11"/>
  <c r="K53" i="11" s="1"/>
  <c r="K7" i="9"/>
  <c r="S52" i="11"/>
  <c r="S53" i="11" s="1"/>
  <c r="S7" i="9"/>
  <c r="AA52" i="11"/>
  <c r="AA53" i="11" s="1"/>
  <c r="AA7" i="9"/>
  <c r="AI52" i="11"/>
  <c r="AI53" i="11" s="1"/>
  <c r="AI7" i="9"/>
  <c r="AQ52" i="11"/>
  <c r="AQ7" i="9"/>
  <c r="AY52" i="11"/>
  <c r="AY53" i="11" s="1"/>
  <c r="AY7" i="9"/>
  <c r="BG52" i="11"/>
  <c r="BG53" i="11" s="1"/>
  <c r="BG7" i="9"/>
  <c r="BO52" i="11"/>
  <c r="BO7" i="9"/>
  <c r="BW52" i="11"/>
  <c r="BW53" i="11" s="1"/>
  <c r="BW7" i="9"/>
  <c r="CE52" i="11"/>
  <c r="CE53" i="11" s="1"/>
  <c r="CE7" i="9"/>
  <c r="CA32" i="9" s="1"/>
  <c r="I10" i="9"/>
  <c r="I67" i="9" s="1"/>
  <c r="I89" i="5"/>
  <c r="BH89" i="5"/>
  <c r="T54" i="11"/>
  <c r="T55" i="11" s="1"/>
  <c r="T2" i="9"/>
  <c r="T35" i="7"/>
  <c r="P22" i="7" s="1"/>
  <c r="AZ54" i="11"/>
  <c r="AZ55" i="11" s="1"/>
  <c r="AZ2" i="9"/>
  <c r="AZ16" i="9" s="1"/>
  <c r="CF54" i="11"/>
  <c r="CF2" i="9"/>
  <c r="L50" i="5"/>
  <c r="L23" i="11" s="1"/>
  <c r="T50" i="5"/>
  <c r="T23" i="11" s="1"/>
  <c r="AB50" i="5"/>
  <c r="AB23" i="11" s="1"/>
  <c r="AJ50" i="5"/>
  <c r="AJ23" i="11" s="1"/>
  <c r="AR50" i="5"/>
  <c r="AR23" i="11" s="1"/>
  <c r="AZ50" i="5"/>
  <c r="AZ23" i="11" s="1"/>
  <c r="BH50" i="5"/>
  <c r="BH23" i="11" s="1"/>
  <c r="BP50" i="5"/>
  <c r="BP23" i="11" s="1"/>
  <c r="BX50" i="5"/>
  <c r="BX23" i="11" s="1"/>
  <c r="CF50" i="5"/>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53" i="11" s="1"/>
  <c r="CF7" i="9"/>
  <c r="J10" i="9"/>
  <c r="J67" i="9" s="1"/>
  <c r="J89" i="5"/>
  <c r="R10" i="9"/>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E23" i="11" s="1"/>
  <c r="M50" i="5"/>
  <c r="M23" i="11" s="1"/>
  <c r="U50" i="5"/>
  <c r="U23" i="11" s="1"/>
  <c r="AC50" i="5"/>
  <c r="AC23" i="11" s="1"/>
  <c r="AK50" i="5"/>
  <c r="AK23" i="11" s="1"/>
  <c r="AS50" i="5"/>
  <c r="AS23" i="11" s="1"/>
  <c r="BA50" i="5"/>
  <c r="BA23" i="11" s="1"/>
  <c r="BI50" i="5"/>
  <c r="BI23" i="11" s="1"/>
  <c r="BQ50" i="5"/>
  <c r="BQ23" i="11" s="1"/>
  <c r="BY50" i="5"/>
  <c r="BY23" i="11" s="1"/>
  <c r="CG50" i="5"/>
  <c r="CG23" i="11" s="1"/>
  <c r="E52" i="11"/>
  <c r="E53" i="11" s="1"/>
  <c r="E7" i="9"/>
  <c r="M52" i="11"/>
  <c r="M53" i="11" s="1"/>
  <c r="M7" i="9"/>
  <c r="U52" i="11"/>
  <c r="U53" i="11" s="1"/>
  <c r="U7" i="9"/>
  <c r="AC52" i="11"/>
  <c r="AC53" i="11" s="1"/>
  <c r="AC7" i="9"/>
  <c r="AK52" i="11"/>
  <c r="AK7" i="9"/>
  <c r="AS52" i="11"/>
  <c r="AS53" i="11" s="1"/>
  <c r="AS7" i="9"/>
  <c r="BA52" i="11"/>
  <c r="BA53" i="11" s="1"/>
  <c r="BA7" i="9"/>
  <c r="BI52" i="11"/>
  <c r="BI53" i="11" s="1"/>
  <c r="BI7" i="9"/>
  <c r="BQ52" i="11"/>
  <c r="BQ7" i="9"/>
  <c r="BY52" i="11"/>
  <c r="BY53" i="11" s="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F23" i="11" s="1"/>
  <c r="N50" i="5"/>
  <c r="N23" i="11" s="1"/>
  <c r="V50" i="5"/>
  <c r="V23" i="11" s="1"/>
  <c r="AD50" i="5"/>
  <c r="AD23" i="11" s="1"/>
  <c r="AL50" i="5"/>
  <c r="AL23" i="11" s="1"/>
  <c r="AT50" i="5"/>
  <c r="AT23" i="11" s="1"/>
  <c r="BB50" i="5"/>
  <c r="BB23" i="11" s="1"/>
  <c r="BB24" i="11" s="1"/>
  <c r="BJ50" i="5"/>
  <c r="BJ23" i="11" s="1"/>
  <c r="BJ24" i="11" s="1"/>
  <c r="BR50" i="5"/>
  <c r="BR23" i="11" s="1"/>
  <c r="BR24" i="11" s="1"/>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G23" i="11" s="1"/>
  <c r="O50" i="5"/>
  <c r="O23" i="11" s="1"/>
  <c r="W50" i="5"/>
  <c r="W23" i="11" s="1"/>
  <c r="AE50" i="5"/>
  <c r="AE23" i="11" s="1"/>
  <c r="AM50" i="5"/>
  <c r="AM23" i="11" s="1"/>
  <c r="AU50" i="5"/>
  <c r="AU23" i="11" s="1"/>
  <c r="BC50" i="5"/>
  <c r="BC23" i="11" s="1"/>
  <c r="BK50" i="5"/>
  <c r="BK23" i="11" s="1"/>
  <c r="BS50" i="5"/>
  <c r="BS23" i="11" s="1"/>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B47" i="13" s="1"/>
  <c r="M10" i="9"/>
  <c r="M67" i="9" s="1"/>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H23" i="11" s="1"/>
  <c r="P50" i="5"/>
  <c r="P23" i="11" s="1"/>
  <c r="X50" i="5"/>
  <c r="X23" i="11" s="1"/>
  <c r="AF50" i="5"/>
  <c r="AF23" i="11" s="1"/>
  <c r="AN50" i="5"/>
  <c r="AN23" i="11" s="1"/>
  <c r="AV50" i="5"/>
  <c r="AV23" i="11" s="1"/>
  <c r="BD50" i="5"/>
  <c r="BD23" i="11" s="1"/>
  <c r="BL50" i="5"/>
  <c r="BL23" i="11" s="1"/>
  <c r="BT50" i="5"/>
  <c r="BT23" i="11" s="1"/>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I23" i="11" s="1"/>
  <c r="Q50" i="5"/>
  <c r="Q23" i="11" s="1"/>
  <c r="Y50" i="5"/>
  <c r="Y23" i="11" s="1"/>
  <c r="AG50" i="5"/>
  <c r="AG23" i="11" s="1"/>
  <c r="AO50" i="5"/>
  <c r="AO23" i="11" s="1"/>
  <c r="AW50" i="5"/>
  <c r="AW23" i="11" s="1"/>
  <c r="BE50" i="5"/>
  <c r="BE23" i="11" s="1"/>
  <c r="BM50" i="5"/>
  <c r="BM23" i="11" s="1"/>
  <c r="BU50" i="5"/>
  <c r="BU23" i="11" s="1"/>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CA25" i="12"/>
  <c r="CI25" i="12"/>
  <c r="CI26"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J5" i="12"/>
  <c r="R5" i="12"/>
  <c r="Z5" i="12"/>
  <c r="AH5" i="12"/>
  <c r="AP5" i="12"/>
  <c r="AX5" i="12"/>
  <c r="BF5" i="12"/>
  <c r="BN5" i="12"/>
  <c r="BV5" i="12"/>
  <c r="CD5" i="12"/>
  <c r="CC25" i="12"/>
  <c r="CK25" i="12"/>
  <c r="CK26"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Q13" i="12"/>
  <c r="AY13" i="12"/>
  <c r="BG13" i="12"/>
  <c r="BO13" i="12"/>
  <c r="BW13" i="12"/>
  <c r="CE13" i="12"/>
  <c r="AB26" i="12"/>
  <c r="AZ13" i="12"/>
  <c r="BH13" i="12"/>
  <c r="BX13" i="12"/>
  <c r="AC26" i="12"/>
  <c r="AK26" i="12"/>
  <c r="AS26" i="12"/>
  <c r="BA26" i="12"/>
  <c r="U13" i="12"/>
  <c r="AC13" i="12"/>
  <c r="BA13" i="12"/>
  <c r="CG13" i="12"/>
  <c r="N26" i="12"/>
  <c r="V26" i="12"/>
  <c r="AD26" i="12"/>
  <c r="CH26" i="12"/>
  <c r="CK18" i="12"/>
  <c r="BS26" i="12"/>
  <c r="CA26" i="12"/>
  <c r="AE13" i="12"/>
  <c r="BC13" i="12"/>
  <c r="CA13" i="12"/>
  <c r="X13" i="12"/>
  <c r="BD13" i="12"/>
  <c r="BL13" i="12"/>
  <c r="CJ13" i="12"/>
  <c r="I26" i="12"/>
  <c r="Y26" i="12"/>
  <c r="BM26" i="12"/>
  <c r="BU26" i="12"/>
  <c r="CC26" i="12"/>
  <c r="J13" i="12"/>
  <c r="R13" i="12"/>
  <c r="Z13" i="12"/>
  <c r="AH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74" i="11" s="1"/>
  <c r="AC57" i="11"/>
  <c r="AK63" i="11"/>
  <c r="AK65" i="11" s="1"/>
  <c r="AK66" i="11" s="1"/>
  <c r="AK57" i="11"/>
  <c r="AK53" i="11"/>
  <c r="AS63" i="11"/>
  <c r="AS65" i="11" s="1"/>
  <c r="AS66" i="11" s="1"/>
  <c r="AS57" i="11"/>
  <c r="BA63" i="11"/>
  <c r="BA65" i="11" s="1"/>
  <c r="BA66" i="11" s="1"/>
  <c r="BA57" i="11"/>
  <c r="BI63" i="11"/>
  <c r="BI65" i="11" s="1"/>
  <c r="BI66" i="11" s="1"/>
  <c r="BI57" i="11"/>
  <c r="BQ63" i="11"/>
  <c r="BQ65" i="11" s="1"/>
  <c r="BQ66" i="11" s="1"/>
  <c r="BQ57" i="11"/>
  <c r="BQ53" i="11"/>
  <c r="BY63" i="11"/>
  <c r="BY65" i="11" s="1"/>
  <c r="BY66" i="11" s="1"/>
  <c r="BY57" i="11"/>
  <c r="CG63" i="11"/>
  <c r="CG65" i="11" s="1"/>
  <c r="CG66" i="11" s="1"/>
  <c r="CG74" i="11" s="1"/>
  <c r="CG75" i="11" s="1"/>
  <c r="CG57" i="11"/>
  <c r="AQ53"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AR53" i="11"/>
  <c r="BP53" i="11"/>
  <c r="BX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F74"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F20" i="13" l="1"/>
  <c r="I20" i="13"/>
  <c r="H20" i="13"/>
  <c r="G20" i="13"/>
  <c r="E20" i="13"/>
  <c r="D20" i="13"/>
  <c r="S40" i="13"/>
  <c r="D40" i="13"/>
  <c r="L40" i="13"/>
  <c r="E40" i="13"/>
  <c r="M40" i="13"/>
  <c r="F40" i="13"/>
  <c r="N40" i="13"/>
  <c r="G40" i="13"/>
  <c r="O40" i="13"/>
  <c r="H40" i="13"/>
  <c r="P40" i="13"/>
  <c r="I40" i="13"/>
  <c r="Q40" i="13"/>
  <c r="J40" i="13"/>
  <c r="R40" i="13"/>
  <c r="K40" i="13"/>
  <c r="BX74" i="11"/>
  <c r="AS74" i="11"/>
  <c r="BQ74" i="11"/>
  <c r="BH74" i="11"/>
  <c r="AV74" i="11"/>
  <c r="AV75" i="11" s="1"/>
  <c r="CI74" i="11"/>
  <c r="BF74" i="11"/>
  <c r="BF75" i="11" s="1"/>
  <c r="F75" i="11"/>
  <c r="AH74" i="1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K24" i="11"/>
  <c r="I24" i="11"/>
  <c r="AO24" i="11"/>
  <c r="AQ24" i="11"/>
  <c r="T24" i="11"/>
  <c r="AH24" i="11"/>
  <c r="AT28" i="10"/>
  <c r="BM9" i="10"/>
  <c r="AU9" i="10"/>
  <c r="AZ9" i="10"/>
  <c r="AG9" i="10"/>
  <c r="BN32" i="9"/>
  <c r="AH32" i="9"/>
  <c r="BH32" i="9"/>
  <c r="AW32" i="9"/>
  <c r="AL32" i="9"/>
  <c r="BA32" i="9"/>
  <c r="BJ32" i="9"/>
  <c r="BQ75" i="11"/>
  <c r="BP74" i="11"/>
  <c r="BP75" i="11" s="1"/>
  <c r="AN74" i="11"/>
  <c r="AN75" i="11" s="1"/>
  <c r="BO25" i="9"/>
  <c r="BH25" i="9"/>
  <c r="BQ25" i="9"/>
  <c r="BM25" i="9"/>
  <c r="BD25" i="9"/>
  <c r="BR16" i="9"/>
  <c r="AP32" i="9"/>
  <c r="W74" i="11"/>
  <c r="W75" i="11" s="1"/>
  <c r="AT74" i="11"/>
  <c r="AT75" i="11" s="1"/>
  <c r="BD74" i="11"/>
  <c r="Y32" i="9"/>
  <c r="BK74" i="11"/>
  <c r="BJ74" i="11"/>
  <c r="BJ75" i="11" s="1"/>
  <c r="BC74" i="11"/>
  <c r="BC75" i="11" s="1"/>
  <c r="BB74" i="11"/>
  <c r="AW74" i="11"/>
  <c r="BT74" i="11"/>
  <c r="BT75" i="11" s="1"/>
  <c r="BW74" i="11"/>
  <c r="BW75" i="11" s="1"/>
  <c r="AR74" i="11"/>
  <c r="AR75" i="11" s="1"/>
  <c r="BT9" i="10"/>
  <c r="CG25" i="9"/>
  <c r="BE25" i="9"/>
  <c r="BO75" i="11"/>
  <c r="BY24" i="11"/>
  <c r="CG9" i="10"/>
  <c r="BX24" i="11"/>
  <c r="BZ74" i="11"/>
  <c r="CF9" i="10"/>
  <c r="BY9" i="10"/>
  <c r="CC24" i="11"/>
  <c r="K9" i="10"/>
  <c r="AX16" i="9"/>
  <c r="Y23" i="7"/>
  <c r="R23" i="7"/>
  <c r="T23" i="7"/>
  <c r="M23" i="7"/>
  <c r="W23" i="7"/>
  <c r="F23" i="7"/>
  <c r="BB31" i="6"/>
  <c r="BB32" i="6" s="1"/>
  <c r="BJ31" i="6"/>
  <c r="BJ32" i="6" s="1"/>
  <c r="AN24" i="11"/>
  <c r="AR9" i="10"/>
  <c r="AP74" i="11"/>
  <c r="AP75" i="11" s="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Z75" i="11" s="1"/>
  <c r="O9" i="10"/>
  <c r="N9" i="10"/>
  <c r="X9" i="10"/>
  <c r="AR32" i="9"/>
  <c r="AT32" i="9"/>
  <c r="R32" i="9"/>
  <c r="AN32" i="9"/>
  <c r="AX32" i="9"/>
  <c r="AY74" i="11"/>
  <c r="AY75" i="11" s="1"/>
  <c r="BG74" i="11"/>
  <c r="BG75" i="11" s="1"/>
  <c r="BA24" i="11"/>
  <c r="AY24" i="11"/>
  <c r="BF24" i="11"/>
  <c r="AU24" i="11"/>
  <c r="AZ24" i="11"/>
  <c r="AK25" i="9"/>
  <c r="AU25" i="9"/>
  <c r="AY25" i="9"/>
  <c r="K25" i="9"/>
  <c r="AK16" i="9"/>
  <c r="AU74" i="11"/>
  <c r="AU75" i="11" s="1"/>
  <c r="AL74" i="11"/>
  <c r="AL75" i="11" s="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BI24" i="11"/>
  <c r="BH24" i="11"/>
  <c r="CE24" i="11"/>
  <c r="BM24" i="11"/>
  <c r="CB24" i="11"/>
  <c r="BB32" i="9"/>
  <c r="BS32" i="9"/>
  <c r="CA74" i="11"/>
  <c r="CA75" i="11" s="1"/>
  <c r="CD9" i="10"/>
  <c r="AX9" i="10"/>
  <c r="BW24" i="11"/>
  <c r="BE24" i="11"/>
  <c r="BT24" i="11"/>
  <c r="CI24" i="11"/>
  <c r="AV25" i="9"/>
  <c r="CG16" i="9"/>
  <c r="BF32" i="9"/>
  <c r="CD75" i="11"/>
  <c r="BV74" i="11"/>
  <c r="BV75" i="11" s="1"/>
  <c r="BM32" i="9"/>
  <c r="AC32" i="9"/>
  <c r="AC24" i="11"/>
  <c r="AB24" i="11"/>
  <c r="AP24" i="11"/>
  <c r="AM74" i="11"/>
  <c r="AM75" i="11" s="1"/>
  <c r="AS24" i="11"/>
  <c r="AR24" i="11"/>
  <c r="BO24" i="11"/>
  <c r="CH31" i="6"/>
  <c r="CH32" i="6" s="1"/>
  <c r="AW24" i="11"/>
  <c r="BL24" i="11"/>
  <c r="CH9" i="10"/>
  <c r="BB9" i="10"/>
  <c r="CA24" i="11"/>
  <c r="AX74" i="11"/>
  <c r="AX75" i="11" s="1"/>
  <c r="BN25" i="9"/>
  <c r="BG24" i="11"/>
  <c r="CD24" i="11"/>
  <c r="BD24" i="11"/>
  <c r="BS24" i="11"/>
  <c r="AT24" i="11"/>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CE75" i="11"/>
  <c r="AZ75" i="11"/>
  <c r="E23" i="7"/>
  <c r="N23" i="7"/>
  <c r="U24" i="11"/>
  <c r="M24" i="11"/>
  <c r="P24" i="11"/>
  <c r="J24" i="11"/>
  <c r="S74" i="11"/>
  <c r="S75" i="11" s="1"/>
  <c r="L9" i="10"/>
  <c r="M74" i="11"/>
  <c r="M75" i="11" s="1"/>
  <c r="H9" i="10"/>
  <c r="S24" i="11"/>
  <c r="K8" i="10"/>
  <c r="F9" i="10"/>
  <c r="L24" i="11"/>
  <c r="K24" i="11"/>
  <c r="E74" i="11"/>
  <c r="E75" i="11" s="1"/>
  <c r="K74" i="11"/>
  <c r="K75" i="11" s="1"/>
  <c r="J8" i="10"/>
  <c r="I9" i="10"/>
  <c r="E8" i="10"/>
  <c r="O16" i="9"/>
  <c r="M34" i="9"/>
  <c r="N16" i="9"/>
  <c r="H16" i="9"/>
  <c r="L16" i="9"/>
  <c r="F16" i="9"/>
  <c r="E24" i="11"/>
  <c r="I74" i="11"/>
  <c r="I75" i="11" s="1"/>
  <c r="J74" i="11"/>
  <c r="J75" i="11" s="1"/>
  <c r="N24" i="11"/>
  <c r="Z24" i="11"/>
  <c r="AM24" i="11"/>
  <c r="AL24" i="11"/>
  <c r="AO74" i="11"/>
  <c r="AO75" i="11" s="1"/>
  <c r="N31" i="6"/>
  <c r="N32" i="6" s="1"/>
  <c r="I16" i="9"/>
  <c r="AD74" i="11"/>
  <c r="AD75" i="11" s="1"/>
  <c r="R34" i="9"/>
  <c r="X74" i="11"/>
  <c r="X75" i="11" s="1"/>
  <c r="BX75" i="11"/>
  <c r="U23" i="7"/>
  <c r="H23" i="7"/>
  <c r="P23" i="7"/>
  <c r="E13" i="7"/>
  <c r="F13" i="7"/>
  <c r="N13" i="7"/>
  <c r="G24" i="11"/>
  <c r="F24" i="11"/>
  <c r="AJ24" i="11"/>
  <c r="AI24" i="11"/>
  <c r="F31" i="6"/>
  <c r="F32" i="6" s="1"/>
  <c r="F28" i="10"/>
  <c r="Y24" i="11"/>
  <c r="H24" i="11"/>
  <c r="AJ75" i="11"/>
  <c r="AS75" i="11"/>
  <c r="AH75" i="11"/>
  <c r="AL31" i="6"/>
  <c r="AL32" i="6" s="1"/>
  <c r="N28" i="10"/>
  <c r="AL28" i="10"/>
  <c r="V28" i="10"/>
  <c r="V20" i="11"/>
  <c r="V21" i="11" s="1"/>
  <c r="V24" i="11" s="1"/>
  <c r="H74" i="11"/>
  <c r="H75" i="11" s="1"/>
  <c r="AH25" i="9"/>
  <c r="AO25" i="9"/>
  <c r="G25" i="9"/>
  <c r="I24" i="9"/>
  <c r="M24" i="9"/>
  <c r="I31" i="12"/>
  <c r="M31" i="12"/>
  <c r="AQ75" i="11"/>
  <c r="T74" i="1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AB75" i="11"/>
  <c r="V31" i="6"/>
  <c r="AJ22" i="10"/>
  <c r="BM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AW75" i="1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BR39" i="10"/>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CI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T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AN50" i="11"/>
  <c r="AN51" i="11" s="1"/>
  <c r="AN4" i="9"/>
  <c r="AN69" i="5"/>
  <c r="BC50" i="11"/>
  <c r="BC51" i="11" s="1"/>
  <c r="BC4" i="9"/>
  <c r="BC69" i="5"/>
  <c r="BB50" i="11"/>
  <c r="BB51" i="11" s="1"/>
  <c r="BB4" i="9"/>
  <c r="BB69" i="5"/>
  <c r="L12" i="9"/>
  <c r="L69" i="9" s="1"/>
  <c r="L4" i="8"/>
  <c r="L108" i="5"/>
  <c r="CG50" i="11"/>
  <c r="CG51" i="11" s="1"/>
  <c r="CG4" i="9"/>
  <c r="CG29" i="9" s="1"/>
  <c r="CG69" i="5"/>
  <c r="U50" i="11"/>
  <c r="U51" i="11" s="1"/>
  <c r="U4" i="9"/>
  <c r="U69" i="5"/>
  <c r="CD12" i="9"/>
  <c r="CD108" i="5"/>
  <c r="AX12" i="9"/>
  <c r="AX108" i="5"/>
  <c r="AX4" i="8"/>
  <c r="R12" i="9"/>
  <c r="R4" i="8"/>
  <c r="R108" i="5"/>
  <c r="AB50" i="11"/>
  <c r="AB51" i="11" s="1"/>
  <c r="AB4" i="9"/>
  <c r="AB69" i="5"/>
  <c r="I12" i="9"/>
  <c r="I69" i="9" s="1"/>
  <c r="I4" i="8"/>
  <c r="I108" i="5"/>
  <c r="AQ50" i="11"/>
  <c r="AQ51" i="11" s="1"/>
  <c r="AQ4" i="9"/>
  <c r="AQ69" i="5"/>
  <c r="BF50" i="11"/>
  <c r="BF51" i="11" s="1"/>
  <c r="BF4" i="9"/>
  <c r="BF69" i="5"/>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4" i="9"/>
  <c r="E69" i="5"/>
  <c r="BV12" i="9"/>
  <c r="BV4" i="8"/>
  <c r="BV5" i="8" s="1"/>
  <c r="BV108" i="5"/>
  <c r="AP12" i="9"/>
  <c r="AP4" i="8"/>
  <c r="AP108" i="5"/>
  <c r="J12" i="9"/>
  <c r="J69" i="9" s="1"/>
  <c r="J4" i="8"/>
  <c r="J108" i="5"/>
  <c r="BX50" i="11"/>
  <c r="BX51" i="11" s="1"/>
  <c r="BX4" i="9"/>
  <c r="BX69" i="5"/>
  <c r="L50" i="11"/>
  <c r="L51" i="11" s="1"/>
  <c r="L4" i="9"/>
  <c r="L69" i="5"/>
  <c r="AA50" i="11"/>
  <c r="AA51" i="11" s="1"/>
  <c r="AA4" i="9"/>
  <c r="AA69" i="5"/>
  <c r="AP50" i="11"/>
  <c r="AP51" i="11" s="1"/>
  <c r="AP4" i="9"/>
  <c r="AP69" i="5"/>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5" i="8" s="1"/>
  <c r="AT108" i="5"/>
  <c r="AC12" i="9"/>
  <c r="AC4" i="8"/>
  <c r="AC108" i="5"/>
  <c r="BG12" i="9"/>
  <c r="BG4" i="8"/>
  <c r="BG108" i="5"/>
  <c r="AW12" i="9"/>
  <c r="AW4" i="8"/>
  <c r="AW108" i="5"/>
  <c r="AN12" i="9"/>
  <c r="AN4" i="8"/>
  <c r="AN108" i="5"/>
  <c r="BE50" i="11"/>
  <c r="BE51" i="11" s="1"/>
  <c r="BE4" i="9"/>
  <c r="BE69" i="5"/>
  <c r="CJ32" i="9"/>
  <c r="BT50" i="11"/>
  <c r="BT51" i="11" s="1"/>
  <c r="BT4" i="9"/>
  <c r="BT69" i="5"/>
  <c r="H50" i="11"/>
  <c r="H51" i="11" s="1"/>
  <c r="H4" i="9"/>
  <c r="H69" i="5"/>
  <c r="M12" i="9"/>
  <c r="M69" i="9" s="1"/>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69" i="5"/>
  <c r="B27" i="13"/>
  <c r="B8" i="13"/>
  <c r="E12" i="9"/>
  <c r="E69" i="9" s="1"/>
  <c r="E4" i="8"/>
  <c r="CI32" i="9"/>
  <c r="BS50" i="11"/>
  <c r="BS51" i="11" s="1"/>
  <c r="BS4" i="9"/>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69" i="5"/>
  <c r="BN50" i="11"/>
  <c r="BN51" i="11" s="1"/>
  <c r="BN4" i="9"/>
  <c r="BN69" i="5"/>
  <c r="E31" i="12"/>
  <c r="C39" i="13"/>
  <c r="CL17" i="9"/>
  <c r="CL15" i="9"/>
  <c r="S69" i="9" l="1"/>
  <c r="N69" i="9"/>
  <c r="U69" i="9"/>
  <c r="O69" i="9"/>
  <c r="AJ29" i="9"/>
  <c r="P69" i="9"/>
  <c r="BS29" i="9"/>
  <c r="Q69" i="9"/>
  <c r="T69" i="9"/>
  <c r="R69" i="9"/>
  <c r="N38" i="6"/>
  <c r="N39" i="6" s="1"/>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AK6" i="11"/>
  <c r="AK39" i="10"/>
  <c r="AK34" i="10"/>
  <c r="AK29" i="10" s="1"/>
  <c r="AK38" i="6"/>
  <c r="AK39" i="6" s="1"/>
  <c r="Y6" i="11"/>
  <c r="Y39" i="10"/>
  <c r="Y34" i="10"/>
  <c r="Y38" i="6"/>
  <c r="Y39" i="6" s="1"/>
  <c r="AG6" i="11"/>
  <c r="AG39" i="10"/>
  <c r="AG34" i="10"/>
  <c r="AG29" i="10" s="1"/>
  <c r="AG38" i="6"/>
  <c r="AG39" i="6" s="1"/>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34" i="10"/>
  <c r="Z29" i="10" s="1"/>
  <c r="Z38" i="6"/>
  <c r="Z39" i="6" s="1"/>
  <c r="L6" i="11"/>
  <c r="L39" i="10"/>
  <c r="L34" i="10"/>
  <c r="L29" i="10" s="1"/>
  <c r="L38" i="6"/>
  <c r="L39" i="6" s="1"/>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38" i="6"/>
  <c r="X39" i="6" s="1"/>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29" i="10" s="1"/>
  <c r="BL39" i="10"/>
  <c r="BL38" i="6"/>
  <c r="BL39" i="6" s="1"/>
  <c r="B32" i="6"/>
  <c r="B38" i="6"/>
  <c r="CB6" i="11"/>
  <c r="CB34" i="10"/>
  <c r="CB39" i="10"/>
  <c r="CB38" i="6"/>
  <c r="CB39" i="6" s="1"/>
  <c r="CD29" i="10"/>
  <c r="CE6" i="11"/>
  <c r="CE39" i="10"/>
  <c r="CE34" i="10"/>
  <c r="CE29" i="10" s="1"/>
  <c r="CE38" i="6"/>
  <c r="CE39" i="6" s="1"/>
  <c r="U6" i="11"/>
  <c r="U39" i="10"/>
  <c r="U34" i="10"/>
  <c r="U29" i="10" s="1"/>
  <c r="U38" i="6"/>
  <c r="U39" i="6" s="1"/>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1" i="6" l="1"/>
  <c r="BJ9" i="11"/>
  <c r="N42" i="6"/>
  <c r="N43" i="6" s="1"/>
  <c r="N48" i="10" s="1"/>
  <c r="AT40" i="10"/>
  <c r="AT41" i="10" s="1"/>
  <c r="N41" i="6"/>
  <c r="AT41" i="6"/>
  <c r="AT9" i="11"/>
  <c r="BB40" i="10"/>
  <c r="BB42" i="10" s="1"/>
  <c r="N40" i="10"/>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N41" i="10"/>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Z43" i="6" s="1"/>
  <c r="CD42" i="10"/>
  <c r="BG33" i="10"/>
  <c r="BG31" i="10"/>
  <c r="BB17" i="12"/>
  <c r="BB18" i="12" s="1"/>
  <c r="BB2" i="11"/>
  <c r="BB48"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D21" i="13"/>
  <c r="Q46" i="9" l="1"/>
  <c r="Q43" i="9"/>
  <c r="Q58" i="9"/>
  <c r="Q60" i="9"/>
  <c r="Q57" i="9"/>
  <c r="Q40" i="9"/>
  <c r="Q42" i="9"/>
  <c r="Q61" i="9"/>
  <c r="Q44" i="9"/>
  <c r="Q39" i="9"/>
  <c r="Q55" i="9"/>
  <c r="Q56" i="9"/>
  <c r="Q41" i="9"/>
  <c r="M57" i="9"/>
  <c r="M60" i="9"/>
  <c r="M62" i="9" s="1"/>
  <c r="M58" i="9"/>
  <c r="M55" i="9"/>
  <c r="M61" i="9"/>
  <c r="M56" i="9"/>
  <c r="F57" i="9"/>
  <c r="F60" i="9"/>
  <c r="F58" i="9"/>
  <c r="F61" i="9"/>
  <c r="F55" i="9"/>
  <c r="F59" i="9" s="1"/>
  <c r="F56" i="9"/>
  <c r="E57" i="9"/>
  <c r="E60" i="9"/>
  <c r="E58" i="9"/>
  <c r="E55" i="9"/>
  <c r="E61" i="9"/>
  <c r="E56" i="9"/>
  <c r="N46" i="9"/>
  <c r="N42" i="9"/>
  <c r="N40" i="9"/>
  <c r="N57" i="9"/>
  <c r="N60" i="9"/>
  <c r="N62" i="9" s="1"/>
  <c r="N43" i="9"/>
  <c r="N58" i="9"/>
  <c r="N39" i="9"/>
  <c r="N55" i="9"/>
  <c r="N59" i="9" s="1"/>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59" i="9" s="1"/>
  <c r="U44" i="9"/>
  <c r="U41" i="9"/>
  <c r="U56" i="9"/>
  <c r="N45" i="9"/>
  <c r="G58" i="9"/>
  <c r="G60" i="9"/>
  <c r="G62" i="9" s="1"/>
  <c r="G57" i="9"/>
  <c r="G55" i="9"/>
  <c r="G59" i="9" s="1"/>
  <c r="G61" i="9"/>
  <c r="G56" i="9"/>
  <c r="J57" i="9"/>
  <c r="J60" i="9"/>
  <c r="J58" i="9"/>
  <c r="J61" i="9"/>
  <c r="J55" i="9"/>
  <c r="J56" i="9"/>
  <c r="S46" i="9"/>
  <c r="S57" i="9"/>
  <c r="S40" i="9"/>
  <c r="S42" i="9"/>
  <c r="S58" i="9"/>
  <c r="S43" i="9"/>
  <c r="S60" i="9"/>
  <c r="S62" i="9" s="1"/>
  <c r="S55" i="9"/>
  <c r="S59" i="9" s="1"/>
  <c r="S39" i="9"/>
  <c r="S44" i="9"/>
  <c r="S61" i="9"/>
  <c r="S41" i="9"/>
  <c r="S56" i="9"/>
  <c r="P46" i="9"/>
  <c r="P42" i="9"/>
  <c r="P57" i="9"/>
  <c r="P43" i="9"/>
  <c r="P58" i="9"/>
  <c r="P40" i="9"/>
  <c r="P60" i="9"/>
  <c r="P55" i="9"/>
  <c r="P59" i="9" s="1"/>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I41" i="13"/>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K48" i="10"/>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71" i="9" s="1"/>
  <c r="G72" i="9" s="1"/>
  <c r="G28" i="9"/>
  <c r="G26" i="9"/>
  <c r="G14" i="9"/>
  <c r="G74" i="9" s="1"/>
  <c r="G33" i="9"/>
  <c r="K12" i="8"/>
  <c r="K11" i="8"/>
  <c r="CF14" i="9"/>
  <c r="CF28" i="9"/>
  <c r="CF13" i="9"/>
  <c r="CF26" i="9"/>
  <c r="CF33" i="9"/>
  <c r="CK15" i="9"/>
  <c r="CK17" i="9"/>
  <c r="H12" i="8"/>
  <c r="H11" i="8"/>
  <c r="J26" i="9"/>
  <c r="J28" i="9"/>
  <c r="J14" i="9"/>
  <c r="J74" i="9" s="1"/>
  <c r="J13" i="9"/>
  <c r="J71" i="9" s="1"/>
  <c r="J72" i="9" s="1"/>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74" i="9" s="1"/>
  <c r="K28" i="9"/>
  <c r="K13" i="9"/>
  <c r="K71" i="9" s="1"/>
  <c r="K72" i="9" s="1"/>
  <c r="K26" i="9"/>
  <c r="K33" i="9"/>
  <c r="BI12" i="8"/>
  <c r="BI11" i="8"/>
  <c r="H13" i="9"/>
  <c r="H71" i="9" s="1"/>
  <c r="H26" i="9"/>
  <c r="H14" i="9"/>
  <c r="H74" i="9" s="1"/>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71" i="9" s="1"/>
  <c r="M72" i="9" s="1"/>
  <c r="M28" i="9"/>
  <c r="M14" i="9"/>
  <c r="M74" i="9" s="1"/>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71" i="9" s="1"/>
  <c r="F72" i="9" s="1"/>
  <c r="F28" i="9"/>
  <c r="F14" i="9"/>
  <c r="F74" i="9" s="1"/>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74" i="9" s="1"/>
  <c r="L28" i="9"/>
  <c r="L13" i="9"/>
  <c r="L71" i="9" s="1"/>
  <c r="L72" i="9" s="1"/>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71" i="9" s="1"/>
  <c r="I72" i="9" s="1"/>
  <c r="I28" i="9"/>
  <c r="I14" i="9"/>
  <c r="I74" i="9" s="1"/>
  <c r="I26" i="9"/>
  <c r="I33" i="9"/>
  <c r="AC12" i="8"/>
  <c r="AC11" i="8"/>
  <c r="AO12" i="8"/>
  <c r="AO11" i="8"/>
  <c r="U13" i="9"/>
  <c r="U28" i="9"/>
  <c r="U14" i="9"/>
  <c r="U26" i="9"/>
  <c r="U33" i="9"/>
  <c r="F19" i="13"/>
  <c r="E21" i="13"/>
  <c r="AD13" i="11" l="1"/>
  <c r="N13" i="11"/>
  <c r="AT4" i="11"/>
  <c r="AD4" i="11"/>
  <c r="BR12" i="11"/>
  <c r="BR14" i="11" s="1"/>
  <c r="N74" i="9"/>
  <c r="N51" i="9"/>
  <c r="N47" i="9"/>
  <c r="N48" i="9"/>
  <c r="N49" i="9"/>
  <c r="U74" i="9"/>
  <c r="U51" i="9"/>
  <c r="U48" i="9"/>
  <c r="U47" i="9"/>
  <c r="U49" i="9"/>
  <c r="O74" i="9"/>
  <c r="O51" i="9"/>
  <c r="O48" i="9"/>
  <c r="O47" i="9"/>
  <c r="O49" i="9"/>
  <c r="E82" i="9"/>
  <c r="E83" i="9" s="1"/>
  <c r="E71" i="9"/>
  <c r="M73" i="9"/>
  <c r="M70" i="9"/>
  <c r="T50" i="9"/>
  <c r="T71" i="9"/>
  <c r="T72" i="9" s="1"/>
  <c r="K59" i="9"/>
  <c r="J59" i="9"/>
  <c r="O59" i="9"/>
  <c r="I73" i="9"/>
  <c r="I70" i="9"/>
  <c r="N50" i="9"/>
  <c r="N71" i="9"/>
  <c r="N72" i="9" s="1"/>
  <c r="H73" i="9"/>
  <c r="H70" i="9"/>
  <c r="L59" i="9"/>
  <c r="U50" i="9"/>
  <c r="U71" i="9"/>
  <c r="T74" i="9"/>
  <c r="T51" i="9"/>
  <c r="T48" i="9"/>
  <c r="T47" i="9"/>
  <c r="T49" i="9"/>
  <c r="K73" i="9"/>
  <c r="K70" i="9"/>
  <c r="T59" i="9"/>
  <c r="H59" i="9"/>
  <c r="I59" i="9"/>
  <c r="E59" i="9"/>
  <c r="F62" i="9"/>
  <c r="O71" i="9"/>
  <c r="O72" i="9" s="1"/>
  <c r="O50" i="9"/>
  <c r="P74" i="9"/>
  <c r="P51" i="9"/>
  <c r="P48" i="9"/>
  <c r="P47" i="9"/>
  <c r="P49" i="9"/>
  <c r="H72" i="9"/>
  <c r="R62" i="9"/>
  <c r="H62" i="9"/>
  <c r="K62" i="9"/>
  <c r="P62" i="9"/>
  <c r="J62" i="9"/>
  <c r="U62" i="9"/>
  <c r="Q62" i="9"/>
  <c r="L73" i="9"/>
  <c r="L70" i="9"/>
  <c r="Q74" i="9"/>
  <c r="Q51" i="9"/>
  <c r="Q48" i="9"/>
  <c r="Q47" i="9"/>
  <c r="Q49" i="9"/>
  <c r="R50" i="9"/>
  <c r="R71" i="9"/>
  <c r="R72" i="9" s="1"/>
  <c r="S50" i="9"/>
  <c r="S71" i="9"/>
  <c r="S72" i="9" s="1"/>
  <c r="T62" i="9"/>
  <c r="L62" i="9"/>
  <c r="E62" i="9"/>
  <c r="Q59" i="9"/>
  <c r="P71" i="9"/>
  <c r="P50" i="9"/>
  <c r="E74" i="9"/>
  <c r="E85" i="9"/>
  <c r="E80" i="9" s="1"/>
  <c r="F73" i="9"/>
  <c r="F70" i="9"/>
  <c r="R51" i="9"/>
  <c r="R74" i="9"/>
  <c r="R48" i="9"/>
  <c r="R47" i="9"/>
  <c r="R49" i="9"/>
  <c r="G73" i="9"/>
  <c r="G70" i="9"/>
  <c r="R59" i="9"/>
  <c r="I62" i="9"/>
  <c r="O62" i="9"/>
  <c r="Q71" i="9"/>
  <c r="Q50" i="9"/>
  <c r="S74" i="9"/>
  <c r="S51" i="9"/>
  <c r="S48" i="9"/>
  <c r="S47" i="9"/>
  <c r="S49" i="9"/>
  <c r="J73" i="9"/>
  <c r="J70"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P73" i="9" l="1"/>
  <c r="P70" i="9"/>
  <c r="E84" i="9"/>
  <c r="Q73" i="9"/>
  <c r="Q70" i="9"/>
  <c r="S73" i="9"/>
  <c r="S70" i="9"/>
  <c r="E73" i="9"/>
  <c r="E70" i="9"/>
  <c r="U73" i="9"/>
  <c r="U70" i="9"/>
  <c r="Q72" i="9"/>
  <c r="P72" i="9"/>
  <c r="R73" i="9"/>
  <c r="R70" i="9"/>
  <c r="O73" i="9"/>
  <c r="O70" i="9"/>
  <c r="T73" i="9"/>
  <c r="T70" i="9"/>
  <c r="U72" i="9"/>
  <c r="E72" i="9"/>
  <c r="N73" i="9"/>
  <c r="N70" i="9"/>
  <c r="K41" i="13"/>
  <c r="L39" i="13"/>
  <c r="L66" i="13"/>
  <c r="L65" i="13"/>
  <c r="G21" i="13"/>
  <c r="H19" i="13"/>
  <c r="L41" i="13" l="1"/>
  <c r="M39" i="13"/>
  <c r="H21" i="13"/>
  <c r="D22" i="13" s="1"/>
  <c r="I19" i="13"/>
  <c r="I21" i="13" s="1"/>
  <c r="I22" i="13" s="1"/>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<sst xmlns="http://schemas.openxmlformats.org/spreadsheetml/2006/main" count="1017" uniqueCount="750">
  <si>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</si>
  <si>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</si>
  <si>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</si>
  <si>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</si>
  <si>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</si>
  <si>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</si>
  <si>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</si>
  <si>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</si>
  <si>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</si>
  <si>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</si>
  <si>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</si>
  <si>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</si>
  <si>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</si>
  <si>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</si>
  <si>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</si>
  <si>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</si>
  <si>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</si>
  <si>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</si>
  <si>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</si>
  <si>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</si>
  <si>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</si>
  <si>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</si>
  <si>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</si>
  <si>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</si>
  <si>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</si>
  <si>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</si>
  <si>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</si>
  <si>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</si>
  <si>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</si>
  <si>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</si>
  <si>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</si>
  <si>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</si>
  <si>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</si>
  <si>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</si>
  <si>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</si>
  <si>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</si>
  <si>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</si>
  <si>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</si>
  <si>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</si>
  <si>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</si>
  <si>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</si>
  <si>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</si>
  <si>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</si>
  <si>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</si>
  <si>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</si>
  <si>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</si>
  <si>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</si>
  <si>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</si>
  <si>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</si>
  <si>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</si>
  <si>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</si>
  <si>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</si>
  <si>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</si>
  <si>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</si>
  <si>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</si>
  <si>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</si>
  <si>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</si>
  <si>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</si>
  <si>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</si>
  <si>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</si>
  <si>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</si>
  <si>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</si>
  <si>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</si>
  <si>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</si>
  <si>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</si>
  <si>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</si>
  <si>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</si>
  <si>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</si>
  <si>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</si>
  <si>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</si>
  <si>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</si>
  <si>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</si>
  <si>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</si>
  <si>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</si>
  <si>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</si>
  <si>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</si>
  <si>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</si>
  <si>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</si>
  <si>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</si>
  <si>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</si>
  <si>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</si>
  <si>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</si>
  <si>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</si>
  <si>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</si>
  <si>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</si>
  <si>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</si>
  <si>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</si>
  <si>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</si>
  <si>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</si>
  <si>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</si>
  <si>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</si>
  <si>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</si>
  <si>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</si>
  <si>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</si>
  <si>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</si>
  <si>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</si>
  <si>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</si>
  <si>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</si>
  <si>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</si>
  <si>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</si>
  <si>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</si>
  <si>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</si>
  <si>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</si>
  <si>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</si>
  <si>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</si>
  <si>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</si>
  <si>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</si>
  <si>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</si>
  <si>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</si>
  <si>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</si>
  <si>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</si>
  <si>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</si>
  <si>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</si>
  <si>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</si>
  <si>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</si>
  <si>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</si>
  <si>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</si>
  <si>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</si>
  <si>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</si>
  <si>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</si>
  <si>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</si>
  <si>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</si>
  <si>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</si>
  <si>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</si>
  <si>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</si>
  <si>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</si>
  <si>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</si>
  <si>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</si>
  <si>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</si>
  <si>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</si>
  <si>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</si>
  <si>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</si>
  <si>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</si>
  <si>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</si>
  <si>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</si>
  <si>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</si>
  <si>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</si>
  <si>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</si>
  <si>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</si>
  <si>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</si>
  <si>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</si>
  <si>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</si>
  <si>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</si>
  <si>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</si>
  <si>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</si>
  <si>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</si>
  <si>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</si>
  <si>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</si>
  <si>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</si>
  <si>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</si>
  <si>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</si>
  <si>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</si>
  <si>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</si>
  <si>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</si>
  <si>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</si>
  <si>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</si>
  <si>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</si>
  <si>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</si>
  <si>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</si>
  <si>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</si>
  <si>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</si>
  <si>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</si>
  <si>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</si>
  <si>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</si>
  <si>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</si>
  <si>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</si>
  <si>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</si>
  <si>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</si>
  <si>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</si>
  <si>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</si>
  <si>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</si>
  <si>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</si>
  <si>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</si>
  <si>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</si>
  <si>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</si>
  <si>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</si>
  <si>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</si>
  <si>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</si>
  <si>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</si>
  <si>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</si>
  <si>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</si>
  <si>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</si>
  <si>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</si>
  <si>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</si>
  <si>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</si>
  <si>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</si>
  <si>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</si>
  <si>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</si>
  <si>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</si>
  <si>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</si>
  <si>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</si>
  <si>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</si>
  <si>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</si>
  <si>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</si>
  <si>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</si>
  <si>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</si>
  <si>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</si>
  <si>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</si>
  <si>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</si>
  <si>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</si>
  <si>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</si>
  <si>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</si>
  <si>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</si>
  <si>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</si>
  <si>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</si>
  <si>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</si>
  <si>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</si>
  <si>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</si>
  <si>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</si>
  <si>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</si>
  <si>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</si>
  <si>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</si>
  <si>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</si>
  <si>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</si>
  <si>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</si>
  <si>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</si>
  <si>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</si>
  <si>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</si>
  <si>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</si>
  <si>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</si>
  <si>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</si>
  <si>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</si>
  <si>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</si>
  <si>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</si>
  <si>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</si>
  <si>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</si>
  <si>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</si>
  <si>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</si>
  <si>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</si>
  <si>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</si>
  <si>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</si>
  <si>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</si>
  <si>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</si>
  <si>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</si>
  <si>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</si>
  <si>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</si>
  <si>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</si>
  <si>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</si>
  <si>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</si>
  <si>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</si>
  <si>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</si>
  <si>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</si>
  <si>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</si>
  <si>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</si>
  <si>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</si>
  <si>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</si>
  <si>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</si>
  <si>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</si>
  <si>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</si>
  <si>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</si>
  <si>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</si>
  <si>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</si>
  <si>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</si>
  <si>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</si>
  <si>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</si>
  <si>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</si>
  <si>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</si>
  <si>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</si>
  <si>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</si>
  <si>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</si>
  <si>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</si>
  <si>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</si>
  <si>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</si>
  <si>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</si>
  <si>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</si>
  <si>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</si>
  <si>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</si>
  <si>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</si>
  <si>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</si>
  <si>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</si>
  <si>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</si>
  <si>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</si>
  <si>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</si>
  <si>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</si>
  <si>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</si>
  <si>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</si>
  <si>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</si>
  <si>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</si>
  <si>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</si>
  <si>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</si>
  <si>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</si>
  <si>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</si>
  <si>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</si>
  <si>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</si>
  <si>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</si>
  <si>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</si>
  <si>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</si>
  <si>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</si>
  <si>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</si>
  <si>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</si>
  <si>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</si>
  <si>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</si>
  <si>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</si>
  <si>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</si>
  <si>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</si>
  <si>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</si>
  <si>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</si>
  <si>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</si>
  <si>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</si>
  <si>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</si>
  <si>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</si>
  <si>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</si>
  <si>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</si>
  <si>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</si>
  <si>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</si>
  <si>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</si>
  <si>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</si>
  <si>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</si>
  <si>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</si>
  <si>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</si>
  <si>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</si>
  <si>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</si>
  <si>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</si>
  <si>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</si>
  <si>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</si>
  <si>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</si>
  <si>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</si>
  <si>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</si>
  <si>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</si>
  <si>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</si>
  <si>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</si>
  <si>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</si>
  <si>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</si>
  <si>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</si>
  <si>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</si>
  <si>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</si>
  <si>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</si>
  <si>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</si>
  <si>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</si>
  <si>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</si>
  <si>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</si>
  <si>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</si>
  <si>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</si>
  <si>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</si>
  <si>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</si>
  <si>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</si>
  <si>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</si>
  <si>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</si>
  <si>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</si>
  <si>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</si>
  <si>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</si>
  <si>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</si>
  <si>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</si>
  <si>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</si>
  <si>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</si>
  <si>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</si>
  <si>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</si>
  <si>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</si>
  <si>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</si>
  <si>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</si>
  <si>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</si>
  <si>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</si>
  <si>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</si>
  <si>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</si>
  <si>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</si>
  <si>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</si>
  <si>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</si>
  <si>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</si>
  <si>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</si>
  <si>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</si>
  <si>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</si>
  <si>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</si>
  <si>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</si>
  <si>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</si>
  <si>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</si>
  <si>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</si>
  <si>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</si>
  <si>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</si>
  <si>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</si>
  <si>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</si>
  <si>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</si>
  <si>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</si>
  <si>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</si>
  <si>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</si>
  <si>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</si>
  <si>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</si>
  <si>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</si>
  <si>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</si>
  <si>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</si>
  <si>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</si>
  <si>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</si>
  <si>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</si>
  <si>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</si>
  <si>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</si>
  <si>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</si>
  <si>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</si>
  <si>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</si>
  <si>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</si>
  <si>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</si>
  <si>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</si>
  <si>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</si>
  <si>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</si>
  <si>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</si>
  <si>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</si>
  <si>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</si>
  <si>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</si>
  <si>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</si>
  <si>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</si>
  <si>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</si>
  <si>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</si>
  <si>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</si>
  <si>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</si>
  <si>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</si>
  <si>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</si>
  <si>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</si>
  <si>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</si>
  <si>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</si>
  <si>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</si>
  <si>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</si>
  <si>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</si>
  <si>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</si>
  <si>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</si>
  <si>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</si>
  <si>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</si>
  <si>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</si>
  <si>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</si>
  <si>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</si>
  <si>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</si>
  <si>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</si>
  <si>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</si>
  <si>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</si>
  <si>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</si>
  <si>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</si>
  <si>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</si>
  <si>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</si>
  <si>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</si>
  <si>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</si>
  <si>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</si>
  <si>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</si>
  <si>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</si>
  <si>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</si>
  <si>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</si>
  <si>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</si>
  <si>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</si>
  <si>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</si>
  <si>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</si>
  <si>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</si>
  <si>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</si>
  <si>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</si>
  <si>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</si>
  <si>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</si>
  <si>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</si>
  <si>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</si>
  <si>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</si>
  <si>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</si>
  <si>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</si>
  <si>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</si>
  <si>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</si>
  <si>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</si>
  <si>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</si>
  <si>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</si>
  <si>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</si>
  <si>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</si>
  <si>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</si>
  <si>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</si>
  <si>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</si>
  <si>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</si>
  <si>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</si>
  <si>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</si>
  <si>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</si>
  <si>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</si>
  <si>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</si>
  <si>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</si>
  <si>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</si>
  <si>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</si>
  <si>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</si>
  <si>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</si>
  <si>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</si>
  <si>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</si>
  <si>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</si>
  <si>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</si>
  <si>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</si>
  <si>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</si>
  <si>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</si>
  <si>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</si>
  <si>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</si>
  <si>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</si>
  <si>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</si>
  <si>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</si>
  <si>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</si>
  <si>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</si>
  <si>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</si>
  <si>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</si>
  <si>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</si>
  <si>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</si>
  <si>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</si>
  <si>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</si>
  <si>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</si>
  <si>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</si>
  <si>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</si>
  <si>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</si>
  <si>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</si>
  <si>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</si>
  <si>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</si>
  <si>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</si>
  <si>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</si>
  <si>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</si>
  <si>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</si>
  <si>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</si>
  <si>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</si>
  <si>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</si>
  <si>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</si>
  <si>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</si>
  <si>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</si>
  <si>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</si>
  <si>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</si>
  <si>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</si>
  <si>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</si>
  <si>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</si>
  <si>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</si>
  <si>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</si>
  <si>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</si>
  <si>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</si>
  <si>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</si>
  <si>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</si>
  <si>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</si>
  <si>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</si>
  <si>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</si>
  <si>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</si>
  <si>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</si>
  <si>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</si>
  <si>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</si>
  <si>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</si>
  <si>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</si>
  <si>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</si>
  <si>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</si>
  <si>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</si>
  <si>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</si>
  <si>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</si>
  <si>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</si>
  <si>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</si>
  <si>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</si>
  <si>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</si>
  <si>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</si>
  <si>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</si>
  <si>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</si>
  <si>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</si>
  <si>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</si>
  <si>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</si>
  <si>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</si>
  <si>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</si>
  <si>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</si>
  <si>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</si>
  <si>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</si>
  <si>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</si>
  <si>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</si>
  <si>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</si>
  <si>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</si>
  <si>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</si>
  <si>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</si>
  <si>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</si>
  <si>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</si>
  <si>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</si>
  <si>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</si>
  <si>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</si>
  <si>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</si>
  <si>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</si>
  <si>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</si>
  <si>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</si>
  <si>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</si>
  <si>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</si>
  <si>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</si>
  <si>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</si>
  <si>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</si>
  <si>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</si>
  <si>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</si>
  <si>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</si>
  <si>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</si>
  <si>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</si>
  <si>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</si>
  <si>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</si>
  <si>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</si>
  <si>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</si>
  <si>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</si>
  <si>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</si>
  <si>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</si>
  <si>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</si>
  <si>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</si>
  <si>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</si>
  <si>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</si>
  <si>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</si>
  <si>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</si>
  <si>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</si>
  <si>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</si>
  <si>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</si>
  <si>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</si>
  <si>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</si>
  <si>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</si>
  <si>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</si>
  <si>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</si>
  <si>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</si>
  <si>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</si>
  <si>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</si>
  <si>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</si>
  <si>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</si>
  <si>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</si>
  <si>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</si>
  <si>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</si>
  <si>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</si>
  <si>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</si>
  <si>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</si>
  <si>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</si>
  <si>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</si>
  <si>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</si>
  <si>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</si>
  <si>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</si>
  <si>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</si>
  <si>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</si>
  <si>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</si>
  <si>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</si>
  <si>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</si>
  <si>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</si>
  <si>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</si>
  <si>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</si>
  <si>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</si>
  <si>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</si>
  <si>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</si>
  <si>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</si>
  <si>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</si>
  <si>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</si>
  <si>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</si>
  <si>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</si>
  <si>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</si>
  <si>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</si>
  <si>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</si>
  <si>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</si>
  <si>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</si>
  <si>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</si>
  <si>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</si>
  <si>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</si>
  <si>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</si>
  <si>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</si>
  <si>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</si>
  <si>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</si>
  <si>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</si>
  <si>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</si>
  <si>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</si>
  <si>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</si>
  <si>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</si>
  <si>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</si>
  <si>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</si>
  <si>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</si>
  <si>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</si>
  <si>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</si>
  <si>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</si>
  <si>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</si>
  <si>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</si>
  <si>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</si>
  <si>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</si>
  <si>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</si>
  <si>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</si>
  <si>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</si>
  <si>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</si>
  <si>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</si>
  <si>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</si>
  <si>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</si>
  <si>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</si>
  <si>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</si>
  <si>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</si>
  <si>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</si>
  <si>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</si>
  <si>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</si>
  <si>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</si>
  <si>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</si>
  <si>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</si>
  <si>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</si>
  <si>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</si>
  <si>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</si>
  <si>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</si>
  <si>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如果短期融资净值为负，则说明公司的金融资产超过了短期资本，现金储备充足，说是上述的稳健资本结构。如果短期融资净值为正，则为激进型资产资本结构。如果短期融资净值等于或者接近于零，则为
匹配型资产资本结构。</t>
    </r>
    <phoneticPr fontId="1" type="noConversion"/>
  </si>
  <si>
    <t>(17)现金自给率=16/15</t>
    <phoneticPr fontId="1" type="noConversion"/>
  </si>
  <si>
    <t xml:space="preserve">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</si>
  <si>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</si>
  <si>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</si>
  <si>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</si>
  <si>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</si>
  <si>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</si>
  <si>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</si>
  <si>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</si>
  <si>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</si>
  <si>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</si>
  <si>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</si>
  <si>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</si>
  <si>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</si>
  <si>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</si>
  <si>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</si>
  <si>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</si>
  <si>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</si>
  <si>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</si>
  <si>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</si>
  <si>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</si>
  <si>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</si>
  <si>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</si>
  <si>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</si>
  <si>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</si>
  <si>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</si>
  <si>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</si>
  <si>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</si>
  <si>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</si>
  <si>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</si>
  <si>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</si>
  <si>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</si>
  <si>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</si>
  <si>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</si>
  <si>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</si>
  <si>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</si>
  <si>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</si>
  <si>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</si>
  <si>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</si>
  <si>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</si>
  <si>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</si>
  <si>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</si>
  <si>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</si>
  <si>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</si>
  <si>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</si>
  <si>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</si>
  <si>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</si>
  <si>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</si>
  <si>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</si>
  <si>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</si>
  <si>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</si>
  <si>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</si>
  <si>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</si>
  <si>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</si>
  <si>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</si>
  <si>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</si>
  <si>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</si>
  <si>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</si>
  <si>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</si>
  <si>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</si>
  <si>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</si>
  <si>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</si>
  <si>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</si>
  <si>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</si>
  <si>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</si>
  <si>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</si>
  <si>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</si>
  <si>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</si>
  <si>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</si>
  <si>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</si>
  <si>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</si>
  <si>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</si>
  <si>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</si>
  <si>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</si>
  <si>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</si>
  <si>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</si>
  <si>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</si>
  <si>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股权资本成本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</si>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</sst>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178" fontId="0" fillId="4" borderId="0" xfId="0" applyNumberFormat="1" applyFill="1">
      <alignment vertical="center"/>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4" fontId="0" fillId="44" borderId="0" xfId="0" applyNumberFormat="1" applyFill="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0.31438387958441988</c:v>
                </c:pt>
                <c:pt idx="1">
                  <c:v>0.21978782210109696</c:v>
                </c:pt>
                <c:pt idx="2">
                  <c:v>0.1785809119371311</c:v>
                </c:pt>
                <c:pt idx="3">
                  <c:v>0.20686391767003026</c:v>
                </c:pt>
                <c:pt idx="4">
                  <c:v>0.23488592002307834</c:v>
                </c:pt>
                <c:pt idx="5">
                  <c:v>0.24045530511395427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0.24611983991772857</c:v>
                </c:pt>
                <c:pt idx="1">
                  <c:v>0.17732497749882625</c:v>
                </c:pt>
                <c:pt idx="2">
                  <c:v>0.13289397482557763</c:v>
                </c:pt>
                <c:pt idx="3">
                  <c:v>0.15900331487308891</c:v>
                </c:pt>
                <c:pt idx="4">
                  <c:v>0.20022237387746791</c:v>
                </c:pt>
                <c:pt idx="5">
                  <c:v>0.2031491904840938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0.29635876267498906</c:v>
                </c:pt>
                <c:pt idx="1">
                  <c:v>0.18926150305139705</c:v>
                </c:pt>
                <c:pt idx="2">
                  <c:v>0.13479334572333301</c:v>
                </c:pt>
                <c:pt idx="3">
                  <c:v>0.18582558633030766</c:v>
                </c:pt>
                <c:pt idx="4">
                  <c:v>0.22124014226977484</c:v>
                </c:pt>
                <c:pt idx="5">
                  <c:v>0.22157769041223649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0.23159576243893973</c:v>
                </c:pt>
                <c:pt idx="1">
                  <c:v>0.15255003964142411</c:v>
                </c:pt>
                <c:pt idx="2">
                  <c:v>0.10017018167895622</c:v>
                </c:pt>
                <c:pt idx="3">
                  <c:v>0.1427721464361488</c:v>
                </c:pt>
                <c:pt idx="4">
                  <c:v>0.18863312011138009</c:v>
                </c:pt>
                <c:pt idx="5">
                  <c:v>0.18733014732411812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16749735790.280001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5653079400.8199997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2954448758.9099998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4168527353.5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4425684184.9899998</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3565918630.6399999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9842771689.3803959</c:v>
                </c:pt>
                <c:pt idx="1">
                  <c:v>3125020105.2155981</c:v>
                </c:pt>
                <c:pt idx="2">
                  <c:v>766696783.7375977</c:v>
                </c:pt>
                <c:pt idx="3">
                  <c:v>2090749726.5876021</c:v>
                </c:pt>
                <c:pt idx="4">
                  <c:v>2875075596.6176009</c:v>
                </c:pt>
                <c:pt idx="5">
                  <c:v>2199016104.8052011</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30754126558.369999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18333937055.68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14823234395.780001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13285675672.780001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11780955452.780001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9842810053.0599995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37,231,700,360.71 </c:v>
                </c:pt>
                <c:pt idx="5">
                  <c:v>37,065,671,349.32 </c:v>
                </c:pt>
                <c:pt idx="6">
                  <c:v>37,523,142,802.98 </c:v>
                </c:pt>
                <c:pt idx="7">
                  <c:v>37,004,462,639.42 </c:v>
                </c:pt>
                <c:pt idx="8">
                  <c:v>36,480,311,463.85 </c:v>
                </c:pt>
                <c:pt idx="9">
                  <c:v>35,011,582,105.75 </c:v>
                </c:pt>
                <c:pt idx="10">
                  <c:v>33,904,269,426.46 </c:v>
                </c:pt>
                <c:pt idx="11">
                  <c:v>32,708,834,688.04 </c:v>
                </c:pt>
                <c:pt idx="12">
                  <c:v>31,538,036,431.02 </c:v>
                </c:pt>
                <c:pt idx="13">
                  <c:v>29,219,530,611.06 </c:v>
                </c:pt>
                <c:pt idx="14">
                  <c:v>25,661,943,748.80 </c:v>
                </c:pt>
                <c:pt idx="15">
                  <c:v>24,626,719,058.69 </c:v>
                </c:pt>
                <c:pt idx="16">
                  <c:v>22,600,570,678.00 </c:v>
                </c:pt>
                <c:pt idx="17">
                  <c:v>18,883,648,552.46 </c:v>
                </c:pt>
                <c:pt idx="18">
                  <c:v>16,805,848,475.17 </c:v>
                </c:pt>
                <c:pt idx="19">
                  <c:v>15,091,685,022.14 </c:v>
                </c:pt>
                <c:pt idx="20">
                  <c:v>13,820,489,029.26 </c:v>
                </c:pt>
              </c:strCache>
            </c:strRef>
          </c:tx>
          <c:invertIfNegative val="0"/>
          <c:cat>
            <c:numRef>
              <c:f>投资和筹资活动现金流表!$E$12</c:f>
              <c:numCache>
                <c:formatCode>#,##0.00_ </c:formatCode>
                <c:ptCount val="1"/>
                <c:pt idx="0">
                  <c:v>37231700360.709999</c:v>
                </c:pt>
              </c:numCache>
            </c:numRef>
          </c:cat>
          <c:val>
            <c:numRef>
              <c:f>投资和筹资活动现金流表!$E$12:$U$12</c:f>
              <c:numCache>
                <c:formatCode>#,##0.00_ </c:formatCode>
                <c:ptCount val="5"/>
                <c:pt idx="0">
                  <c:v>37231700360.709999</c:v>
                </c:pt>
                <c:pt idx="1">
                  <c:v>36480311463.849998</c:v>
                </c:pt>
                <c:pt idx="2">
                  <c:v>31538036431.02</c:v>
                </c:pt>
                <c:pt idx="3">
                  <c:v>22600570678</c:v>
                </c:pt>
                <c:pt idx="4">
                  <c:v>13820489029.26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6.7505496024895251E-2</c:v>
                </c:pt>
                <c:pt idx="1">
                  <c:v>3.4652520769804518E-2</c:v>
                </c:pt>
                <c:pt idx="2">
                  <c:v>0.10752080122542775</c:v>
                </c:pt>
                <c:pt idx="3">
                  <c:v>0.34680925553883496</c:v>
                </c:pt>
                <c:pt idx="4">
                  <c:v>0.42396492709084216</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1.7259943711627945</c:v>
                </c:pt>
                <c:pt idx="1">
                  <c:v>1.787331029058727</c:v>
                </c:pt>
                <c:pt idx="2">
                  <c:v>0.90295621733991382</c:v>
                </c:pt>
                <c:pt idx="3">
                  <c:v>0.44071876063546894</c:v>
                </c:pt>
                <c:pt idx="4">
                  <c:v>0.56576277409356335</c:v>
                </c:pt>
                <c:pt idx="5">
                  <c:v>0.95121670041756357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5916674333.3699999</c:v>
                </c:pt>
                <c:pt idx="1">
                  <c:v>4111629999.8999996</c:v>
                </c:pt>
                <c:pt idx="2">
                  <c:v>5097028668.21</c:v>
                </c:pt>
                <c:pt idx="3">
                  <c:v>9049652475.9700012</c:v>
                </c:pt>
                <c:pt idx="4">
                  <c:v>6766041018.8900003</c:v>
                </c:pt>
                <c:pt idx="5">
                  <c:v>3928400163.0100002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72979056.739999995</c:v>
                </c:pt>
                <c:pt idx="4">
                  <c:v>72979056.739999995</c:v>
                </c:pt>
                <c:pt idx="5">
                  <c:v>72979056.739999995</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10212146595.4</c:v>
                </c:pt>
                <c:pt idx="1">
                  <c:v>7348843878.8299999</c:v>
                </c:pt>
                <c:pt idx="2">
                  <c:v>4602393725.9200001</c:v>
                </c:pt>
                <c:pt idx="3">
                  <c:v>4020514862.8299999</c:v>
                </c:pt>
                <c:pt idx="4">
                  <c:v>3869262970.0700002</c:v>
                </c:pt>
                <c:pt idx="5">
                  <c:v>3806178738.5300002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-3659933147.1599998</c:v>
                </c:pt>
                <c:pt idx="1">
                  <c:v>-3504270910.29</c:v>
                </c:pt>
                <c:pt idx="2">
                  <c:v>1756280982.79</c:v>
                </c:pt>
                <c:pt idx="3">
                  <c:v>5001211226.8699999</c:v>
                </c:pt>
                <c:pt idx="4">
                  <c:v>2607456782.3699999</c:v>
                </c:pt>
                <c:pt idx="5">
                  <c:v>-292331569.18000001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1348125171.5</c:v>
                </c:pt>
                <c:pt idx="1">
                  <c:v>-432466944</c:v>
                </c:pt>
                <c:pt idx="2">
                  <c:v>-618325416</c:v>
                </c:pt>
                <c:pt idx="3">
                  <c:v>-1324509304</c:v>
                </c:pt>
                <c:pt idx="4">
                  <c:v>-1353634304</c:v>
                </c:pt>
                <c:pt idx="5">
                  <c:v>-1297400832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267035607.65000153</c:v>
                </c:pt>
                <c:pt idx="1">
                  <c:v>-2681117987.8000031</c:v>
                </c:pt>
                <c:pt idx="2">
                  <c:v>2456471501.8800011</c:v>
                </c:pt>
                <c:pt idx="3">
                  <c:v>6678170867.2599983</c:v>
                </c:pt>
                <c:pt idx="4">
                  <c:v>4374529496.579999</c:v>
                </c:pt>
                <c:pt idx="5">
                  <c:v>1227245666.539999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24453540306.73</c:v>
                </c:pt>
                <c:pt idx="1">
                  <c:v>20637077946</c:v>
                </c:pt>
                <c:pt idx="2">
                  <c:v>27662825929.040001</c:v>
                </c:pt>
                <c:pt idx="3">
                  <c:v>19145781118.619999</c:v>
                </c:pt>
                <c:pt idx="4">
                  <c:v>13157399734.74</c:v>
                </c:pt>
                <c:pt idx="5">
                  <c:v>9467924089.4099998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1700000000</c:v>
                </c:pt>
                <c:pt idx="2">
                  <c:v>0</c:v>
                </c:pt>
                <c:pt idx="3">
                  <c:v>1000000000</c:v>
                </c:pt>
                <c:pt idx="4">
                  <c:v>0</c:v>
                </c:pt>
                <c:pt idx="5">
                  <c:v>1000000000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65800000</c:v>
                </c:pt>
                <c:pt idx="1">
                  <c:v>15000000</c:v>
                </c:pt>
                <c:pt idx="2">
                  <c:v>100000000</c:v>
                </c:pt>
                <c:pt idx="3">
                  <c:v>-96833251.590000004</c:v>
                </c:pt>
                <c:pt idx="4">
                  <c:v>43077389.420000002</c:v>
                </c:pt>
                <c:pt idx="5">
                  <c:v>20034000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864912025.71000004</c:v>
                </c:pt>
                <c:pt idx="1">
                  <c:v>1045945849.2</c:v>
                </c:pt>
                <c:pt idx="2">
                  <c:v>1075455285.26</c:v>
                </c:pt>
                <c:pt idx="3">
                  <c:v>951072385.88</c:v>
                </c:pt>
                <c:pt idx="4">
                  <c:v>509479759.36000001</c:v>
                </c:pt>
                <c:pt idx="5">
                  <c:v>402324925.74000001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21740055496.650002</c:v>
                </c:pt>
                <c:pt idx="1">
                  <c:v>21974353506.019997</c:v>
                </c:pt>
                <c:pt idx="2">
                  <c:v>25650204032.130001</c:v>
                </c:pt>
                <c:pt idx="3">
                  <c:v>21936255984.43</c:v>
                </c:pt>
                <c:pt idx="4">
                  <c:v>14002387067.599998</c:v>
                </c:pt>
                <c:pt idx="5">
                  <c:v>9307706521.6499996</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5.967539545465865E-2</c:v>
                </c:pt>
                <c:pt idx="1">
                  <c:v>5.5678056261552436E-2</c:v>
                </c:pt>
                <c:pt idx="2">
                  <c:v>5.0587425258613164E-2</c:v>
                </c:pt>
                <c:pt idx="3">
                  <c:v>5.550206784171971E-2</c:v>
                </c:pt>
                <c:pt idx="4">
                  <c:v>5.6794593700295409E-2</c:v>
                </c:pt>
                <c:pt idx="5">
                  <c:v>6.1696249644877049E-2</c:v>
                </c:pt>
                <c:pt idx="6">
                  <c:v>6.0288765885133204E-2</c:v>
                </c:pt>
                <c:pt idx="7">
                  <c:v>5.7898895027127757E-2</c:v>
                </c:pt>
                <c:pt idx="8">
                  <c:v>6.2052747010169024E-2</c:v>
                </c:pt>
                <c:pt idx="9">
                  <c:v>7.467349394780394E-2</c:v>
                </c:pt>
                <c:pt idx="10">
                  <c:v>7.024779167936121E-2</c:v>
                </c:pt>
                <c:pt idx="11">
                  <c:v>5.74258105315704E-2</c:v>
                </c:pt>
                <c:pt idx="12">
                  <c:v>4.1890314907552989E-2</c:v>
                </c:pt>
                <c:pt idx="13">
                  <c:v>4.7085861709794848E-2</c:v>
                </c:pt>
                <c:pt idx="14">
                  <c:v>7.1815156845168218E-2</c:v>
                </c:pt>
                <c:pt idx="15">
                  <c:v>8.4050952787304498E-2</c:v>
                </c:pt>
                <c:pt idx="16">
                  <c:v>7.947838246978553E-2</c:v>
                </c:pt>
                <c:pt idx="17">
                  <c:v>7.4444988229512052E-2</c:v>
                </c:pt>
                <c:pt idx="18">
                  <c:v>7.8679995471525668E-2</c:v>
                </c:pt>
                <c:pt idx="19">
                  <c:v>4.5822819466417315E-2</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0.53626139659416339</c:v>
                </c:pt>
                <c:pt idx="1">
                  <c:v>-3.8132564156441527E-2</c:v>
                </c:pt>
                <c:pt idx="2">
                  <c:v>0.98279024271773352</c:v>
                </c:pt>
                <c:pt idx="3">
                  <c:v>-1.2154861454021929E-2</c:v>
                </c:pt>
                <c:pt idx="4">
                  <c:v>-0.28088804595846267</c:v>
                </c:pt>
                <c:pt idx="5">
                  <c:v>-0.22538932407215989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0.44679982237796179</c:v>
                </c:pt>
                <c:pt idx="1">
                  <c:v>0.95190567392953618</c:v>
                </c:pt>
                <c:pt idx="2">
                  <c:v>1.097452868470794</c:v>
                </c:pt>
                <c:pt idx="3">
                  <c:v>-0.20805326791265302</c:v>
                </c:pt>
                <c:pt idx="4">
                  <c:v>1.480506552561387</c:v>
                </c:pt>
                <c:pt idx="5">
                  <c:v>0.800139613524951</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7.34596381647399</c:v>
                </c:pt>
                <c:pt idx="1">
                  <c:v>-0.42311264957667749</c:v>
                </c:pt>
                <c:pt idx="2">
                  <c:v>-0.26099034289743106</c:v>
                </c:pt>
                <c:pt idx="3">
                  <c:v>0.28913358566449709</c:v>
                </c:pt>
                <c:pt idx="4">
                  <c:v>-0.45237727755993346</c:v>
                </c:pt>
                <c:pt idx="5">
                  <c:v>6.438990773354099E-3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0.94832004895052313</c:v>
                </c:pt>
                <c:pt idx="1">
                  <c:v>0.25170878831177579</c:v>
                </c:pt>
                <c:pt idx="2">
                  <c:v>3.2447245429832017E-2</c:v>
                </c:pt>
                <c:pt idx="3">
                  <c:v>0.21620735314435616</c:v>
                </c:pt>
                <c:pt idx="4">
                  <c:v>4.5809734363027182E-2</c:v>
                </c:pt>
                <c:pt idx="5">
                  <c:v>0.20369506439320173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0.27683125698786232</c:v>
                </c:pt>
                <c:pt idx="1">
                  <c:v>0.42689898387932895</c:v>
                </c:pt>
                <c:pt idx="2">
                  <c:v>0.1511066365080779</c:v>
                </c:pt>
                <c:pt idx="3">
                  <c:v>0.18900809635703483</c:v>
                </c:pt>
                <c:pt idx="4">
                  <c:v>0.58288202781089771</c:v>
                </c:pt>
                <c:pt idx="5">
                  <c:v>0.52616079826750661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7.8622958032956894E-2</c:v>
                </c:pt>
                <c:pt idx="1">
                  <c:v>1.5087915329661077E-2</c:v>
                </c:pt>
                <c:pt idx="2">
                  <c:v>0.1520085243210629</c:v>
                </c:pt>
                <c:pt idx="3">
                  <c:v>0.3935111515317673</c:v>
                </c:pt>
                <c:pt idx="4">
                  <c:v>0.61685695738729363</c:v>
                </c:pt>
                <c:pt idx="5">
                  <c:v>0.45109878608132747</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0.21986740600109558</c:v>
                </c:pt>
                <c:pt idx="1">
                  <c:v>3.3731168101946998E-2</c:v>
                </c:pt>
                <c:pt idx="2">
                  <c:v>0.7245053271468096</c:v>
                </c:pt>
                <c:pt idx="3">
                  <c:v>0.38993551108247515</c:v>
                </c:pt>
                <c:pt idx="4">
                  <c:v>5.1076201845967568E-2</c:v>
                </c:pt>
                <c:pt idx="5">
                  <c:v>0.12045663371917209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-0.32273271602703368</c:v>
                </c:pt>
                <c:pt idx="1">
                  <c:v>-0.30454073481671562</c:v>
                </c:pt>
                <c:pt idx="2">
                  <c:v>-9.5808536032976011E-2</c:v>
                </c:pt>
                <c:pt idx="3">
                  <c:v>0.66783962341137393</c:v>
                </c:pt>
                <c:pt idx="4">
                  <c:v>0.99817334093056453</c:v>
                </c:pt>
                <c:pt idx="5">
                  <c:v>0.83461686782764688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5.8729835069126025E-2</c:v>
                </c:pt>
                <c:pt idx="1">
                  <c:v>4.9777090151832036E-2</c:v>
                </c:pt>
                <c:pt idx="2">
                  <c:v>5.1548913164028834E-2</c:v>
                </c:pt>
                <c:pt idx="3">
                  <c:v>2.9874433016640226E-2</c:v>
                </c:pt>
                <c:pt idx="4">
                  <c:v>4.1312812000540461E-2</c:v>
                </c:pt>
                <c:pt idx="5">
                  <c:v>7.73476232560808E-2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1.0013086277810366E-2</c:v>
                </c:pt>
                <c:pt idx="1">
                  <c:v>9.0114640229200255E-3</c:v>
                </c:pt>
                <c:pt idx="2">
                  <c:v>4.5987707093758639E-3</c:v>
                </c:pt>
                <c:pt idx="3">
                  <c:v>2.5194542549126413E-3</c:v>
                </c:pt>
                <c:pt idx="4">
                  <c:v>4.3459473267063653E-3</c:v>
                </c:pt>
                <c:pt idx="5">
                  <c:v>2.3588634679262729E-3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0.75719237531464489</c:v>
                </c:pt>
                <c:pt idx="1">
                  <c:v>0.91405517955005633</c:v>
                </c:pt>
                <c:pt idx="2">
                  <c:v>0.89696187999648158</c:v>
                </c:pt>
                <c:pt idx="3">
                  <c:v>0.89469544258511013</c:v>
                </c:pt>
                <c:pt idx="4">
                  <c:v>0.87707903204268922</c:v>
                </c:pt>
                <c:pt idx="5">
                  <c:v>0.73034128890394179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0.70915430588002248</c:v>
                </c:pt>
                <c:pt idx="1">
                  <c:v>0.57513878862546131</c:v>
                </c:pt>
                <c:pt idx="2">
                  <c:v>0.476639829207813</c:v>
                </c:pt>
                <c:pt idx="3">
                  <c:v>0.32318716766489347</c:v>
                </c:pt>
                <c:pt idx="4">
                  <c:v>0.36426704659252368</c:v>
                </c:pt>
                <c:pt idx="5">
                  <c:v>0.52136884878808376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0.2908456941199774</c:v>
                </c:pt>
                <c:pt idx="1">
                  <c:v>0.42486121137453881</c:v>
                </c:pt>
                <c:pt idx="2">
                  <c:v>0.523360170792187</c:v>
                </c:pt>
                <c:pt idx="3">
                  <c:v>0.6768128323351067</c:v>
                </c:pt>
                <c:pt idx="4">
                  <c:v>0.63573295340747638</c:v>
                </c:pt>
                <c:pt idx="5">
                  <c:v>0.47863115121191629</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-0.34984794397766672</c:v>
                </c:pt>
                <c:pt idx="1">
                  <c:v>-8.7106687122479265</c:v>
                </c:pt>
                <c:pt idx="2">
                  <c:v>-4.3427417641710786</c:v>
                </c:pt>
                <c:pt idx="3">
                  <c:v>-1.350916178607751</c:v>
                </c:pt>
                <c:pt idx="4">
                  <c:v>-1.0257368548688177</c:v>
                </c:pt>
                <c:pt idx="5">
                  <c:v>7.3173476683124794E-2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3082974654.1799998</c:v>
                </c:pt>
                <c:pt idx="1">
                  <c:v>2006803439.1900001</c:v>
                </c:pt>
                <c:pt idx="2">
                  <c:v>2086361762.97</c:v>
                </c:pt>
                <c:pt idx="3">
                  <c:v>1052235238.01</c:v>
                </c:pt>
                <c:pt idx="4">
                  <c:v>1065182382.29</c:v>
                </c:pt>
                <c:pt idx="5">
                  <c:v>1481246941.1800001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39748194400.440002</c:v>
                </c:pt>
                <c:pt idx="1">
                  <c:v>36850869995.320007</c:v>
                </c:pt>
                <c:pt idx="2">
                  <c:v>36303131422.219994</c:v>
                </c:pt>
                <c:pt idx="3">
                  <c:v>31512901732.75</c:v>
                </c:pt>
                <c:pt idx="4">
                  <c:v>22614029100.599998</c:v>
                </c:pt>
                <c:pt idx="5">
                  <c:v>13986412958.35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15417053965.52</c:v>
                </c:pt>
                <c:pt idx="1">
                  <c:v>12638303056.279999</c:v>
                </c:pt>
                <c:pt idx="2">
                  <c:v>12225908869.02</c:v>
                </c:pt>
                <c:pt idx="3">
                  <c:v>7089516440.7800007</c:v>
                </c:pt>
                <c:pt idx="4">
                  <c:v>5100608182.3599997</c:v>
                </c:pt>
                <c:pt idx="5">
                  <c:v>4852748234.0499992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6323001531.1300001</c:v>
                </c:pt>
                <c:pt idx="1">
                  <c:v>9336050449.7399998</c:v>
                </c:pt>
                <c:pt idx="2">
                  <c:v>13424295163.110001</c:v>
                </c:pt>
                <c:pt idx="3">
                  <c:v>14846739543.650002</c:v>
                </c:pt>
                <c:pt idx="4">
                  <c:v>8901778885.2399998</c:v>
                </c:pt>
                <c:pt idx="5">
                  <c:v>4454958287.6000004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-12334079311.340004</c:v>
                </c:pt>
                <c:pt idx="1">
                  <c:v>-10631499617.089996</c:v>
                </c:pt>
                <c:pt idx="2">
                  <c:v>-10139547106.049999</c:v>
                </c:pt>
                <c:pt idx="3">
                  <c:v>-6037281202.7700005</c:v>
                </c:pt>
                <c:pt idx="4">
                  <c:v>-4035425800.0699997</c:v>
                </c:pt>
                <c:pt idx="5">
                  <c:v>-3371501292.8700008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12334079311.34</c:v>
                </c:pt>
                <c:pt idx="1">
                  <c:v>10631499617.089998</c:v>
                </c:pt>
                <c:pt idx="2">
                  <c:v>10139547106.050001</c:v>
                </c:pt>
                <c:pt idx="3">
                  <c:v>6037281202.7700005</c:v>
                </c:pt>
                <c:pt idx="4">
                  <c:v>4035425800.0699997</c:v>
                </c:pt>
                <c:pt idx="5">
                  <c:v>3371501292.8699989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0.60299962327434153</c:v>
                </c:pt>
                <c:pt idx="1">
                  <c:v>0.68919949113688672</c:v>
                </c:pt>
                <c:pt idx="2">
                  <c:v>0.69873270516945019</c:v>
                </c:pt>
                <c:pt idx="3">
                  <c:v>0.69129776351177818</c:v>
                </c:pt>
                <c:pt idx="4">
                  <c:v>0.67116153547410584</c:v>
                </c:pt>
                <c:pt idx="5">
                  <c:v>0.65122237504927438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8.9486077605720367E-3</c:v>
                </c:pt>
                <c:pt idx="1">
                  <c:v>6.7695018348817452E-3</c:v>
                </c:pt>
                <c:pt idx="2">
                  <c:v>4.9070570372069227E-3</c:v>
                </c:pt>
                <c:pt idx="3">
                  <c:v>4.8767654702479438E-3</c:v>
                </c:pt>
                <c:pt idx="4">
                  <c:v>6.1759045692824349E-3</c:v>
                </c:pt>
                <c:pt idx="5">
                  <c:v>5.5327087247178611E-3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2.6673850102412765E-2</c:v>
                </c:pt>
                <c:pt idx="1">
                  <c:v>3.8737176704644986E-2</c:v>
                </c:pt>
                <c:pt idx="2">
                  <c:v>4.3466706649041689E-2</c:v>
                </c:pt>
                <c:pt idx="3">
                  <c:v>3.1710278056392337E-2</c:v>
                </c:pt>
                <c:pt idx="4">
                  <c:v>2.9442142724071585E-2</c:v>
                </c:pt>
                <c:pt idx="5">
                  <c:v>3.0511415464412061E-2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3.8299072727410635E-2</c:v>
                </c:pt>
                <c:pt idx="1">
                  <c:v>4.7285380576606077E-2</c:v>
                </c:pt>
                <c:pt idx="2">
                  <c:v>6.5744432155513649E-2</c:v>
                </c:pt>
                <c:pt idx="3">
                  <c:v>6.1520729096072591E-2</c:v>
                </c:pt>
                <c:pt idx="4">
                  <c:v>6.8593430665576924E-2</c:v>
                </c:pt>
                <c:pt idx="5">
                  <c:v>6.6126641275223455E-2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5.709675249862785E-3</c:v>
                </c:pt>
                <c:pt idx="1">
                  <c:v>2.468408841511169E-3</c:v>
                </c:pt>
                <c:pt idx="2">
                  <c:v>-4.2854366843403494E-4</c:v>
                </c:pt>
                <c:pt idx="3">
                  <c:v>3.3622347475712727E-3</c:v>
                </c:pt>
                <c:pt idx="4">
                  <c:v>1.3297075843582281E-3</c:v>
                </c:pt>
                <c:pt idx="5">
                  <c:v>2.2035024219010679E-3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8.3569968465009733E-4</c:v>
                </c:pt>
                <c:pt idx="1">
                  <c:v>1.3394760686598623E-3</c:v>
                </c:pt>
                <c:pt idx="2">
                  <c:v>2.8097700214691707E-3</c:v>
                </c:pt>
                <c:pt idx="3">
                  <c:v>1.9272746292557147E-3</c:v>
                </c:pt>
                <c:pt idx="4">
                  <c:v>1.8587652308266131E-3</c:v>
                </c:pt>
                <c:pt idx="5">
                  <c:v>1.8240660704438602E-3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-3.9449266976016957E-3</c:v>
                </c:pt>
                <c:pt idx="1">
                  <c:v>8.4791928608008246E-5</c:v>
                </c:pt>
                <c:pt idx="2">
                  <c:v>7.1533497412928212E-3</c:v>
                </c:pt>
                <c:pt idx="3">
                  <c:v>1.0509508297017818E-3</c:v>
                </c:pt>
                <c:pt idx="4">
                  <c:v>8.1418759420793987E-3</c:v>
                </c:pt>
                <c:pt idx="5">
                  <c:v>-3.0121922837223311E-3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7.6521978827306616E-2</c:v>
                </c:pt>
                <c:pt idx="1">
                  <c:v>9.6684735954911852E-2</c:v>
                </c:pt>
                <c:pt idx="2">
                  <c:v>0.12365277193609023</c:v>
                </c:pt>
                <c:pt idx="3">
                  <c:v>0.10444823282924164</c:v>
                </c:pt>
                <c:pt idx="4">
                  <c:v>0.11554182671619519</c:v>
                </c:pt>
                <c:pt idx="5">
                  <c:v>0.10318614167297598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0.23159576243893973</c:v>
                </c:pt>
                <c:pt idx="1">
                  <c:v>0.15255003964142411</c:v>
                </c:pt>
                <c:pt idx="2">
                  <c:v>0.10017018167895622</c:v>
                </c:pt>
                <c:pt idx="3">
                  <c:v>0.1427721464361488</c:v>
                </c:pt>
                <c:pt idx="4">
                  <c:v>0.18863312011138009</c:v>
                </c:pt>
                <c:pt idx="5">
                  <c:v>0.18733014732411812</c:v>
                </c:pt>
                <c:pt idx="6">
                  <c:v>0.17533625427348259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5.7334736543292242E-2</c:v>
                </c:pt>
                <c:pt idx="1">
                  <c:v>0.1388899473950771</c:v>
                </c:pt>
                <c:pt idx="2">
                  <c:v>0.24519734913893476</c:v>
                </c:pt>
                <c:pt idx="3">
                  <c:v>0.10170130961785684</c:v>
                </c:pt>
                <c:pt idx="4">
                  <c:v>5.8095341568207948E-2</c:v>
                </c:pt>
                <c:pt idx="5">
                  <c:v>7.8507790430206947E-2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32033253462.200001</c:v>
                </c:pt>
                <c:pt idx="1">
                  <c:v>20744809250.07</c:v>
                </c:pt>
                <c:pt idx="2">
                  <c:v>13619965426.6</c:v>
                </c:pt>
                <c:pt idx="3">
                  <c:v>15269639735.889999</c:v>
                </c:pt>
                <c:pt idx="4">
                  <c:v>13582949179.870001</c:v>
                </c:pt>
                <c:pt idx="5">
                  <c:v>10381869493.6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21089919796.609997</c:v>
                </c:pt>
                <c:pt idx="1">
                  <c:v>9355052280.3699989</c:v>
                </c:pt>
                <c:pt idx="2">
                  <c:v>5872417462.9299984</c:v>
                </c:pt>
                <c:pt idx="3">
                  <c:v>6818728752.8500023</c:v>
                </c:pt>
                <c:pt idx="4">
                  <c:v>6655024038.1200008</c:v>
                </c:pt>
                <c:pt idx="5">
                  <c:v>5560257023.1900005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0.19891900982574445</c:v>
                </c:pt>
                <c:pt idx="1">
                  <c:v>6.2669646961132738E-2</c:v>
                </c:pt>
                <c:pt idx="2">
                  <c:v>-1.4035955437276574E-2</c:v>
                </c:pt>
                <c:pt idx="3">
                  <c:v>-3.7425301376546809E-2</c:v>
                </c:pt>
                <c:pt idx="4">
                  <c:v>-1.7727366337561088E-2</c:v>
                </c:pt>
                <c:pt idx="5">
                  <c:v>9.969802189537867E-4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-2.1924106043572874E-3</c:v>
                </c:pt>
                <c:pt idx="1">
                  <c:v>5.7724716882270315E-2</c:v>
                </c:pt>
                <c:pt idx="2">
                  <c:v>-8.9803585203080544E-2</c:v>
                </c:pt>
                <c:pt idx="3">
                  <c:v>1.2809128502861337E-2</c:v>
                </c:pt>
                <c:pt idx="4">
                  <c:v>8.5660746800139548E-2</c:v>
                </c:pt>
                <c:pt idx="5">
                  <c:v>6.6493645250099822E-3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5.813827233545128</c:v>
                </c:pt>
                <c:pt idx="1">
                  <c:v>27.492808553253074</c:v>
                </c:pt>
                <c:pt idx="2">
                  <c:v>10.270948697991299</c:v>
                </c:pt>
                <c:pt idx="3">
                  <c:v>8.6012065854085407</c:v>
                </c:pt>
                <c:pt idx="4">
                  <c:v>10.159227364512383</c:v>
                </c:pt>
                <c:pt idx="5">
                  <c:v>4.3824944469341967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1.3364927403651305</c:v>
                </c:pt>
                <c:pt idx="1">
                  <c:v>0.81680192446644073</c:v>
                </c:pt>
                <c:pt idx="2">
                  <c:v>0.53693392624525305</c:v>
                </c:pt>
                <c:pt idx="3">
                  <c:v>0.70093096078754669</c:v>
                </c:pt>
                <c:pt idx="4">
                  <c:v>0.89493000685371216</c:v>
                </c:pt>
                <c:pt idx="5">
                  <c:v>1.1398295305782762</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17.231141743829724</c:v>
                </c:pt>
                <c:pt idx="1">
                  <c:v>14.998908683647221</c:v>
                </c:pt>
                <c:pt idx="2">
                  <c:v>9.3427627152167485</c:v>
                </c:pt>
                <c:pt idx="3">
                  <c:v>20.991853998839453</c:v>
                </c:pt>
                <c:pt idx="4">
                  <c:v>18.999538064534132</c:v>
                </c:pt>
                <c:pt idx="5">
                  <c:v>10.762639282880198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101.06595355224978</c:v>
                </c:pt>
                <c:pt idx="1">
                  <c:v>82.85024806469562</c:v>
                </c:pt>
                <c:pt idx="2">
                  <c:v>104.72565264820464</c:v>
                </c:pt>
                <c:pt idx="3">
                  <c:v>248.91094369370282</c:v>
                </c:pt>
                <c:pt idx="4">
                  <c:v>180.61064369872992</c:v>
                </c:pt>
                <c:pt idx="5">
                  <c:v>352.90917842953854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1.3172123611303652</c:v>
                </c:pt>
                <c:pt idx="1">
                  <c:v>0.8084471361454092</c:v>
                </c:pt>
                <c:pt idx="2">
                  <c:v>0.53432610927255619</c:v>
                </c:pt>
                <c:pt idx="3">
                  <c:v>0.70037234363184553</c:v>
                </c:pt>
                <c:pt idx="4">
                  <c:v>0.89546292907064451</c:v>
                </c:pt>
                <c:pt idx="5">
                  <c:v>4.7062947232759038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1.9240325156196081</c:v>
                </c:pt>
                <c:pt idx="1">
                  <c:v>1.0573247061071489</c:v>
                </c:pt>
                <c:pt idx="2">
                  <c:v>0.9723684982758426</c:v>
                </c:pt>
                <c:pt idx="3">
                  <c:v>1.4536884330158719</c:v>
                </c:pt>
                <c:pt idx="4">
                  <c:v>2.358259194724468</c:v>
                </c:pt>
                <c:pt idx="5">
                  <c:v>2.1744799304279261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8.2747223245390238</c:v>
                </c:pt>
                <c:pt idx="1">
                  <c:v>7.0913515756974608</c:v>
                </c:pt>
                <c:pt idx="2">
                  <c:v>1.5708031435322476</c:v>
                </c:pt>
                <c:pt idx="3">
                  <c:v>1.883877069156159</c:v>
                </c:pt>
                <c:pt idx="4">
                  <c:v>2.4950733903295519</c:v>
                </c:pt>
                <c:pt idx="5">
                  <c:v>4.3911662042744419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21.071824808413293</c:v>
                </c:pt>
                <c:pt idx="1">
                  <c:v>11.525628785566552</c:v>
                </c:pt>
                <c:pt idx="2">
                  <c:v>8.655585730334467</c:v>
                </c:pt>
                <c:pt idx="3">
                  <c:v>13.705485114546441</c:v>
                </c:pt>
                <c:pt idx="4">
                  <c:v>14.101201237382284</c:v>
                </c:pt>
                <c:pt idx="5">
                  <c:v>13.277061858088064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6.9496969274129636</c:v>
                </c:pt>
                <c:pt idx="1">
                  <c:v>10.840612403727079</c:v>
                </c:pt>
                <c:pt idx="2">
                  <c:v>8.3798980812680188</c:v>
                </c:pt>
                <c:pt idx="3">
                  <c:v>6.7240530975454282</c:v>
                </c:pt>
                <c:pt idx="4">
                  <c:v>5.2871219454352207</c:v>
                </c:pt>
                <c:pt idx="5">
                  <c:v>4.6957719098897579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5.6511096946760659</c:v>
                </c:pt>
                <c:pt idx="1">
                  <c:v>4.8632782936691452</c:v>
                </c:pt>
                <c:pt idx="2">
                  <c:v>3.7813040975316654</c:v>
                </c:pt>
                <c:pt idx="3">
                  <c:v>5.7894430062415498</c:v>
                </c:pt>
                <c:pt idx="4">
                  <c:v>6.3771733130642199</c:v>
                </c:pt>
                <c:pt idx="5">
                  <c:v>6.2302269600852185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5.9065845180841041</c:v>
                </c:pt>
                <c:pt idx="1">
                  <c:v>4.0127443953233426</c:v>
                </c:pt>
                <c:pt idx="2">
                  <c:v>2.84861590750292</c:v>
                </c:pt>
                <c:pt idx="3">
                  <c:v>3.7574918208910151</c:v>
                </c:pt>
                <c:pt idx="4">
                  <c:v>4.7421369150749859</c:v>
                </c:pt>
                <c:pt idx="5">
                  <c:v>13.766256819008428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0.33968495157062234</c:v>
                </c:pt>
                <c:pt idx="1">
                  <c:v>0.16997868333521249</c:v>
                </c:pt>
                <c:pt idx="2">
                  <c:v>9.7929556414855748E-2</c:v>
                </c:pt>
                <c:pt idx="3">
                  <c:v>0.13374229368833454</c:v>
                </c:pt>
                <c:pt idx="4">
                  <c:v>0.18882474017865539</c:v>
                </c:pt>
                <c:pt idx="5">
                  <c:v>0.21670382174394429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0.31258854450314849</c:v>
                </c:pt>
                <c:pt idx="1">
                  <c:v>0.21428535676541746</c:v>
                </c:pt>
                <c:pt idx="2">
                  <c:v>0.1919212223770452</c:v>
                </c:pt>
                <c:pt idx="3">
                  <c:v>0.20635590531838371</c:v>
                </c:pt>
                <c:pt idx="4">
                  <c:v>0.22958038969385774</c:v>
                </c:pt>
                <c:pt idx="5">
                  <c:v>0.23956709871030499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16605695408.359997</c:v>
                </c:pt>
                <c:pt idx="1">
                  <c:v>6449959566.6399994</c:v>
                </c:pt>
                <c:pt idx="2">
                  <c:v>3741001951.1999979</c:v>
                </c:pt>
                <c:pt idx="3">
                  <c:v>4558065276.5000019</c:v>
                </c:pt>
                <c:pt idx="4">
                  <c:v>4646241778.000001</c:v>
                </c:pt>
                <c:pt idx="5">
                  <c:v>3819208996.9000006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104557555.26000001</c:v>
                </c:pt>
                <c:pt idx="1">
                  <c:v>22768159.899999999</c:v>
                </c:pt>
                <c:pt idx="2">
                  <c:v>-2612485.2000000002</c:v>
                </c:pt>
                <c:pt idx="3">
                  <c:v>-3321122.95</c:v>
                </c:pt>
                <c:pt idx="4">
                  <c:v>-1986405.44</c:v>
                </c:pt>
                <c:pt idx="5">
                  <c:v>45037.04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0.99004002440903427</c:v>
                </c:pt>
                <c:pt idx="1">
                  <c:v>1.0509927043286449</c:v>
                </c:pt>
                <c:pt idx="2">
                  <c:v>1.1392528503284083</c:v>
                </c:pt>
                <c:pt idx="3">
                  <c:v>1.1523604981102964</c:v>
                </c:pt>
                <c:pt idx="4">
                  <c:v>1.0741722287617059</c:v>
                </c:pt>
                <c:pt idx="5">
                  <c:v>1.0017545158761467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1.0961668743941484</c:v>
                </c:pt>
                <c:pt idx="1">
                  <c:v>0.9558098998636112</c:v>
                </c:pt>
                <c:pt idx="2">
                  <c:v>1.0248934433660541</c:v>
                </c:pt>
                <c:pt idx="3">
                  <c:v>1.1364864453811117</c:v>
                </c:pt>
                <c:pt idx="4">
                  <c:v>1.0278888230336176</c:v>
                </c:pt>
                <c:pt idx="5">
                  <c:v>0.94880954744154267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0.78694999519386077</c:v>
                </c:pt>
                <c:pt idx="1">
                  <c:v>1.4135526496274529</c:v>
                </c:pt>
                <c:pt idx="2">
                  <c:v>1.6554871951961587</c:v>
                </c:pt>
                <c:pt idx="3">
                  <c:v>1.1480562164289425</c:v>
                </c:pt>
                <c:pt idx="4">
                  <c:v>0.97672526604029508</c:v>
                </c:pt>
                <c:pt idx="5">
                  <c:v>1.1787836698989393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0.83004649963457589</c:v>
                </c:pt>
                <c:pt idx="1">
                  <c:v>1.6004503237505276</c:v>
                </c:pt>
                <c:pt idx="2">
                  <c:v>2.357112841339573</c:v>
                </c:pt>
                <c:pt idx="3">
                  <c:v>1.2748953713859672</c:v>
                </c:pt>
                <c:pt idx="4">
                  <c:v>1.0135455749614315</c:v>
                </c:pt>
                <c:pt idx="5">
                  <c:v>1.2744865391429294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0.17944924241019677</c:v>
                </c:pt>
                <c:pt idx="1">
                  <c:v>0.11636829229298629</c:v>
                </c:pt>
                <c:pt idx="2">
                  <c:v>6.328129279333794E-3</c:v>
                </c:pt>
                <c:pt idx="3">
                  <c:v>-2.0484550955297776E-2</c:v>
                </c:pt>
                <c:pt idx="4">
                  <c:v>2.9981205654876497E-2</c:v>
                </c:pt>
                <c:pt idx="5">
                  <c:v>0</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10212146595.4</c:v>
                </c:pt>
                <c:pt idx="1">
                  <c:v>7348843878.8299999</c:v>
                </c:pt>
                <c:pt idx="2">
                  <c:v>4602393725.9200001</c:v>
                </c:pt>
                <c:pt idx="3">
                  <c:v>4020514862.8299999</c:v>
                </c:pt>
                <c:pt idx="4">
                  <c:v>3869262970.0700002</c:v>
                </c:pt>
                <c:pt idx="5">
                  <c:v>3806178738.5300002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12976868489.444864</c:v>
                </c:pt>
                <c:pt idx="1">
                  <c:v>5198846948.33745</c:v>
                </c:pt>
                <c:pt idx="2">
                  <c:v>2780084158.4731569</c:v>
                </c:pt>
                <c:pt idx="3">
                  <c:v>3502019156.6366949</c:v>
                </c:pt>
                <c:pt idx="4">
                  <c:v>3961465014.3701439</c:v>
                </c:pt>
                <c:pt idx="5">
                  <c:v>3228903517.857789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17145</xdr:colOff>
      <xdr:row>0</xdr:row>
      <xdr:rowOff>98107</xdr:rowOff>
    </xdr:from>
    <xdr:to>
      <xdr:col>28</xdr:col>
      <xdr:colOff>1173480</xdr:colOff>
      <xdr:row>9</xdr:row>
      <xdr:rowOff>55245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99060</xdr:colOff>
      <xdr:row>10</xdr:row>
      <xdr:rowOff>67627</xdr:rowOff>
    </xdr:from>
    <xdr:to>
      <xdr:col>28</xdr:col>
      <xdr:colOff>1188720</xdr:colOff>
      <xdr:row>22</xdr:row>
      <xdr:rowOff>120015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1365182</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1219700</xdr:colOff>
      <xdr:row>11</xdr:row>
      <xdr:rowOff>163578</xdr:rowOff>
    </xdr:from>
    <xdr:to>
      <xdr:col>32</xdr:col>
      <xdr:colOff>285851</xdr:colOff>
      <xdr:row>24</xdr:row>
      <xdr:rowOff>69582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1411003</xdr:colOff>
      <xdr:row>24</xdr:row>
      <xdr:rowOff>83167</xdr:rowOff>
    </xdr:from>
    <xdr:to>
      <xdr:col>32</xdr:col>
      <xdr:colOff>929740</xdr:colOff>
      <xdr:row>25</xdr:row>
      <xdr:rowOff>99060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975360</xdr:colOff>
      <xdr:row>25</xdr:row>
      <xdr:rowOff>71437</xdr:rowOff>
    </xdr:from>
    <xdr:to>
      <xdr:col>32</xdr:col>
      <xdr:colOff>1188720</xdr:colOff>
      <xdr:row>33</xdr:row>
      <xdr:rowOff>53340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558165</xdr:colOff>
      <xdr:row>34</xdr:row>
      <xdr:rowOff>141922</xdr:rowOff>
    </xdr:from>
    <xdr:to>
      <xdr:col>32</xdr:col>
      <xdr:colOff>1120140</xdr:colOff>
      <xdr:row>42</xdr:row>
      <xdr:rowOff>72390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714375</xdr:colOff>
      <xdr:row>28</xdr:row>
      <xdr:rowOff>160972</xdr:rowOff>
    </xdr:from>
    <xdr:to>
      <xdr:col>36</xdr:col>
      <xdr:colOff>114300</xdr:colOff>
      <xdr:row>28</xdr:row>
      <xdr:rowOff>3404235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570905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Y85"/>
  <sheetViews>
    <sheetView workbookViewId="0">
      <selection activeCell="Y25" sqref="Y25"/>
    </sheetView>
  </sheetViews>
  <sheetFormatPr defaultRowHeight="14.4" x14ac:dyDescent="0.25"/>
  <cols>
    <col min="1" max="1" width="35.88671875" style="195" bestFit="1" customWidth="1"/>
    <col min="2" max="2" width="13.88671875" style="195" hidden="1" customWidth="1"/>
    <col min="3"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3.88671875" style="195" hidden="1" customWidth="1"/>
    <col min="17" max="17" width="13.88671875" style="195" bestFit="1" customWidth="1"/>
    <col min="18" max="20" width="13.88671875" style="195" hidden="1" customWidth="1"/>
    <col min="21" max="21" width="13.88671875" style="195" bestFit="1" customWidth="1"/>
    <col min="22" max="24" width="12.77734375" style="195" hidden="1" customWidth="1"/>
    <col min="25" max="25" width="12.77734375" style="195" bestFit="1" customWidth="1"/>
    <col min="26" max="28" width="12.77734375" style="195" hidden="1" customWidth="1"/>
    <col min="29" max="29" width="12.77734375" style="195" bestFit="1" customWidth="1"/>
    <col min="30" max="31" width="12.77734375" style="195" hidden="1" customWidth="1"/>
    <col min="32" max="32" width="13.88671875" style="195" hidden="1" customWidth="1"/>
    <col min="33" max="33" width="13.88671875" style="195" bestFit="1" customWidth="1"/>
    <col min="34" max="36" width="13.88671875" style="195" hidden="1" customWidth="1"/>
    <col min="37" max="37" width="13.88671875" style="195" bestFit="1" customWidth="1"/>
    <col min="38" max="40" width="12.77734375" style="195" hidden="1" customWidth="1"/>
    <col min="41" max="41" width="12.77734375" style="195" bestFit="1" customWidth="1"/>
    <col min="42" max="44" width="12.777343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3.886718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107</v>
      </c>
    </row>
    <row r="4" spans="1:77" x14ac:dyDescent="0.25">
      <c r="A4" s="195" t="s">
        <v>108</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row>
    <row r="5" spans="1:77" x14ac:dyDescent="0.25">
      <c r="A5" s="195" t="s">
        <v>109</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row>
    <row r="6" spans="1:77" x14ac:dyDescent="0.25">
      <c r="A6" s="195" t="s">
        <v>110</v>
      </c>
      <c r="B6" s="195">
        <v>0</v>
      </c>
      <c r="C6" s="195">
        <v>0</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row>
    <row r="7" spans="1:77" x14ac:dyDescent="0.25">
      <c r="A7" s="195" t="s">
        <v>111</v>
      </c>
      <c r="B7" s="195">
        <v>9536269503.2600002</v>
      </c>
      <c r="C7" s="195">
        <v>10565298030.299999</v>
      </c>
      <c r="D7" s="195">
        <v>10360197671.540001</v>
      </c>
      <c r="E7" s="195">
        <v>11308297066.370001</v>
      </c>
      <c r="F7" s="195">
        <v>10299447286.719999</v>
      </c>
      <c r="G7" s="195">
        <v>8682323239.8600006</v>
      </c>
      <c r="H7" s="195">
        <v>6022457191.7399998</v>
      </c>
      <c r="I7" s="195">
        <v>3608297836.6700001</v>
      </c>
      <c r="J7" s="195">
        <v>3175992726.8400002</v>
      </c>
      <c r="K7" s="195">
        <v>2053679267.8900001</v>
      </c>
      <c r="L7" s="195">
        <v>1412461461.9100001</v>
      </c>
      <c r="M7" s="195">
        <v>1224034501.1400001</v>
      </c>
      <c r="N7" s="195">
        <v>1322909170.5</v>
      </c>
      <c r="O7" s="195">
        <v>1810563535.5599999</v>
      </c>
      <c r="P7" s="195">
        <v>2598775328.6100001</v>
      </c>
      <c r="Q7" s="195">
        <v>2347646327.25</v>
      </c>
      <c r="R7" s="195">
        <v>2355837445.3099999</v>
      </c>
      <c r="S7" s="195">
        <v>3401724691.98</v>
      </c>
      <c r="T7" s="195">
        <v>3148490189.3000002</v>
      </c>
      <c r="U7" s="195">
        <v>3309830463.9299998</v>
      </c>
      <c r="V7" s="195">
        <v>4051486678.52</v>
      </c>
      <c r="W7" s="195">
        <v>3891244127.2199998</v>
      </c>
      <c r="X7" s="195">
        <v>3715237440.1599998</v>
      </c>
      <c r="Y7" s="195">
        <v>3527111960.79</v>
      </c>
      <c r="Z7" s="195">
        <v>3482258579.9299998</v>
      </c>
      <c r="AA7" s="195">
        <v>2801085698.4200001</v>
      </c>
      <c r="AB7" s="195">
        <v>2397951205.0300002</v>
      </c>
      <c r="AC7" s="195">
        <v>2579040561.4699998</v>
      </c>
      <c r="AD7" s="195">
        <v>2250000163.6500001</v>
      </c>
      <c r="AE7" s="195">
        <v>2093343788.8900001</v>
      </c>
      <c r="AF7" s="195">
        <v>1788792245.29</v>
      </c>
      <c r="AG7" s="195">
        <v>1523862077.74</v>
      </c>
      <c r="AH7" s="195">
        <v>1253700578.25</v>
      </c>
      <c r="AI7" s="195">
        <v>909050118.49000001</v>
      </c>
      <c r="AJ7" s="195">
        <v>894649713.13</v>
      </c>
      <c r="AK7" s="195">
        <v>769211815.10000002</v>
      </c>
      <c r="AL7" s="195">
        <v>763176506.29999995</v>
      </c>
      <c r="AM7" s="195">
        <v>569843820.91999996</v>
      </c>
      <c r="AN7" s="195">
        <v>667553230.92999995</v>
      </c>
      <c r="AO7" s="195">
        <v>946223504.48000002</v>
      </c>
      <c r="AP7" s="195">
        <v>960861570.99000001</v>
      </c>
      <c r="AQ7" s="195">
        <v>1466682973.75</v>
      </c>
      <c r="AR7" s="195">
        <v>1548473514.46</v>
      </c>
      <c r="AS7" s="195">
        <v>1072120685.48</v>
      </c>
      <c r="AT7" s="195">
        <v>508367389.54000002</v>
      </c>
      <c r="AU7" s="195">
        <v>310392643.42000002</v>
      </c>
      <c r="AV7" s="195">
        <v>251289554.28</v>
      </c>
      <c r="AW7" s="195">
        <v>289074847.55000001</v>
      </c>
      <c r="AX7" s="195">
        <v>306310991.17000002</v>
      </c>
      <c r="AY7" s="195">
        <v>229148923</v>
      </c>
      <c r="AZ7" s="195">
        <v>187832959.94999999</v>
      </c>
      <c r="BA7" s="195">
        <v>271791878.43000001</v>
      </c>
      <c r="BB7" s="195">
        <v>167930329.28999999</v>
      </c>
      <c r="BC7" s="195">
        <v>188721207.91999999</v>
      </c>
      <c r="BD7" s="195">
        <v>264390716.46000001</v>
      </c>
      <c r="BE7" s="195">
        <v>233817438.38999999</v>
      </c>
      <c r="BF7" s="195">
        <v>173642433.25999999</v>
      </c>
      <c r="BG7" s="195">
        <v>125548353</v>
      </c>
      <c r="BH7" s="195">
        <v>98271380.079999998</v>
      </c>
      <c r="BI7" s="195">
        <v>40001259</v>
      </c>
      <c r="BJ7" s="195">
        <v>13539706.17</v>
      </c>
      <c r="BK7" s="195">
        <v>132146024.5</v>
      </c>
      <c r="BL7" s="195">
        <v>102345612.62</v>
      </c>
      <c r="BM7" s="195">
        <v>0</v>
      </c>
      <c r="BN7" s="195">
        <v>59985343</v>
      </c>
      <c r="BO7" s="195">
        <v>19143052.25</v>
      </c>
      <c r="BP7" s="195">
        <v>55427700.479999997</v>
      </c>
      <c r="BQ7" s="195">
        <v>5122036.0999999996</v>
      </c>
      <c r="BR7" s="195">
        <v>0</v>
      </c>
      <c r="BS7" s="195">
        <v>7766118.7999999998</v>
      </c>
      <c r="BT7" s="195">
        <v>3532320</v>
      </c>
      <c r="BU7" s="195">
        <v>3073725</v>
      </c>
      <c r="BV7" s="195">
        <v>10886745.4</v>
      </c>
      <c r="BW7" s="195">
        <v>0</v>
      </c>
      <c r="BX7" s="195">
        <v>0</v>
      </c>
      <c r="BY7" s="195">
        <v>0</v>
      </c>
    </row>
    <row r="8" spans="1:77" x14ac:dyDescent="0.25">
      <c r="A8" s="195" t="s">
        <v>112</v>
      </c>
      <c r="B8" s="195">
        <v>3091664568.0700002</v>
      </c>
      <c r="C8" s="195">
        <v>3287381488.1700001</v>
      </c>
      <c r="D8" s="195">
        <v>3257748490.52</v>
      </c>
      <c r="E8" s="195">
        <v>2832792897.0799999</v>
      </c>
      <c r="F8" s="195">
        <v>3281025591.4299998</v>
      </c>
      <c r="G8" s="195">
        <v>3177102782.5300002</v>
      </c>
      <c r="H8" s="195">
        <v>2769860214.3299999</v>
      </c>
      <c r="I8" s="195">
        <v>1714873634.3900001</v>
      </c>
      <c r="J8" s="195">
        <v>1772975709.9100001</v>
      </c>
      <c r="K8" s="195">
        <v>1736184253.8699999</v>
      </c>
      <c r="L8" s="195">
        <v>1714832350.5699999</v>
      </c>
      <c r="M8" s="195">
        <v>1213878016.1199999</v>
      </c>
      <c r="N8" s="195">
        <v>1547876387.4400001</v>
      </c>
      <c r="O8" s="195">
        <v>1464155714.4400001</v>
      </c>
      <c r="P8" s="195">
        <v>1608880120.75</v>
      </c>
      <c r="Q8" s="195">
        <v>1341579522.3499999</v>
      </c>
      <c r="R8" s="195">
        <v>1397804891.2</v>
      </c>
      <c r="S8" s="195">
        <v>1547603005.0599999</v>
      </c>
      <c r="T8" s="195">
        <v>1381054448.77</v>
      </c>
      <c r="U8" s="195">
        <v>1062550311.78</v>
      </c>
      <c r="V8" s="195">
        <v>1135567962.51</v>
      </c>
      <c r="W8" s="195">
        <v>1370682857.8199999</v>
      </c>
      <c r="X8" s="195">
        <v>1214518755.6800001</v>
      </c>
      <c r="Y8" s="195">
        <v>948362671.84000003</v>
      </c>
      <c r="Z8" s="195">
        <v>934408220.53999996</v>
      </c>
      <c r="AA8" s="195">
        <v>747228028.10000002</v>
      </c>
      <c r="AB8" s="195">
        <v>1041627505.02</v>
      </c>
      <c r="AC8" s="195">
        <v>610677247.50999999</v>
      </c>
      <c r="AD8" s="195">
        <v>836859608.54999995</v>
      </c>
      <c r="AE8" s="195">
        <v>804761567</v>
      </c>
      <c r="AF8" s="195">
        <v>810779120.53999996</v>
      </c>
      <c r="AG8" s="195">
        <v>608208608.33000004</v>
      </c>
      <c r="AH8" s="195">
        <v>561818024.5</v>
      </c>
      <c r="AI8" s="195">
        <v>513604069.42000002</v>
      </c>
      <c r="AJ8" s="195">
        <v>456761554.25999999</v>
      </c>
      <c r="AK8" s="195">
        <v>323316364</v>
      </c>
      <c r="AL8" s="195">
        <v>416047295.22000003</v>
      </c>
      <c r="AM8" s="195">
        <v>386582792.69</v>
      </c>
      <c r="AN8" s="195">
        <v>312110543.02999997</v>
      </c>
      <c r="AO8" s="195">
        <v>273026189.10000002</v>
      </c>
      <c r="AP8" s="195">
        <v>459637781.75999999</v>
      </c>
      <c r="AQ8" s="195">
        <v>430243096.38</v>
      </c>
      <c r="AR8" s="195">
        <v>436899237.77999997</v>
      </c>
      <c r="AS8" s="195">
        <v>335997130.75</v>
      </c>
      <c r="AT8" s="195">
        <v>581749705.17999995</v>
      </c>
      <c r="AU8" s="195">
        <v>477082702.16000003</v>
      </c>
      <c r="AV8" s="195">
        <v>607124296.28999996</v>
      </c>
      <c r="AW8" s="195">
        <v>293590233.38</v>
      </c>
      <c r="AX8" s="195">
        <v>348300178.98000002</v>
      </c>
      <c r="AY8" s="195">
        <v>254940502.55000001</v>
      </c>
      <c r="AZ8" s="195">
        <v>258471215.49000001</v>
      </c>
      <c r="BA8" s="195">
        <v>58088774.259999998</v>
      </c>
      <c r="BB8" s="195">
        <v>153879713.94999999</v>
      </c>
      <c r="BC8" s="195">
        <v>42405915.960000001</v>
      </c>
      <c r="BD8" s="195">
        <v>35506554.32</v>
      </c>
      <c r="BE8" s="195">
        <v>7251302.96</v>
      </c>
      <c r="BF8" s="195">
        <v>40813528.729999997</v>
      </c>
      <c r="BG8" s="195">
        <v>30561144.219999999</v>
      </c>
      <c r="BH8" s="195">
        <v>52412063.030000001</v>
      </c>
      <c r="BI8" s="195">
        <v>21489816.41</v>
      </c>
      <c r="BJ8" s="195">
        <v>65034738.509999998</v>
      </c>
      <c r="BK8" s="195">
        <v>45665558.579999998</v>
      </c>
      <c r="BL8" s="195">
        <v>58567103.689999998</v>
      </c>
      <c r="BM8" s="195">
        <v>14868936.050000001</v>
      </c>
      <c r="BN8" s="195">
        <v>48707416.649999999</v>
      </c>
      <c r="BO8" s="195">
        <v>67133578.420000002</v>
      </c>
      <c r="BP8" s="195">
        <v>54807686.280000001</v>
      </c>
      <c r="BQ8" s="195">
        <v>22445517.02</v>
      </c>
      <c r="BR8" s="195">
        <v>0</v>
      </c>
      <c r="BS8" s="195">
        <v>18274622.300000001</v>
      </c>
      <c r="BT8" s="195">
        <v>10872066.15</v>
      </c>
      <c r="BU8" s="195">
        <v>20870776.84</v>
      </c>
      <c r="BV8" s="195">
        <v>9817181.3300000001</v>
      </c>
      <c r="BW8" s="195">
        <v>8254619</v>
      </c>
      <c r="BX8" s="195">
        <v>12678121.76</v>
      </c>
      <c r="BY8" s="195">
        <v>0</v>
      </c>
    </row>
    <row r="9" spans="1:77" x14ac:dyDescent="0.25">
      <c r="A9" s="195" t="s">
        <v>113</v>
      </c>
      <c r="B9" s="195">
        <v>520303092.91000003</v>
      </c>
      <c r="C9" s="195">
        <v>493973985.74000001</v>
      </c>
      <c r="D9" s="195">
        <v>497132314.32999998</v>
      </c>
      <c r="E9" s="195">
        <v>481975826.76999998</v>
      </c>
      <c r="F9" s="195">
        <v>521915236.77999997</v>
      </c>
      <c r="G9" s="195">
        <v>515464691.87</v>
      </c>
      <c r="H9" s="195">
        <v>534825769.20999998</v>
      </c>
      <c r="I9" s="195">
        <v>239227748.59</v>
      </c>
      <c r="J9" s="195">
        <v>340550132.10000002</v>
      </c>
      <c r="K9" s="195">
        <v>438613308.45999998</v>
      </c>
      <c r="L9" s="195">
        <v>354898339.69</v>
      </c>
      <c r="M9" s="195">
        <v>370990681.75</v>
      </c>
      <c r="N9" s="195">
        <v>513908513.01999998</v>
      </c>
      <c r="O9" s="195">
        <v>321265013.01999998</v>
      </c>
      <c r="P9" s="195">
        <v>478613041.36000001</v>
      </c>
      <c r="Q9" s="195">
        <v>347847267.73000002</v>
      </c>
      <c r="R9" s="195">
        <v>598351775.41999996</v>
      </c>
      <c r="S9" s="195">
        <v>222364595.78</v>
      </c>
      <c r="T9" s="195">
        <v>462217521.02999997</v>
      </c>
      <c r="U9" s="195">
        <v>476796342.74000001</v>
      </c>
      <c r="V9" s="195">
        <v>681499873.88</v>
      </c>
      <c r="W9" s="195">
        <v>447797864.92000002</v>
      </c>
      <c r="X9" s="195">
        <v>477472747.61000001</v>
      </c>
      <c r="Y9" s="195">
        <v>422575766.52999997</v>
      </c>
      <c r="Z9" s="195">
        <v>2277821047.23</v>
      </c>
      <c r="AA9" s="195">
        <v>1565859863.74</v>
      </c>
      <c r="AB9" s="195">
        <v>1218067041.75</v>
      </c>
      <c r="AC9" s="195">
        <v>1240204425.8699999</v>
      </c>
      <c r="AD9" s="195">
        <v>977356341.88999999</v>
      </c>
      <c r="AE9" s="195">
        <v>703553070.37</v>
      </c>
      <c r="AF9" s="195">
        <v>594172262.59000003</v>
      </c>
      <c r="AG9" s="195">
        <v>520374434.17000002</v>
      </c>
      <c r="AH9" s="195">
        <v>562936270.46000004</v>
      </c>
      <c r="AI9" s="195">
        <v>427216061.5</v>
      </c>
      <c r="AJ9" s="195">
        <v>463583833.99000001</v>
      </c>
      <c r="AK9" s="195">
        <v>654618624.87</v>
      </c>
      <c r="AL9" s="195">
        <v>1011474065.76</v>
      </c>
      <c r="AM9" s="195">
        <v>990143266.50999999</v>
      </c>
      <c r="AN9" s="195">
        <v>809672160.53999996</v>
      </c>
      <c r="AO9" s="195">
        <v>703051686.71000004</v>
      </c>
      <c r="AP9" s="195">
        <v>662027395.45000005</v>
      </c>
      <c r="AQ9" s="195">
        <v>753505204.49000001</v>
      </c>
      <c r="AR9" s="195">
        <v>721566248.60000002</v>
      </c>
      <c r="AS9" s="195">
        <v>543309211.26999998</v>
      </c>
      <c r="AT9" s="195">
        <v>449138351.73000002</v>
      </c>
      <c r="AU9" s="195">
        <v>463289479.56</v>
      </c>
      <c r="AV9" s="195">
        <v>441471092.05000001</v>
      </c>
      <c r="AW9" s="195">
        <v>55529799.979999997</v>
      </c>
      <c r="AX9" s="195">
        <v>73616609.780000001</v>
      </c>
      <c r="AY9" s="195">
        <v>101120358.77</v>
      </c>
      <c r="AZ9" s="195">
        <v>103946521.86</v>
      </c>
      <c r="BA9" s="195">
        <v>80310538.329999998</v>
      </c>
      <c r="BB9" s="195">
        <v>109951571.84999999</v>
      </c>
      <c r="BC9" s="195">
        <v>156626012.37</v>
      </c>
      <c r="BD9" s="195">
        <v>75421052.959999993</v>
      </c>
      <c r="BE9" s="195">
        <v>62409442.009999998</v>
      </c>
      <c r="BF9" s="195">
        <v>49962760.229999997</v>
      </c>
      <c r="BG9" s="195">
        <v>41297110.200000003</v>
      </c>
      <c r="BH9" s="195">
        <v>30165951.68</v>
      </c>
      <c r="BI9" s="195">
        <v>18890324.030000001</v>
      </c>
      <c r="BJ9" s="195">
        <v>35533061.740000002</v>
      </c>
      <c r="BK9" s="195">
        <v>20911572.649999999</v>
      </c>
      <c r="BL9" s="195">
        <v>28246313.25</v>
      </c>
      <c r="BM9" s="195">
        <v>27056147.57</v>
      </c>
      <c r="BN9" s="195">
        <v>33537048.940000001</v>
      </c>
      <c r="BO9" s="195">
        <v>17145170.469999999</v>
      </c>
      <c r="BP9" s="195">
        <v>46340451.899999999</v>
      </c>
      <c r="BQ9" s="195">
        <v>28927870.52</v>
      </c>
      <c r="BR9" s="195">
        <v>0</v>
      </c>
      <c r="BS9" s="195">
        <v>28354814.620000001</v>
      </c>
      <c r="BT9" s="195">
        <v>14437415.300000001</v>
      </c>
      <c r="BU9" s="195">
        <v>26504562.18</v>
      </c>
      <c r="BV9" s="195">
        <v>6795947.3200000003</v>
      </c>
      <c r="BW9" s="195">
        <v>0</v>
      </c>
      <c r="BX9" s="195">
        <v>1017434.69</v>
      </c>
      <c r="BY9" s="195">
        <v>0</v>
      </c>
    </row>
    <row r="10" spans="1:77" x14ac:dyDescent="0.25">
      <c r="A10" s="195" t="s">
        <v>114</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row>
    <row r="11" spans="1:77" x14ac:dyDescent="0.25">
      <c r="A11" s="195" t="s">
        <v>115</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row>
    <row r="12" spans="1:77" x14ac:dyDescent="0.25">
      <c r="A12" s="195" t="s">
        <v>116</v>
      </c>
      <c r="B12" s="195">
        <v>156419658.50999999</v>
      </c>
      <c r="C12" s="195">
        <v>171478824.56</v>
      </c>
      <c r="D12" s="195">
        <v>174348904.87</v>
      </c>
      <c r="E12" s="195">
        <v>246322725.81</v>
      </c>
      <c r="F12" s="195">
        <v>182003027.02000001</v>
      </c>
      <c r="G12" s="195">
        <v>268545128.75999999</v>
      </c>
      <c r="H12" s="195">
        <v>142217118.91999999</v>
      </c>
      <c r="I12" s="195">
        <v>126061504.73</v>
      </c>
      <c r="J12" s="195">
        <v>93055296.560000002</v>
      </c>
      <c r="K12" s="195">
        <v>96574215.680000007</v>
      </c>
      <c r="L12" s="195">
        <v>95011983.469999999</v>
      </c>
      <c r="M12" s="195">
        <v>142154888.49000001</v>
      </c>
      <c r="N12" s="195">
        <v>170374504.77000001</v>
      </c>
      <c r="O12" s="195">
        <v>128466195.39</v>
      </c>
      <c r="P12" s="195">
        <v>113134033.94</v>
      </c>
      <c r="Q12" s="195">
        <v>128461907.03</v>
      </c>
      <c r="R12" s="195">
        <v>177629829.97999999</v>
      </c>
      <c r="S12" s="195">
        <v>184684770.75999999</v>
      </c>
      <c r="T12" s="195">
        <v>179164662.38</v>
      </c>
      <c r="U12" s="195">
        <v>86228118.790000007</v>
      </c>
      <c r="V12" s="195">
        <v>127929353.54000001</v>
      </c>
      <c r="W12" s="195">
        <v>112454044.33</v>
      </c>
      <c r="X12" s="195">
        <v>109262177.06999999</v>
      </c>
      <c r="Y12" s="195">
        <v>69293096.290000007</v>
      </c>
      <c r="Z12" s="195">
        <v>118446140.23999999</v>
      </c>
      <c r="AA12" s="195">
        <v>91234410.420000002</v>
      </c>
      <c r="AB12" s="195">
        <v>82551306.489999995</v>
      </c>
      <c r="AC12" s="195">
        <v>56050173.340000004</v>
      </c>
      <c r="AD12" s="195">
        <v>99434097.799999997</v>
      </c>
      <c r="AE12" s="195">
        <v>90927244.980000004</v>
      </c>
      <c r="AF12" s="195">
        <v>67181525.450000003</v>
      </c>
      <c r="AG12" s="195">
        <v>42360395.950000003</v>
      </c>
      <c r="AH12" s="195">
        <v>179796317.59</v>
      </c>
      <c r="AI12" s="195">
        <v>22675079.02</v>
      </c>
      <c r="AJ12" s="195">
        <v>22939299.030000001</v>
      </c>
      <c r="AK12" s="195">
        <v>23577529.050000001</v>
      </c>
      <c r="AL12" s="195">
        <v>29678031.510000002</v>
      </c>
      <c r="AM12" s="195">
        <v>29214867.780000001</v>
      </c>
      <c r="AN12" s="195">
        <v>32357100.300000001</v>
      </c>
      <c r="AO12" s="195">
        <v>35310553.270000003</v>
      </c>
      <c r="AP12" s="195">
        <v>83610525.040000007</v>
      </c>
      <c r="AQ12" s="195">
        <v>94449012.879999995</v>
      </c>
      <c r="AR12" s="195">
        <v>33706363.82</v>
      </c>
      <c r="AS12" s="195">
        <v>30545774.579999998</v>
      </c>
      <c r="AT12" s="195">
        <v>50313030.270000003</v>
      </c>
      <c r="AU12" s="195">
        <v>39403869.710000001</v>
      </c>
      <c r="AV12" s="195">
        <v>30005210.370000001</v>
      </c>
      <c r="AW12" s="195">
        <v>44108475.100000001</v>
      </c>
      <c r="AX12" s="195">
        <v>53007644.609999999</v>
      </c>
      <c r="AY12" s="195">
        <v>49699959.700000003</v>
      </c>
      <c r="AZ12" s="195">
        <v>36317766.369999997</v>
      </c>
      <c r="BA12" s="195">
        <v>22239213.02</v>
      </c>
      <c r="BB12" s="195">
        <v>25804882.960000001</v>
      </c>
      <c r="BC12" s="195">
        <v>17412177.760000002</v>
      </c>
      <c r="BD12" s="195">
        <v>13414950.27</v>
      </c>
      <c r="BE12" s="195">
        <v>7376177.7400000002</v>
      </c>
      <c r="BF12" s="195">
        <v>7622176.8499999996</v>
      </c>
      <c r="BG12" s="195">
        <v>6577570.7000000002</v>
      </c>
      <c r="BH12" s="195">
        <v>5139980.8600000003</v>
      </c>
      <c r="BI12" s="195">
        <v>5322792.8</v>
      </c>
      <c r="BJ12" s="195">
        <v>6217255.71</v>
      </c>
      <c r="BK12" s="195">
        <v>6913738.7300000004</v>
      </c>
      <c r="BL12" s="195">
        <v>4458676.92</v>
      </c>
      <c r="BM12" s="195">
        <v>5138892.55</v>
      </c>
      <c r="BN12" s="195">
        <v>5137905.8499999996</v>
      </c>
      <c r="BO12" s="195">
        <v>5214554.5599999996</v>
      </c>
      <c r="BP12" s="195">
        <v>4436992.3499999996</v>
      </c>
      <c r="BQ12" s="195">
        <v>3158825.23</v>
      </c>
      <c r="BR12" s="195">
        <v>0</v>
      </c>
      <c r="BS12" s="195">
        <v>2273208.98</v>
      </c>
      <c r="BT12" s="195">
        <v>1820252.08</v>
      </c>
      <c r="BU12" s="195">
        <v>5398265.46</v>
      </c>
      <c r="BV12" s="195">
        <v>7851829.4000000004</v>
      </c>
      <c r="BW12" s="195">
        <v>1335425.49</v>
      </c>
      <c r="BX12" s="195">
        <v>976659.53</v>
      </c>
      <c r="BY12" s="195">
        <v>0</v>
      </c>
    </row>
    <row r="13" spans="1:77" x14ac:dyDescent="0.25">
      <c r="A13" s="195" t="s">
        <v>117</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row>
    <row r="14" spans="1:77" x14ac:dyDescent="0.25">
      <c r="A14" s="195" t="s">
        <v>118</v>
      </c>
      <c r="B14" s="195">
        <v>8413543412.25</v>
      </c>
      <c r="C14" s="195">
        <v>7410616495.0600004</v>
      </c>
      <c r="D14" s="195">
        <v>7898344150.1499996</v>
      </c>
      <c r="E14" s="195">
        <v>6999627326.7399998</v>
      </c>
      <c r="F14" s="195">
        <v>6321078779.4700003</v>
      </c>
      <c r="G14" s="195">
        <v>6322000146.6300001</v>
      </c>
      <c r="H14" s="195">
        <v>5670195142.4700003</v>
      </c>
      <c r="I14" s="195">
        <v>4337350786.5600004</v>
      </c>
      <c r="J14" s="195">
        <v>5092984949.7799997</v>
      </c>
      <c r="K14" s="195">
        <v>4758766253.9399996</v>
      </c>
      <c r="L14" s="195">
        <v>3900858069.79</v>
      </c>
      <c r="M14" s="195">
        <v>4193853062.9400001</v>
      </c>
      <c r="N14" s="195">
        <v>4509449643.25</v>
      </c>
      <c r="O14" s="195">
        <v>3700649237.1399999</v>
      </c>
      <c r="P14" s="195">
        <v>3108855567.0500002</v>
      </c>
      <c r="Q14" s="195">
        <v>3009992528.5799999</v>
      </c>
      <c r="R14" s="195">
        <v>3223628632.25</v>
      </c>
      <c r="S14" s="195">
        <v>2965551203.3099999</v>
      </c>
      <c r="T14" s="195">
        <v>3147369926.3099999</v>
      </c>
      <c r="U14" s="195">
        <v>2265001877.4200001</v>
      </c>
      <c r="V14" s="195">
        <v>2100504580.3800001</v>
      </c>
      <c r="W14" s="195">
        <v>2123847513.46</v>
      </c>
      <c r="X14" s="195">
        <v>2332381125.75</v>
      </c>
      <c r="Y14" s="195">
        <v>1994863273.8199999</v>
      </c>
      <c r="Z14" s="195">
        <v>1533361212.1099999</v>
      </c>
      <c r="AA14" s="195">
        <v>1803651365.7</v>
      </c>
      <c r="AB14" s="195">
        <v>1846576379.25</v>
      </c>
      <c r="AC14" s="195">
        <v>1337878714.5899999</v>
      </c>
      <c r="AD14" s="195">
        <v>1544732794.0699999</v>
      </c>
      <c r="AE14" s="195">
        <v>1501907514.8800001</v>
      </c>
      <c r="AF14" s="195">
        <v>1544141137.4300001</v>
      </c>
      <c r="AG14" s="195">
        <v>1168328974.6400001</v>
      </c>
      <c r="AH14" s="195">
        <v>1056549179.8200001</v>
      </c>
      <c r="AI14" s="195">
        <v>1071845447.54</v>
      </c>
      <c r="AJ14" s="195">
        <v>854309612.65999997</v>
      </c>
      <c r="AK14" s="195">
        <v>755633666.27999997</v>
      </c>
      <c r="AL14" s="195">
        <v>787356714.60000002</v>
      </c>
      <c r="AM14" s="195">
        <v>582097046.21000004</v>
      </c>
      <c r="AN14" s="195">
        <v>502390011.13</v>
      </c>
      <c r="AO14" s="195">
        <v>600437286.60000002</v>
      </c>
      <c r="AP14" s="195">
        <v>1053594015.15</v>
      </c>
      <c r="AQ14" s="195">
        <v>747438909.23000002</v>
      </c>
      <c r="AR14" s="195">
        <v>753701314.21000004</v>
      </c>
      <c r="AS14" s="195">
        <v>650856646.64999998</v>
      </c>
      <c r="AT14" s="195">
        <v>655852463.64999998</v>
      </c>
      <c r="AU14" s="195">
        <v>847578880.75</v>
      </c>
      <c r="AV14" s="195">
        <v>646016908.86000001</v>
      </c>
      <c r="AW14" s="195">
        <v>463770420.89999998</v>
      </c>
      <c r="AX14" s="195">
        <v>466866450.95999998</v>
      </c>
      <c r="AY14" s="195">
        <v>451418078.76999998</v>
      </c>
      <c r="AZ14" s="195">
        <v>560739203.50999999</v>
      </c>
      <c r="BA14" s="195">
        <v>474792028.51999998</v>
      </c>
      <c r="BB14" s="195">
        <v>391055453.54000002</v>
      </c>
      <c r="BC14" s="195">
        <v>406930969.38</v>
      </c>
      <c r="BD14" s="195">
        <v>292760453.91000003</v>
      </c>
      <c r="BE14" s="195">
        <v>276734083.68000001</v>
      </c>
      <c r="BF14" s="195">
        <v>201248182.09999999</v>
      </c>
      <c r="BG14" s="195">
        <v>151322083.05000001</v>
      </c>
      <c r="BH14" s="195">
        <v>128228127.72</v>
      </c>
      <c r="BI14" s="195">
        <v>134963979.69999999</v>
      </c>
      <c r="BJ14" s="195">
        <v>66364741.060000002</v>
      </c>
      <c r="BK14" s="195">
        <v>87953986.450000003</v>
      </c>
      <c r="BL14" s="195">
        <v>105167541.09</v>
      </c>
      <c r="BM14" s="195">
        <v>89124838.510000005</v>
      </c>
      <c r="BN14" s="195">
        <v>63810429.280000001</v>
      </c>
      <c r="BO14" s="195">
        <v>101666987.34999999</v>
      </c>
      <c r="BP14" s="195">
        <v>62748646.630000003</v>
      </c>
      <c r="BQ14" s="195">
        <v>44425718.57</v>
      </c>
      <c r="BR14" s="195">
        <v>0</v>
      </c>
      <c r="BS14" s="195">
        <v>76038317.769999996</v>
      </c>
      <c r="BT14" s="195">
        <v>51274560.890000001</v>
      </c>
      <c r="BU14" s="195">
        <v>80346101.359999999</v>
      </c>
      <c r="BV14" s="195">
        <v>29237014.609999999</v>
      </c>
      <c r="BW14" s="195">
        <v>21916789.77</v>
      </c>
      <c r="BX14" s="195">
        <v>54198832.219999999</v>
      </c>
      <c r="BY14" s="195">
        <v>0</v>
      </c>
    </row>
    <row r="15" spans="1:77" x14ac:dyDescent="0.25">
      <c r="A15" s="195" t="s">
        <v>119</v>
      </c>
      <c r="B15" s="195">
        <v>15127273.560000001</v>
      </c>
      <c r="C15" s="195">
        <v>15127273.560000001</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120</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0</v>
      </c>
      <c r="R16" s="195">
        <v>0</v>
      </c>
      <c r="S16" s="195">
        <v>0</v>
      </c>
      <c r="T16" s="195">
        <v>0</v>
      </c>
      <c r="U16" s="195">
        <v>0</v>
      </c>
      <c r="V16" s="195">
        <v>0</v>
      </c>
      <c r="W16" s="195">
        <v>0</v>
      </c>
      <c r="X16" s="195">
        <v>0</v>
      </c>
      <c r="Y16" s="195">
        <v>0</v>
      </c>
      <c r="Z16" s="195">
        <v>0</v>
      </c>
      <c r="AA16" s="195">
        <v>0</v>
      </c>
      <c r="AB16" s="195">
        <v>0</v>
      </c>
      <c r="AC16" s="195">
        <v>0</v>
      </c>
      <c r="AD16" s="195">
        <v>0</v>
      </c>
      <c r="AE16" s="195">
        <v>0</v>
      </c>
      <c r="AF16" s="195">
        <v>0</v>
      </c>
      <c r="AG16" s="195">
        <v>0</v>
      </c>
      <c r="AH16" s="195">
        <v>0</v>
      </c>
      <c r="AI16" s="195">
        <v>0</v>
      </c>
      <c r="AJ16" s="195">
        <v>0</v>
      </c>
      <c r="AK16" s="195">
        <v>0</v>
      </c>
      <c r="AL16" s="195">
        <v>300000000</v>
      </c>
      <c r="AM16" s="195">
        <v>300000000</v>
      </c>
      <c r="AN16" s="195">
        <v>0</v>
      </c>
      <c r="AO16" s="195">
        <v>0</v>
      </c>
      <c r="AP16" s="195">
        <v>0</v>
      </c>
      <c r="AQ16" s="195">
        <v>0</v>
      </c>
      <c r="AR16" s="195">
        <v>0</v>
      </c>
      <c r="AS16" s="195">
        <v>0</v>
      </c>
      <c r="AT16" s="195">
        <v>0</v>
      </c>
      <c r="AU16" s="195">
        <v>0</v>
      </c>
      <c r="AV16" s="195">
        <v>0</v>
      </c>
      <c r="AW16" s="195">
        <v>0</v>
      </c>
      <c r="AX16" s="195">
        <v>0</v>
      </c>
      <c r="AY16" s="195">
        <v>0</v>
      </c>
      <c r="AZ16" s="195">
        <v>0</v>
      </c>
      <c r="BA16" s="195">
        <v>0</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c r="BU16" s="195">
        <v>0</v>
      </c>
      <c r="BV16" s="195">
        <v>0</v>
      </c>
      <c r="BW16" s="195">
        <v>0</v>
      </c>
      <c r="BX16" s="195">
        <v>0</v>
      </c>
      <c r="BY16" s="195">
        <v>0</v>
      </c>
    </row>
    <row r="17" spans="1:77" x14ac:dyDescent="0.25">
      <c r="A17" s="195" t="s">
        <v>121</v>
      </c>
      <c r="B17" s="195">
        <v>0</v>
      </c>
      <c r="C17" s="195">
        <v>0</v>
      </c>
      <c r="D17" s="195">
        <v>0</v>
      </c>
      <c r="E17" s="195">
        <v>0</v>
      </c>
      <c r="F17" s="195">
        <v>0</v>
      </c>
      <c r="G17" s="195">
        <v>0</v>
      </c>
      <c r="H17" s="195">
        <v>0</v>
      </c>
      <c r="I17" s="195">
        <v>0</v>
      </c>
      <c r="J17" s="195">
        <v>0</v>
      </c>
      <c r="K17" s="195">
        <v>0</v>
      </c>
      <c r="L17" s="195">
        <v>0</v>
      </c>
      <c r="M17" s="195">
        <v>0</v>
      </c>
      <c r="N17" s="195">
        <v>0</v>
      </c>
      <c r="O17" s="195">
        <v>0</v>
      </c>
      <c r="P17" s="195">
        <v>0</v>
      </c>
      <c r="Q17" s="195">
        <v>0</v>
      </c>
      <c r="R17" s="195">
        <v>0</v>
      </c>
      <c r="S17" s="195">
        <v>0</v>
      </c>
      <c r="T17" s="195">
        <v>0</v>
      </c>
      <c r="U17" s="195">
        <v>0</v>
      </c>
      <c r="V17" s="195">
        <v>0</v>
      </c>
      <c r="W17" s="195">
        <v>0</v>
      </c>
      <c r="X17" s="195">
        <v>0</v>
      </c>
      <c r="Y17" s="195">
        <v>0</v>
      </c>
      <c r="Z17" s="195">
        <v>0</v>
      </c>
      <c r="AA17" s="195">
        <v>0</v>
      </c>
      <c r="AB17" s="195">
        <v>0</v>
      </c>
      <c r="AC17" s="195">
        <v>0</v>
      </c>
      <c r="AD17" s="195">
        <v>0</v>
      </c>
      <c r="AE17" s="195">
        <v>0</v>
      </c>
      <c r="AF17" s="195">
        <v>0</v>
      </c>
      <c r="AG17" s="195">
        <v>0</v>
      </c>
      <c r="AH17" s="195">
        <v>0</v>
      </c>
      <c r="AI17" s="195">
        <v>0</v>
      </c>
      <c r="AJ17" s="195">
        <v>0</v>
      </c>
      <c r="AK17" s="195">
        <v>0</v>
      </c>
      <c r="AL17" s="195">
        <v>0</v>
      </c>
      <c r="AM17" s="195">
        <v>0</v>
      </c>
      <c r="AN17" s="195">
        <v>0</v>
      </c>
      <c r="AO17" s="195">
        <v>0</v>
      </c>
      <c r="AP17" s="195">
        <v>0</v>
      </c>
      <c r="AQ17" s="195">
        <v>0</v>
      </c>
      <c r="AR17" s="195">
        <v>0</v>
      </c>
      <c r="AS17" s="195">
        <v>0</v>
      </c>
      <c r="AT17" s="195">
        <v>0</v>
      </c>
      <c r="AU17" s="195">
        <v>0</v>
      </c>
      <c r="AV17" s="195">
        <v>0</v>
      </c>
      <c r="AW17" s="195">
        <v>0</v>
      </c>
      <c r="AX17" s="195">
        <v>1150354</v>
      </c>
      <c r="AY17" s="195">
        <v>1593274.69</v>
      </c>
      <c r="AZ17" s="195">
        <v>0</v>
      </c>
      <c r="BA17" s="195">
        <v>0</v>
      </c>
      <c r="BB17" s="195">
        <v>724219.45</v>
      </c>
      <c r="BC17" s="195">
        <v>0</v>
      </c>
      <c r="BD17" s="195">
        <v>0</v>
      </c>
      <c r="BE17" s="195">
        <v>0</v>
      </c>
      <c r="BF17" s="195">
        <v>0</v>
      </c>
      <c r="BG17" s="195">
        <v>0</v>
      </c>
      <c r="BH17" s="195">
        <v>0</v>
      </c>
      <c r="BI17" s="195">
        <v>0</v>
      </c>
      <c r="BJ17" s="195">
        <v>60000</v>
      </c>
      <c r="BK17" s="195">
        <v>120000</v>
      </c>
      <c r="BL17" s="195">
        <v>180000</v>
      </c>
      <c r="BM17" s="195">
        <v>240000</v>
      </c>
      <c r="BN17" s="195">
        <v>0</v>
      </c>
      <c r="BO17" s="195">
        <v>19176.060000000001</v>
      </c>
      <c r="BP17" s="195">
        <v>0</v>
      </c>
      <c r="BQ17" s="195">
        <v>0</v>
      </c>
      <c r="BR17" s="195">
        <v>0</v>
      </c>
      <c r="BS17" s="195">
        <v>0</v>
      </c>
      <c r="BT17" s="195">
        <v>0</v>
      </c>
      <c r="BU17" s="195">
        <v>0</v>
      </c>
      <c r="BV17" s="195">
        <v>0</v>
      </c>
      <c r="BW17" s="195">
        <v>77316.399999999994</v>
      </c>
      <c r="BX17" s="195">
        <v>0</v>
      </c>
      <c r="BY17" s="195">
        <v>0</v>
      </c>
    </row>
    <row r="18" spans="1:77" x14ac:dyDescent="0.25">
      <c r="A18" s="195" t="s">
        <v>122</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0</v>
      </c>
      <c r="AT18" s="195">
        <v>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c r="BU18" s="195">
        <v>0</v>
      </c>
      <c r="BV18" s="195">
        <v>118000</v>
      </c>
      <c r="BW18" s="195">
        <v>0</v>
      </c>
      <c r="BX18" s="195">
        <v>0</v>
      </c>
      <c r="BY18" s="195">
        <v>0</v>
      </c>
    </row>
    <row r="19" spans="1:77" x14ac:dyDescent="0.25">
      <c r="A19" s="195" t="s">
        <v>123</v>
      </c>
      <c r="B19" s="195">
        <v>244930753.65000001</v>
      </c>
      <c r="C19" s="195">
        <v>294919792.42000002</v>
      </c>
      <c r="D19" s="195">
        <v>265462832.34</v>
      </c>
      <c r="E19" s="195">
        <v>268224126.74000001</v>
      </c>
      <c r="F19" s="195">
        <v>336034582.64999998</v>
      </c>
      <c r="G19" s="195">
        <v>333629160.11000001</v>
      </c>
      <c r="H19" s="195">
        <v>900311744.94000006</v>
      </c>
      <c r="I19" s="195">
        <v>1223181558.97</v>
      </c>
      <c r="J19" s="195">
        <v>1315971006.3699999</v>
      </c>
      <c r="K19" s="195">
        <v>1475442148.21</v>
      </c>
      <c r="L19" s="195">
        <v>1698539993.22</v>
      </c>
      <c r="M19" s="195">
        <v>1815314119.3099999</v>
      </c>
      <c r="N19" s="195">
        <v>1790528637.8099999</v>
      </c>
      <c r="O19" s="195">
        <v>1642401155.71</v>
      </c>
      <c r="P19" s="195">
        <v>1580900564.1600001</v>
      </c>
      <c r="Q19" s="195">
        <v>1548767821.4100001</v>
      </c>
      <c r="R19" s="195">
        <v>0</v>
      </c>
      <c r="S19" s="195">
        <v>0</v>
      </c>
      <c r="T19" s="195">
        <v>0</v>
      </c>
      <c r="U19" s="195">
        <v>0</v>
      </c>
      <c r="V19" s="195">
        <v>0</v>
      </c>
      <c r="W19" s="195">
        <v>0</v>
      </c>
      <c r="X19" s="195">
        <v>0</v>
      </c>
      <c r="Y19" s="195">
        <v>0</v>
      </c>
      <c r="Z19" s="195">
        <v>0</v>
      </c>
      <c r="AA19" s="195">
        <v>0</v>
      </c>
      <c r="AB19" s="195">
        <v>0</v>
      </c>
      <c r="AC19" s="195">
        <v>0</v>
      </c>
      <c r="AD19" s="195">
        <v>0</v>
      </c>
      <c r="AE19" s="195">
        <v>0</v>
      </c>
      <c r="AF19" s="195">
        <v>0</v>
      </c>
      <c r="AG19" s="195">
        <v>0</v>
      </c>
      <c r="AH19" s="195">
        <v>0</v>
      </c>
      <c r="AI19" s="195">
        <v>0</v>
      </c>
      <c r="AJ19" s="195">
        <v>0</v>
      </c>
      <c r="AK19" s="195">
        <v>0</v>
      </c>
      <c r="AL19" s="195">
        <v>0</v>
      </c>
      <c r="AM19" s="195">
        <v>0</v>
      </c>
      <c r="AN19" s="195">
        <v>0</v>
      </c>
      <c r="AO19" s="195">
        <v>0</v>
      </c>
      <c r="AP19" s="195">
        <v>0</v>
      </c>
      <c r="AQ19" s="195">
        <v>0</v>
      </c>
      <c r="AR19" s="195">
        <v>0</v>
      </c>
      <c r="AS19" s="195">
        <v>0</v>
      </c>
      <c r="AT19" s="195">
        <v>0</v>
      </c>
      <c r="AU19" s="195">
        <v>0</v>
      </c>
      <c r="AV19" s="195">
        <v>0</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124</v>
      </c>
      <c r="B20" s="195">
        <v>26349438098</v>
      </c>
      <c r="C20" s="195">
        <v>25134530142.209999</v>
      </c>
      <c r="D20" s="195">
        <v>25165932421.799999</v>
      </c>
      <c r="E20" s="195">
        <v>25200214623.689999</v>
      </c>
      <c r="F20" s="195">
        <v>23696301606.509998</v>
      </c>
      <c r="G20" s="195">
        <v>21692102274.009998</v>
      </c>
      <c r="H20" s="195">
        <v>19038392159.709999</v>
      </c>
      <c r="I20" s="195">
        <v>13235796509.1</v>
      </c>
      <c r="J20" s="195">
        <v>14221875681.389999</v>
      </c>
      <c r="K20" s="195">
        <v>12520010116.24</v>
      </c>
      <c r="L20" s="195">
        <v>11717475352.799999</v>
      </c>
      <c r="M20" s="195">
        <v>11026587032.719999</v>
      </c>
      <c r="N20" s="195">
        <v>11130100004.719999</v>
      </c>
      <c r="O20" s="195">
        <v>10124511381.129999</v>
      </c>
      <c r="P20" s="195">
        <v>10662808254.83</v>
      </c>
      <c r="Q20" s="195">
        <v>9756530612.3600006</v>
      </c>
      <c r="R20" s="195">
        <v>8792380197.1200008</v>
      </c>
      <c r="S20" s="195">
        <v>9974735543.2099991</v>
      </c>
      <c r="T20" s="195">
        <v>9975400472.8400002</v>
      </c>
      <c r="U20" s="195">
        <v>8189329496.9499998</v>
      </c>
      <c r="V20" s="195">
        <v>9163628029.6599998</v>
      </c>
      <c r="W20" s="195">
        <v>9346457877.7000008</v>
      </c>
      <c r="X20" s="195">
        <v>9673058722.2600002</v>
      </c>
      <c r="Y20" s="195">
        <v>8362718110.4499998</v>
      </c>
      <c r="Z20" s="195">
        <v>8880987210.2600002</v>
      </c>
      <c r="AA20" s="195">
        <v>7739347406.8900003</v>
      </c>
      <c r="AB20" s="195">
        <v>7865127126.4200001</v>
      </c>
      <c r="AC20" s="195">
        <v>7637946522.7399998</v>
      </c>
      <c r="AD20" s="195">
        <v>6386390323.3999996</v>
      </c>
      <c r="AE20" s="195">
        <v>6370530624.1599998</v>
      </c>
      <c r="AF20" s="195">
        <v>6343082857.9799995</v>
      </c>
      <c r="AG20" s="195">
        <v>4800665030.9799995</v>
      </c>
      <c r="AH20" s="195">
        <v>4324753781.6800003</v>
      </c>
      <c r="AI20" s="195">
        <v>3569206173.3299999</v>
      </c>
      <c r="AJ20" s="195">
        <v>3701488443.0100002</v>
      </c>
      <c r="AK20" s="195">
        <v>3760987726.9499998</v>
      </c>
      <c r="AL20" s="195">
        <v>5056570993.1400003</v>
      </c>
      <c r="AM20" s="195">
        <v>5114224103.8299999</v>
      </c>
      <c r="AN20" s="195">
        <v>4897016232.5699997</v>
      </c>
      <c r="AO20" s="195">
        <v>3834667947.5300002</v>
      </c>
      <c r="AP20" s="195">
        <v>3848967582.3000002</v>
      </c>
      <c r="AQ20" s="195">
        <v>4091615768.0799999</v>
      </c>
      <c r="AR20" s="195">
        <v>4562227423.3400002</v>
      </c>
      <c r="AS20" s="195">
        <v>4062283077.8499999</v>
      </c>
      <c r="AT20" s="195">
        <v>3658524616.77</v>
      </c>
      <c r="AU20" s="195">
        <v>2988453776.2199998</v>
      </c>
      <c r="AV20" s="195">
        <v>2365616346.6999998</v>
      </c>
      <c r="AW20" s="195">
        <v>1435485327.27</v>
      </c>
      <c r="AX20" s="195">
        <v>1661957582.5799999</v>
      </c>
      <c r="AY20" s="195">
        <v>1408262489.26</v>
      </c>
      <c r="AZ20" s="195">
        <v>1440410948.49</v>
      </c>
      <c r="BA20" s="195">
        <v>1158766697.1800001</v>
      </c>
      <c r="BB20" s="195">
        <v>1280391438.77</v>
      </c>
      <c r="BC20" s="195">
        <v>1311162143.97</v>
      </c>
      <c r="BD20" s="195">
        <v>1347598812.3800001</v>
      </c>
      <c r="BE20" s="195">
        <v>1022252216.95</v>
      </c>
      <c r="BF20" s="195">
        <v>964183589.88</v>
      </c>
      <c r="BG20" s="195">
        <v>992266036.78999996</v>
      </c>
      <c r="BH20" s="195">
        <v>627978962.00999999</v>
      </c>
      <c r="BI20" s="195">
        <v>529157359.51999998</v>
      </c>
      <c r="BJ20" s="195">
        <v>542479434.48000002</v>
      </c>
      <c r="BK20" s="195">
        <v>425520941.27999997</v>
      </c>
      <c r="BL20" s="195">
        <v>466237543.63999999</v>
      </c>
      <c r="BM20" s="195">
        <v>348701486.77999997</v>
      </c>
      <c r="BN20" s="195">
        <v>358408676.00999999</v>
      </c>
      <c r="BO20" s="195">
        <v>299567412.01999998</v>
      </c>
      <c r="BP20" s="195">
        <v>379064811.89999998</v>
      </c>
      <c r="BQ20" s="195">
        <v>292567203.74000001</v>
      </c>
      <c r="BR20" s="195">
        <v>435057900</v>
      </c>
      <c r="BS20" s="195">
        <v>397007184.80000001</v>
      </c>
      <c r="BT20" s="195">
        <v>522935215.82999998</v>
      </c>
      <c r="BU20" s="195">
        <v>154681177.97</v>
      </c>
      <c r="BV20" s="195">
        <v>95491556.870000005</v>
      </c>
      <c r="BW20" s="195">
        <v>41954783.82</v>
      </c>
      <c r="BX20" s="195">
        <v>73466929.599999994</v>
      </c>
      <c r="BY20" s="195">
        <v>0</v>
      </c>
    </row>
    <row r="21" spans="1:77" x14ac:dyDescent="0.25">
      <c r="A21" s="195" t="s">
        <v>125</v>
      </c>
    </row>
    <row r="22" spans="1:77" x14ac:dyDescent="0.25">
      <c r="A22" s="195" t="s">
        <v>126</v>
      </c>
      <c r="B22" s="195">
        <v>0</v>
      </c>
      <c r="C22" s="195">
        <v>0</v>
      </c>
      <c r="D22" s="195">
        <v>0</v>
      </c>
      <c r="E22" s="195">
        <v>0</v>
      </c>
      <c r="F22" s="195">
        <v>0</v>
      </c>
      <c r="G22" s="195">
        <v>0</v>
      </c>
      <c r="H22" s="195">
        <v>0</v>
      </c>
      <c r="I22" s="195">
        <v>0</v>
      </c>
      <c r="J22" s="195">
        <v>0</v>
      </c>
      <c r="K22" s="195">
        <v>0</v>
      </c>
      <c r="L22" s="195">
        <v>0</v>
      </c>
      <c r="M22" s="195">
        <v>0</v>
      </c>
      <c r="N22" s="195">
        <v>0</v>
      </c>
      <c r="O22" s="195">
        <v>0</v>
      </c>
      <c r="P22" s="195">
        <v>0</v>
      </c>
      <c r="Q22" s="195">
        <v>0</v>
      </c>
      <c r="R22" s="195">
        <v>0</v>
      </c>
      <c r="S22" s="195">
        <v>0</v>
      </c>
      <c r="T22" s="195">
        <v>0</v>
      </c>
      <c r="U22" s="195">
        <v>0</v>
      </c>
      <c r="V22" s="195">
        <v>0</v>
      </c>
      <c r="W22" s="195">
        <v>0</v>
      </c>
      <c r="X22" s="195">
        <v>0</v>
      </c>
      <c r="Y22" s="195">
        <v>0</v>
      </c>
      <c r="Z22" s="195">
        <v>0</v>
      </c>
      <c r="AA22" s="195">
        <v>0</v>
      </c>
      <c r="AB22" s="195">
        <v>0</v>
      </c>
      <c r="AC22" s="195">
        <v>0</v>
      </c>
      <c r="AD22" s="195">
        <v>0</v>
      </c>
      <c r="AE22" s="195">
        <v>0</v>
      </c>
      <c r="AF22" s="195">
        <v>0</v>
      </c>
      <c r="AG22" s="195">
        <v>0</v>
      </c>
      <c r="AH22" s="195">
        <v>0</v>
      </c>
      <c r="AI22" s="195">
        <v>0</v>
      </c>
      <c r="AJ22" s="195">
        <v>0</v>
      </c>
      <c r="AK22" s="195">
        <v>0</v>
      </c>
      <c r="AL22" s="195">
        <v>0</v>
      </c>
      <c r="AM22" s="195">
        <v>0</v>
      </c>
      <c r="AN22" s="195">
        <v>0</v>
      </c>
      <c r="AO22" s="195">
        <v>0</v>
      </c>
      <c r="AP22" s="195">
        <v>0</v>
      </c>
      <c r="AQ22" s="195">
        <v>0</v>
      </c>
      <c r="AR22" s="195">
        <v>0</v>
      </c>
      <c r="AS22" s="195">
        <v>0</v>
      </c>
      <c r="AT22" s="195">
        <v>0</v>
      </c>
      <c r="AU22" s="195">
        <v>0</v>
      </c>
      <c r="AV22" s="195">
        <v>0</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row>
    <row r="23" spans="1:77" x14ac:dyDescent="0.25">
      <c r="A23" s="195" t="s">
        <v>127</v>
      </c>
      <c r="B23" s="195">
        <v>20000000</v>
      </c>
      <c r="C23" s="195">
        <v>20000000</v>
      </c>
      <c r="D23" s="195">
        <v>20000000</v>
      </c>
      <c r="E23" s="195">
        <v>20000000</v>
      </c>
      <c r="F23" s="195">
        <v>20000000</v>
      </c>
      <c r="G23" s="195">
        <v>20000000</v>
      </c>
      <c r="H23" s="195">
        <v>20000000</v>
      </c>
      <c r="I23" s="195">
        <v>20000000</v>
      </c>
      <c r="J23" s="195">
        <v>20000000</v>
      </c>
      <c r="K23" s="195">
        <v>20000000</v>
      </c>
      <c r="L23" s="195">
        <v>20000000</v>
      </c>
      <c r="M23" s="195">
        <v>20000000</v>
      </c>
      <c r="N23" s="195">
        <v>20000000</v>
      </c>
      <c r="O23" s="195">
        <v>20000000</v>
      </c>
      <c r="P23" s="195">
        <v>20000000</v>
      </c>
      <c r="Q23" s="195">
        <v>20000000</v>
      </c>
      <c r="R23" s="195">
        <v>73350314</v>
      </c>
      <c r="S23" s="195">
        <v>85808000</v>
      </c>
      <c r="T23" s="195">
        <v>76136000</v>
      </c>
      <c r="U23" s="195">
        <v>76260000</v>
      </c>
      <c r="V23" s="195">
        <v>80362400</v>
      </c>
      <c r="W23" s="195">
        <v>75759600</v>
      </c>
      <c r="X23" s="195">
        <v>87950800</v>
      </c>
      <c r="Y23" s="195">
        <v>80735600</v>
      </c>
      <c r="Z23" s="195">
        <v>83472400</v>
      </c>
      <c r="AA23" s="195">
        <v>95166000</v>
      </c>
      <c r="AB23" s="195">
        <v>101012800</v>
      </c>
      <c r="AC23" s="195">
        <v>98151600</v>
      </c>
      <c r="AD23" s="195">
        <v>111213600</v>
      </c>
      <c r="AE23" s="195">
        <v>137586400</v>
      </c>
      <c r="AF23" s="195">
        <v>156614200</v>
      </c>
      <c r="AG23" s="195">
        <v>173550000</v>
      </c>
      <c r="AH23" s="195">
        <v>154180000</v>
      </c>
      <c r="AI23" s="195">
        <v>115050000</v>
      </c>
      <c r="AJ23" s="195">
        <v>137700000</v>
      </c>
      <c r="AK23" s="195">
        <v>0</v>
      </c>
      <c r="AL23" s="195">
        <v>0</v>
      </c>
      <c r="AM23" s="195">
        <v>0</v>
      </c>
      <c r="AN23" s="195">
        <v>0</v>
      </c>
      <c r="AO23" s="195">
        <v>0</v>
      </c>
      <c r="AP23" s="195">
        <v>0</v>
      </c>
      <c r="AQ23" s="195">
        <v>0</v>
      </c>
      <c r="AR23" s="195">
        <v>0</v>
      </c>
      <c r="AS23" s="195">
        <v>0</v>
      </c>
      <c r="AT23" s="195">
        <v>0</v>
      </c>
      <c r="AU23" s="195">
        <v>0</v>
      </c>
      <c r="AV23" s="195">
        <v>0</v>
      </c>
      <c r="AW23" s="195">
        <v>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c r="BU23" s="195">
        <v>0</v>
      </c>
      <c r="BV23" s="195">
        <v>0</v>
      </c>
      <c r="BW23" s="195">
        <v>0</v>
      </c>
      <c r="BX23" s="195">
        <v>0</v>
      </c>
      <c r="BY23" s="195">
        <v>0</v>
      </c>
    </row>
    <row r="24" spans="1:77" x14ac:dyDescent="0.25">
      <c r="A24" s="195" t="s">
        <v>128</v>
      </c>
      <c r="B24" s="195">
        <v>0</v>
      </c>
      <c r="C24" s="195">
        <v>0</v>
      </c>
      <c r="D24" s="195">
        <v>0</v>
      </c>
      <c r="E24" s="195">
        <v>0</v>
      </c>
      <c r="F24" s="195">
        <v>0</v>
      </c>
      <c r="G24" s="195">
        <v>0</v>
      </c>
      <c r="H24" s="195">
        <v>0</v>
      </c>
      <c r="I24" s="195">
        <v>0</v>
      </c>
      <c r="J24" s="195">
        <v>0</v>
      </c>
      <c r="K24" s="195">
        <v>0</v>
      </c>
      <c r="L24" s="195">
        <v>0</v>
      </c>
      <c r="M24" s="195">
        <v>0</v>
      </c>
      <c r="N24" s="195">
        <v>0</v>
      </c>
      <c r="O24" s="195">
        <v>0</v>
      </c>
      <c r="P24" s="195">
        <v>0</v>
      </c>
      <c r="Q24" s="195">
        <v>0</v>
      </c>
      <c r="R24" s="195">
        <v>0</v>
      </c>
      <c r="S24" s="195">
        <v>0</v>
      </c>
      <c r="T24" s="195">
        <v>0</v>
      </c>
      <c r="U24" s="195">
        <v>0</v>
      </c>
      <c r="V24" s="195">
        <v>0</v>
      </c>
      <c r="W24" s="195">
        <v>0</v>
      </c>
      <c r="X24" s="195">
        <v>0</v>
      </c>
      <c r="Y24" s="195">
        <v>0</v>
      </c>
      <c r="Z24" s="195">
        <v>0</v>
      </c>
      <c r="AA24" s="195">
        <v>0</v>
      </c>
      <c r="AB24" s="195">
        <v>0</v>
      </c>
      <c r="AC24" s="195">
        <v>0</v>
      </c>
      <c r="AD24" s="195">
        <v>0</v>
      </c>
      <c r="AE24" s="195">
        <v>0</v>
      </c>
      <c r="AF24" s="195">
        <v>0</v>
      </c>
      <c r="AG24" s="195">
        <v>0</v>
      </c>
      <c r="AH24" s="195">
        <v>0</v>
      </c>
      <c r="AI24" s="195">
        <v>0</v>
      </c>
      <c r="AJ24" s="195">
        <v>0</v>
      </c>
      <c r="AK24" s="195">
        <v>0</v>
      </c>
      <c r="AL24" s="195">
        <v>0</v>
      </c>
      <c r="AM24" s="195">
        <v>0</v>
      </c>
      <c r="AN24" s="195">
        <v>0</v>
      </c>
      <c r="AO24" s="195">
        <v>0</v>
      </c>
      <c r="AP24" s="195">
        <v>0</v>
      </c>
      <c r="AQ24" s="195">
        <v>0</v>
      </c>
      <c r="AR24" s="195">
        <v>0</v>
      </c>
      <c r="AS24" s="195">
        <v>0</v>
      </c>
      <c r="AT24" s="195">
        <v>0</v>
      </c>
      <c r="AU24" s="195">
        <v>0</v>
      </c>
      <c r="AV24" s="195">
        <v>0</v>
      </c>
      <c r="AW24" s="195">
        <v>0</v>
      </c>
      <c r="AX24" s="195">
        <v>0</v>
      </c>
      <c r="AY24" s="195">
        <v>0</v>
      </c>
      <c r="AZ24" s="195">
        <v>0</v>
      </c>
      <c r="BA24" s="195">
        <v>0</v>
      </c>
      <c r="BB24" s="195">
        <v>0</v>
      </c>
      <c r="BC24" s="195">
        <v>0</v>
      </c>
      <c r="BD24" s="195">
        <v>0</v>
      </c>
      <c r="BE24" s="195">
        <v>0</v>
      </c>
      <c r="BF24" s="195">
        <v>0</v>
      </c>
      <c r="BG24" s="195">
        <v>0</v>
      </c>
      <c r="BH24" s="195">
        <v>0</v>
      </c>
      <c r="BI24" s="195">
        <v>0</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129</v>
      </c>
      <c r="B25" s="195">
        <v>437950560.75999999</v>
      </c>
      <c r="C25" s="195">
        <v>350050363.75999999</v>
      </c>
      <c r="D25" s="195">
        <v>328655127.75999999</v>
      </c>
      <c r="E25" s="195">
        <v>318793498.75999999</v>
      </c>
      <c r="F25" s="195">
        <v>315120170.16000003</v>
      </c>
      <c r="G25" s="195">
        <v>292765929.16000003</v>
      </c>
      <c r="H25" s="195">
        <v>279242582.16000003</v>
      </c>
      <c r="I25" s="195">
        <v>276851198.00999999</v>
      </c>
      <c r="J25" s="195">
        <v>270924227.02999997</v>
      </c>
      <c r="K25" s="195">
        <v>257978907.22</v>
      </c>
      <c r="L25" s="195">
        <v>251855046.22</v>
      </c>
      <c r="M25" s="195">
        <v>247862406.50999999</v>
      </c>
      <c r="N25" s="195">
        <v>236741849.46000001</v>
      </c>
      <c r="O25" s="195">
        <v>216655854.53999999</v>
      </c>
      <c r="P25" s="195">
        <v>200031238</v>
      </c>
      <c r="Q25" s="195">
        <v>194405040.63</v>
      </c>
      <c r="R25" s="195">
        <v>183617475.40000001</v>
      </c>
      <c r="S25" s="195">
        <v>158916404.88999999</v>
      </c>
      <c r="T25" s="195">
        <v>145077500.09</v>
      </c>
      <c r="U25" s="195">
        <v>132800000</v>
      </c>
      <c r="V25" s="195">
        <v>111127195.59999999</v>
      </c>
      <c r="W25" s="195">
        <v>74586241.799999997</v>
      </c>
      <c r="X25" s="195">
        <v>59515956.299999997</v>
      </c>
      <c r="Y25" s="195">
        <v>49782958.600000001</v>
      </c>
      <c r="Z25" s="195">
        <v>41414933.5</v>
      </c>
      <c r="AA25" s="195">
        <v>28148935.699999999</v>
      </c>
      <c r="AB25" s="195">
        <v>3936000</v>
      </c>
      <c r="AC25" s="195">
        <v>1536000</v>
      </c>
      <c r="AD25" s="195">
        <v>0</v>
      </c>
      <c r="AE25" s="195">
        <v>0</v>
      </c>
      <c r="AF25" s="195">
        <v>0</v>
      </c>
      <c r="AG25" s="195">
        <v>0</v>
      </c>
      <c r="AH25" s="195">
        <v>0</v>
      </c>
      <c r="AI25" s="195">
        <v>0</v>
      </c>
      <c r="AJ25" s="195">
        <v>0</v>
      </c>
      <c r="AK25" s="195">
        <v>0</v>
      </c>
      <c r="AL25" s="195">
        <v>0</v>
      </c>
      <c r="AM25" s="195">
        <v>0</v>
      </c>
      <c r="AN25" s="195">
        <v>0</v>
      </c>
      <c r="AO25" s="195">
        <v>0</v>
      </c>
      <c r="AP25" s="195">
        <v>0</v>
      </c>
      <c r="AQ25" s="195">
        <v>0</v>
      </c>
      <c r="AR25" s="195">
        <v>0</v>
      </c>
      <c r="AS25" s="195">
        <v>0</v>
      </c>
      <c r="AT25" s="195">
        <v>0</v>
      </c>
      <c r="AU25" s="195">
        <v>0</v>
      </c>
      <c r="AV25" s="195">
        <v>0</v>
      </c>
      <c r="AW25" s="195">
        <v>0</v>
      </c>
      <c r="AX25" s="195">
        <v>0</v>
      </c>
      <c r="AY25" s="195">
        <v>0</v>
      </c>
      <c r="AZ25" s="195">
        <v>0</v>
      </c>
      <c r="BA25" s="195">
        <v>0</v>
      </c>
      <c r="BB25" s="195">
        <v>0</v>
      </c>
      <c r="BC25" s="195">
        <v>0</v>
      </c>
      <c r="BD25" s="195">
        <v>0</v>
      </c>
      <c r="BE25" s="195">
        <v>0</v>
      </c>
      <c r="BF25" s="195">
        <v>0</v>
      </c>
      <c r="BG25" s="195">
        <v>0</v>
      </c>
      <c r="BH25" s="195">
        <v>0</v>
      </c>
      <c r="BI25" s="195">
        <v>0</v>
      </c>
      <c r="BJ25" s="195">
        <v>0</v>
      </c>
      <c r="BK25" s="195">
        <v>0</v>
      </c>
      <c r="BL25" s="195">
        <v>0</v>
      </c>
      <c r="BM25" s="195">
        <v>0</v>
      </c>
      <c r="BN25" s="195">
        <v>0</v>
      </c>
      <c r="BO25" s="195">
        <v>0</v>
      </c>
      <c r="BP25" s="195">
        <v>0</v>
      </c>
      <c r="BQ25" s="195">
        <v>0</v>
      </c>
      <c r="BR25" s="195">
        <v>0</v>
      </c>
      <c r="BS25" s="195">
        <v>0</v>
      </c>
      <c r="BT25" s="195">
        <v>0</v>
      </c>
      <c r="BU25" s="195">
        <v>0</v>
      </c>
      <c r="BV25" s="195">
        <v>0</v>
      </c>
      <c r="BW25" s="195">
        <v>0</v>
      </c>
      <c r="BX25" s="195">
        <v>0</v>
      </c>
      <c r="BY25" s="195">
        <v>0</v>
      </c>
    </row>
    <row r="26" spans="1:77" x14ac:dyDescent="0.25">
      <c r="A26" s="195" t="s">
        <v>130</v>
      </c>
      <c r="B26" s="195">
        <v>627787416.82000005</v>
      </c>
      <c r="C26" s="195">
        <v>658990960.12</v>
      </c>
      <c r="D26" s="195">
        <v>701222267.13</v>
      </c>
      <c r="E26" s="195">
        <v>525628774</v>
      </c>
      <c r="F26" s="195">
        <v>439010990.86000001</v>
      </c>
      <c r="G26" s="195">
        <v>423076239.13999999</v>
      </c>
      <c r="H26" s="195">
        <v>396232805.06</v>
      </c>
      <c r="I26" s="195">
        <v>363304422.54000002</v>
      </c>
      <c r="J26" s="195">
        <v>347165066.92000002</v>
      </c>
      <c r="K26" s="195">
        <v>201712355.12</v>
      </c>
      <c r="L26" s="195">
        <v>199866279.61000001</v>
      </c>
      <c r="M26" s="195">
        <v>186128063.15000001</v>
      </c>
      <c r="N26" s="195">
        <v>183238489.38999999</v>
      </c>
      <c r="O26" s="195">
        <v>88134046.409999996</v>
      </c>
      <c r="P26" s="195">
        <v>87541640.599999994</v>
      </c>
      <c r="Q26" s="195">
        <v>88740045.579999998</v>
      </c>
      <c r="R26" s="195">
        <v>89817551.180000007</v>
      </c>
      <c r="S26" s="195">
        <v>110355302.09999999</v>
      </c>
      <c r="T26" s="195">
        <v>111075030.09</v>
      </c>
      <c r="U26" s="195">
        <v>112053048.5</v>
      </c>
      <c r="V26" s="195">
        <v>104246705.63</v>
      </c>
      <c r="W26" s="195">
        <v>104731368.75</v>
      </c>
      <c r="X26" s="195">
        <v>104890278.81</v>
      </c>
      <c r="Y26" s="195">
        <v>45173453.939999998</v>
      </c>
      <c r="Z26" s="195">
        <v>39587265.560000002</v>
      </c>
      <c r="AA26" s="195">
        <v>39578345.979999997</v>
      </c>
      <c r="AB26" s="195">
        <v>25083465.170000002</v>
      </c>
      <c r="AC26" s="195">
        <v>25094416.899999999</v>
      </c>
      <c r="AD26" s="195">
        <v>20000000</v>
      </c>
      <c r="AE26" s="195">
        <v>20000000</v>
      </c>
      <c r="AF26" s="195">
        <v>20000000</v>
      </c>
      <c r="AG26" s="195">
        <v>20000000</v>
      </c>
      <c r="AH26" s="195">
        <v>185003873.38999999</v>
      </c>
      <c r="AI26" s="195">
        <v>182955373.99000001</v>
      </c>
      <c r="AJ26" s="195">
        <v>177840883.44</v>
      </c>
      <c r="AK26" s="195">
        <v>198825804.06</v>
      </c>
      <c r="AL26" s="195">
        <v>194442897.80000001</v>
      </c>
      <c r="AM26" s="195">
        <v>190877112.00999999</v>
      </c>
      <c r="AN26" s="195">
        <v>185825567.81999999</v>
      </c>
      <c r="AO26" s="195">
        <v>185339348.78999999</v>
      </c>
      <c r="AP26" s="195">
        <v>185205086.97</v>
      </c>
      <c r="AQ26" s="195">
        <v>34700000</v>
      </c>
      <c r="AR26" s="195">
        <v>97100000</v>
      </c>
      <c r="AS26" s="195">
        <v>34700000</v>
      </c>
      <c r="AT26" s="195">
        <v>34700000</v>
      </c>
      <c r="AU26" s="195">
        <v>54700000</v>
      </c>
      <c r="AV26" s="195">
        <v>54700000</v>
      </c>
      <c r="AW26" s="195">
        <v>54700000</v>
      </c>
      <c r="AX26" s="195">
        <v>34700000</v>
      </c>
      <c r="AY26" s="195">
        <v>34700000</v>
      </c>
      <c r="AZ26" s="195">
        <v>34700000</v>
      </c>
      <c r="BA26" s="195">
        <v>34700000</v>
      </c>
      <c r="BB26" s="195">
        <v>34700000</v>
      </c>
      <c r="BC26" s="195">
        <v>34700000</v>
      </c>
      <c r="BD26" s="195">
        <v>20000000</v>
      </c>
      <c r="BE26" s="195">
        <v>20000000</v>
      </c>
      <c r="BF26" s="195">
        <v>20000000</v>
      </c>
      <c r="BG26" s="195">
        <v>20000000</v>
      </c>
      <c r="BH26" s="195">
        <v>20000000</v>
      </c>
      <c r="BI26" s="195">
        <v>20000000</v>
      </c>
      <c r="BJ26" s="195">
        <v>20000000</v>
      </c>
      <c r="BK26" s="195">
        <v>20000000</v>
      </c>
      <c r="BL26" s="195">
        <v>20000000</v>
      </c>
      <c r="BM26" s="195">
        <v>20000000</v>
      </c>
      <c r="BN26" s="195">
        <v>20000000</v>
      </c>
      <c r="BO26" s="195">
        <v>20000000</v>
      </c>
      <c r="BP26" s="195">
        <v>20000000</v>
      </c>
      <c r="BQ26" s="195">
        <v>20000000</v>
      </c>
      <c r="BR26" s="195">
        <v>0</v>
      </c>
      <c r="BS26" s="195">
        <v>20000000</v>
      </c>
      <c r="BT26" s="195">
        <v>10000000</v>
      </c>
      <c r="BU26" s="195">
        <v>10000000</v>
      </c>
      <c r="BV26" s="195">
        <v>0</v>
      </c>
      <c r="BW26" s="195">
        <v>0</v>
      </c>
      <c r="BX26" s="195">
        <v>0</v>
      </c>
      <c r="BY26" s="195">
        <v>0</v>
      </c>
    </row>
    <row r="27" spans="1:77" x14ac:dyDescent="0.25">
      <c r="A27" s="195" t="s">
        <v>131</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132</v>
      </c>
      <c r="B28" s="195">
        <v>27464792548.049999</v>
      </c>
      <c r="C28" s="195">
        <v>27270488991.490002</v>
      </c>
      <c r="D28" s="195">
        <v>27737713996.049999</v>
      </c>
      <c r="E28" s="195">
        <v>27610330297.200001</v>
      </c>
      <c r="F28" s="195">
        <v>26875745942.34</v>
      </c>
      <c r="G28" s="195">
        <v>27854423659.349998</v>
      </c>
      <c r="H28" s="195">
        <v>28324221866.419998</v>
      </c>
      <c r="I28" s="195">
        <v>28467944952.560001</v>
      </c>
      <c r="J28" s="195">
        <v>28156264803.41</v>
      </c>
      <c r="K28" s="195">
        <v>26260546040.91</v>
      </c>
      <c r="L28" s="195">
        <v>25639838997.040001</v>
      </c>
      <c r="M28" s="195">
        <v>20046292042.669998</v>
      </c>
      <c r="N28" s="195">
        <v>15541120179.26</v>
      </c>
      <c r="O28" s="195">
        <v>14940845999.92</v>
      </c>
      <c r="P28" s="195">
        <v>15202737894.35</v>
      </c>
      <c r="Q28" s="195">
        <v>15194706091.809999</v>
      </c>
      <c r="R28" s="195">
        <v>8282893921.8699999</v>
      </c>
      <c r="S28" s="195">
        <v>8468538152.9799995</v>
      </c>
      <c r="T28" s="195">
        <v>8403429056.3900003</v>
      </c>
      <c r="U28" s="195">
        <v>8581742525.6999998</v>
      </c>
      <c r="V28" s="195">
        <v>8213154455.4200001</v>
      </c>
      <c r="W28" s="195">
        <v>8385445702.21</v>
      </c>
      <c r="X28" s="195">
        <v>8506811642.6899996</v>
      </c>
      <c r="Y28" s="195">
        <v>7331466385.9200001</v>
      </c>
      <c r="Z28" s="195">
        <v>7315834420.8900003</v>
      </c>
      <c r="AA28" s="195">
        <v>7021878815.4799995</v>
      </c>
      <c r="AB28" s="195">
        <v>6973039747.8199997</v>
      </c>
      <c r="AC28" s="195">
        <v>6904926388.5</v>
      </c>
      <c r="AD28" s="195">
        <v>6940526824.6899996</v>
      </c>
      <c r="AE28" s="195">
        <v>6878914363.9200001</v>
      </c>
      <c r="AF28" s="195">
        <v>7028201259.4200001</v>
      </c>
      <c r="AG28" s="195">
        <v>6930473425.6899996</v>
      </c>
      <c r="AH28" s="195">
        <v>3007103038.6199999</v>
      </c>
      <c r="AI28" s="195">
        <v>3044359199.9499998</v>
      </c>
      <c r="AJ28" s="195">
        <v>3113034019.25</v>
      </c>
      <c r="AK28" s="195">
        <v>3171488252.02</v>
      </c>
      <c r="AL28" s="195">
        <v>3140094282.9400001</v>
      </c>
      <c r="AM28" s="195">
        <v>3138735615.9899998</v>
      </c>
      <c r="AN28" s="195">
        <v>3209359193.23</v>
      </c>
      <c r="AO28" s="195">
        <v>3270794999.4699998</v>
      </c>
      <c r="AP28" s="195">
        <v>3053570234.6500001</v>
      </c>
      <c r="AQ28" s="195">
        <v>3048236597.2199998</v>
      </c>
      <c r="AR28" s="195">
        <v>3108392153.2199998</v>
      </c>
      <c r="AS28" s="195">
        <v>3168269562.73</v>
      </c>
      <c r="AT28" s="195">
        <v>3013851800.8699999</v>
      </c>
      <c r="AU28" s="195">
        <v>3002774814.4400001</v>
      </c>
      <c r="AV28" s="195">
        <v>3046470440.8200002</v>
      </c>
      <c r="AW28" s="195">
        <v>3211140565.3099999</v>
      </c>
      <c r="AX28" s="195">
        <v>3011158795.48</v>
      </c>
      <c r="AY28" s="195">
        <v>3052357459.6500001</v>
      </c>
      <c r="AZ28" s="195">
        <v>3100906126.9299998</v>
      </c>
      <c r="BA28" s="195">
        <v>1200821161.1800001</v>
      </c>
      <c r="BB28" s="195">
        <v>514718415.57999998</v>
      </c>
      <c r="BC28" s="195">
        <v>518805666.5</v>
      </c>
      <c r="BD28" s="195">
        <v>530706397.14999998</v>
      </c>
      <c r="BE28" s="195">
        <v>542282212.54999995</v>
      </c>
      <c r="BF28" s="195">
        <v>501338322.23000002</v>
      </c>
      <c r="BG28" s="195">
        <v>511067697.66000003</v>
      </c>
      <c r="BH28" s="195">
        <v>547753811.85000002</v>
      </c>
      <c r="BI28" s="195">
        <v>553857998.78999996</v>
      </c>
      <c r="BJ28" s="195">
        <v>540911117.13999999</v>
      </c>
      <c r="BK28" s="195">
        <v>542975646.75</v>
      </c>
      <c r="BL28" s="195">
        <v>530908025.23000002</v>
      </c>
      <c r="BM28" s="195">
        <v>454547167.70999998</v>
      </c>
      <c r="BN28" s="195">
        <v>407784922.23000002</v>
      </c>
      <c r="BO28" s="195">
        <v>292207357.57999998</v>
      </c>
      <c r="BP28" s="195">
        <v>295216991.61000001</v>
      </c>
      <c r="BQ28" s="195">
        <v>301676687.98000002</v>
      </c>
      <c r="BR28" s="195">
        <v>0</v>
      </c>
      <c r="BS28" s="195">
        <v>272725792.60000002</v>
      </c>
      <c r="BT28" s="195">
        <v>224672437.96000001</v>
      </c>
      <c r="BU28" s="195">
        <v>150440787.72999999</v>
      </c>
      <c r="BV28" s="195">
        <v>161324164.68000001</v>
      </c>
      <c r="BW28" s="195">
        <v>127608573</v>
      </c>
      <c r="BX28" s="195">
        <v>32463099.34</v>
      </c>
      <c r="BY28" s="195">
        <v>0</v>
      </c>
    </row>
    <row r="29" spans="1:77" x14ac:dyDescent="0.25">
      <c r="A29" s="195" t="s">
        <v>133</v>
      </c>
      <c r="B29" s="195">
        <v>10423807208.24</v>
      </c>
      <c r="C29" s="195">
        <v>8084724528.9200001</v>
      </c>
      <c r="D29" s="195">
        <v>6872457661.6599998</v>
      </c>
      <c r="E29" s="195">
        <v>6419934249.79</v>
      </c>
      <c r="F29" s="195">
        <v>6031416257</v>
      </c>
      <c r="G29" s="195">
        <v>4696787548.8599997</v>
      </c>
      <c r="H29" s="195">
        <v>4457048042.8999996</v>
      </c>
      <c r="I29" s="195">
        <v>4244587397.6399999</v>
      </c>
      <c r="J29" s="195">
        <v>4278312350.96</v>
      </c>
      <c r="K29" s="195">
        <v>6820872393.9200001</v>
      </c>
      <c r="L29" s="195">
        <v>7177772668.6300001</v>
      </c>
      <c r="M29" s="195">
        <v>12409182506.280001</v>
      </c>
      <c r="N29" s="195">
        <v>15743094148.309999</v>
      </c>
      <c r="O29" s="195">
        <v>14745305134.66</v>
      </c>
      <c r="P29" s="195">
        <v>13177217443.719999</v>
      </c>
      <c r="Q29" s="195">
        <v>11724952148.09</v>
      </c>
      <c r="R29" s="195">
        <v>14404264121.92</v>
      </c>
      <c r="S29" s="195">
        <v>11690892067.59</v>
      </c>
      <c r="T29" s="195">
        <v>9688718650.8400002</v>
      </c>
      <c r="U29" s="195">
        <v>8111173521.5600004</v>
      </c>
      <c r="V29" s="195">
        <v>5909174119.3299999</v>
      </c>
      <c r="W29" s="195">
        <v>3916253578.0300002</v>
      </c>
      <c r="X29" s="195">
        <v>2859189104.6399999</v>
      </c>
      <c r="Y29" s="195">
        <v>3630499456.2199998</v>
      </c>
      <c r="Z29" s="195">
        <v>2962583503.6999998</v>
      </c>
      <c r="AA29" s="195">
        <v>2391706422.9000001</v>
      </c>
      <c r="AB29" s="195">
        <v>2011894322.96</v>
      </c>
      <c r="AC29" s="195">
        <v>1509477073.0799999</v>
      </c>
      <c r="AD29" s="195">
        <v>633642795.73000002</v>
      </c>
      <c r="AE29" s="195">
        <v>493980592.55000001</v>
      </c>
      <c r="AF29" s="195">
        <v>347731443.24000001</v>
      </c>
      <c r="AG29" s="195">
        <v>424423195.69999999</v>
      </c>
      <c r="AH29" s="195">
        <v>3446348374</v>
      </c>
      <c r="AI29" s="195">
        <v>3200818545.5500002</v>
      </c>
      <c r="AJ29" s="195">
        <v>2838804091.79</v>
      </c>
      <c r="AK29" s="195">
        <v>2284635605.25</v>
      </c>
      <c r="AL29" s="195">
        <v>1083575141.46</v>
      </c>
      <c r="AM29" s="195">
        <v>638819980.21000004</v>
      </c>
      <c r="AN29" s="195">
        <v>491770818.95999998</v>
      </c>
      <c r="AO29" s="195">
        <v>376540145.83999997</v>
      </c>
      <c r="AP29" s="195">
        <v>381557856.75</v>
      </c>
      <c r="AQ29" s="195">
        <v>229158773.31</v>
      </c>
      <c r="AR29" s="195">
        <v>137702688.37</v>
      </c>
      <c r="AS29" s="195">
        <v>137950009.86000001</v>
      </c>
      <c r="AT29" s="195">
        <v>232921459.44999999</v>
      </c>
      <c r="AU29" s="195">
        <v>216472303.81999999</v>
      </c>
      <c r="AV29" s="195">
        <v>175417523.03999999</v>
      </c>
      <c r="AW29" s="195">
        <v>456411720.36000001</v>
      </c>
      <c r="AX29" s="195">
        <v>447891022.47000003</v>
      </c>
      <c r="AY29" s="195">
        <v>443145140.56999999</v>
      </c>
      <c r="AZ29" s="195">
        <v>401111011.37</v>
      </c>
      <c r="BA29" s="195">
        <v>2182697956.2800002</v>
      </c>
      <c r="BB29" s="195">
        <v>2430417924.8699999</v>
      </c>
      <c r="BC29" s="195">
        <v>2128825869.75</v>
      </c>
      <c r="BD29" s="195">
        <v>1567646215.22</v>
      </c>
      <c r="BE29" s="195">
        <v>1448062021.6099999</v>
      </c>
      <c r="BF29" s="195">
        <v>1005064705.1900001</v>
      </c>
      <c r="BG29" s="195">
        <v>711595799.20000005</v>
      </c>
      <c r="BH29" s="195">
        <v>449154961.02999997</v>
      </c>
      <c r="BI29" s="195">
        <v>335369597.91000003</v>
      </c>
      <c r="BJ29" s="195">
        <v>169955328.56999999</v>
      </c>
      <c r="BK29" s="195">
        <v>78548382.790000007</v>
      </c>
      <c r="BL29" s="195">
        <v>55428337.950000003</v>
      </c>
      <c r="BM29" s="195">
        <v>104884481.54000001</v>
      </c>
      <c r="BN29" s="195">
        <v>87543208.420000002</v>
      </c>
      <c r="BO29" s="195">
        <v>159596408.74000001</v>
      </c>
      <c r="BP29" s="195">
        <v>137773801.31999999</v>
      </c>
      <c r="BQ29" s="195">
        <v>112462102.79000001</v>
      </c>
      <c r="BR29" s="195">
        <v>0</v>
      </c>
      <c r="BS29" s="195">
        <v>38609867.270000003</v>
      </c>
      <c r="BT29" s="195">
        <v>0</v>
      </c>
      <c r="BU29" s="195">
        <v>5815857.7999999998</v>
      </c>
      <c r="BV29" s="195">
        <v>1922036.73</v>
      </c>
      <c r="BW29" s="195">
        <v>27771852.27</v>
      </c>
      <c r="BX29" s="195">
        <v>57895730.579999998</v>
      </c>
      <c r="BY29" s="195">
        <v>0</v>
      </c>
    </row>
    <row r="30" spans="1:77" x14ac:dyDescent="0.25">
      <c r="A30" s="195" t="s">
        <v>134</v>
      </c>
      <c r="B30" s="195">
        <v>0</v>
      </c>
      <c r="C30" s="195">
        <v>886582836.88999999</v>
      </c>
      <c r="D30" s="195">
        <v>861655425.39999998</v>
      </c>
      <c r="E30" s="195">
        <v>885595169.94000006</v>
      </c>
      <c r="F30" s="195">
        <v>882519929.28999996</v>
      </c>
      <c r="G30" s="195">
        <v>798436360.15999997</v>
      </c>
      <c r="H30" s="195">
        <v>509536802.60000002</v>
      </c>
      <c r="I30" s="195">
        <v>454182921.75</v>
      </c>
      <c r="J30" s="195">
        <v>491469411.33999997</v>
      </c>
      <c r="K30" s="195">
        <v>380271692.55000001</v>
      </c>
      <c r="L30" s="195">
        <v>302191437.08999997</v>
      </c>
      <c r="M30" s="195">
        <v>288918624.81999999</v>
      </c>
      <c r="N30" s="195">
        <v>547389482.40999997</v>
      </c>
      <c r="O30" s="195">
        <v>1205567516.71</v>
      </c>
      <c r="P30" s="195">
        <v>1427800115.96</v>
      </c>
      <c r="Q30" s="195">
        <v>1651540601.04</v>
      </c>
      <c r="R30" s="195">
        <v>1863114042.3699999</v>
      </c>
      <c r="S30" s="195">
        <v>1803505858.0699999</v>
      </c>
      <c r="T30" s="195">
        <v>1849226197.3099999</v>
      </c>
      <c r="U30" s="195">
        <v>1552221234.21</v>
      </c>
      <c r="V30" s="195">
        <v>829460453.76999998</v>
      </c>
      <c r="W30" s="195">
        <v>521719015.51999998</v>
      </c>
      <c r="X30" s="195">
        <v>123543631.48</v>
      </c>
      <c r="Y30" s="195">
        <v>74954357.370000005</v>
      </c>
      <c r="Z30" s="195">
        <v>50784079.869999997</v>
      </c>
      <c r="AA30" s="195">
        <v>149599659.69</v>
      </c>
      <c r="AB30" s="195">
        <v>107423564.48</v>
      </c>
      <c r="AC30" s="195">
        <v>90320650.329999998</v>
      </c>
      <c r="AD30" s="195">
        <v>169707539.15000001</v>
      </c>
      <c r="AE30" s="195">
        <v>98203090.900000006</v>
      </c>
      <c r="AF30" s="195">
        <v>87688597.280000001</v>
      </c>
      <c r="AG30" s="195">
        <v>47176215.990000002</v>
      </c>
      <c r="AH30" s="195">
        <v>38781152.18</v>
      </c>
      <c r="AI30" s="195">
        <v>62456250.670000002</v>
      </c>
      <c r="AJ30" s="195">
        <v>60619543.990000002</v>
      </c>
      <c r="AK30" s="195">
        <v>68479219.390000001</v>
      </c>
      <c r="AL30" s="195">
        <v>342783774.69</v>
      </c>
      <c r="AM30" s="195">
        <v>109587347.72</v>
      </c>
      <c r="AN30" s="195">
        <v>23007901.109999999</v>
      </c>
      <c r="AO30" s="195">
        <v>20337394.030000001</v>
      </c>
      <c r="AP30" s="195">
        <v>37609033.420000002</v>
      </c>
      <c r="AQ30" s="195">
        <v>36792191.539999999</v>
      </c>
      <c r="AR30" s="195">
        <v>14026281.85</v>
      </c>
      <c r="AS30" s="195">
        <v>10714561.92</v>
      </c>
      <c r="AT30" s="195">
        <v>28452837.210000001</v>
      </c>
      <c r="AU30" s="195">
        <v>16626422.9</v>
      </c>
      <c r="AV30" s="195">
        <v>9072492.3200000003</v>
      </c>
      <c r="AW30" s="195">
        <v>11944548.27</v>
      </c>
      <c r="AX30" s="195">
        <v>64029206.469999999</v>
      </c>
      <c r="AY30" s="195">
        <v>23944836.23</v>
      </c>
      <c r="AZ30" s="195">
        <v>24216537.629999999</v>
      </c>
      <c r="BA30" s="195">
        <v>69390655.019999996</v>
      </c>
      <c r="BB30" s="195">
        <v>164022357.93000001</v>
      </c>
      <c r="BC30" s="195">
        <v>216680985.99000001</v>
      </c>
      <c r="BD30" s="195">
        <v>309795637.45999998</v>
      </c>
      <c r="BE30" s="195">
        <v>79060026.879999995</v>
      </c>
      <c r="BF30" s="195">
        <v>66192681.979999997</v>
      </c>
      <c r="BG30" s="195">
        <v>236307.9</v>
      </c>
      <c r="BH30" s="195">
        <v>74485.2</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135</v>
      </c>
      <c r="B31" s="195">
        <v>0</v>
      </c>
      <c r="C31" s="195">
        <v>0</v>
      </c>
      <c r="D31" s="195">
        <v>0</v>
      </c>
      <c r="E31" s="195">
        <v>0</v>
      </c>
      <c r="F31" s="195">
        <v>0</v>
      </c>
      <c r="G31" s="195">
        <v>0</v>
      </c>
      <c r="H31" s="195">
        <v>0</v>
      </c>
      <c r="I31" s="195">
        <v>0</v>
      </c>
      <c r="J31" s="195">
        <v>0</v>
      </c>
      <c r="K31" s="195">
        <v>0</v>
      </c>
      <c r="L31" s="195">
        <v>0</v>
      </c>
      <c r="M31" s="195">
        <v>0</v>
      </c>
      <c r="N31" s="195">
        <v>0</v>
      </c>
      <c r="O31" s="195">
        <v>0</v>
      </c>
      <c r="P31" s="195">
        <v>0</v>
      </c>
      <c r="Q31" s="195">
        <v>0</v>
      </c>
      <c r="R31" s="195">
        <v>0</v>
      </c>
      <c r="S31" s="195">
        <v>0</v>
      </c>
      <c r="T31" s="195">
        <v>0</v>
      </c>
      <c r="U31" s="195">
        <v>0</v>
      </c>
      <c r="V31" s="195">
        <v>0</v>
      </c>
      <c r="W31" s="195">
        <v>0</v>
      </c>
      <c r="X31" s="195">
        <v>0</v>
      </c>
      <c r="Y31" s="195">
        <v>0</v>
      </c>
      <c r="Z31" s="195">
        <v>0</v>
      </c>
      <c r="AA31" s="195">
        <v>0</v>
      </c>
      <c r="AB31" s="195">
        <v>0</v>
      </c>
      <c r="AC31" s="195">
        <v>0</v>
      </c>
      <c r="AD31" s="195">
        <v>0</v>
      </c>
      <c r="AE31" s="195">
        <v>0</v>
      </c>
      <c r="AF31" s="195">
        <v>0</v>
      </c>
      <c r="AG31" s="195">
        <v>0</v>
      </c>
      <c r="AH31" s="195">
        <v>-4275</v>
      </c>
      <c r="AI31" s="195">
        <v>0</v>
      </c>
      <c r="AJ31" s="195">
        <v>0</v>
      </c>
      <c r="AK31" s="195">
        <v>0</v>
      </c>
      <c r="AL31" s="195">
        <v>0</v>
      </c>
      <c r="AM31" s="195">
        <v>0</v>
      </c>
      <c r="AN31" s="195">
        <v>20717.84</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row r="32" spans="1:77" x14ac:dyDescent="0.25">
      <c r="A32" s="195" t="s">
        <v>136</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0</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195">
        <v>0</v>
      </c>
      <c r="BV32" s="195">
        <v>0</v>
      </c>
      <c r="BW32" s="195">
        <v>0</v>
      </c>
      <c r="BX32" s="195">
        <v>0</v>
      </c>
      <c r="BY32" s="195">
        <v>0</v>
      </c>
    </row>
    <row r="33" spans="1:77" x14ac:dyDescent="0.25">
      <c r="A33" s="195" t="s">
        <v>137</v>
      </c>
      <c r="B33" s="195">
        <v>0</v>
      </c>
      <c r="C33" s="195">
        <v>0</v>
      </c>
      <c r="D33" s="195">
        <v>0</v>
      </c>
      <c r="E33" s="195">
        <v>0</v>
      </c>
      <c r="F33" s="195">
        <v>0</v>
      </c>
      <c r="G33" s="195">
        <v>0</v>
      </c>
      <c r="H33" s="195">
        <v>0</v>
      </c>
      <c r="I33" s="195">
        <v>0</v>
      </c>
      <c r="J33" s="195">
        <v>0</v>
      </c>
      <c r="K33" s="195">
        <v>0</v>
      </c>
      <c r="L33" s="195">
        <v>0</v>
      </c>
      <c r="M33" s="195">
        <v>0</v>
      </c>
      <c r="N33" s="195">
        <v>0</v>
      </c>
      <c r="O33" s="195">
        <v>0</v>
      </c>
      <c r="P33" s="195">
        <v>0</v>
      </c>
      <c r="Q33" s="195">
        <v>0</v>
      </c>
      <c r="R33" s="195">
        <v>0</v>
      </c>
      <c r="S33" s="195">
        <v>0</v>
      </c>
      <c r="T33" s="195">
        <v>0</v>
      </c>
      <c r="U33" s="195">
        <v>0</v>
      </c>
      <c r="V33" s="195">
        <v>0</v>
      </c>
      <c r="W33" s="195">
        <v>0</v>
      </c>
      <c r="X33" s="195">
        <v>0</v>
      </c>
      <c r="Y33" s="195">
        <v>0</v>
      </c>
      <c r="Z33" s="195">
        <v>0</v>
      </c>
      <c r="AA33" s="195">
        <v>0</v>
      </c>
      <c r="AB33" s="195">
        <v>0</v>
      </c>
      <c r="AC33" s="195">
        <v>0</v>
      </c>
      <c r="AD33" s="195">
        <v>0</v>
      </c>
      <c r="AE33" s="195">
        <v>0</v>
      </c>
      <c r="AF33" s="195">
        <v>0</v>
      </c>
      <c r="AG33" s="195">
        <v>0</v>
      </c>
      <c r="AH33" s="195">
        <v>0</v>
      </c>
      <c r="AI33" s="195">
        <v>0</v>
      </c>
      <c r="AJ33" s="195">
        <v>0</v>
      </c>
      <c r="AK33" s="195">
        <v>0</v>
      </c>
      <c r="AL33" s="195">
        <v>0</v>
      </c>
      <c r="AM33" s="195">
        <v>0</v>
      </c>
      <c r="AN33" s="195">
        <v>0</v>
      </c>
      <c r="AO33" s="195">
        <v>0</v>
      </c>
      <c r="AP33" s="195">
        <v>0</v>
      </c>
      <c r="AQ33" s="195">
        <v>0</v>
      </c>
      <c r="AR33" s="195">
        <v>0</v>
      </c>
      <c r="AS33" s="195">
        <v>0</v>
      </c>
      <c r="AT33" s="195">
        <v>0</v>
      </c>
      <c r="AU33" s="195">
        <v>0</v>
      </c>
      <c r="AV33" s="195">
        <v>0</v>
      </c>
      <c r="AW33" s="195">
        <v>0</v>
      </c>
      <c r="AX33" s="195">
        <v>0</v>
      </c>
      <c r="AY33" s="195">
        <v>0</v>
      </c>
      <c r="AZ33" s="195">
        <v>0</v>
      </c>
      <c r="BA33" s="195">
        <v>0</v>
      </c>
      <c r="BB33" s="195">
        <v>0</v>
      </c>
      <c r="BC33" s="195">
        <v>0</v>
      </c>
      <c r="BD33" s="195">
        <v>0</v>
      </c>
      <c r="BE33" s="195">
        <v>0</v>
      </c>
      <c r="BF33" s="195">
        <v>0</v>
      </c>
      <c r="BG33" s="195">
        <v>0</v>
      </c>
      <c r="BH33" s="195">
        <v>0</v>
      </c>
      <c r="BI33" s="195">
        <v>0</v>
      </c>
      <c r="BJ33" s="195">
        <v>0</v>
      </c>
      <c r="BK33" s="195">
        <v>0</v>
      </c>
      <c r="BL33" s="195">
        <v>0</v>
      </c>
      <c r="BM33" s="195">
        <v>0</v>
      </c>
      <c r="BN33" s="195">
        <v>0</v>
      </c>
      <c r="BO33" s="195">
        <v>0</v>
      </c>
      <c r="BP33" s="195">
        <v>0</v>
      </c>
      <c r="BQ33" s="195">
        <v>0</v>
      </c>
      <c r="BR33" s="195">
        <v>0</v>
      </c>
      <c r="BS33" s="195">
        <v>0</v>
      </c>
      <c r="BT33" s="195">
        <v>0</v>
      </c>
      <c r="BU33" s="195">
        <v>0</v>
      </c>
      <c r="BV33" s="195">
        <v>0</v>
      </c>
      <c r="BW33" s="195">
        <v>0</v>
      </c>
      <c r="BX33" s="195">
        <v>0</v>
      </c>
      <c r="BY33" s="195">
        <v>0</v>
      </c>
    </row>
    <row r="34" spans="1:77" x14ac:dyDescent="0.25">
      <c r="A34" s="195" t="s">
        <v>138</v>
      </c>
      <c r="B34" s="195">
        <v>0</v>
      </c>
      <c r="C34" s="195">
        <v>0</v>
      </c>
      <c r="D34" s="195">
        <v>0</v>
      </c>
      <c r="E34" s="195">
        <v>0</v>
      </c>
      <c r="F34" s="195">
        <v>0</v>
      </c>
      <c r="G34" s="195">
        <v>0</v>
      </c>
      <c r="H34" s="195">
        <v>0</v>
      </c>
      <c r="I34" s="195">
        <v>0</v>
      </c>
      <c r="J34" s="195">
        <v>0</v>
      </c>
      <c r="K34" s="195">
        <v>0</v>
      </c>
      <c r="L34" s="195">
        <v>0</v>
      </c>
      <c r="M34" s="195">
        <v>0</v>
      </c>
      <c r="N34" s="195">
        <v>0</v>
      </c>
      <c r="O34" s="195">
        <v>0</v>
      </c>
      <c r="P34" s="195">
        <v>0</v>
      </c>
      <c r="Q34" s="195">
        <v>0</v>
      </c>
      <c r="R34" s="195">
        <v>0</v>
      </c>
      <c r="S34" s="195">
        <v>0</v>
      </c>
      <c r="T34" s="195">
        <v>0</v>
      </c>
      <c r="U34" s="195">
        <v>0</v>
      </c>
      <c r="V34" s="195">
        <v>0</v>
      </c>
      <c r="W34" s="195">
        <v>0</v>
      </c>
      <c r="X34" s="195">
        <v>0</v>
      </c>
      <c r="Y34" s="195">
        <v>0</v>
      </c>
      <c r="Z34" s="195">
        <v>0</v>
      </c>
      <c r="AA34" s="195">
        <v>0</v>
      </c>
      <c r="AB34" s="195">
        <v>0</v>
      </c>
      <c r="AC34" s="195">
        <v>0</v>
      </c>
      <c r="AD34" s="195">
        <v>0</v>
      </c>
      <c r="AE34" s="195">
        <v>0</v>
      </c>
      <c r="AF34" s="195">
        <v>0</v>
      </c>
      <c r="AG34" s="195">
        <v>0</v>
      </c>
      <c r="AH34" s="195">
        <v>0</v>
      </c>
      <c r="AI34" s="195">
        <v>0</v>
      </c>
      <c r="AJ34" s="195">
        <v>0</v>
      </c>
      <c r="AK34" s="195">
        <v>0</v>
      </c>
      <c r="AL34" s="195">
        <v>0</v>
      </c>
      <c r="AM34" s="195">
        <v>0</v>
      </c>
      <c r="AN34" s="195">
        <v>0</v>
      </c>
      <c r="AO34" s="195">
        <v>0</v>
      </c>
      <c r="AP34" s="195">
        <v>0</v>
      </c>
      <c r="AQ34" s="195">
        <v>0</v>
      </c>
      <c r="AR34" s="195">
        <v>0</v>
      </c>
      <c r="AS34" s="195">
        <v>0</v>
      </c>
      <c r="AT34" s="195">
        <v>0</v>
      </c>
      <c r="AU34" s="195">
        <v>0</v>
      </c>
      <c r="AV34" s="195">
        <v>0</v>
      </c>
      <c r="AW34" s="195">
        <v>0</v>
      </c>
      <c r="AX34" s="195">
        <v>0</v>
      </c>
      <c r="AY34" s="195">
        <v>0</v>
      </c>
      <c r="AZ34" s="195">
        <v>0</v>
      </c>
      <c r="BA34" s="195">
        <v>0</v>
      </c>
      <c r="BB34" s="195">
        <v>0</v>
      </c>
      <c r="BC34" s="195">
        <v>0</v>
      </c>
      <c r="BD34" s="195">
        <v>0</v>
      </c>
      <c r="BE34" s="195">
        <v>0</v>
      </c>
      <c r="BF34" s="195">
        <v>0</v>
      </c>
      <c r="BG34" s="195">
        <v>0</v>
      </c>
      <c r="BH34" s="195">
        <v>0</v>
      </c>
      <c r="BI34" s="195">
        <v>0</v>
      </c>
      <c r="BJ34" s="195">
        <v>0</v>
      </c>
      <c r="BK34" s="195">
        <v>0</v>
      </c>
      <c r="BL34" s="195">
        <v>0</v>
      </c>
      <c r="BM34" s="195">
        <v>0</v>
      </c>
      <c r="BN34" s="195">
        <v>0</v>
      </c>
      <c r="BO34" s="195">
        <v>0</v>
      </c>
      <c r="BP34" s="195">
        <v>0</v>
      </c>
      <c r="BQ34" s="195">
        <v>0</v>
      </c>
      <c r="BR34" s="195">
        <v>0</v>
      </c>
      <c r="BS34" s="195">
        <v>0</v>
      </c>
      <c r="BT34" s="195">
        <v>0</v>
      </c>
      <c r="BU34" s="195">
        <v>0</v>
      </c>
      <c r="BV34" s="195">
        <v>0</v>
      </c>
      <c r="BW34" s="195">
        <v>0</v>
      </c>
      <c r="BX34" s="195">
        <v>0</v>
      </c>
      <c r="BY34" s="195">
        <v>0</v>
      </c>
    </row>
    <row r="35" spans="1:77" x14ac:dyDescent="0.25">
      <c r="A35" s="195" t="s">
        <v>139</v>
      </c>
      <c r="B35" s="195">
        <v>3099914565.2600002</v>
      </c>
      <c r="C35" s="195">
        <v>2473919642.7199998</v>
      </c>
      <c r="D35" s="195">
        <v>2486784167.23</v>
      </c>
      <c r="E35" s="195">
        <v>2521052340.8299999</v>
      </c>
      <c r="F35" s="195">
        <v>2515787026.27</v>
      </c>
      <c r="G35" s="195">
        <v>2540428030.3800001</v>
      </c>
      <c r="H35" s="195">
        <v>2575537098.3000002</v>
      </c>
      <c r="I35" s="195">
        <v>2611559168.7399998</v>
      </c>
      <c r="J35" s="195">
        <v>2633621929.3600001</v>
      </c>
      <c r="K35" s="195">
        <v>2468350588.0799999</v>
      </c>
      <c r="L35" s="195">
        <v>2353185070.5500002</v>
      </c>
      <c r="M35" s="195">
        <v>2252000441.8899999</v>
      </c>
      <c r="N35" s="195">
        <v>1829545293.73</v>
      </c>
      <c r="O35" s="195">
        <v>1621388446.21</v>
      </c>
      <c r="P35" s="195">
        <v>1594428526.8399999</v>
      </c>
      <c r="Q35" s="195">
        <v>1611644411.28</v>
      </c>
      <c r="R35" s="195">
        <v>1578873505.55</v>
      </c>
      <c r="S35" s="195">
        <v>1586145945.1199999</v>
      </c>
      <c r="T35" s="195">
        <v>1528729050.28</v>
      </c>
      <c r="U35" s="195">
        <v>1435194979.3</v>
      </c>
      <c r="V35" s="195">
        <v>1285790446.0599999</v>
      </c>
      <c r="W35" s="195">
        <v>1296214029.1600001</v>
      </c>
      <c r="X35" s="195">
        <v>1302363684.6900001</v>
      </c>
      <c r="Y35" s="195">
        <v>1200726989.6900001</v>
      </c>
      <c r="Z35" s="195">
        <v>807676004.94000006</v>
      </c>
      <c r="AA35" s="195">
        <v>801715135.16999996</v>
      </c>
      <c r="AB35" s="195">
        <v>801725008.40999997</v>
      </c>
      <c r="AC35" s="195">
        <v>807053366.02999997</v>
      </c>
      <c r="AD35" s="195">
        <v>892022868.63999999</v>
      </c>
      <c r="AE35" s="195">
        <v>891762689.20000005</v>
      </c>
      <c r="AF35" s="195">
        <v>749525786.65999997</v>
      </c>
      <c r="AG35" s="195">
        <v>229348714.94999999</v>
      </c>
      <c r="AH35" s="195">
        <v>147563241.53</v>
      </c>
      <c r="AI35" s="195">
        <v>139155294</v>
      </c>
      <c r="AJ35" s="195">
        <v>139500745.62</v>
      </c>
      <c r="AK35" s="195">
        <v>136840125.19999999</v>
      </c>
      <c r="AL35" s="195">
        <v>137774764.36000001</v>
      </c>
      <c r="AM35" s="195">
        <v>139201486.81999999</v>
      </c>
      <c r="AN35" s="195">
        <v>142555459.21000001</v>
      </c>
      <c r="AO35" s="195">
        <v>143840660.94999999</v>
      </c>
      <c r="AP35" s="195">
        <v>130642293.51000001</v>
      </c>
      <c r="AQ35" s="195">
        <v>131699029.61</v>
      </c>
      <c r="AR35" s="195">
        <v>134651300.81</v>
      </c>
      <c r="AS35" s="195">
        <v>130794538.09</v>
      </c>
      <c r="AT35" s="195">
        <v>131844781.08</v>
      </c>
      <c r="AU35" s="195">
        <v>132776290.97</v>
      </c>
      <c r="AV35" s="195">
        <v>124557800.87</v>
      </c>
      <c r="AW35" s="195">
        <v>1344033.32</v>
      </c>
      <c r="AX35" s="195">
        <v>9077495.0299999993</v>
      </c>
      <c r="AY35" s="195">
        <v>17100</v>
      </c>
      <c r="AZ35" s="195">
        <v>21375</v>
      </c>
      <c r="BA35" s="195">
        <v>25650</v>
      </c>
      <c r="BB35" s="195">
        <v>29925</v>
      </c>
      <c r="BC35" s="195">
        <v>34200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0</v>
      </c>
      <c r="BU35" s="195">
        <v>0</v>
      </c>
      <c r="BV35" s="195">
        <v>0</v>
      </c>
      <c r="BW35" s="195">
        <v>0</v>
      </c>
      <c r="BX35" s="195">
        <v>0</v>
      </c>
      <c r="BY35" s="195">
        <v>0</v>
      </c>
    </row>
    <row r="36" spans="1:77" x14ac:dyDescent="0.25">
      <c r="A36" s="195" t="s">
        <v>140</v>
      </c>
      <c r="B36" s="195">
        <v>0</v>
      </c>
      <c r="C36" s="195">
        <v>0</v>
      </c>
      <c r="D36" s="195">
        <v>0</v>
      </c>
      <c r="E36" s="195">
        <v>0</v>
      </c>
      <c r="F36" s="195">
        <v>0</v>
      </c>
      <c r="G36" s="195">
        <v>0</v>
      </c>
      <c r="H36" s="195">
        <v>0</v>
      </c>
      <c r="I36" s="195">
        <v>0</v>
      </c>
      <c r="J36" s="195">
        <v>0</v>
      </c>
      <c r="K36" s="195">
        <v>0</v>
      </c>
      <c r="L36" s="195">
        <v>0</v>
      </c>
      <c r="M36" s="195">
        <v>0</v>
      </c>
      <c r="N36" s="195">
        <v>0</v>
      </c>
      <c r="O36" s="195">
        <v>0</v>
      </c>
      <c r="P36" s="195">
        <v>0</v>
      </c>
      <c r="Q36" s="195">
        <v>0</v>
      </c>
      <c r="R36" s="195">
        <v>0</v>
      </c>
      <c r="S36" s="195">
        <v>0</v>
      </c>
      <c r="T36" s="195">
        <v>0</v>
      </c>
      <c r="U36" s="195">
        <v>0</v>
      </c>
      <c r="V36" s="195">
        <v>0</v>
      </c>
      <c r="W36" s="195">
        <v>0</v>
      </c>
      <c r="X36" s="195">
        <v>0</v>
      </c>
      <c r="Y36" s="195">
        <v>0</v>
      </c>
      <c r="Z36" s="195">
        <v>0</v>
      </c>
      <c r="AA36" s="195">
        <v>0</v>
      </c>
      <c r="AB36" s="195">
        <v>0</v>
      </c>
      <c r="AC36" s="195">
        <v>0</v>
      </c>
      <c r="AD36" s="195">
        <v>0</v>
      </c>
      <c r="AE36" s="195">
        <v>0</v>
      </c>
      <c r="AF36" s="195">
        <v>0</v>
      </c>
      <c r="AG36" s="195">
        <v>0</v>
      </c>
      <c r="AH36" s="195">
        <v>0</v>
      </c>
      <c r="AI36" s="195">
        <v>0</v>
      </c>
      <c r="AJ36" s="195">
        <v>0</v>
      </c>
      <c r="AK36" s="195">
        <v>0</v>
      </c>
      <c r="AL36" s="195">
        <v>0</v>
      </c>
      <c r="AM36" s="195">
        <v>0</v>
      </c>
      <c r="AN36" s="195">
        <v>0</v>
      </c>
      <c r="AO36" s="195">
        <v>0</v>
      </c>
      <c r="AP36" s="195">
        <v>0</v>
      </c>
      <c r="AQ36" s="195">
        <v>0</v>
      </c>
      <c r="AR36" s="195">
        <v>0</v>
      </c>
      <c r="AS36" s="195">
        <v>0</v>
      </c>
      <c r="AT36" s="195">
        <v>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c r="BU36" s="195">
        <v>0</v>
      </c>
      <c r="BV36" s="195">
        <v>0</v>
      </c>
      <c r="BW36" s="195">
        <v>0</v>
      </c>
      <c r="BX36" s="195">
        <v>0</v>
      </c>
      <c r="BY36" s="195">
        <v>0</v>
      </c>
    </row>
    <row r="37" spans="1:77" x14ac:dyDescent="0.25">
      <c r="A37" s="195" t="s">
        <v>141</v>
      </c>
      <c r="B37" s="195">
        <v>277518585.35000002</v>
      </c>
      <c r="C37" s="195">
        <v>277518585.35000002</v>
      </c>
      <c r="D37" s="195">
        <v>277518585.35000002</v>
      </c>
      <c r="E37" s="195">
        <v>277518585.35000002</v>
      </c>
      <c r="F37" s="195">
        <v>277518585.35000002</v>
      </c>
      <c r="G37" s="195">
        <v>277518585.35000002</v>
      </c>
      <c r="H37" s="195">
        <v>277518585.35000002</v>
      </c>
      <c r="I37" s="195">
        <v>277518585.35000002</v>
      </c>
      <c r="J37" s="195">
        <v>277518585.35000002</v>
      </c>
      <c r="K37" s="195">
        <v>277518585.35000002</v>
      </c>
      <c r="L37" s="195">
        <v>277518585.35000002</v>
      </c>
      <c r="M37" s="195">
        <v>277518585.35000002</v>
      </c>
      <c r="N37" s="195">
        <v>277518585.35000002</v>
      </c>
      <c r="O37" s="195">
        <v>277518585.35000002</v>
      </c>
      <c r="P37" s="195">
        <v>277518585.35000002</v>
      </c>
      <c r="Q37" s="195">
        <v>277518585.35000002</v>
      </c>
      <c r="R37" s="195">
        <v>277518585.35000002</v>
      </c>
      <c r="S37" s="195">
        <v>277518585.35000002</v>
      </c>
      <c r="T37" s="195">
        <v>277518585.35000002</v>
      </c>
      <c r="U37" s="195">
        <v>277518585.35000002</v>
      </c>
      <c r="V37" s="195">
        <v>277518585.35000002</v>
      </c>
      <c r="W37" s="195">
        <v>277518585.35000002</v>
      </c>
      <c r="X37" s="195">
        <v>277518585.35000002</v>
      </c>
      <c r="Y37" s="195">
        <v>277518585.35000002</v>
      </c>
      <c r="Z37" s="195">
        <v>277518585.35000002</v>
      </c>
      <c r="AA37" s="195">
        <v>277518585.35000002</v>
      </c>
      <c r="AB37" s="195">
        <v>277518585.35000002</v>
      </c>
      <c r="AC37" s="195">
        <v>277518585.35000002</v>
      </c>
      <c r="AD37" s="195">
        <v>277518585.35000002</v>
      </c>
      <c r="AE37" s="195">
        <v>277518585.35000002</v>
      </c>
      <c r="AF37" s="195">
        <v>277518585.35000002</v>
      </c>
      <c r="AG37" s="195">
        <v>277518585.35000002</v>
      </c>
      <c r="AH37" s="195">
        <v>0</v>
      </c>
      <c r="AI37" s="195">
        <v>0</v>
      </c>
      <c r="AJ37" s="195">
        <v>0</v>
      </c>
      <c r="AK37" s="195">
        <v>0</v>
      </c>
      <c r="AL37" s="195">
        <v>0</v>
      </c>
      <c r="AM37" s="195">
        <v>0</v>
      </c>
      <c r="AN37" s="195">
        <v>0</v>
      </c>
      <c r="AO37" s="195">
        <v>0</v>
      </c>
      <c r="AP37" s="195">
        <v>0</v>
      </c>
      <c r="AQ37" s="195">
        <v>0</v>
      </c>
      <c r="AR37" s="195">
        <v>0</v>
      </c>
      <c r="AS37" s="195">
        <v>0</v>
      </c>
      <c r="AT37" s="195">
        <v>0</v>
      </c>
      <c r="AU37" s="195">
        <v>0</v>
      </c>
      <c r="AV37" s="195">
        <v>0</v>
      </c>
      <c r="AW37" s="195">
        <v>0</v>
      </c>
      <c r="AX37" s="195">
        <v>0</v>
      </c>
      <c r="AY37" s="195">
        <v>0</v>
      </c>
      <c r="AZ37" s="195">
        <v>0</v>
      </c>
      <c r="BA37" s="195">
        <v>0</v>
      </c>
      <c r="BB37" s="195">
        <v>0</v>
      </c>
      <c r="BC37" s="195">
        <v>0</v>
      </c>
      <c r="BD37" s="195">
        <v>0</v>
      </c>
      <c r="BE37" s="195">
        <v>0</v>
      </c>
      <c r="BF37" s="195">
        <v>0</v>
      </c>
      <c r="BG37" s="195">
        <v>0</v>
      </c>
      <c r="BH37" s="195">
        <v>0</v>
      </c>
      <c r="BI37" s="195">
        <v>0</v>
      </c>
      <c r="BJ37" s="195">
        <v>0</v>
      </c>
      <c r="BK37" s="195">
        <v>0</v>
      </c>
      <c r="BL37" s="195">
        <v>0</v>
      </c>
      <c r="BM37" s="195">
        <v>0</v>
      </c>
      <c r="BN37" s="195">
        <v>0</v>
      </c>
      <c r="BO37" s="195">
        <v>0</v>
      </c>
      <c r="BP37" s="195">
        <v>0</v>
      </c>
      <c r="BQ37" s="195">
        <v>0</v>
      </c>
      <c r="BR37" s="195">
        <v>0</v>
      </c>
      <c r="BS37" s="195">
        <v>0</v>
      </c>
      <c r="BT37" s="195">
        <v>0</v>
      </c>
      <c r="BU37" s="195">
        <v>0</v>
      </c>
      <c r="BV37" s="195">
        <v>0</v>
      </c>
      <c r="BW37" s="195">
        <v>0</v>
      </c>
      <c r="BX37" s="195">
        <v>0</v>
      </c>
      <c r="BY37" s="195">
        <v>0</v>
      </c>
    </row>
    <row r="38" spans="1:77" x14ac:dyDescent="0.25">
      <c r="A38" s="195" t="s">
        <v>142</v>
      </c>
      <c r="B38" s="195">
        <v>10896719.52</v>
      </c>
      <c r="C38" s="195">
        <v>12468105.83</v>
      </c>
      <c r="D38" s="195">
        <v>13302887.24</v>
      </c>
      <c r="E38" s="195">
        <v>15473499.25</v>
      </c>
      <c r="F38" s="195">
        <v>17622282.879999999</v>
      </c>
      <c r="G38" s="195">
        <v>19681876.82</v>
      </c>
      <c r="H38" s="195">
        <v>15810421.939999999</v>
      </c>
      <c r="I38" s="195">
        <v>17564859.399999999</v>
      </c>
      <c r="J38" s="195">
        <v>19323199.719999999</v>
      </c>
      <c r="K38" s="195">
        <v>21046248.030000001</v>
      </c>
      <c r="L38" s="195">
        <v>0</v>
      </c>
      <c r="M38" s="195">
        <v>0</v>
      </c>
      <c r="N38" s="195">
        <v>46660538.18</v>
      </c>
      <c r="O38" s="195">
        <v>50374363.799999997</v>
      </c>
      <c r="P38" s="195">
        <v>51803672.229999997</v>
      </c>
      <c r="Q38" s="195">
        <v>33355660.239999998</v>
      </c>
      <c r="R38" s="195">
        <v>25996932.469999999</v>
      </c>
      <c r="S38" s="195">
        <v>21984196.449999999</v>
      </c>
      <c r="T38" s="195">
        <v>14765244.619999999</v>
      </c>
      <c r="U38" s="195">
        <v>13723209.26</v>
      </c>
      <c r="V38" s="195">
        <v>16599815.57</v>
      </c>
      <c r="W38" s="195">
        <v>14238429.369999999</v>
      </c>
      <c r="X38" s="195">
        <v>14869651.33</v>
      </c>
      <c r="Y38" s="195">
        <v>15252834.609999999</v>
      </c>
      <c r="Z38" s="195">
        <v>15580998.27</v>
      </c>
      <c r="AA38" s="195">
        <v>14217698.58</v>
      </c>
      <c r="AB38" s="195">
        <v>9641738.0899999999</v>
      </c>
      <c r="AC38" s="195">
        <v>10955655.74</v>
      </c>
      <c r="AD38" s="195">
        <v>11909469.25</v>
      </c>
      <c r="AE38" s="195">
        <v>12686718.390000001</v>
      </c>
      <c r="AF38" s="195">
        <v>8045069.8899999997</v>
      </c>
      <c r="AG38" s="195">
        <v>8922775.6600000001</v>
      </c>
      <c r="AH38" s="195">
        <v>581627.39</v>
      </c>
      <c r="AI38" s="195">
        <v>98285.06</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1292188.47</v>
      </c>
      <c r="BB38" s="195">
        <v>6829440.0199999996</v>
      </c>
      <c r="BC38" s="195">
        <v>4985131.4400000004</v>
      </c>
      <c r="BD38" s="195">
        <v>727557.32</v>
      </c>
      <c r="BE38" s="195">
        <v>727557.32</v>
      </c>
      <c r="BF38" s="195">
        <v>485419.63</v>
      </c>
      <c r="BG38" s="195">
        <v>485419.63</v>
      </c>
      <c r="BH38" s="195">
        <v>485419.63</v>
      </c>
      <c r="BI38" s="195">
        <v>485419.63</v>
      </c>
      <c r="BJ38" s="195">
        <v>354664.93</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row>
    <row r="39" spans="1:77" x14ac:dyDescent="0.25">
      <c r="A39" s="195" t="s">
        <v>143</v>
      </c>
      <c r="B39" s="195">
        <v>1093651228.55</v>
      </c>
      <c r="C39" s="195">
        <v>988608457.95000005</v>
      </c>
      <c r="D39" s="195">
        <v>965237825.39999998</v>
      </c>
      <c r="E39" s="195">
        <v>1025337106.74</v>
      </c>
      <c r="F39" s="195">
        <v>971554072.52999997</v>
      </c>
      <c r="G39" s="195">
        <v>644164375.10000002</v>
      </c>
      <c r="H39" s="195">
        <v>558368491.55999994</v>
      </c>
      <c r="I39" s="195">
        <v>447603763.74000001</v>
      </c>
      <c r="J39" s="195">
        <v>454082024.14999998</v>
      </c>
      <c r="K39" s="195">
        <v>373086228.72000003</v>
      </c>
      <c r="L39" s="195">
        <v>315625167.63</v>
      </c>
      <c r="M39" s="195">
        <v>337540615.06</v>
      </c>
      <c r="N39" s="195">
        <v>216515599.40000001</v>
      </c>
      <c r="O39" s="195">
        <v>280845845.41000003</v>
      </c>
      <c r="P39" s="195">
        <v>282041155.38</v>
      </c>
      <c r="Q39" s="195">
        <v>289562552.20999998</v>
      </c>
      <c r="R39" s="195">
        <v>210972416.61000001</v>
      </c>
      <c r="S39" s="195">
        <v>192834275.5</v>
      </c>
      <c r="T39" s="195">
        <v>125926363.09999999</v>
      </c>
      <c r="U39" s="195">
        <v>149250013.84</v>
      </c>
      <c r="V39" s="195">
        <v>154210525.69</v>
      </c>
      <c r="W39" s="195">
        <v>142684756.84999999</v>
      </c>
      <c r="X39" s="195">
        <v>101120229.31999999</v>
      </c>
      <c r="Y39" s="195">
        <v>107539272.72</v>
      </c>
      <c r="Z39" s="195">
        <v>64545609.07</v>
      </c>
      <c r="AA39" s="195">
        <v>53709224.07</v>
      </c>
      <c r="AB39" s="195">
        <v>37324547.960000001</v>
      </c>
      <c r="AC39" s="195">
        <v>55703060.469999999</v>
      </c>
      <c r="AD39" s="195">
        <v>62120528.719999999</v>
      </c>
      <c r="AE39" s="195">
        <v>56338061.979999997</v>
      </c>
      <c r="AF39" s="195">
        <v>25665860.079999998</v>
      </c>
      <c r="AG39" s="195">
        <v>30844167.579999998</v>
      </c>
      <c r="AH39" s="195">
        <v>27140803.390000001</v>
      </c>
      <c r="AI39" s="195">
        <v>30834241.670000002</v>
      </c>
      <c r="AJ39" s="195">
        <v>34144766.299999997</v>
      </c>
      <c r="AK39" s="195">
        <v>39921871.270000003</v>
      </c>
      <c r="AL39" s="195">
        <v>38241626.659999996</v>
      </c>
      <c r="AM39" s="195">
        <v>39623227.640000001</v>
      </c>
      <c r="AN39" s="195">
        <v>27137390.010000002</v>
      </c>
      <c r="AO39" s="195">
        <v>31202175.16</v>
      </c>
      <c r="AP39" s="195">
        <v>62262437.82</v>
      </c>
      <c r="AQ39" s="195">
        <v>68659748.439999998</v>
      </c>
      <c r="AR39" s="195">
        <v>81759656.409999996</v>
      </c>
      <c r="AS39" s="195">
        <v>49657543.729999997</v>
      </c>
      <c r="AT39" s="195">
        <v>39542329.969999999</v>
      </c>
      <c r="AU39" s="195">
        <v>50741697.509999998</v>
      </c>
      <c r="AV39" s="195">
        <v>45632219.380000003</v>
      </c>
      <c r="AW39" s="195">
        <v>0</v>
      </c>
      <c r="AX39" s="195">
        <v>0</v>
      </c>
      <c r="AY39" s="195">
        <v>0</v>
      </c>
      <c r="AZ39" s="195">
        <v>0</v>
      </c>
      <c r="BA39" s="195">
        <v>0</v>
      </c>
      <c r="BB39" s="195">
        <v>0</v>
      </c>
      <c r="BC39" s="195">
        <v>0</v>
      </c>
      <c r="BD39" s="195">
        <v>0</v>
      </c>
      <c r="BE39" s="195">
        <v>0</v>
      </c>
      <c r="BF39" s="195">
        <v>0</v>
      </c>
      <c r="BG39" s="195">
        <v>0</v>
      </c>
      <c r="BH39" s="195">
        <v>0</v>
      </c>
      <c r="BI39" s="195">
        <v>0</v>
      </c>
      <c r="BJ39" s="195">
        <v>0</v>
      </c>
      <c r="BK39" s="195">
        <v>0</v>
      </c>
      <c r="BL39" s="195">
        <v>0</v>
      </c>
      <c r="BM39" s="195">
        <v>0</v>
      </c>
      <c r="BN39" s="195">
        <v>0</v>
      </c>
      <c r="BO39" s="195">
        <v>0</v>
      </c>
      <c r="BP39" s="195">
        <v>0</v>
      </c>
      <c r="BQ39" s="195">
        <v>0</v>
      </c>
      <c r="BR39" s="195">
        <v>0</v>
      </c>
      <c r="BS39" s="195">
        <v>0</v>
      </c>
      <c r="BT39" s="195">
        <v>0</v>
      </c>
      <c r="BU39" s="195">
        <v>0</v>
      </c>
      <c r="BV39" s="195">
        <v>0</v>
      </c>
      <c r="BW39" s="195">
        <v>0</v>
      </c>
      <c r="BX39" s="195">
        <v>0</v>
      </c>
      <c r="BY39" s="195">
        <v>0</v>
      </c>
    </row>
    <row r="40" spans="1:77" x14ac:dyDescent="0.25">
      <c r="A40" s="195" t="s">
        <v>144</v>
      </c>
      <c r="B40" s="195">
        <v>2187795747.3000002</v>
      </c>
      <c r="C40" s="195">
        <v>1934883139.3</v>
      </c>
      <c r="D40" s="195">
        <v>992857821.76999998</v>
      </c>
      <c r="E40" s="195">
        <v>1007854102.6900001</v>
      </c>
      <c r="F40" s="195">
        <v>710400732.04999995</v>
      </c>
      <c r="G40" s="195">
        <v>728698168.87</v>
      </c>
      <c r="H40" s="195">
        <v>466184681.16000003</v>
      </c>
      <c r="I40" s="195">
        <v>348101676.32999998</v>
      </c>
      <c r="J40" s="195">
        <v>414508336.43000001</v>
      </c>
      <c r="K40" s="195">
        <v>739278348.42999995</v>
      </c>
      <c r="L40" s="195">
        <v>764127972.64999998</v>
      </c>
      <c r="M40" s="195">
        <v>712386763.47000003</v>
      </c>
      <c r="N40" s="195">
        <v>667276525.61000001</v>
      </c>
      <c r="O40" s="195">
        <v>755152218.79999995</v>
      </c>
      <c r="P40" s="195">
        <v>685233000.96000004</v>
      </c>
      <c r="Q40" s="195">
        <v>749129880.13999999</v>
      </c>
      <c r="R40" s="195">
        <v>2579980643.6900001</v>
      </c>
      <c r="S40" s="195">
        <v>1628771546.0999999</v>
      </c>
      <c r="T40" s="195">
        <v>2759771965.9699998</v>
      </c>
      <c r="U40" s="195">
        <v>2512412145.6300001</v>
      </c>
      <c r="V40" s="195">
        <v>2259884835.3899999</v>
      </c>
      <c r="W40" s="195">
        <v>2349975353.48</v>
      </c>
      <c r="X40" s="195">
        <v>2019380842.8800001</v>
      </c>
      <c r="Y40" s="195">
        <v>1365093320.1900001</v>
      </c>
      <c r="Z40" s="195">
        <v>0</v>
      </c>
      <c r="AA40" s="195">
        <v>0</v>
      </c>
      <c r="AB40" s="195">
        <v>0</v>
      </c>
      <c r="AC40" s="195">
        <v>0</v>
      </c>
      <c r="AD40" s="195">
        <v>0</v>
      </c>
      <c r="AE40" s="195">
        <v>0</v>
      </c>
      <c r="AF40" s="195">
        <v>0</v>
      </c>
      <c r="AG40" s="195">
        <v>0</v>
      </c>
      <c r="AH40" s="195">
        <v>0</v>
      </c>
      <c r="AI40" s="195">
        <v>0</v>
      </c>
      <c r="AJ40" s="195">
        <v>0</v>
      </c>
      <c r="AK40" s="195">
        <v>0</v>
      </c>
      <c r="AL40" s="195">
        <v>0</v>
      </c>
      <c r="AM40" s="195">
        <v>0</v>
      </c>
      <c r="AN40" s="195">
        <v>0</v>
      </c>
      <c r="AO40" s="195">
        <v>0</v>
      </c>
      <c r="AP40" s="195">
        <v>0</v>
      </c>
      <c r="AQ40" s="195">
        <v>0</v>
      </c>
      <c r="AR40" s="195">
        <v>0</v>
      </c>
      <c r="AS40" s="195">
        <v>0</v>
      </c>
      <c r="AT40" s="195">
        <v>0</v>
      </c>
      <c r="AU40" s="195">
        <v>0</v>
      </c>
      <c r="AV40" s="195">
        <v>0</v>
      </c>
      <c r="AW40" s="195">
        <v>0</v>
      </c>
      <c r="AX40" s="195">
        <v>0</v>
      </c>
      <c r="AY40" s="195">
        <v>0</v>
      </c>
      <c r="AZ40" s="195">
        <v>0</v>
      </c>
      <c r="BA40" s="195">
        <v>0</v>
      </c>
      <c r="BB40" s="195">
        <v>0</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c r="BU40" s="195">
        <v>0</v>
      </c>
      <c r="BV40" s="195">
        <v>0</v>
      </c>
      <c r="BW40" s="195">
        <v>0</v>
      </c>
      <c r="BX40" s="195">
        <v>0</v>
      </c>
      <c r="BY40" s="195">
        <v>0</v>
      </c>
    </row>
    <row r="41" spans="1:77" x14ac:dyDescent="0.25">
      <c r="A41" s="195" t="s">
        <v>145</v>
      </c>
      <c r="B41" s="195">
        <v>45644114579.849998</v>
      </c>
      <c r="C41" s="195">
        <v>42958235612.330002</v>
      </c>
      <c r="D41" s="195">
        <v>41257405764.989998</v>
      </c>
      <c r="E41" s="195">
        <v>40627517624.550003</v>
      </c>
      <c r="F41" s="195">
        <v>39056695988.730003</v>
      </c>
      <c r="G41" s="195">
        <v>38295980773.190002</v>
      </c>
      <c r="H41" s="195">
        <v>37879701377.449997</v>
      </c>
      <c r="I41" s="195">
        <v>37529218946.059998</v>
      </c>
      <c r="J41" s="195">
        <v>37363189934.669998</v>
      </c>
      <c r="K41" s="195">
        <v>37820661388.330002</v>
      </c>
      <c r="L41" s="195">
        <v>37301981224.769997</v>
      </c>
      <c r="M41" s="195">
        <v>36777830049.199997</v>
      </c>
      <c r="N41" s="195">
        <v>35309100691.099998</v>
      </c>
      <c r="O41" s="195">
        <v>34201788011.810001</v>
      </c>
      <c r="P41" s="195">
        <v>33006353273.389999</v>
      </c>
      <c r="Q41" s="195">
        <v>31835555016.369999</v>
      </c>
      <c r="R41" s="195">
        <v>29570399510.41</v>
      </c>
      <c r="S41" s="195">
        <v>26025270334.150002</v>
      </c>
      <c r="T41" s="195">
        <v>24980373644.040001</v>
      </c>
      <c r="U41" s="195">
        <v>22954349263.349998</v>
      </c>
      <c r="V41" s="195">
        <v>19241529537.810001</v>
      </c>
      <c r="W41" s="195">
        <v>17159126660.52</v>
      </c>
      <c r="X41" s="195">
        <v>15457154407.49</v>
      </c>
      <c r="Y41" s="195">
        <v>14178743214.610001</v>
      </c>
      <c r="Z41" s="195">
        <v>11658997801.15</v>
      </c>
      <c r="AA41" s="195">
        <v>10873238822.92</v>
      </c>
      <c r="AB41" s="195">
        <v>10348599780.24</v>
      </c>
      <c r="AC41" s="195">
        <v>9780736796.3999996</v>
      </c>
      <c r="AD41" s="195">
        <v>9118662211.5300007</v>
      </c>
      <c r="AE41" s="195">
        <v>8866990502.2900009</v>
      </c>
      <c r="AF41" s="195">
        <v>8700990801.9200001</v>
      </c>
      <c r="AG41" s="195">
        <v>8142257080.9200001</v>
      </c>
      <c r="AH41" s="195">
        <v>7006697835.5</v>
      </c>
      <c r="AI41" s="195">
        <v>6775727190.8900003</v>
      </c>
      <c r="AJ41" s="195">
        <v>6501644050.3900003</v>
      </c>
      <c r="AK41" s="195">
        <v>5900190877.1899996</v>
      </c>
      <c r="AL41" s="195">
        <v>4936912487.9099998</v>
      </c>
      <c r="AM41" s="195">
        <v>4256844770.3899999</v>
      </c>
      <c r="AN41" s="195">
        <v>4079677048.1799998</v>
      </c>
      <c r="AO41" s="195">
        <v>4028054724.2399998</v>
      </c>
      <c r="AP41" s="195">
        <v>3850846943.1199999</v>
      </c>
      <c r="AQ41" s="195">
        <v>3549246340.1199999</v>
      </c>
      <c r="AR41" s="195">
        <v>3573632080.6599998</v>
      </c>
      <c r="AS41" s="195">
        <v>3532086216.3299999</v>
      </c>
      <c r="AT41" s="195">
        <v>3481313208.5799999</v>
      </c>
      <c r="AU41" s="195">
        <v>3474091529.6399999</v>
      </c>
      <c r="AV41" s="195">
        <v>3455850476.4299998</v>
      </c>
      <c r="AW41" s="195">
        <v>3735540867.2600002</v>
      </c>
      <c r="AX41" s="195">
        <v>3566856519.4499998</v>
      </c>
      <c r="AY41" s="195">
        <v>3554164536.4499998</v>
      </c>
      <c r="AZ41" s="195">
        <v>3560955050.9299998</v>
      </c>
      <c r="BA41" s="195">
        <v>3488927610.9499998</v>
      </c>
      <c r="BB41" s="195">
        <v>3150718063.4000001</v>
      </c>
      <c r="BC41" s="195">
        <v>2904031853.6799998</v>
      </c>
      <c r="BD41" s="195">
        <v>2428875807.1500001</v>
      </c>
      <c r="BE41" s="195">
        <v>2090131818.3599999</v>
      </c>
      <c r="BF41" s="195">
        <v>1593081129.03</v>
      </c>
      <c r="BG41" s="195">
        <v>1243385224.3900001</v>
      </c>
      <c r="BH41" s="195">
        <v>1017468677.71</v>
      </c>
      <c r="BI41" s="195">
        <v>909713016.33000004</v>
      </c>
      <c r="BJ41" s="195">
        <v>731221110.63999999</v>
      </c>
      <c r="BK41" s="195">
        <v>641524029.53999996</v>
      </c>
      <c r="BL41" s="195">
        <v>606336363.17999995</v>
      </c>
      <c r="BM41" s="195">
        <v>579431649.25</v>
      </c>
      <c r="BN41" s="195">
        <v>515328130.64999998</v>
      </c>
      <c r="BO41" s="195">
        <v>471803766.31999999</v>
      </c>
      <c r="BP41" s="195">
        <v>452990792.93000001</v>
      </c>
      <c r="BQ41" s="195">
        <v>434138790.76999998</v>
      </c>
      <c r="BR41" s="195">
        <v>0</v>
      </c>
      <c r="BS41" s="195">
        <v>331335659.87</v>
      </c>
      <c r="BT41" s="195">
        <v>234672437.96000001</v>
      </c>
      <c r="BU41" s="195">
        <v>166256645.53</v>
      </c>
      <c r="BV41" s="195">
        <v>163246201.41</v>
      </c>
      <c r="BW41" s="195">
        <v>155380425.27000001</v>
      </c>
      <c r="BX41" s="195">
        <v>90358829.920000002</v>
      </c>
      <c r="BY41" s="195">
        <v>0</v>
      </c>
    </row>
    <row r="42" spans="1:77" x14ac:dyDescent="0.25">
      <c r="A42" s="195" t="s">
        <v>146</v>
      </c>
      <c r="B42" s="195">
        <v>71993552677.850006</v>
      </c>
      <c r="C42" s="195">
        <v>68092765754.540001</v>
      </c>
      <c r="D42" s="195">
        <v>66423338186.790001</v>
      </c>
      <c r="E42" s="195">
        <v>65827732248.239998</v>
      </c>
      <c r="F42" s="195">
        <v>62752997595.239998</v>
      </c>
      <c r="G42" s="195">
        <v>59988083047.199997</v>
      </c>
      <c r="H42" s="195">
        <v>56918093537.160004</v>
      </c>
      <c r="I42" s="195">
        <v>50765015455.160004</v>
      </c>
      <c r="J42" s="195">
        <v>51585065616.059998</v>
      </c>
      <c r="K42" s="195">
        <v>50340671504.57</v>
      </c>
      <c r="L42" s="195">
        <v>49019456577.57</v>
      </c>
      <c r="M42" s="195">
        <v>47804417081.919998</v>
      </c>
      <c r="N42" s="195">
        <v>46439200695.82</v>
      </c>
      <c r="O42" s="195">
        <v>44326299392.940002</v>
      </c>
      <c r="P42" s="195">
        <v>43669161528.220001</v>
      </c>
      <c r="Q42" s="195">
        <v>41592085628.730003</v>
      </c>
      <c r="R42" s="195">
        <v>38362779707.529999</v>
      </c>
      <c r="S42" s="195">
        <v>36000005877.360001</v>
      </c>
      <c r="T42" s="195">
        <v>34955774116.879997</v>
      </c>
      <c r="U42" s="195">
        <v>31143678760.299999</v>
      </c>
      <c r="V42" s="195">
        <v>28405157567.470001</v>
      </c>
      <c r="W42" s="195">
        <v>26505584538.220001</v>
      </c>
      <c r="X42" s="195">
        <v>25130213129.75</v>
      </c>
      <c r="Y42" s="195">
        <v>22541461325.060001</v>
      </c>
      <c r="Z42" s="195">
        <v>20539985011.41</v>
      </c>
      <c r="AA42" s="195">
        <v>18612586229.810001</v>
      </c>
      <c r="AB42" s="195">
        <v>18213726906.66</v>
      </c>
      <c r="AC42" s="195">
        <v>17418683319.139999</v>
      </c>
      <c r="AD42" s="195">
        <v>15505052534.93</v>
      </c>
      <c r="AE42" s="195">
        <v>15237521126.450001</v>
      </c>
      <c r="AF42" s="195">
        <v>15044073659.9</v>
      </c>
      <c r="AG42" s="195">
        <v>12942922111.9</v>
      </c>
      <c r="AH42" s="195">
        <v>11331451617.18</v>
      </c>
      <c r="AI42" s="195">
        <v>10344933364.219999</v>
      </c>
      <c r="AJ42" s="195">
        <v>10203132493.4</v>
      </c>
      <c r="AK42" s="195">
        <v>9661178604.1399994</v>
      </c>
      <c r="AL42" s="195">
        <v>9993483481.0499992</v>
      </c>
      <c r="AM42" s="195">
        <v>9371068874.2199993</v>
      </c>
      <c r="AN42" s="195">
        <v>8976693280.75</v>
      </c>
      <c r="AO42" s="195">
        <v>7862722671.7700005</v>
      </c>
      <c r="AP42" s="195">
        <v>7699814525.4200001</v>
      </c>
      <c r="AQ42" s="195">
        <v>7640862108.1999998</v>
      </c>
      <c r="AR42" s="195">
        <v>8135859504</v>
      </c>
      <c r="AS42" s="195">
        <v>7594369294.1800003</v>
      </c>
      <c r="AT42" s="195">
        <v>7139837825.3500004</v>
      </c>
      <c r="AU42" s="195">
        <v>6462545305.8599997</v>
      </c>
      <c r="AV42" s="195">
        <v>5821466823.1300001</v>
      </c>
      <c r="AW42" s="195">
        <v>5171026194.5299997</v>
      </c>
      <c r="AX42" s="195">
        <v>5228814102.0299997</v>
      </c>
      <c r="AY42" s="195">
        <v>4962427025.71</v>
      </c>
      <c r="AZ42" s="195">
        <v>5001365999.4200001</v>
      </c>
      <c r="BA42" s="195">
        <v>4647694308.1300001</v>
      </c>
      <c r="BB42" s="195">
        <v>4431109502.1700001</v>
      </c>
      <c r="BC42" s="195">
        <v>4215193997.6500001</v>
      </c>
      <c r="BD42" s="195">
        <v>3776474619.5300002</v>
      </c>
      <c r="BE42" s="195">
        <v>3112384035.3099999</v>
      </c>
      <c r="BF42" s="195">
        <v>2557264718.9099998</v>
      </c>
      <c r="BG42" s="195">
        <v>2235651261.1799998</v>
      </c>
      <c r="BH42" s="195">
        <v>1645447639.72</v>
      </c>
      <c r="BI42" s="195">
        <v>1438870375.8499999</v>
      </c>
      <c r="BJ42" s="195">
        <v>1273700545.1199999</v>
      </c>
      <c r="BK42" s="195">
        <v>1067044970.8200001</v>
      </c>
      <c r="BL42" s="195">
        <v>1072573906.8200001</v>
      </c>
      <c r="BM42" s="195">
        <v>928133136.02999997</v>
      </c>
      <c r="BN42" s="195">
        <v>873736806.65999997</v>
      </c>
      <c r="BO42" s="195">
        <v>771371178.34000003</v>
      </c>
      <c r="BP42" s="195">
        <v>832055604.83000004</v>
      </c>
      <c r="BQ42" s="195">
        <v>726705994.50999999</v>
      </c>
      <c r="BR42" s="195">
        <v>782782500</v>
      </c>
      <c r="BS42" s="195">
        <v>728342844.66999996</v>
      </c>
      <c r="BT42" s="195">
        <v>757607653.78999996</v>
      </c>
      <c r="BU42" s="195">
        <v>320937823.5</v>
      </c>
      <c r="BV42" s="195">
        <v>258737758.28</v>
      </c>
      <c r="BW42" s="195">
        <v>197335209.09</v>
      </c>
      <c r="BX42" s="195">
        <v>163825759.52000001</v>
      </c>
      <c r="BY42" s="195">
        <v>0</v>
      </c>
    </row>
    <row r="43" spans="1:77" x14ac:dyDescent="0.25">
      <c r="A43" s="195" t="s">
        <v>147</v>
      </c>
    </row>
    <row r="44" spans="1:77" x14ac:dyDescent="0.25">
      <c r="A44" s="195" t="s">
        <v>148</v>
      </c>
      <c r="B44" s="195">
        <v>12513705766.139999</v>
      </c>
      <c r="C44" s="195">
        <v>15249914740.040001</v>
      </c>
      <c r="D44" s="195">
        <v>14803562891.549999</v>
      </c>
      <c r="E44" s="195">
        <v>12714569960.219999</v>
      </c>
      <c r="F44" s="195">
        <v>12162031937.52</v>
      </c>
      <c r="G44" s="195">
        <v>12852963496.67</v>
      </c>
      <c r="H44" s="195">
        <v>8453302349.6199999</v>
      </c>
      <c r="I44" s="195">
        <v>8501465901.4099998</v>
      </c>
      <c r="J44" s="195">
        <v>8824186633.6599998</v>
      </c>
      <c r="K44" s="195">
        <v>11940218417.610001</v>
      </c>
      <c r="L44" s="195">
        <v>10880745630.059999</v>
      </c>
      <c r="M44" s="195">
        <v>9637861380.5900002</v>
      </c>
      <c r="N44" s="195">
        <v>9477937859.2600002</v>
      </c>
      <c r="O44" s="195">
        <v>6614305904.0699997</v>
      </c>
      <c r="P44" s="195">
        <v>5279721083.7200003</v>
      </c>
      <c r="Q44" s="195">
        <v>4496443321.5200005</v>
      </c>
      <c r="R44" s="195">
        <v>4418995538.1999998</v>
      </c>
      <c r="S44" s="195">
        <v>5997736393.9499998</v>
      </c>
      <c r="T44" s="195">
        <v>5258031931.0299997</v>
      </c>
      <c r="U44" s="195">
        <v>3752118153.6300001</v>
      </c>
      <c r="V44" s="195">
        <v>3838612634.8699999</v>
      </c>
      <c r="W44" s="195">
        <v>5277439233.9700003</v>
      </c>
      <c r="X44" s="195">
        <v>4325072647.6000004</v>
      </c>
      <c r="Y44" s="195">
        <v>3764733587.1599998</v>
      </c>
      <c r="Z44" s="195">
        <v>3425027594.8600001</v>
      </c>
      <c r="AA44" s="195">
        <v>3056987660.3499999</v>
      </c>
      <c r="AB44" s="195">
        <v>3465561253.73</v>
      </c>
      <c r="AC44" s="195">
        <v>3258713688.3800001</v>
      </c>
      <c r="AD44" s="195">
        <v>1779842783.1600001</v>
      </c>
      <c r="AE44" s="195">
        <v>2159483876.1999998</v>
      </c>
      <c r="AF44" s="195">
        <v>2270031314.8800001</v>
      </c>
      <c r="AG44" s="195">
        <v>2276570365.5300002</v>
      </c>
      <c r="AH44" s="195">
        <v>2269700491.1900001</v>
      </c>
      <c r="AI44" s="195">
        <v>1779047706.02</v>
      </c>
      <c r="AJ44" s="195">
        <v>2233743582.4699998</v>
      </c>
      <c r="AK44" s="195">
        <v>2126837499.4400001</v>
      </c>
      <c r="AL44" s="195">
        <v>2734296100.79</v>
      </c>
      <c r="AM44" s="195">
        <v>2907440040</v>
      </c>
      <c r="AN44" s="195">
        <v>2121111775</v>
      </c>
      <c r="AO44" s="195">
        <v>839087110</v>
      </c>
      <c r="AP44" s="195">
        <v>770177406.05999994</v>
      </c>
      <c r="AQ44" s="195">
        <v>820519147.35000002</v>
      </c>
      <c r="AR44" s="195">
        <v>1119490008.47</v>
      </c>
      <c r="AS44" s="195">
        <v>1108340190</v>
      </c>
      <c r="AT44" s="195">
        <v>1343026820</v>
      </c>
      <c r="AU44" s="195">
        <v>853733145</v>
      </c>
      <c r="AV44" s="195">
        <v>671360623.08000004</v>
      </c>
      <c r="AW44" s="195">
        <v>582233433</v>
      </c>
      <c r="AX44" s="195">
        <v>682397183</v>
      </c>
      <c r="AY44" s="195">
        <v>537742600</v>
      </c>
      <c r="AZ44" s="195">
        <v>480765000</v>
      </c>
      <c r="BA44" s="195">
        <v>404160300</v>
      </c>
      <c r="BB44" s="195">
        <v>233518000</v>
      </c>
      <c r="BC44" s="195">
        <v>136562250</v>
      </c>
      <c r="BD44" s="195">
        <v>95179750</v>
      </c>
      <c r="BE44" s="195">
        <v>171382500</v>
      </c>
      <c r="BF44" s="195">
        <v>130000000</v>
      </c>
      <c r="BG44" s="195">
        <v>100000000</v>
      </c>
      <c r="BH44" s="195">
        <v>57000000</v>
      </c>
      <c r="BI44" s="195">
        <v>8501558.5</v>
      </c>
      <c r="BJ44" s="195">
        <v>13681558.5</v>
      </c>
      <c r="BK44" s="195">
        <v>12480000</v>
      </c>
      <c r="BL44" s="195">
        <v>12480000</v>
      </c>
      <c r="BM44" s="195">
        <v>12000000</v>
      </c>
      <c r="BN44" s="195">
        <v>0</v>
      </c>
      <c r="BO44" s="195">
        <v>0</v>
      </c>
      <c r="BP44" s="195">
        <v>0</v>
      </c>
      <c r="BQ44" s="195">
        <v>0</v>
      </c>
      <c r="BR44" s="195">
        <v>0</v>
      </c>
      <c r="BS44" s="195">
        <v>0</v>
      </c>
      <c r="BT44" s="195">
        <v>59100000</v>
      </c>
      <c r="BU44" s="195">
        <v>59600000</v>
      </c>
      <c r="BV44" s="195">
        <v>41730000</v>
      </c>
      <c r="BW44" s="195">
        <v>31730000</v>
      </c>
      <c r="BX44" s="195">
        <v>32000000</v>
      </c>
      <c r="BY44" s="195">
        <v>0</v>
      </c>
    </row>
    <row r="45" spans="1:77" x14ac:dyDescent="0.25">
      <c r="A45" s="195" t="s">
        <v>149</v>
      </c>
      <c r="B45" s="195">
        <v>0</v>
      </c>
      <c r="C45" s="195">
        <v>0</v>
      </c>
      <c r="D45" s="195">
        <v>0</v>
      </c>
      <c r="E45" s="195">
        <v>0</v>
      </c>
      <c r="F45" s="195">
        <v>0</v>
      </c>
      <c r="G45" s="195">
        <v>0</v>
      </c>
      <c r="H45" s="195">
        <v>0</v>
      </c>
      <c r="I45" s="195">
        <v>0</v>
      </c>
      <c r="J45" s="195">
        <v>2566333.27</v>
      </c>
      <c r="K45" s="195">
        <v>0</v>
      </c>
      <c r="L45" s="195">
        <v>0</v>
      </c>
      <c r="M45" s="195">
        <v>0</v>
      </c>
      <c r="N45" s="195">
        <v>2803689.16</v>
      </c>
      <c r="O45" s="195">
        <v>3877774.07</v>
      </c>
      <c r="P45" s="195">
        <v>8554705.4900000002</v>
      </c>
      <c r="Q45" s="195">
        <v>4093972.33</v>
      </c>
      <c r="R45" s="195">
        <v>0</v>
      </c>
      <c r="S45" s="195">
        <v>0</v>
      </c>
      <c r="T45" s="195">
        <v>0</v>
      </c>
      <c r="U45" s="195">
        <v>0</v>
      </c>
      <c r="V45" s="195">
        <v>0</v>
      </c>
      <c r="W45" s="195">
        <v>0</v>
      </c>
      <c r="X45" s="195">
        <v>0</v>
      </c>
      <c r="Y45" s="195">
        <v>0</v>
      </c>
      <c r="Z45" s="195">
        <v>0</v>
      </c>
      <c r="AA45" s="195">
        <v>0</v>
      </c>
      <c r="AB45" s="195">
        <v>0</v>
      </c>
      <c r="AC45" s="195">
        <v>0</v>
      </c>
      <c r="AD45" s="195">
        <v>0</v>
      </c>
      <c r="AE45" s="195">
        <v>846515450</v>
      </c>
      <c r="AF45" s="195">
        <v>850838500</v>
      </c>
      <c r="AG45" s="195">
        <v>0</v>
      </c>
      <c r="AH45" s="195">
        <v>0</v>
      </c>
      <c r="AI45" s="195">
        <v>0</v>
      </c>
      <c r="AJ45" s="195">
        <v>0</v>
      </c>
      <c r="AK45" s="195">
        <v>0</v>
      </c>
      <c r="AL45" s="195">
        <v>0</v>
      </c>
      <c r="AM45" s="195">
        <v>0</v>
      </c>
      <c r="AN45" s="195">
        <v>0</v>
      </c>
      <c r="AO45" s="195">
        <v>0</v>
      </c>
      <c r="AP45" s="195">
        <v>0</v>
      </c>
      <c r="AQ45" s="195">
        <v>0</v>
      </c>
      <c r="AR45" s="195">
        <v>0</v>
      </c>
      <c r="AS45" s="195">
        <v>0</v>
      </c>
      <c r="AT45" s="195">
        <v>0</v>
      </c>
      <c r="AU45" s="195">
        <v>0</v>
      </c>
      <c r="AV45" s="195">
        <v>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row>
    <row r="46" spans="1:77" x14ac:dyDescent="0.25">
      <c r="A46" s="195" t="s">
        <v>150</v>
      </c>
      <c r="B46" s="195">
        <v>0</v>
      </c>
      <c r="C46" s="195">
        <v>2277674547.0100002</v>
      </c>
      <c r="D46" s="195">
        <v>2339815651.7399998</v>
      </c>
      <c r="E46" s="195">
        <v>1851643240.3900001</v>
      </c>
      <c r="F46" s="195">
        <v>1866425719.97</v>
      </c>
      <c r="G46" s="195">
        <v>1738887054.7</v>
      </c>
      <c r="H46" s="195">
        <v>1660243202.8399999</v>
      </c>
      <c r="I46" s="195">
        <v>1860820056.3099999</v>
      </c>
      <c r="J46" s="195">
        <v>2457496537.9000001</v>
      </c>
      <c r="K46" s="195">
        <v>2437270091.6999998</v>
      </c>
      <c r="L46" s="195">
        <v>2586047780.0100002</v>
      </c>
      <c r="M46" s="195">
        <v>2221250502</v>
      </c>
      <c r="N46" s="195">
        <v>2177385741.1999998</v>
      </c>
      <c r="O46" s="195">
        <v>2355075786.04</v>
      </c>
      <c r="P46" s="195">
        <v>1898606320.1300001</v>
      </c>
      <c r="Q46" s="195">
        <v>2044515908.77</v>
      </c>
      <c r="R46" s="195">
        <v>2729683065.48</v>
      </c>
      <c r="S46" s="195">
        <v>2802007206.9699998</v>
      </c>
      <c r="T46" s="195">
        <v>2060678360.97</v>
      </c>
      <c r="U46" s="195">
        <v>1993630640.49</v>
      </c>
      <c r="V46" s="195">
        <v>1649786430.54</v>
      </c>
      <c r="W46" s="195">
        <v>1722933922.21</v>
      </c>
      <c r="X46" s="195">
        <v>1846527267.9300001</v>
      </c>
      <c r="Y46" s="195">
        <v>1454150526.27</v>
      </c>
      <c r="Z46" s="195">
        <v>1275419215.72</v>
      </c>
      <c r="AA46" s="195">
        <v>1098989513.0899999</v>
      </c>
      <c r="AB46" s="195">
        <v>914764180.96000004</v>
      </c>
      <c r="AC46" s="195">
        <v>341475932.63</v>
      </c>
      <c r="AD46" s="195">
        <v>77402256.329999998</v>
      </c>
      <c r="AE46" s="195">
        <v>333132454.43000001</v>
      </c>
      <c r="AF46" s="195">
        <v>513287187.81999999</v>
      </c>
      <c r="AG46" s="195">
        <v>422130549.80000001</v>
      </c>
      <c r="AH46" s="195">
        <v>217891292.97</v>
      </c>
      <c r="AI46" s="195">
        <v>188733213.27000001</v>
      </c>
      <c r="AJ46" s="195">
        <v>195651263.16999999</v>
      </c>
      <c r="AK46" s="195">
        <v>136502366.90000001</v>
      </c>
      <c r="AL46" s="195">
        <v>95652161.670000002</v>
      </c>
      <c r="AM46" s="195">
        <v>70405851.829999998</v>
      </c>
      <c r="AN46" s="195">
        <v>34800000</v>
      </c>
      <c r="AO46" s="195">
        <v>7675232.0800000001</v>
      </c>
      <c r="AP46" s="195">
        <v>14875232.08</v>
      </c>
      <c r="AQ46" s="195">
        <v>22700000</v>
      </c>
      <c r="AR46" s="195">
        <v>20824972</v>
      </c>
      <c r="AS46" s="195">
        <v>42965016.25</v>
      </c>
      <c r="AT46" s="195">
        <v>37842509.25</v>
      </c>
      <c r="AU46" s="195">
        <v>35442081</v>
      </c>
      <c r="AV46" s="195">
        <v>22592081</v>
      </c>
      <c r="AW46" s="195">
        <v>37280000</v>
      </c>
      <c r="AX46" s="195">
        <v>18170000</v>
      </c>
      <c r="AY46" s="195">
        <v>0</v>
      </c>
      <c r="AZ46" s="195">
        <v>0</v>
      </c>
      <c r="BA46" s="195">
        <v>0</v>
      </c>
      <c r="BB46" s="195">
        <v>0</v>
      </c>
      <c r="BC46" s="195">
        <v>0</v>
      </c>
      <c r="BD46" s="195">
        <v>0</v>
      </c>
      <c r="BE46" s="195">
        <v>0</v>
      </c>
      <c r="BF46" s="195">
        <v>0</v>
      </c>
      <c r="BG46" s="195">
        <v>0</v>
      </c>
      <c r="BH46" s="195">
        <v>0</v>
      </c>
      <c r="BI46" s="195">
        <v>0</v>
      </c>
      <c r="BJ46" s="195">
        <v>0</v>
      </c>
      <c r="BK46" s="195">
        <v>0</v>
      </c>
      <c r="BL46" s="195">
        <v>0</v>
      </c>
      <c r="BM46" s="195">
        <v>0</v>
      </c>
      <c r="BN46" s="195">
        <v>0</v>
      </c>
      <c r="BO46" s="195">
        <v>0</v>
      </c>
      <c r="BP46" s="195">
        <v>0</v>
      </c>
      <c r="BQ46" s="195">
        <v>0</v>
      </c>
      <c r="BR46" s="195">
        <v>0</v>
      </c>
      <c r="BS46" s="195">
        <v>0</v>
      </c>
      <c r="BT46" s="195">
        <v>3200000</v>
      </c>
      <c r="BU46" s="195">
        <v>3500000</v>
      </c>
      <c r="BV46" s="195">
        <v>5007148</v>
      </c>
      <c r="BW46" s="195">
        <v>0</v>
      </c>
      <c r="BX46" s="195">
        <v>0</v>
      </c>
      <c r="BY46" s="195">
        <v>0</v>
      </c>
    </row>
    <row r="47" spans="1:77" x14ac:dyDescent="0.25">
      <c r="A47" s="195" t="s">
        <v>151</v>
      </c>
      <c r="B47" s="195">
        <v>0</v>
      </c>
      <c r="C47" s="195">
        <v>3671114571.6900001</v>
      </c>
      <c r="D47" s="195">
        <v>4257035569.23</v>
      </c>
      <c r="E47" s="195">
        <v>4388212374.0799999</v>
      </c>
      <c r="F47" s="195">
        <v>3929789776.8400002</v>
      </c>
      <c r="G47" s="195">
        <v>4035620313.3800001</v>
      </c>
      <c r="H47" s="195">
        <v>3930147822.71</v>
      </c>
      <c r="I47" s="195">
        <v>3467152841.25</v>
      </c>
      <c r="J47" s="195">
        <v>3849004921.27</v>
      </c>
      <c r="K47" s="195">
        <v>3615499574.5700002</v>
      </c>
      <c r="L47" s="195">
        <v>3816774816.3299999</v>
      </c>
      <c r="M47" s="195">
        <v>3400457107.7800002</v>
      </c>
      <c r="N47" s="195">
        <v>2859779729.25</v>
      </c>
      <c r="O47" s="195">
        <v>2936172480.7399998</v>
      </c>
      <c r="P47" s="195">
        <v>2597653899.6799998</v>
      </c>
      <c r="Q47" s="195">
        <v>2615128907.3299999</v>
      </c>
      <c r="R47" s="195">
        <v>2089861020.72</v>
      </c>
      <c r="S47" s="195">
        <v>941431490.17999995</v>
      </c>
      <c r="T47" s="195">
        <v>2319793687.3000002</v>
      </c>
      <c r="U47" s="195">
        <v>2298938599.1399999</v>
      </c>
      <c r="V47" s="195">
        <v>1652070228.6700001</v>
      </c>
      <c r="W47" s="195">
        <v>1181045454.52</v>
      </c>
      <c r="X47" s="195">
        <v>1006436285.51</v>
      </c>
      <c r="Y47" s="195">
        <v>881271918.51999998</v>
      </c>
      <c r="Z47" s="195">
        <v>784217493.30999994</v>
      </c>
      <c r="AA47" s="195">
        <v>657751115.29999995</v>
      </c>
      <c r="AB47" s="195">
        <v>717958065.19000006</v>
      </c>
      <c r="AC47" s="195">
        <v>494188630.70999998</v>
      </c>
      <c r="AD47" s="195">
        <v>670080166.05999994</v>
      </c>
      <c r="AE47" s="195">
        <v>840562292.48000002</v>
      </c>
      <c r="AF47" s="195">
        <v>620394096.03999996</v>
      </c>
      <c r="AG47" s="195">
        <v>576958453.07000005</v>
      </c>
      <c r="AH47" s="195">
        <v>605843856.48000002</v>
      </c>
      <c r="AI47" s="195">
        <v>614992116.36000001</v>
      </c>
      <c r="AJ47" s="195">
        <v>572803755.87</v>
      </c>
      <c r="AK47" s="195">
        <v>482952779.39999998</v>
      </c>
      <c r="AL47" s="195">
        <v>473895877.70999998</v>
      </c>
      <c r="AM47" s="195">
        <v>212293200.69</v>
      </c>
      <c r="AN47" s="195">
        <v>196518959.37</v>
      </c>
      <c r="AO47" s="195">
        <v>179368983.05000001</v>
      </c>
      <c r="AP47" s="195">
        <v>280867286.05000001</v>
      </c>
      <c r="AQ47" s="195">
        <v>214605140.78</v>
      </c>
      <c r="AR47" s="195">
        <v>203497197.71000001</v>
      </c>
      <c r="AS47" s="195">
        <v>252622974.91999999</v>
      </c>
      <c r="AT47" s="195">
        <v>342492737.16000003</v>
      </c>
      <c r="AU47" s="195">
        <v>353981937.35000002</v>
      </c>
      <c r="AV47" s="195">
        <v>375074506.62</v>
      </c>
      <c r="AW47" s="195">
        <v>364140199.36000001</v>
      </c>
      <c r="AX47" s="195">
        <v>416811236.88</v>
      </c>
      <c r="AY47" s="195">
        <v>437953884.44999999</v>
      </c>
      <c r="AZ47" s="195">
        <v>412577848.19999999</v>
      </c>
      <c r="BA47" s="195">
        <v>425706195.58999997</v>
      </c>
      <c r="BB47" s="195">
        <v>245377386.09999999</v>
      </c>
      <c r="BC47" s="195">
        <v>232231397.38</v>
      </c>
      <c r="BD47" s="195">
        <v>187254675.75</v>
      </c>
      <c r="BE47" s="195">
        <v>173252218.69999999</v>
      </c>
      <c r="BF47" s="195">
        <v>126137453.97</v>
      </c>
      <c r="BG47" s="195">
        <v>146045005.59999999</v>
      </c>
      <c r="BH47" s="195">
        <v>146100995.12</v>
      </c>
      <c r="BI47" s="195">
        <v>144287181.91999999</v>
      </c>
      <c r="BJ47" s="195">
        <v>24644503.280000001</v>
      </c>
      <c r="BK47" s="195">
        <v>27301669.98</v>
      </c>
      <c r="BL47" s="195">
        <v>35781662.710000001</v>
      </c>
      <c r="BM47" s="195">
        <v>21565833.359999999</v>
      </c>
      <c r="BN47" s="195">
        <v>18047361.02</v>
      </c>
      <c r="BO47" s="195">
        <v>10163819.41</v>
      </c>
      <c r="BP47" s="195">
        <v>33266429.73</v>
      </c>
      <c r="BQ47" s="195">
        <v>10369072.91</v>
      </c>
      <c r="BR47" s="195">
        <v>0</v>
      </c>
      <c r="BS47" s="195">
        <v>37850090.369999997</v>
      </c>
      <c r="BT47" s="195">
        <v>24058913</v>
      </c>
      <c r="BU47" s="195">
        <v>21896776.379999999</v>
      </c>
      <c r="BV47" s="195">
        <v>15744723.050000001</v>
      </c>
      <c r="BW47" s="195">
        <v>4935488.41</v>
      </c>
      <c r="BX47" s="195">
        <v>5114112.0999999996</v>
      </c>
      <c r="BY47" s="195">
        <v>0</v>
      </c>
    </row>
    <row r="48" spans="1:77" x14ac:dyDescent="0.25">
      <c r="A48" s="195" t="s">
        <v>152</v>
      </c>
      <c r="B48" s="195">
        <v>3082485890.8000002</v>
      </c>
      <c r="C48" s="195">
        <v>2283771725.5300002</v>
      </c>
      <c r="D48" s="195">
        <v>2312550715.27</v>
      </c>
      <c r="E48" s="195">
        <v>2679648525.8800001</v>
      </c>
      <c r="F48" s="195">
        <v>2764102446.6500001</v>
      </c>
      <c r="G48" s="195">
        <v>1555060828.9200001</v>
      </c>
      <c r="H48" s="195">
        <v>2039889670.0699999</v>
      </c>
      <c r="I48" s="195">
        <v>1496702136.79</v>
      </c>
      <c r="J48" s="195">
        <v>1724995994.73</v>
      </c>
      <c r="K48" s="195">
        <v>954610794.64999998</v>
      </c>
      <c r="L48" s="195">
        <v>913643848.41999996</v>
      </c>
      <c r="M48" s="195">
        <v>711215589.42999995</v>
      </c>
      <c r="N48" s="195">
        <v>763298991.78999996</v>
      </c>
      <c r="O48" s="195">
        <v>576880409.25999999</v>
      </c>
      <c r="P48" s="195">
        <v>663372021.92999995</v>
      </c>
      <c r="Q48" s="195">
        <v>763746175.63999999</v>
      </c>
      <c r="R48" s="195">
        <v>521148169.36000001</v>
      </c>
      <c r="S48" s="195">
        <v>568476655.70000005</v>
      </c>
      <c r="T48" s="195">
        <v>616783526.87</v>
      </c>
      <c r="U48" s="195">
        <v>727903857.02999997</v>
      </c>
      <c r="V48" s="195">
        <v>381257263.35000002</v>
      </c>
      <c r="W48" s="195">
        <v>300982136.23000002</v>
      </c>
      <c r="X48" s="195">
        <v>390363403.58999997</v>
      </c>
      <c r="Y48" s="195">
        <v>464378849.62</v>
      </c>
      <c r="Z48" s="195">
        <v>560367838.48000002</v>
      </c>
      <c r="AA48" s="195">
        <v>278512255.56999999</v>
      </c>
      <c r="AB48" s="195">
        <v>342402442.01999998</v>
      </c>
      <c r="AC48" s="195">
        <v>410821734.32999998</v>
      </c>
      <c r="AD48" s="195">
        <v>240940298.94999999</v>
      </c>
      <c r="AE48" s="195">
        <v>186285708.40000001</v>
      </c>
      <c r="AF48" s="195">
        <v>306766579.04000002</v>
      </c>
      <c r="AG48" s="195">
        <v>175853710.05000001</v>
      </c>
      <c r="AH48" s="195">
        <v>135430317.25</v>
      </c>
      <c r="AI48" s="195">
        <v>146258428.31999999</v>
      </c>
      <c r="AJ48" s="195">
        <v>131249177.67</v>
      </c>
      <c r="AK48" s="195">
        <v>139546942.46000001</v>
      </c>
      <c r="AL48" s="195">
        <v>97842105.170000002</v>
      </c>
      <c r="AM48" s="195">
        <v>112409373.5</v>
      </c>
      <c r="AN48" s="195">
        <v>96906793.719999999</v>
      </c>
      <c r="AO48" s="195">
        <v>66595377.229999997</v>
      </c>
      <c r="AP48" s="195">
        <v>62501231.439999998</v>
      </c>
      <c r="AQ48" s="195">
        <v>106160086.37</v>
      </c>
      <c r="AR48" s="195">
        <v>133327446.53</v>
      </c>
      <c r="AS48" s="195">
        <v>139193566.69</v>
      </c>
      <c r="AT48" s="195">
        <v>121776626</v>
      </c>
      <c r="AU48" s="195">
        <v>245877080.19999999</v>
      </c>
      <c r="AV48" s="195">
        <v>72392310.040000007</v>
      </c>
      <c r="AW48" s="195">
        <v>52175178.369999997</v>
      </c>
      <c r="AX48" s="195">
        <v>84087122.049999997</v>
      </c>
      <c r="AY48" s="195">
        <v>112467947.51000001</v>
      </c>
      <c r="AZ48" s="195">
        <v>83384939.620000005</v>
      </c>
      <c r="BA48" s="195">
        <v>108923909.91</v>
      </c>
      <c r="BB48" s="195">
        <v>55892522.189999998</v>
      </c>
      <c r="BC48" s="195">
        <v>19191532.030000001</v>
      </c>
      <c r="BD48" s="195">
        <v>119112927.65000001</v>
      </c>
      <c r="BE48" s="195">
        <v>56838502.810000002</v>
      </c>
      <c r="BF48" s="195">
        <v>65841034.82</v>
      </c>
      <c r="BG48" s="195">
        <v>60068164.189999998</v>
      </c>
      <c r="BH48" s="195">
        <v>30193448.800000001</v>
      </c>
      <c r="BI48" s="195">
        <v>48087475.079999998</v>
      </c>
      <c r="BJ48" s="195">
        <v>6683654.4199999999</v>
      </c>
      <c r="BK48" s="195">
        <v>5887226.1900000004</v>
      </c>
      <c r="BL48" s="195">
        <v>15345519.49</v>
      </c>
      <c r="BM48" s="195">
        <v>12111386.09</v>
      </c>
      <c r="BN48" s="195">
        <v>10931952.560000001</v>
      </c>
      <c r="BO48" s="195">
        <v>4060743.35</v>
      </c>
      <c r="BP48" s="195">
        <v>11360590.26</v>
      </c>
      <c r="BQ48" s="195">
        <v>4295723.7699999996</v>
      </c>
      <c r="BR48" s="195">
        <v>0</v>
      </c>
      <c r="BS48" s="195">
        <v>6037319.3499999996</v>
      </c>
      <c r="BT48" s="195">
        <v>17087442.91</v>
      </c>
      <c r="BU48" s="195">
        <v>3999362.54</v>
      </c>
      <c r="BV48" s="195">
        <v>2440649.42</v>
      </c>
      <c r="BW48" s="195">
        <v>585212.94999999995</v>
      </c>
      <c r="BX48" s="195">
        <v>866891.48</v>
      </c>
      <c r="BY48" s="195">
        <v>0</v>
      </c>
    </row>
    <row r="49" spans="1:77" x14ac:dyDescent="0.25">
      <c r="A49" s="195" t="s">
        <v>153</v>
      </c>
      <c r="B49" s="195">
        <v>0</v>
      </c>
      <c r="C49" s="195">
        <v>0</v>
      </c>
      <c r="D49" s="195">
        <v>0</v>
      </c>
      <c r="E49" s="195">
        <v>0</v>
      </c>
      <c r="F49" s="195">
        <v>0</v>
      </c>
      <c r="G49" s="195">
        <v>0</v>
      </c>
      <c r="H49" s="195">
        <v>0</v>
      </c>
      <c r="I49" s="195">
        <v>0</v>
      </c>
      <c r="J49" s="195">
        <v>0</v>
      </c>
      <c r="K49" s="195">
        <v>0</v>
      </c>
      <c r="L49" s="195">
        <v>0</v>
      </c>
      <c r="M49" s="195">
        <v>0</v>
      </c>
      <c r="N49" s="195">
        <v>0</v>
      </c>
      <c r="O49" s="195">
        <v>0</v>
      </c>
      <c r="P49" s="195">
        <v>0</v>
      </c>
      <c r="Q49" s="195">
        <v>0</v>
      </c>
      <c r="R49" s="195">
        <v>0</v>
      </c>
      <c r="S49" s="195">
        <v>0</v>
      </c>
      <c r="T49" s="195">
        <v>0</v>
      </c>
      <c r="U49" s="195">
        <v>0</v>
      </c>
      <c r="V49" s="195">
        <v>0</v>
      </c>
      <c r="W49" s="195">
        <v>0</v>
      </c>
      <c r="X49" s="195">
        <v>0</v>
      </c>
      <c r="Y49" s="195">
        <v>0</v>
      </c>
      <c r="Z49" s="195">
        <v>0</v>
      </c>
      <c r="AA49" s="195">
        <v>0</v>
      </c>
      <c r="AB49" s="195">
        <v>0</v>
      </c>
      <c r="AC49" s="195">
        <v>0</v>
      </c>
      <c r="AD49" s="195">
        <v>0</v>
      </c>
      <c r="AE49" s="195">
        <v>0</v>
      </c>
      <c r="AF49" s="195">
        <v>0</v>
      </c>
      <c r="AG49" s="195">
        <v>0</v>
      </c>
      <c r="AH49" s="195">
        <v>0</v>
      </c>
      <c r="AI49" s="195">
        <v>0</v>
      </c>
      <c r="AJ49" s="195">
        <v>0</v>
      </c>
      <c r="AK49" s="195">
        <v>0</v>
      </c>
      <c r="AL49" s="195">
        <v>0</v>
      </c>
      <c r="AM49" s="195">
        <v>0</v>
      </c>
      <c r="AN49" s="195">
        <v>0</v>
      </c>
      <c r="AO49" s="195">
        <v>0</v>
      </c>
      <c r="AP49" s="195">
        <v>0</v>
      </c>
      <c r="AQ49" s="195">
        <v>0</v>
      </c>
      <c r="AR49" s="195">
        <v>0</v>
      </c>
      <c r="AS49" s="195">
        <v>0</v>
      </c>
      <c r="AT49" s="195">
        <v>0</v>
      </c>
      <c r="AU49" s="195">
        <v>0</v>
      </c>
      <c r="AV49" s="195">
        <v>0</v>
      </c>
      <c r="AW49" s="195">
        <v>0</v>
      </c>
      <c r="AX49" s="195">
        <v>0</v>
      </c>
      <c r="AY49" s="195">
        <v>0</v>
      </c>
      <c r="AZ49" s="195">
        <v>0</v>
      </c>
      <c r="BA49" s="195">
        <v>0</v>
      </c>
      <c r="BB49" s="195">
        <v>0</v>
      </c>
      <c r="BC49" s="195">
        <v>0</v>
      </c>
      <c r="BD49" s="195">
        <v>0</v>
      </c>
      <c r="BE49" s="195">
        <v>0</v>
      </c>
      <c r="BF49" s="195">
        <v>0</v>
      </c>
      <c r="BG49" s="195">
        <v>0</v>
      </c>
      <c r="BH49" s="195">
        <v>0</v>
      </c>
      <c r="BI49" s="195">
        <v>0</v>
      </c>
      <c r="BJ49" s="195">
        <v>0</v>
      </c>
      <c r="BK49" s="195">
        <v>0</v>
      </c>
      <c r="BL49" s="195">
        <v>0</v>
      </c>
      <c r="BM49" s="195">
        <v>0</v>
      </c>
      <c r="BN49" s="195">
        <v>0</v>
      </c>
      <c r="BO49" s="195">
        <v>0</v>
      </c>
      <c r="BP49" s="195">
        <v>0</v>
      </c>
      <c r="BQ49" s="195">
        <v>0</v>
      </c>
      <c r="BR49" s="195">
        <v>0</v>
      </c>
      <c r="BS49" s="195">
        <v>0</v>
      </c>
      <c r="BT49" s="195">
        <v>0</v>
      </c>
      <c r="BU49" s="195">
        <v>0</v>
      </c>
      <c r="BV49" s="195">
        <v>0</v>
      </c>
      <c r="BW49" s="195">
        <v>0</v>
      </c>
      <c r="BX49" s="195">
        <v>0</v>
      </c>
      <c r="BY49" s="195">
        <v>0</v>
      </c>
    </row>
    <row r="50" spans="1:77" x14ac:dyDescent="0.25">
      <c r="A50" s="195" t="s">
        <v>154</v>
      </c>
      <c r="B50" s="195">
        <v>731903456.91999996</v>
      </c>
      <c r="C50" s="195">
        <v>471722857.38</v>
      </c>
      <c r="D50" s="195">
        <v>279415049.63999999</v>
      </c>
      <c r="E50" s="195">
        <v>730321421.23000002</v>
      </c>
      <c r="F50" s="195">
        <v>509465253.44999999</v>
      </c>
      <c r="G50" s="195">
        <v>338367546.86000001</v>
      </c>
      <c r="H50" s="195">
        <v>128330277.72</v>
      </c>
      <c r="I50" s="195">
        <v>362941027.16000003</v>
      </c>
      <c r="J50" s="195">
        <v>193512470.66</v>
      </c>
      <c r="K50" s="195">
        <v>216347040.75</v>
      </c>
      <c r="L50" s="195">
        <v>106095795.56999999</v>
      </c>
      <c r="M50" s="195">
        <v>205970794.96000001</v>
      </c>
      <c r="N50" s="195">
        <v>140754450.24000001</v>
      </c>
      <c r="O50" s="195">
        <v>116099524.65000001</v>
      </c>
      <c r="P50" s="195">
        <v>107030735.48</v>
      </c>
      <c r="Q50" s="195">
        <v>225411626.19</v>
      </c>
      <c r="R50" s="195">
        <v>183181646.40000001</v>
      </c>
      <c r="S50" s="195">
        <v>190080336.25999999</v>
      </c>
      <c r="T50" s="195">
        <v>119227526.5</v>
      </c>
      <c r="U50" s="195">
        <v>256148236.09999999</v>
      </c>
      <c r="V50" s="195">
        <v>237953895.88999999</v>
      </c>
      <c r="W50" s="195">
        <v>174570996.33000001</v>
      </c>
      <c r="X50" s="195">
        <v>63240059.259999998</v>
      </c>
      <c r="Y50" s="195">
        <v>146984682.71000001</v>
      </c>
      <c r="Z50" s="195">
        <v>65471003.840000004</v>
      </c>
      <c r="AA50" s="195">
        <v>66484136.420000002</v>
      </c>
      <c r="AB50" s="195">
        <v>25141435.359999999</v>
      </c>
      <c r="AC50" s="195">
        <v>56386811.509999998</v>
      </c>
      <c r="AD50" s="195">
        <v>84192229.219999999</v>
      </c>
      <c r="AE50" s="195">
        <v>64587193.130000003</v>
      </c>
      <c r="AF50" s="195">
        <v>39989543.439999998</v>
      </c>
      <c r="AG50" s="195">
        <v>46448176.630000003</v>
      </c>
      <c r="AH50" s="195">
        <v>24956162.57</v>
      </c>
      <c r="AI50" s="195">
        <v>34448951.960000001</v>
      </c>
      <c r="AJ50" s="195">
        <v>31781820.600000001</v>
      </c>
      <c r="AK50" s="195">
        <v>57982286.140000001</v>
      </c>
      <c r="AL50" s="195">
        <v>69034689.650000006</v>
      </c>
      <c r="AM50" s="195">
        <v>19111442.93</v>
      </c>
      <c r="AN50" s="195">
        <v>19609862.98</v>
      </c>
      <c r="AO50" s="195">
        <v>52081569.979999997</v>
      </c>
      <c r="AP50" s="195">
        <v>60738690.149999999</v>
      </c>
      <c r="AQ50" s="195">
        <v>70046600.459999993</v>
      </c>
      <c r="AR50" s="195">
        <v>90030307.170000002</v>
      </c>
      <c r="AS50" s="195">
        <v>98536987.950000003</v>
      </c>
      <c r="AT50" s="195">
        <v>61330089.490000002</v>
      </c>
      <c r="AU50" s="195">
        <v>85716936.959999993</v>
      </c>
      <c r="AV50" s="195">
        <v>88240811.170000002</v>
      </c>
      <c r="AW50" s="195">
        <v>85119031.129999995</v>
      </c>
      <c r="AX50" s="195">
        <v>92604367.939999998</v>
      </c>
      <c r="AY50" s="195">
        <v>103623429.89</v>
      </c>
      <c r="AZ50" s="195">
        <v>84464852.709999993</v>
      </c>
      <c r="BA50" s="195">
        <v>109560033.91</v>
      </c>
      <c r="BB50" s="195">
        <v>151355411.86000001</v>
      </c>
      <c r="BC50" s="195">
        <v>155573082.88</v>
      </c>
      <c r="BD50" s="195">
        <v>119976522.12</v>
      </c>
      <c r="BE50" s="195">
        <v>62967425.520000003</v>
      </c>
      <c r="BF50" s="195">
        <v>72471528.079999998</v>
      </c>
      <c r="BG50" s="195">
        <v>75284613.340000004</v>
      </c>
      <c r="BH50" s="195">
        <v>63095682.770000003</v>
      </c>
      <c r="BI50" s="195">
        <v>25753549.809999999</v>
      </c>
      <c r="BJ50" s="195">
        <v>23010701.760000002</v>
      </c>
      <c r="BK50" s="195">
        <v>16546565.48</v>
      </c>
      <c r="BL50" s="195">
        <v>29177049.77</v>
      </c>
      <c r="BM50" s="195">
        <v>14811027.93</v>
      </c>
      <c r="BN50" s="195">
        <v>24515963.710000001</v>
      </c>
      <c r="BO50" s="195">
        <v>6903254.2300000004</v>
      </c>
      <c r="BP50" s="195">
        <v>9941354.8300000001</v>
      </c>
      <c r="BQ50" s="195">
        <v>8408448.8399999999</v>
      </c>
      <c r="BR50" s="195">
        <v>0</v>
      </c>
      <c r="BS50" s="195">
        <v>4617153.33</v>
      </c>
      <c r="BT50" s="195">
        <v>2011175.5</v>
      </c>
      <c r="BU50" s="195">
        <v>1945612.4</v>
      </c>
      <c r="BV50" s="195">
        <v>1295184.69</v>
      </c>
      <c r="BW50" s="195">
        <v>654110.81000000006</v>
      </c>
      <c r="BX50" s="195">
        <v>1251323.05</v>
      </c>
      <c r="BY50" s="195">
        <v>0</v>
      </c>
    </row>
    <row r="51" spans="1:77" x14ac:dyDescent="0.25">
      <c r="A51" s="195" t="s">
        <v>155</v>
      </c>
      <c r="B51" s="195">
        <v>1672254046.6600001</v>
      </c>
      <c r="C51" s="195">
        <v>1157472626</v>
      </c>
      <c r="D51" s="195">
        <v>1206494470.9400001</v>
      </c>
      <c r="E51" s="195">
        <v>2245188240.7600002</v>
      </c>
      <c r="F51" s="195">
        <v>1336921067.28</v>
      </c>
      <c r="G51" s="195">
        <v>924185080.58000004</v>
      </c>
      <c r="H51" s="195">
        <v>689619592.89999998</v>
      </c>
      <c r="I51" s="195">
        <v>556392301.67999995</v>
      </c>
      <c r="J51" s="195">
        <v>425408104.05000001</v>
      </c>
      <c r="K51" s="195">
        <v>441203563.17000002</v>
      </c>
      <c r="L51" s="195">
        <v>180246237.74000001</v>
      </c>
      <c r="M51" s="195">
        <v>232772820.34999999</v>
      </c>
      <c r="N51" s="195">
        <v>276374909.76999998</v>
      </c>
      <c r="O51" s="195">
        <v>356114538.75999999</v>
      </c>
      <c r="P51" s="195">
        <v>290013593.06</v>
      </c>
      <c r="Q51" s="195">
        <v>270541464.25999999</v>
      </c>
      <c r="R51" s="195">
        <v>-792191418.14999998</v>
      </c>
      <c r="S51" s="195">
        <v>-476542607.41000003</v>
      </c>
      <c r="T51" s="195">
        <v>-462098866.67000002</v>
      </c>
      <c r="U51" s="195">
        <v>-275247634.38</v>
      </c>
      <c r="V51" s="195">
        <v>38032922.450000003</v>
      </c>
      <c r="W51" s="195">
        <v>204692885.38999999</v>
      </c>
      <c r="X51" s="195">
        <v>203808678.93000001</v>
      </c>
      <c r="Y51" s="195">
        <v>164107020.72</v>
      </c>
      <c r="Z51" s="195">
        <v>237855578.56999999</v>
      </c>
      <c r="AA51" s="195">
        <v>139312708.87</v>
      </c>
      <c r="AB51" s="195">
        <v>88158127.25</v>
      </c>
      <c r="AC51" s="195">
        <v>9882985.6400000006</v>
      </c>
      <c r="AD51" s="195">
        <v>133845923.08</v>
      </c>
      <c r="AE51" s="195">
        <v>179312697.38</v>
      </c>
      <c r="AF51" s="195">
        <v>-24442615.050000001</v>
      </c>
      <c r="AG51" s="195">
        <v>-117964228.73999999</v>
      </c>
      <c r="AH51" s="195">
        <v>-123823357.48999999</v>
      </c>
      <c r="AI51" s="195">
        <v>-141228094.44</v>
      </c>
      <c r="AJ51" s="195">
        <v>-146670554.63</v>
      </c>
      <c r="AK51" s="195">
        <v>-70512878.569999993</v>
      </c>
      <c r="AL51" s="195">
        <v>22488515.32</v>
      </c>
      <c r="AM51" s="195">
        <v>83862946.469999999</v>
      </c>
      <c r="AN51" s="195">
        <v>-1401923.37</v>
      </c>
      <c r="AO51" s="195">
        <v>19851605.219999999</v>
      </c>
      <c r="AP51" s="195">
        <v>196052187.75</v>
      </c>
      <c r="AQ51" s="195">
        <v>243620329</v>
      </c>
      <c r="AR51" s="195">
        <v>296382541.76999998</v>
      </c>
      <c r="AS51" s="195">
        <v>333870612.11000001</v>
      </c>
      <c r="AT51" s="195">
        <v>236876102.88</v>
      </c>
      <c r="AU51" s="195">
        <v>143791661.19999999</v>
      </c>
      <c r="AV51" s="195">
        <v>256885472.87</v>
      </c>
      <c r="AW51" s="195">
        <v>159064164.52000001</v>
      </c>
      <c r="AX51" s="195">
        <v>173776327.03</v>
      </c>
      <c r="AY51" s="195">
        <v>134913274.31999999</v>
      </c>
      <c r="AZ51" s="195">
        <v>144339115.41999999</v>
      </c>
      <c r="BA51" s="195">
        <v>116135338.97</v>
      </c>
      <c r="BB51" s="195">
        <v>160796610.33000001</v>
      </c>
      <c r="BC51" s="195">
        <v>107545822.66</v>
      </c>
      <c r="BD51" s="195">
        <v>81512165.719999999</v>
      </c>
      <c r="BE51" s="195">
        <v>26396481.16</v>
      </c>
      <c r="BF51" s="195">
        <v>113564597.72</v>
      </c>
      <c r="BG51" s="195">
        <v>117420469.54000001</v>
      </c>
      <c r="BH51" s="195">
        <v>53470496.619999997</v>
      </c>
      <c r="BI51" s="195">
        <v>19586258.379999999</v>
      </c>
      <c r="BJ51" s="195">
        <v>55440167.890000001</v>
      </c>
      <c r="BK51" s="195">
        <v>39152376.520000003</v>
      </c>
      <c r="BL51" s="195">
        <v>17433681.27</v>
      </c>
      <c r="BM51" s="195">
        <v>-12113216.949999999</v>
      </c>
      <c r="BN51" s="195">
        <v>-4937456.3099999996</v>
      </c>
      <c r="BO51" s="195">
        <v>-5394438.6500000004</v>
      </c>
      <c r="BP51" s="195">
        <v>29657288.780000001</v>
      </c>
      <c r="BQ51" s="195">
        <v>-2591667.61</v>
      </c>
      <c r="BR51" s="195">
        <v>0</v>
      </c>
      <c r="BS51" s="195">
        <v>2407259.7999999998</v>
      </c>
      <c r="BT51" s="195">
        <v>3850083.97</v>
      </c>
      <c r="BU51" s="195">
        <v>2541502.73</v>
      </c>
      <c r="BV51" s="195">
        <v>-5266459.25</v>
      </c>
      <c r="BW51" s="195">
        <v>-3731885.57</v>
      </c>
      <c r="BX51" s="195">
        <v>0</v>
      </c>
      <c r="BY51" s="195">
        <v>0</v>
      </c>
    </row>
    <row r="52" spans="1:77" x14ac:dyDescent="0.25">
      <c r="A52" s="195" t="s">
        <v>156</v>
      </c>
      <c r="B52" s="195">
        <v>44379269.759999998</v>
      </c>
      <c r="C52" s="195">
        <v>60343243.960000001</v>
      </c>
      <c r="D52" s="195">
        <v>49009384.32</v>
      </c>
      <c r="E52" s="195">
        <v>31970671.84</v>
      </c>
      <c r="F52" s="195">
        <v>37532176.210000001</v>
      </c>
      <c r="G52" s="195">
        <v>32269102.34</v>
      </c>
      <c r="H52" s="195">
        <v>112469532.26000001</v>
      </c>
      <c r="I52" s="195">
        <v>91712154.739999995</v>
      </c>
      <c r="J52" s="195">
        <v>74062876.599999994</v>
      </c>
      <c r="K52" s="195">
        <v>57102686.060000002</v>
      </c>
      <c r="L52" s="195">
        <v>105042598.11</v>
      </c>
      <c r="M52" s="195">
        <v>75252173.540000007</v>
      </c>
      <c r="N52" s="195">
        <v>84509647.700000003</v>
      </c>
      <c r="O52" s="195">
        <v>42999988.299999997</v>
      </c>
      <c r="P52" s="195">
        <v>100545150.76000001</v>
      </c>
      <c r="Q52" s="195">
        <v>76991519.659999996</v>
      </c>
      <c r="R52" s="195">
        <v>71357433.540000007</v>
      </c>
      <c r="S52" s="195">
        <v>64815279.420000002</v>
      </c>
      <c r="T52" s="195">
        <v>97115066.319999993</v>
      </c>
      <c r="U52" s="195">
        <v>64532105.43</v>
      </c>
      <c r="V52" s="195">
        <v>63698011.840000004</v>
      </c>
      <c r="W52" s="195">
        <v>36616594.299999997</v>
      </c>
      <c r="X52" s="195">
        <v>92227742.920000002</v>
      </c>
      <c r="Y52" s="195">
        <v>62778469.950000003</v>
      </c>
      <c r="Z52" s="195">
        <v>59116639.979999997</v>
      </c>
      <c r="AA52" s="195">
        <v>28622866.829999998</v>
      </c>
      <c r="AB52" s="195">
        <v>16691457.449999999</v>
      </c>
      <c r="AC52" s="195">
        <v>46615788.43</v>
      </c>
      <c r="AD52" s="195">
        <v>34332259.719999999</v>
      </c>
      <c r="AE52" s="195">
        <v>19776617.649999999</v>
      </c>
      <c r="AF52" s="195">
        <v>17949398.379999999</v>
      </c>
      <c r="AG52" s="195">
        <v>13124342.949999999</v>
      </c>
      <c r="AH52" s="195">
        <v>14653698.35</v>
      </c>
      <c r="AI52" s="195">
        <v>6264954.29</v>
      </c>
      <c r="AJ52" s="195">
        <v>4177638.96</v>
      </c>
      <c r="AK52" s="195">
        <v>2386521.48</v>
      </c>
      <c r="AL52" s="195">
        <v>4585184.8499999996</v>
      </c>
      <c r="AM52" s="195">
        <v>3549973.37</v>
      </c>
      <c r="AN52" s="195">
        <v>1556874.75</v>
      </c>
      <c r="AO52" s="195">
        <v>4088339.29</v>
      </c>
      <c r="AP52" s="195">
        <v>9174270.6699999999</v>
      </c>
      <c r="AQ52" s="195">
        <v>7040917.1100000003</v>
      </c>
      <c r="AR52" s="195">
        <v>14796015.619999999</v>
      </c>
      <c r="AS52" s="195">
        <v>9277615.1899999995</v>
      </c>
      <c r="AT52" s="195">
        <v>8963666.4499999993</v>
      </c>
      <c r="AU52" s="195">
        <v>4200325.4800000004</v>
      </c>
      <c r="AV52" s="195">
        <v>2900835.97</v>
      </c>
      <c r="AW52" s="195">
        <v>0</v>
      </c>
      <c r="AX52" s="195">
        <v>0</v>
      </c>
      <c r="AY52" s="195">
        <v>0</v>
      </c>
      <c r="AZ52" s="195">
        <v>0</v>
      </c>
      <c r="BA52" s="195">
        <v>0</v>
      </c>
      <c r="BB52" s="195">
        <v>0</v>
      </c>
      <c r="BC52" s="195">
        <v>0</v>
      </c>
      <c r="BD52" s="195">
        <v>0</v>
      </c>
      <c r="BE52" s="195">
        <v>0</v>
      </c>
      <c r="BF52" s="195">
        <v>0</v>
      </c>
      <c r="BG52" s="195">
        <v>0</v>
      </c>
      <c r="BH52" s="195">
        <v>0</v>
      </c>
      <c r="BI52" s="195">
        <v>0</v>
      </c>
      <c r="BJ52" s="195">
        <v>0</v>
      </c>
      <c r="BK52" s="195">
        <v>0</v>
      </c>
      <c r="BL52" s="195">
        <v>0</v>
      </c>
      <c r="BM52" s="195">
        <v>0</v>
      </c>
      <c r="BN52" s="195">
        <v>0</v>
      </c>
      <c r="BO52" s="195">
        <v>0</v>
      </c>
      <c r="BP52" s="195">
        <v>0</v>
      </c>
      <c r="BQ52" s="195">
        <v>0</v>
      </c>
      <c r="BR52" s="195">
        <v>0</v>
      </c>
      <c r="BS52" s="195">
        <v>0</v>
      </c>
      <c r="BT52" s="195">
        <v>0</v>
      </c>
      <c r="BU52" s="195">
        <v>0</v>
      </c>
      <c r="BV52" s="195">
        <v>0</v>
      </c>
      <c r="BW52" s="195">
        <v>0</v>
      </c>
      <c r="BX52" s="195">
        <v>0</v>
      </c>
      <c r="BY52" s="195">
        <v>0</v>
      </c>
    </row>
    <row r="53" spans="1:77" x14ac:dyDescent="0.25">
      <c r="A53" s="195" t="s">
        <v>157</v>
      </c>
      <c r="B53" s="195">
        <v>0</v>
      </c>
      <c r="C53" s="195">
        <v>0</v>
      </c>
      <c r="D53" s="195">
        <v>0</v>
      </c>
      <c r="E53" s="195">
        <v>0</v>
      </c>
      <c r="F53" s="195">
        <v>332253125</v>
      </c>
      <c r="G53" s="195">
        <v>43509375</v>
      </c>
      <c r="H53" s="195">
        <v>0</v>
      </c>
      <c r="I53" s="195">
        <v>0</v>
      </c>
      <c r="J53" s="195">
        <v>0</v>
      </c>
      <c r="K53" s="195">
        <v>0</v>
      </c>
      <c r="L53" s="195">
        <v>432466944</v>
      </c>
      <c r="M53" s="195">
        <v>0</v>
      </c>
      <c r="N53" s="195">
        <v>0</v>
      </c>
      <c r="O53" s="195">
        <v>0</v>
      </c>
      <c r="P53" s="195">
        <v>59557500</v>
      </c>
      <c r="Q53" s="195">
        <v>0</v>
      </c>
      <c r="R53" s="195">
        <v>0</v>
      </c>
      <c r="S53" s="195">
        <v>0</v>
      </c>
      <c r="T53" s="195">
        <v>0</v>
      </c>
      <c r="U53" s="195">
        <v>0</v>
      </c>
      <c r="V53" s="195">
        <v>0</v>
      </c>
      <c r="W53" s="195">
        <v>0</v>
      </c>
      <c r="X53" s="195">
        <v>0</v>
      </c>
      <c r="Y53" s="195">
        <v>0</v>
      </c>
      <c r="Z53" s="195">
        <v>0</v>
      </c>
      <c r="AA53" s="195">
        <v>49631250</v>
      </c>
      <c r="AB53" s="195">
        <v>49631250</v>
      </c>
      <c r="AC53" s="195">
        <v>215303200</v>
      </c>
      <c r="AD53" s="195">
        <v>0</v>
      </c>
      <c r="AE53" s="195">
        <v>0</v>
      </c>
      <c r="AF53" s="195">
        <v>0</v>
      </c>
      <c r="AG53" s="195">
        <v>0</v>
      </c>
      <c r="AH53" s="195">
        <v>0</v>
      </c>
      <c r="AI53" s="195">
        <v>0</v>
      </c>
      <c r="AJ53" s="195">
        <v>0</v>
      </c>
      <c r="AK53" s="195">
        <v>0</v>
      </c>
      <c r="AL53" s="195">
        <v>0</v>
      </c>
      <c r="AM53" s="195">
        <v>0</v>
      </c>
      <c r="AN53" s="195">
        <v>951007200</v>
      </c>
      <c r="AO53" s="195">
        <v>0</v>
      </c>
      <c r="AP53" s="195">
        <v>0</v>
      </c>
      <c r="AQ53" s="195">
        <v>0</v>
      </c>
      <c r="AR53" s="195">
        <v>665333760</v>
      </c>
      <c r="AS53" s="195">
        <v>0</v>
      </c>
      <c r="AT53" s="195">
        <v>0</v>
      </c>
      <c r="AU53" s="195">
        <v>164709600</v>
      </c>
      <c r="AV53" s="195">
        <v>0</v>
      </c>
      <c r="AW53" s="195">
        <v>0</v>
      </c>
      <c r="AX53" s="195">
        <v>0</v>
      </c>
      <c r="AY53" s="195">
        <v>0</v>
      </c>
      <c r="AZ53" s="195">
        <v>0</v>
      </c>
      <c r="BA53" s="195">
        <v>0</v>
      </c>
      <c r="BB53" s="195">
        <v>0</v>
      </c>
      <c r="BC53" s="195">
        <v>0</v>
      </c>
      <c r="BD53" s="195">
        <v>0</v>
      </c>
      <c r="BE53" s="195">
        <v>0</v>
      </c>
      <c r="BF53" s="195">
        <v>0</v>
      </c>
      <c r="BG53" s="195">
        <v>0</v>
      </c>
      <c r="BH53" s="195">
        <v>0</v>
      </c>
      <c r="BI53" s="195">
        <v>0</v>
      </c>
      <c r="BJ53" s="195">
        <v>0</v>
      </c>
      <c r="BK53" s="195">
        <v>0</v>
      </c>
      <c r="BL53" s="195">
        <v>76800000</v>
      </c>
      <c r="BM53" s="195">
        <v>76800000</v>
      </c>
      <c r="BN53" s="195">
        <v>0</v>
      </c>
      <c r="BO53" s="195">
        <v>0</v>
      </c>
      <c r="BP53" s="195">
        <v>48000000</v>
      </c>
      <c r="BQ53" s="195">
        <v>48000000</v>
      </c>
      <c r="BR53" s="195">
        <v>0</v>
      </c>
      <c r="BS53" s="195">
        <v>7970356.0700000003</v>
      </c>
      <c r="BT53" s="195">
        <v>17570356.07</v>
      </c>
      <c r="BU53" s="195">
        <v>16628762.310000001</v>
      </c>
      <c r="BV53" s="195">
        <v>20370356.07</v>
      </c>
      <c r="BW53" s="195">
        <v>0</v>
      </c>
      <c r="BX53" s="195">
        <v>0</v>
      </c>
      <c r="BY53" s="195">
        <v>0</v>
      </c>
    </row>
    <row r="54" spans="1:77" x14ac:dyDescent="0.25">
      <c r="A54" s="195" t="s">
        <v>158</v>
      </c>
      <c r="B54" s="195">
        <v>472936106.41000003</v>
      </c>
      <c r="C54" s="195">
        <v>335019834.39999998</v>
      </c>
      <c r="D54" s="195">
        <v>399039125.05000001</v>
      </c>
      <c r="E54" s="195">
        <v>508025236.50999999</v>
      </c>
      <c r="F54" s="195">
        <v>560264921.30999994</v>
      </c>
      <c r="G54" s="195">
        <v>553895950.91999996</v>
      </c>
      <c r="H54" s="195">
        <v>573152217.65999997</v>
      </c>
      <c r="I54" s="195">
        <v>511581101.38999999</v>
      </c>
      <c r="J54" s="195">
        <v>629693319.84000003</v>
      </c>
      <c r="K54" s="195">
        <v>510112796.55000001</v>
      </c>
      <c r="L54" s="195">
        <v>245157912.88999999</v>
      </c>
      <c r="M54" s="195">
        <v>275697231.42000002</v>
      </c>
      <c r="N54" s="195">
        <v>389233904.93000001</v>
      </c>
      <c r="O54" s="195">
        <v>213899319.40000001</v>
      </c>
      <c r="P54" s="195">
        <v>179487221.81999999</v>
      </c>
      <c r="Q54" s="195">
        <v>225128335.91999999</v>
      </c>
      <c r="R54" s="195">
        <v>408495637.19999999</v>
      </c>
      <c r="S54" s="195">
        <v>537526350.62</v>
      </c>
      <c r="T54" s="195">
        <v>422641105.54000002</v>
      </c>
      <c r="U54" s="195">
        <v>183584785.22</v>
      </c>
      <c r="V54" s="195">
        <v>226000552.91</v>
      </c>
      <c r="W54" s="195">
        <v>218478334.11000001</v>
      </c>
      <c r="X54" s="195">
        <v>131026208.90000001</v>
      </c>
      <c r="Y54" s="195">
        <v>110413508.79000001</v>
      </c>
      <c r="Z54" s="195">
        <v>129779473.93000001</v>
      </c>
      <c r="AA54" s="195">
        <v>119365342.41</v>
      </c>
      <c r="AB54" s="195">
        <v>79315030.319999993</v>
      </c>
      <c r="AC54" s="195">
        <v>47870959.799999997</v>
      </c>
      <c r="AD54" s="195">
        <v>89319344.900000006</v>
      </c>
      <c r="AE54" s="195">
        <v>89832358.430000007</v>
      </c>
      <c r="AF54" s="195">
        <v>44417095.649999999</v>
      </c>
      <c r="AG54" s="195">
        <v>34300278.68</v>
      </c>
      <c r="AH54" s="195">
        <v>32007795.760000002</v>
      </c>
      <c r="AI54" s="195">
        <v>30100124.52</v>
      </c>
      <c r="AJ54" s="195">
        <v>48879990.649999999</v>
      </c>
      <c r="AK54" s="195">
        <v>36071023.18</v>
      </c>
      <c r="AL54" s="195">
        <v>31350811.030000001</v>
      </c>
      <c r="AM54" s="195">
        <v>27535799.329999998</v>
      </c>
      <c r="AN54" s="195">
        <v>23707126.649999999</v>
      </c>
      <c r="AO54" s="195">
        <v>22567304.190000001</v>
      </c>
      <c r="AP54" s="195">
        <v>38584401.200000003</v>
      </c>
      <c r="AQ54" s="195">
        <v>39928569.259999998</v>
      </c>
      <c r="AR54" s="195">
        <v>105694884.72</v>
      </c>
      <c r="AS54" s="195">
        <v>33528597.59</v>
      </c>
      <c r="AT54" s="195">
        <v>275436026.02999997</v>
      </c>
      <c r="AU54" s="195">
        <v>119825294.77</v>
      </c>
      <c r="AV54" s="195">
        <v>50538891.920000002</v>
      </c>
      <c r="AW54" s="195">
        <v>61739955.950000003</v>
      </c>
      <c r="AX54" s="195">
        <v>97848288.569999993</v>
      </c>
      <c r="AY54" s="195">
        <v>92560025.859999999</v>
      </c>
      <c r="AZ54" s="195">
        <v>92089197.939999998</v>
      </c>
      <c r="BA54" s="195">
        <v>76718194.200000003</v>
      </c>
      <c r="BB54" s="195">
        <v>62666130.850000001</v>
      </c>
      <c r="BC54" s="195">
        <v>48620780.719999999</v>
      </c>
      <c r="BD54" s="195">
        <v>39913514.82</v>
      </c>
      <c r="BE54" s="195">
        <v>28237624.539999999</v>
      </c>
      <c r="BF54" s="195">
        <v>26682112.629999999</v>
      </c>
      <c r="BG54" s="195">
        <v>7222127.5899999999</v>
      </c>
      <c r="BH54" s="195">
        <v>9235457.0399999991</v>
      </c>
      <c r="BI54" s="195">
        <v>7799440.4000000004</v>
      </c>
      <c r="BJ54" s="195">
        <v>12798049.779999999</v>
      </c>
      <c r="BK54" s="195">
        <v>15003580.91</v>
      </c>
      <c r="BL54" s="195">
        <v>5904639.5800000001</v>
      </c>
      <c r="BM54" s="195">
        <v>4093161.15</v>
      </c>
      <c r="BN54" s="195">
        <v>9489827.6899999995</v>
      </c>
      <c r="BO54" s="195">
        <v>3876376.06</v>
      </c>
      <c r="BP54" s="195">
        <v>5142650.55</v>
      </c>
      <c r="BQ54" s="195">
        <v>3640374</v>
      </c>
      <c r="BR54" s="195">
        <v>0</v>
      </c>
      <c r="BS54" s="195">
        <v>2452524.11</v>
      </c>
      <c r="BT54" s="195">
        <v>4555785.21</v>
      </c>
      <c r="BU54" s="195">
        <v>16093186.789999999</v>
      </c>
      <c r="BV54" s="195">
        <v>14109602.07</v>
      </c>
      <c r="BW54" s="195">
        <v>765448.77</v>
      </c>
      <c r="BX54" s="195">
        <v>812965.5</v>
      </c>
      <c r="BY54" s="195">
        <v>0</v>
      </c>
    </row>
    <row r="55" spans="1:77" x14ac:dyDescent="0.25">
      <c r="A55" s="195" t="s">
        <v>159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0</v>
      </c>
      <c r="AN55" s="195">
        <v>0</v>
      </c>
      <c r="AO55" s="195">
        <v>0</v>
      </c>
      <c r="AP55" s="195">
        <v>0</v>
      </c>
      <c r="AQ55" s="195">
        <v>0</v>
      </c>
      <c r="AR55" s="195">
        <v>0</v>
      </c>
      <c r="AS55" s="195">
        <v>0</v>
      </c>
      <c r="AT55" s="195">
        <v>0</v>
      </c>
      <c r="AU55" s="195">
        <v>0</v>
      </c>
      <c r="AV55" s="195">
        <v>0</v>
      </c>
      <c r="AW55" s="195">
        <v>14548390.359999999</v>
      </c>
      <c r="AX55" s="195">
        <v>14762557.050000001</v>
      </c>
      <c r="AY55" s="195">
        <v>12857703.779999999</v>
      </c>
      <c r="AZ55" s="195">
        <v>9092352.7100000009</v>
      </c>
      <c r="BA55" s="195">
        <v>8129001.0999999996</v>
      </c>
      <c r="BB55" s="195">
        <v>6696493.3899999997</v>
      </c>
      <c r="BC55" s="195">
        <v>2395141.5099999998</v>
      </c>
      <c r="BD55" s="195">
        <v>2417299.2999999998</v>
      </c>
      <c r="BE55" s="195">
        <v>813684.12</v>
      </c>
      <c r="BF55" s="195">
        <v>2236934.56</v>
      </c>
      <c r="BG55" s="195">
        <v>1531324.92</v>
      </c>
      <c r="BH55" s="195">
        <v>11443511.66</v>
      </c>
      <c r="BI55" s="195">
        <v>6178839.9699999997</v>
      </c>
      <c r="BJ55" s="195">
        <v>2224318.5299999998</v>
      </c>
      <c r="BK55" s="195">
        <v>294946.81</v>
      </c>
      <c r="BL55" s="195">
        <v>9030389.7100000009</v>
      </c>
      <c r="BM55" s="195">
        <v>366984.63</v>
      </c>
      <c r="BN55" s="195">
        <v>7512972.04</v>
      </c>
      <c r="BO55" s="195">
        <v>4920332.04</v>
      </c>
      <c r="BP55" s="195">
        <v>4728010.82</v>
      </c>
      <c r="BQ55" s="195">
        <v>669559.81999999995</v>
      </c>
      <c r="BR55" s="195">
        <v>0</v>
      </c>
      <c r="BS55" s="195">
        <v>3166827.35</v>
      </c>
      <c r="BT55" s="195">
        <v>64678.54</v>
      </c>
      <c r="BU55" s="195">
        <v>4529943.8499999996</v>
      </c>
      <c r="BV55" s="195">
        <v>0</v>
      </c>
      <c r="BW55" s="195">
        <v>0</v>
      </c>
      <c r="BX55" s="195">
        <v>0</v>
      </c>
      <c r="BY55" s="195">
        <v>0</v>
      </c>
    </row>
    <row r="56" spans="1:77" x14ac:dyDescent="0.25">
      <c r="A56" s="195" t="s">
        <v>160</v>
      </c>
      <c r="B56" s="195">
        <v>0</v>
      </c>
      <c r="C56" s="195">
        <v>0</v>
      </c>
      <c r="D56" s="195">
        <v>0</v>
      </c>
      <c r="E56" s="195">
        <v>0</v>
      </c>
      <c r="F56" s="195">
        <v>0</v>
      </c>
      <c r="G56" s="195">
        <v>0</v>
      </c>
      <c r="H56" s="195">
        <v>0</v>
      </c>
      <c r="I56" s="195">
        <v>0</v>
      </c>
      <c r="J56" s="195">
        <v>0</v>
      </c>
      <c r="K56" s="195">
        <v>0</v>
      </c>
      <c r="L56" s="195">
        <v>0</v>
      </c>
      <c r="M56" s="195">
        <v>0</v>
      </c>
      <c r="N56" s="195">
        <v>0</v>
      </c>
      <c r="O56" s="195">
        <v>0</v>
      </c>
      <c r="P56" s="195">
        <v>0</v>
      </c>
      <c r="Q56" s="195">
        <v>0</v>
      </c>
      <c r="R56" s="195">
        <v>0</v>
      </c>
      <c r="S56" s="195">
        <v>0</v>
      </c>
      <c r="T56" s="195">
        <v>0</v>
      </c>
      <c r="U56" s="195">
        <v>0</v>
      </c>
      <c r="V56" s="195">
        <v>0</v>
      </c>
      <c r="W56" s="195">
        <v>0</v>
      </c>
      <c r="X56" s="195">
        <v>0</v>
      </c>
      <c r="Y56" s="195">
        <v>0</v>
      </c>
      <c r="Z56" s="195">
        <v>0</v>
      </c>
      <c r="AA56" s="195">
        <v>0</v>
      </c>
      <c r="AB56" s="195">
        <v>0</v>
      </c>
      <c r="AC56" s="195">
        <v>0</v>
      </c>
      <c r="AD56" s="195">
        <v>0</v>
      </c>
      <c r="AE56" s="195">
        <v>0</v>
      </c>
      <c r="AF56" s="195">
        <v>0</v>
      </c>
      <c r="AG56" s="195">
        <v>0</v>
      </c>
      <c r="AH56" s="195">
        <v>0</v>
      </c>
      <c r="AI56" s="195">
        <v>0</v>
      </c>
      <c r="AJ56" s="195">
        <v>0</v>
      </c>
      <c r="AK56" s="195">
        <v>0</v>
      </c>
      <c r="AL56" s="195">
        <v>0</v>
      </c>
      <c r="AM56" s="195">
        <v>0</v>
      </c>
      <c r="AN56" s="195">
        <v>0</v>
      </c>
      <c r="AO56" s="195">
        <v>0</v>
      </c>
      <c r="AP56" s="195">
        <v>0</v>
      </c>
      <c r="AQ56" s="195">
        <v>0</v>
      </c>
      <c r="AR56" s="195">
        <v>0</v>
      </c>
      <c r="AS56" s="195">
        <v>0</v>
      </c>
      <c r="AT56" s="195">
        <v>0</v>
      </c>
      <c r="AU56" s="195">
        <v>0</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c r="BU56" s="195">
        <v>0</v>
      </c>
      <c r="BV56" s="195">
        <v>0</v>
      </c>
      <c r="BW56" s="195">
        <v>0</v>
      </c>
      <c r="BX56" s="195">
        <v>0</v>
      </c>
      <c r="BY56" s="195">
        <v>0</v>
      </c>
    </row>
    <row r="57" spans="1:77" x14ac:dyDescent="0.25">
      <c r="A57" s="195" t="s">
        <v>161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c r="BU57" s="195">
        <v>0</v>
      </c>
      <c r="BV57" s="195">
        <v>0</v>
      </c>
      <c r="BW57" s="195">
        <v>0</v>
      </c>
      <c r="BX57" s="195">
        <v>0</v>
      </c>
      <c r="BY57" s="195">
        <v>0</v>
      </c>
    </row>
    <row r="58" spans="1:77" x14ac:dyDescent="0.25">
      <c r="A58" s="195" t="s">
        <v>162</v>
      </c>
      <c r="B58" s="195">
        <v>1871146666.6500001</v>
      </c>
      <c r="C58" s="195">
        <v>1868013333.3199999</v>
      </c>
      <c r="D58" s="195">
        <v>2628013333.3200002</v>
      </c>
      <c r="E58" s="195">
        <v>2670513333.46</v>
      </c>
      <c r="F58" s="195">
        <v>4237696666.79</v>
      </c>
      <c r="G58" s="195">
        <v>3831305000.1300001</v>
      </c>
      <c r="H58" s="195">
        <v>4351516666.79</v>
      </c>
      <c r="I58" s="195">
        <v>4045125000.1300001</v>
      </c>
      <c r="J58" s="195">
        <v>2717616666.6100001</v>
      </c>
      <c r="K58" s="195">
        <v>2989229748.27</v>
      </c>
      <c r="L58" s="195">
        <v>1845913921.55</v>
      </c>
      <c r="M58" s="195">
        <v>2512795314.8899999</v>
      </c>
      <c r="N58" s="195">
        <v>2165612903.2199998</v>
      </c>
      <c r="O58" s="195">
        <v>2781047627.5799999</v>
      </c>
      <c r="P58" s="195">
        <v>2619294253.02</v>
      </c>
      <c r="Q58" s="195">
        <v>2511987627.27</v>
      </c>
      <c r="R58" s="195">
        <v>2028654830.9200001</v>
      </c>
      <c r="S58" s="195">
        <v>1553739968.4000001</v>
      </c>
      <c r="T58" s="195">
        <v>906998672.39999998</v>
      </c>
      <c r="U58" s="195">
        <v>1283957923.3</v>
      </c>
      <c r="V58" s="195">
        <v>950470129.13</v>
      </c>
      <c r="W58" s="195">
        <v>912127938.78999996</v>
      </c>
      <c r="X58" s="195">
        <v>1382666654.9200001</v>
      </c>
      <c r="Y58" s="195">
        <v>1025236176.9400001</v>
      </c>
      <c r="Z58" s="195">
        <v>1254651337.76</v>
      </c>
      <c r="AA58" s="195">
        <v>1253881405.1099999</v>
      </c>
      <c r="AB58" s="195">
        <v>984569465.58000004</v>
      </c>
      <c r="AC58" s="195">
        <v>1025715641.77</v>
      </c>
      <c r="AD58" s="195">
        <v>634068888.35000002</v>
      </c>
      <c r="AE58" s="195">
        <v>614966148.38</v>
      </c>
      <c r="AF58" s="195">
        <v>386160417.98000002</v>
      </c>
      <c r="AG58" s="195">
        <v>294710150</v>
      </c>
      <c r="AH58" s="195">
        <v>68479675</v>
      </c>
      <c r="AI58" s="195">
        <v>123188525</v>
      </c>
      <c r="AJ58" s="195">
        <v>125328750</v>
      </c>
      <c r="AK58" s="195">
        <v>125352500</v>
      </c>
      <c r="AL58" s="195">
        <v>273160000</v>
      </c>
      <c r="AM58" s="195">
        <v>169430911.25999999</v>
      </c>
      <c r="AN58" s="195">
        <v>212644425.75999999</v>
      </c>
      <c r="AO58" s="195">
        <v>431872600</v>
      </c>
      <c r="AP58" s="195">
        <v>683499705.75</v>
      </c>
      <c r="AQ58" s="195">
        <v>500406405.69</v>
      </c>
      <c r="AR58" s="195">
        <v>406154505.69</v>
      </c>
      <c r="AS58" s="195">
        <v>403243572.41000003</v>
      </c>
      <c r="AT58" s="195">
        <v>255367200</v>
      </c>
      <c r="AU58" s="195">
        <v>78077500</v>
      </c>
      <c r="AV58" s="195">
        <v>172375400</v>
      </c>
      <c r="AW58" s="195">
        <v>172747900</v>
      </c>
      <c r="AX58" s="195">
        <v>229352300</v>
      </c>
      <c r="AY58" s="195">
        <v>261855900</v>
      </c>
      <c r="AZ58" s="195">
        <v>153670000</v>
      </c>
      <c r="BA58" s="195">
        <v>98859950</v>
      </c>
      <c r="BB58" s="195">
        <v>0</v>
      </c>
      <c r="BC58" s="195">
        <v>0</v>
      </c>
      <c r="BD58" s="195">
        <v>0</v>
      </c>
      <c r="BE58" s="195">
        <v>0</v>
      </c>
      <c r="BF58" s="195">
        <v>0</v>
      </c>
      <c r="BG58" s="195">
        <v>0</v>
      </c>
      <c r="BH58" s="195">
        <v>33000000</v>
      </c>
      <c r="BI58" s="195">
        <v>33000000</v>
      </c>
      <c r="BJ58" s="195">
        <v>7000000</v>
      </c>
      <c r="BK58" s="195">
        <v>7000000</v>
      </c>
      <c r="BL58" s="195">
        <v>7000000</v>
      </c>
      <c r="BM58" s="195">
        <v>7000000</v>
      </c>
      <c r="BN58" s="195">
        <v>0</v>
      </c>
      <c r="BO58" s="195">
        <v>0</v>
      </c>
      <c r="BP58" s="195">
        <v>0</v>
      </c>
      <c r="BQ58" s="195">
        <v>0</v>
      </c>
      <c r="BR58" s="195">
        <v>0</v>
      </c>
      <c r="BS58" s="195">
        <v>0</v>
      </c>
      <c r="BT58" s="195">
        <v>15000000</v>
      </c>
      <c r="BU58" s="195">
        <v>0</v>
      </c>
      <c r="BV58" s="195">
        <v>0</v>
      </c>
      <c r="BW58" s="195">
        <v>0</v>
      </c>
      <c r="BX58" s="195">
        <v>0</v>
      </c>
      <c r="BY58" s="195">
        <v>0</v>
      </c>
    </row>
    <row r="59" spans="1:77" x14ac:dyDescent="0.25">
      <c r="A59" s="195" t="s">
        <v>163</v>
      </c>
      <c r="B59" s="195">
        <v>0</v>
      </c>
      <c r="C59" s="195">
        <v>0</v>
      </c>
      <c r="D59" s="195">
        <v>0</v>
      </c>
      <c r="E59" s="195">
        <v>0</v>
      </c>
      <c r="F59" s="195">
        <v>0</v>
      </c>
      <c r="G59" s="195">
        <v>0</v>
      </c>
      <c r="H59" s="195">
        <v>1400000000</v>
      </c>
      <c r="I59" s="195">
        <v>1700000000</v>
      </c>
      <c r="J59" s="195">
        <v>1700000000</v>
      </c>
      <c r="K59" s="195">
        <v>300000000</v>
      </c>
      <c r="L59" s="195">
        <v>300000000</v>
      </c>
      <c r="M59" s="195">
        <v>0</v>
      </c>
      <c r="N59" s="195">
        <v>0</v>
      </c>
      <c r="O59" s="195">
        <v>0</v>
      </c>
      <c r="P59" s="195">
        <v>0</v>
      </c>
      <c r="Q59" s="195">
        <v>0</v>
      </c>
      <c r="R59" s="195">
        <v>201173356</v>
      </c>
      <c r="S59" s="195">
        <v>153500000</v>
      </c>
      <c r="T59" s="195">
        <v>152970000</v>
      </c>
      <c r="U59" s="195">
        <v>155800000</v>
      </c>
      <c r="V59" s="195">
        <v>153400000</v>
      </c>
      <c r="W59" s="195">
        <v>155400000</v>
      </c>
      <c r="X59" s="195">
        <v>153600000</v>
      </c>
      <c r="Y59" s="195">
        <v>153000000</v>
      </c>
      <c r="Z59" s="195">
        <v>2000000</v>
      </c>
      <c r="AA59" s="195">
        <v>0</v>
      </c>
      <c r="AB59" s="195">
        <v>0</v>
      </c>
      <c r="AC59" s="195">
        <v>850000000</v>
      </c>
      <c r="AD59" s="195">
        <v>854630000</v>
      </c>
      <c r="AE59" s="195">
        <v>4630000</v>
      </c>
      <c r="AF59" s="195">
        <v>0</v>
      </c>
      <c r="AG59" s="195">
        <v>0</v>
      </c>
      <c r="AH59" s="195">
        <v>58853644.840000004</v>
      </c>
      <c r="AI59" s="195">
        <v>85453644.840000004</v>
      </c>
      <c r="AJ59" s="195">
        <v>143876644.84</v>
      </c>
      <c r="AK59" s="195">
        <v>163734583.99000001</v>
      </c>
      <c r="AL59" s="195">
        <v>135903644.84</v>
      </c>
      <c r="AM59" s="195">
        <v>257110757.21000001</v>
      </c>
      <c r="AN59" s="195">
        <v>240790107.41</v>
      </c>
      <c r="AO59" s="195">
        <v>361466191.70999998</v>
      </c>
      <c r="AP59" s="195">
        <v>0</v>
      </c>
      <c r="AQ59" s="195">
        <v>150261135.88</v>
      </c>
      <c r="AR59" s="195">
        <v>217111795.66999999</v>
      </c>
      <c r="AS59" s="195">
        <v>131007809.98999999</v>
      </c>
      <c r="AT59" s="195">
        <v>5800000</v>
      </c>
      <c r="AU59" s="195">
        <v>5800000</v>
      </c>
      <c r="AV59" s="195">
        <v>1684000</v>
      </c>
      <c r="AW59" s="195">
        <v>0</v>
      </c>
      <c r="AX59" s="195">
        <v>0</v>
      </c>
      <c r="AY59" s="195">
        <v>0</v>
      </c>
      <c r="AZ59" s="195">
        <v>0</v>
      </c>
      <c r="BA59" s="195">
        <v>0</v>
      </c>
      <c r="BB59" s="195">
        <v>0</v>
      </c>
      <c r="BC59" s="195">
        <v>0</v>
      </c>
      <c r="BD59" s="195">
        <v>0</v>
      </c>
      <c r="BE59" s="195">
        <v>0</v>
      </c>
      <c r="BF59" s="195">
        <v>0</v>
      </c>
      <c r="BG59" s="195">
        <v>0</v>
      </c>
      <c r="BH59" s="195">
        <v>0</v>
      </c>
      <c r="BI59" s="195">
        <v>0</v>
      </c>
      <c r="BJ59" s="195">
        <v>0</v>
      </c>
      <c r="BK59" s="195">
        <v>0</v>
      </c>
      <c r="BL59" s="195">
        <v>0</v>
      </c>
      <c r="BM59" s="195">
        <v>0</v>
      </c>
      <c r="BN59" s="195">
        <v>0</v>
      </c>
      <c r="BO59" s="195">
        <v>0</v>
      </c>
      <c r="BP59" s="195">
        <v>0</v>
      </c>
      <c r="BQ59" s="195">
        <v>0</v>
      </c>
      <c r="BR59" s="195">
        <v>0</v>
      </c>
      <c r="BS59" s="195">
        <v>0</v>
      </c>
      <c r="BT59" s="195">
        <v>0</v>
      </c>
      <c r="BU59" s="195">
        <v>0</v>
      </c>
      <c r="BV59" s="195">
        <v>0</v>
      </c>
      <c r="BW59" s="195">
        <v>0</v>
      </c>
      <c r="BX59" s="195">
        <v>0</v>
      </c>
      <c r="BY59" s="195">
        <v>0</v>
      </c>
    </row>
    <row r="60" spans="1:77" x14ac:dyDescent="0.25">
      <c r="A60" s="195" t="s">
        <v>164</v>
      </c>
      <c r="B60" s="195">
        <v>29190185992.66</v>
      </c>
      <c r="C60" s="195">
        <v>27377833213.5</v>
      </c>
      <c r="D60" s="195">
        <v>28275828849.740002</v>
      </c>
      <c r="E60" s="195">
        <v>27820093004.369999</v>
      </c>
      <c r="F60" s="195">
        <v>27736483091.02</v>
      </c>
      <c r="G60" s="195">
        <v>25906477057.43</v>
      </c>
      <c r="H60" s="195">
        <v>23338671332.57</v>
      </c>
      <c r="I60" s="195">
        <v>22601406540.52</v>
      </c>
      <c r="J60" s="195">
        <v>22598543858.59</v>
      </c>
      <c r="K60" s="195">
        <v>23461594713.330002</v>
      </c>
      <c r="L60" s="195">
        <v>21412135484.68</v>
      </c>
      <c r="M60" s="195">
        <v>19273272914.959999</v>
      </c>
      <c r="N60" s="195">
        <v>18337691826.52</v>
      </c>
      <c r="O60" s="195">
        <v>15996473352.870001</v>
      </c>
      <c r="P60" s="195">
        <v>13803836485.09</v>
      </c>
      <c r="Q60" s="195">
        <v>13233988858.889999</v>
      </c>
      <c r="R60" s="195">
        <v>11860359279.67</v>
      </c>
      <c r="S60" s="195">
        <v>12332771074.09</v>
      </c>
      <c r="T60" s="195">
        <v>11492141010.26</v>
      </c>
      <c r="U60" s="195">
        <v>10441366665.959999</v>
      </c>
      <c r="V60" s="195">
        <v>9191282069.6499996</v>
      </c>
      <c r="W60" s="195">
        <v>10184287495.85</v>
      </c>
      <c r="X60" s="195">
        <v>9594968949.5599995</v>
      </c>
      <c r="Y60" s="195">
        <v>8227054740.6800003</v>
      </c>
      <c r="Z60" s="195">
        <v>7793906176.4499998</v>
      </c>
      <c r="AA60" s="195">
        <v>6749538253.9499998</v>
      </c>
      <c r="AB60" s="195">
        <v>6684192707.8599997</v>
      </c>
      <c r="AC60" s="195">
        <v>6756975373.1999998</v>
      </c>
      <c r="AD60" s="195">
        <v>4598654149.7700005</v>
      </c>
      <c r="AE60" s="195">
        <v>5339084796.4799995</v>
      </c>
      <c r="AF60" s="195">
        <v>5025391518.1800003</v>
      </c>
      <c r="AG60" s="195">
        <v>3722131797.9699998</v>
      </c>
      <c r="AH60" s="195">
        <v>3303993576.9200001</v>
      </c>
      <c r="AI60" s="195">
        <v>2867259570.1399999</v>
      </c>
      <c r="AJ60" s="195">
        <v>3340822069.5999999</v>
      </c>
      <c r="AK60" s="195">
        <v>3200853624.4200001</v>
      </c>
      <c r="AL60" s="195">
        <v>3938209091.0300002</v>
      </c>
      <c r="AM60" s="195">
        <v>3863150296.5900002</v>
      </c>
      <c r="AN60" s="195">
        <v>3897251202.27</v>
      </c>
      <c r="AO60" s="195">
        <v>1984654312.75</v>
      </c>
      <c r="AP60" s="195">
        <v>2116470411.1500001</v>
      </c>
      <c r="AQ60" s="195">
        <v>2175288331.9000001</v>
      </c>
      <c r="AR60" s="195">
        <v>3272643435.3499999</v>
      </c>
      <c r="AS60" s="195">
        <v>2552586943.0999999</v>
      </c>
      <c r="AT60" s="195">
        <v>2688911777.2600002</v>
      </c>
      <c r="AU60" s="195">
        <v>2091155561.96</v>
      </c>
      <c r="AV60" s="195">
        <v>1714044932.6700001</v>
      </c>
      <c r="AW60" s="195">
        <v>1530072141.3399999</v>
      </c>
      <c r="AX60" s="195">
        <v>1811157381.04</v>
      </c>
      <c r="AY60" s="195">
        <v>1695056579.51</v>
      </c>
      <c r="AZ60" s="195">
        <v>1460806013.04</v>
      </c>
      <c r="BA60" s="195">
        <v>1348226931.1099999</v>
      </c>
      <c r="BB60" s="195">
        <v>917559948.87</v>
      </c>
      <c r="BC60" s="195">
        <v>702490188.63999999</v>
      </c>
      <c r="BD60" s="195">
        <v>645690518.32000005</v>
      </c>
      <c r="BE60" s="195">
        <v>519940028.89999998</v>
      </c>
      <c r="BF60" s="195">
        <v>537141715.94000006</v>
      </c>
      <c r="BG60" s="195">
        <v>507895030.49000001</v>
      </c>
      <c r="BH60" s="195">
        <v>403877278.22000003</v>
      </c>
      <c r="BI60" s="195">
        <v>293498548.36000001</v>
      </c>
      <c r="BJ60" s="195">
        <v>146009923</v>
      </c>
      <c r="BK60" s="195">
        <v>124076861.47</v>
      </c>
      <c r="BL60" s="195">
        <v>209045620.97999999</v>
      </c>
      <c r="BM60" s="195">
        <v>136635665.53</v>
      </c>
      <c r="BN60" s="195">
        <v>65570811.960000001</v>
      </c>
      <c r="BO60" s="195">
        <v>24530449.030000001</v>
      </c>
      <c r="BP60" s="195">
        <v>142563879.46000001</v>
      </c>
      <c r="BQ60" s="195">
        <v>72907734.739999995</v>
      </c>
      <c r="BR60" s="195">
        <v>95076700</v>
      </c>
      <c r="BS60" s="195">
        <v>64501530.380000003</v>
      </c>
      <c r="BT60" s="195">
        <v>146537787.19999999</v>
      </c>
      <c r="BU60" s="195">
        <v>130735142</v>
      </c>
      <c r="BV60" s="195">
        <v>95431204.049999997</v>
      </c>
      <c r="BW60" s="195">
        <v>34938375.369999997</v>
      </c>
      <c r="BX60" s="195">
        <v>40045292.130000003</v>
      </c>
      <c r="BY60" s="195">
        <v>0</v>
      </c>
    </row>
    <row r="61" spans="1:77" x14ac:dyDescent="0.25">
      <c r="A61" s="195" t="s">
        <v>165</v>
      </c>
    </row>
    <row r="62" spans="1:77" x14ac:dyDescent="0.25">
      <c r="A62" s="195" t="s">
        <v>166</v>
      </c>
      <c r="B62" s="195">
        <v>4635674285.6800003</v>
      </c>
      <c r="C62" s="195">
        <v>5238643571.3999996</v>
      </c>
      <c r="D62" s="195">
        <v>6456812857.1199999</v>
      </c>
      <c r="E62" s="195">
        <v>6321648809.1300001</v>
      </c>
      <c r="F62" s="195">
        <v>7186001560</v>
      </c>
      <c r="G62" s="195">
        <v>7829437380.6199999</v>
      </c>
      <c r="H62" s="195">
        <v>9029286666.4099998</v>
      </c>
      <c r="I62" s="195">
        <v>9333344999.7399998</v>
      </c>
      <c r="J62" s="195">
        <v>11201344999.99</v>
      </c>
      <c r="K62" s="195">
        <v>10402436666.67</v>
      </c>
      <c r="L62" s="195">
        <v>10274322493.450001</v>
      </c>
      <c r="M62" s="195">
        <v>11440236985.110001</v>
      </c>
      <c r="N62" s="195">
        <v>11405311504.74</v>
      </c>
      <c r="O62" s="195">
        <v>12196880700.99</v>
      </c>
      <c r="P62" s="195">
        <v>13768750256.92</v>
      </c>
      <c r="Q62" s="195">
        <v>12837515833.620001</v>
      </c>
      <c r="R62" s="195">
        <v>12686487348.530001</v>
      </c>
      <c r="S62" s="195">
        <v>10941920192.120001</v>
      </c>
      <c r="T62" s="195">
        <v>9722391202.6200008</v>
      </c>
      <c r="U62" s="195">
        <v>7890836093.9300003</v>
      </c>
      <c r="V62" s="195">
        <v>7141494049.71</v>
      </c>
      <c r="W62" s="195">
        <v>5301795170.7799997</v>
      </c>
      <c r="X62" s="195">
        <v>3914351572.02</v>
      </c>
      <c r="Y62" s="195">
        <v>3442456518.29</v>
      </c>
      <c r="Z62" s="195">
        <v>2790984136</v>
      </c>
      <c r="AA62" s="195">
        <v>2744987169.5</v>
      </c>
      <c r="AB62" s="195">
        <v>2762163645</v>
      </c>
      <c r="AC62" s="195">
        <v>2414216440</v>
      </c>
      <c r="AD62" s="195">
        <v>2631100277.8099999</v>
      </c>
      <c r="AE62" s="195">
        <v>2294437100</v>
      </c>
      <c r="AF62" s="195">
        <v>2234144352.1399999</v>
      </c>
      <c r="AG62" s="195">
        <v>2022940850</v>
      </c>
      <c r="AH62" s="195">
        <v>1697976575</v>
      </c>
      <c r="AI62" s="195">
        <v>1589479865</v>
      </c>
      <c r="AJ62" s="195">
        <v>702451400</v>
      </c>
      <c r="AK62" s="195">
        <v>620661200</v>
      </c>
      <c r="AL62" s="195">
        <v>462673000</v>
      </c>
      <c r="AM62" s="195">
        <v>354267400</v>
      </c>
      <c r="AN62" s="195">
        <v>344197550</v>
      </c>
      <c r="AO62" s="195">
        <v>412485700</v>
      </c>
      <c r="AP62" s="195">
        <v>422617631.18000001</v>
      </c>
      <c r="AQ62" s="195">
        <v>466418800</v>
      </c>
      <c r="AR62" s="195">
        <v>499558829.99000001</v>
      </c>
      <c r="AS62" s="195">
        <v>299488600</v>
      </c>
      <c r="AT62" s="195">
        <v>361000380.62</v>
      </c>
      <c r="AU62" s="195">
        <v>818427000</v>
      </c>
      <c r="AV62" s="195">
        <v>811632800</v>
      </c>
      <c r="AW62" s="195">
        <v>801669800</v>
      </c>
      <c r="AX62" s="195">
        <v>822165400</v>
      </c>
      <c r="AY62" s="195">
        <v>959809700</v>
      </c>
      <c r="AZ62" s="195">
        <v>1233545500</v>
      </c>
      <c r="BA62" s="195">
        <v>1340843100</v>
      </c>
      <c r="BB62" s="195">
        <v>1680968000</v>
      </c>
      <c r="BC62" s="195">
        <v>1811783500</v>
      </c>
      <c r="BD62" s="195">
        <v>1454871000</v>
      </c>
      <c r="BE62" s="195">
        <v>1060382500</v>
      </c>
      <c r="BF62" s="195">
        <v>574000000</v>
      </c>
      <c r="BG62" s="195">
        <v>374000000</v>
      </c>
      <c r="BH62" s="195">
        <v>84000000</v>
      </c>
      <c r="BI62" s="195">
        <v>84000000</v>
      </c>
      <c r="BJ62" s="195">
        <v>117000000</v>
      </c>
      <c r="BK62" s="195">
        <v>53000000</v>
      </c>
      <c r="BL62" s="195">
        <v>53000000</v>
      </c>
      <c r="BM62" s="195">
        <v>53000000</v>
      </c>
      <c r="BN62" s="195">
        <v>30000000</v>
      </c>
      <c r="BO62" s="195">
        <v>0</v>
      </c>
      <c r="BP62" s="195">
        <v>0</v>
      </c>
      <c r="BQ62" s="195">
        <v>0</v>
      </c>
      <c r="BR62" s="195">
        <v>0</v>
      </c>
      <c r="BS62" s="195">
        <v>0</v>
      </c>
      <c r="BT62" s="195">
        <v>10000000</v>
      </c>
      <c r="BU62" s="195">
        <v>35000000</v>
      </c>
      <c r="BV62" s="195">
        <v>35000000</v>
      </c>
      <c r="BW62" s="195">
        <v>40000000</v>
      </c>
      <c r="BX62" s="195">
        <v>53000000</v>
      </c>
      <c r="BY62" s="195">
        <v>0</v>
      </c>
    </row>
    <row r="63" spans="1:77" x14ac:dyDescent="0.25">
      <c r="A63" s="195" t="s">
        <v>167</v>
      </c>
      <c r="B63" s="195">
        <v>0</v>
      </c>
      <c r="C63" s="195">
        <v>0</v>
      </c>
      <c r="D63" s="195">
        <v>0</v>
      </c>
      <c r="E63" s="195">
        <v>0</v>
      </c>
      <c r="F63" s="195">
        <v>0</v>
      </c>
      <c r="G63" s="195">
        <v>0</v>
      </c>
      <c r="H63" s="195">
        <v>0</v>
      </c>
      <c r="I63" s="195">
        <v>0</v>
      </c>
      <c r="J63" s="195">
        <v>310400000</v>
      </c>
      <c r="K63" s="195">
        <v>310400000</v>
      </c>
      <c r="L63" s="195">
        <v>1950000000</v>
      </c>
      <c r="M63" s="195">
        <v>1980000000</v>
      </c>
      <c r="N63" s="195">
        <v>2000000000</v>
      </c>
      <c r="O63" s="195">
        <v>2000000000</v>
      </c>
      <c r="P63" s="195">
        <v>2000000000</v>
      </c>
      <c r="Q63" s="195">
        <v>2000000000</v>
      </c>
      <c r="R63" s="195">
        <v>1000000000</v>
      </c>
      <c r="S63" s="195">
        <v>1000000000</v>
      </c>
      <c r="T63" s="195">
        <v>1000000000</v>
      </c>
      <c r="U63" s="195">
        <v>1000000000</v>
      </c>
      <c r="V63" s="195">
        <v>1000000000</v>
      </c>
      <c r="W63" s="195">
        <v>1000000000</v>
      </c>
      <c r="X63" s="195">
        <v>1000000000</v>
      </c>
      <c r="Y63" s="195">
        <v>1000000000</v>
      </c>
      <c r="Z63" s="195">
        <v>1000000000</v>
      </c>
      <c r="AA63" s="195">
        <v>1000000000</v>
      </c>
      <c r="AB63" s="195">
        <v>0</v>
      </c>
      <c r="AC63" s="195">
        <v>0</v>
      </c>
      <c r="AD63" s="195">
        <v>0</v>
      </c>
      <c r="AE63" s="195">
        <v>0</v>
      </c>
      <c r="AF63" s="195">
        <v>0</v>
      </c>
      <c r="AG63" s="195">
        <v>0</v>
      </c>
      <c r="AH63" s="195">
        <v>0</v>
      </c>
      <c r="AI63" s="195">
        <v>0</v>
      </c>
      <c r="AJ63" s="195">
        <v>0</v>
      </c>
      <c r="AK63" s="195">
        <v>0</v>
      </c>
      <c r="AL63" s="195">
        <v>0</v>
      </c>
      <c r="AM63" s="195">
        <v>0</v>
      </c>
      <c r="AN63" s="195">
        <v>0</v>
      </c>
      <c r="AO63" s="195">
        <v>0</v>
      </c>
      <c r="AP63" s="195">
        <v>0</v>
      </c>
      <c r="AQ63" s="195">
        <v>0</v>
      </c>
      <c r="AR63" s="195">
        <v>0</v>
      </c>
      <c r="AS63" s="195">
        <v>0</v>
      </c>
      <c r="AT63" s="195">
        <v>0</v>
      </c>
      <c r="AU63" s="195">
        <v>0</v>
      </c>
      <c r="AV63" s="195">
        <v>0</v>
      </c>
      <c r="AW63" s="195">
        <v>0</v>
      </c>
      <c r="AX63" s="195">
        <v>0</v>
      </c>
      <c r="AY63" s="195">
        <v>0</v>
      </c>
      <c r="AZ63" s="195">
        <v>0</v>
      </c>
      <c r="BA63" s="195">
        <v>0</v>
      </c>
      <c r="BB63" s="195">
        <v>0</v>
      </c>
      <c r="BC63" s="195">
        <v>0</v>
      </c>
      <c r="BD63" s="195">
        <v>0</v>
      </c>
      <c r="BE63" s="195">
        <v>0</v>
      </c>
      <c r="BF63" s="195">
        <v>0</v>
      </c>
      <c r="BG63" s="195">
        <v>0</v>
      </c>
      <c r="BH63" s="195">
        <v>0</v>
      </c>
      <c r="BI63" s="195">
        <v>0</v>
      </c>
      <c r="BJ63" s="195">
        <v>0</v>
      </c>
      <c r="BK63" s="195">
        <v>0</v>
      </c>
      <c r="BL63" s="195">
        <v>0</v>
      </c>
      <c r="BM63" s="195">
        <v>0</v>
      </c>
      <c r="BN63" s="195">
        <v>0</v>
      </c>
      <c r="BO63" s="195">
        <v>0</v>
      </c>
      <c r="BP63" s="195">
        <v>0</v>
      </c>
      <c r="BQ63" s="195">
        <v>0</v>
      </c>
      <c r="BR63" s="195">
        <v>0</v>
      </c>
      <c r="BS63" s="195">
        <v>0</v>
      </c>
      <c r="BT63" s="195">
        <v>0</v>
      </c>
      <c r="BU63" s="195">
        <v>0</v>
      </c>
      <c r="BV63" s="195">
        <v>0</v>
      </c>
      <c r="BW63" s="195">
        <v>0</v>
      </c>
      <c r="BX63" s="195">
        <v>0</v>
      </c>
      <c r="BY63" s="195">
        <v>0</v>
      </c>
    </row>
    <row r="64" spans="1:77" x14ac:dyDescent="0.25">
      <c r="A64" s="195" t="s">
        <v>168</v>
      </c>
      <c r="B64" s="195">
        <v>0</v>
      </c>
      <c r="C64" s="195">
        <v>1352722</v>
      </c>
      <c r="D64" s="195">
        <v>1352722</v>
      </c>
      <c r="E64" s="195">
        <v>1352722</v>
      </c>
      <c r="F64" s="195">
        <v>1352722</v>
      </c>
      <c r="G64" s="195">
        <v>1352722</v>
      </c>
      <c r="H64" s="195">
        <v>2705450</v>
      </c>
      <c r="I64" s="195">
        <v>2705450</v>
      </c>
      <c r="J64" s="195">
        <v>4058178</v>
      </c>
      <c r="K64" s="195">
        <v>4058178</v>
      </c>
      <c r="L64" s="195">
        <v>4058178</v>
      </c>
      <c r="M64" s="195">
        <v>4058178</v>
      </c>
      <c r="N64" s="195">
        <v>5410906</v>
      </c>
      <c r="O64" s="195">
        <v>5410906</v>
      </c>
      <c r="P64" s="195">
        <v>5410906</v>
      </c>
      <c r="Q64" s="195">
        <v>5410906</v>
      </c>
      <c r="R64" s="195">
        <v>6763634</v>
      </c>
      <c r="S64" s="195">
        <v>6763634</v>
      </c>
      <c r="T64" s="195">
        <v>6763634</v>
      </c>
      <c r="U64" s="195">
        <v>6763634</v>
      </c>
      <c r="V64" s="195">
        <v>8116362</v>
      </c>
      <c r="W64" s="195">
        <v>8116362</v>
      </c>
      <c r="X64" s="195">
        <v>8116362</v>
      </c>
      <c r="Y64" s="195">
        <v>8116362</v>
      </c>
      <c r="Z64" s="195">
        <v>8116362</v>
      </c>
      <c r="AA64" s="195">
        <v>9469090</v>
      </c>
      <c r="AB64" s="195">
        <v>9469090</v>
      </c>
      <c r="AC64" s="195">
        <v>9469090</v>
      </c>
      <c r="AD64" s="195">
        <v>10821818</v>
      </c>
      <c r="AE64" s="195">
        <v>10821818</v>
      </c>
      <c r="AF64" s="195">
        <v>10821818</v>
      </c>
      <c r="AG64" s="195">
        <v>10821818</v>
      </c>
      <c r="AH64" s="195">
        <v>12174546</v>
      </c>
      <c r="AI64" s="195">
        <v>12174546</v>
      </c>
      <c r="AJ64" s="195">
        <v>12174546</v>
      </c>
      <c r="AK64" s="195">
        <v>12174546</v>
      </c>
      <c r="AL64" s="195">
        <v>13527273</v>
      </c>
      <c r="AM64" s="195">
        <v>13527273</v>
      </c>
      <c r="AN64" s="195">
        <v>13527273</v>
      </c>
      <c r="AO64" s="195">
        <v>13527273</v>
      </c>
      <c r="AP64" s="195">
        <v>77102414.140000001</v>
      </c>
      <c r="AQ64" s="195">
        <v>291540274.48000002</v>
      </c>
      <c r="AR64" s="195">
        <v>291490347.42000002</v>
      </c>
      <c r="AS64" s="195">
        <v>283325037.95999998</v>
      </c>
      <c r="AT64" s="195">
        <v>46415421</v>
      </c>
      <c r="AU64" s="195">
        <v>50157884.840000004</v>
      </c>
      <c r="AV64" s="195">
        <v>33257179.73</v>
      </c>
      <c r="AW64" s="195">
        <v>0</v>
      </c>
      <c r="AX64" s="195">
        <v>0</v>
      </c>
      <c r="AY64" s="195">
        <v>0</v>
      </c>
      <c r="AZ64" s="195">
        <v>0</v>
      </c>
      <c r="BA64" s="195">
        <v>0</v>
      </c>
      <c r="BB64" s="195">
        <v>0</v>
      </c>
      <c r="BC64" s="195">
        <v>0</v>
      </c>
      <c r="BD64" s="195">
        <v>0</v>
      </c>
      <c r="BE64" s="195">
        <v>0</v>
      </c>
      <c r="BF64" s="195">
        <v>0</v>
      </c>
      <c r="BG64" s="195">
        <v>0</v>
      </c>
      <c r="BH64" s="195">
        <v>0</v>
      </c>
      <c r="BI64" s="195">
        <v>0</v>
      </c>
      <c r="BJ64" s="195">
        <v>0</v>
      </c>
      <c r="BK64" s="195">
        <v>0</v>
      </c>
      <c r="BL64" s="195">
        <v>0</v>
      </c>
      <c r="BM64" s="195">
        <v>0</v>
      </c>
      <c r="BN64" s="195">
        <v>0</v>
      </c>
      <c r="BO64" s="195">
        <v>0</v>
      </c>
      <c r="BP64" s="195">
        <v>0</v>
      </c>
      <c r="BQ64" s="195">
        <v>0</v>
      </c>
      <c r="BR64" s="195">
        <v>0</v>
      </c>
      <c r="BS64" s="195">
        <v>0</v>
      </c>
      <c r="BT64" s="195">
        <v>0</v>
      </c>
      <c r="BU64" s="195">
        <v>0</v>
      </c>
      <c r="BV64" s="195">
        <v>0</v>
      </c>
      <c r="BW64" s="195">
        <v>0</v>
      </c>
      <c r="BX64" s="195">
        <v>0</v>
      </c>
      <c r="BY64" s="195">
        <v>0</v>
      </c>
    </row>
    <row r="65" spans="1:77" x14ac:dyDescent="0.25">
      <c r="A65" s="195" t="s">
        <v>169</v>
      </c>
      <c r="B65" s="195">
        <v>0</v>
      </c>
      <c r="C65" s="195">
        <v>0</v>
      </c>
      <c r="D65" s="195">
        <v>0</v>
      </c>
      <c r="E65" s="195">
        <v>0</v>
      </c>
      <c r="F65" s="195">
        <v>0</v>
      </c>
      <c r="G65" s="195">
        <v>0</v>
      </c>
      <c r="H65" s="195">
        <v>0</v>
      </c>
      <c r="I65" s="195">
        <v>0</v>
      </c>
      <c r="J65" s="195">
        <v>0</v>
      </c>
      <c r="K65" s="195">
        <v>0</v>
      </c>
      <c r="L65" s="195">
        <v>0</v>
      </c>
      <c r="M65" s="195">
        <v>0</v>
      </c>
      <c r="N65" s="195">
        <v>0</v>
      </c>
      <c r="O65" s="195">
        <v>0</v>
      </c>
      <c r="P65" s="195">
        <v>0</v>
      </c>
      <c r="Q65" s="195">
        <v>0</v>
      </c>
      <c r="R65" s="195">
        <v>0</v>
      </c>
      <c r="S65" s="195">
        <v>0</v>
      </c>
      <c r="T65" s="195">
        <v>0</v>
      </c>
      <c r="U65" s="195">
        <v>0</v>
      </c>
      <c r="V65" s="195">
        <v>0</v>
      </c>
      <c r="W65" s="195">
        <v>0</v>
      </c>
      <c r="X65" s="195">
        <v>0</v>
      </c>
      <c r="Y65" s="195">
        <v>0</v>
      </c>
      <c r="Z65" s="195">
        <v>0</v>
      </c>
      <c r="AA65" s="195">
        <v>0</v>
      </c>
      <c r="AB65" s="195">
        <v>0</v>
      </c>
      <c r="AC65" s="195">
        <v>0</v>
      </c>
      <c r="AD65" s="195">
        <v>0</v>
      </c>
      <c r="AE65" s="195">
        <v>0</v>
      </c>
      <c r="AF65" s="195">
        <v>0</v>
      </c>
      <c r="AG65" s="195">
        <v>0</v>
      </c>
      <c r="AH65" s="195">
        <v>0</v>
      </c>
      <c r="AI65" s="195">
        <v>0</v>
      </c>
      <c r="AJ65" s="195">
        <v>0</v>
      </c>
      <c r="AK65" s="195">
        <v>0</v>
      </c>
      <c r="AL65" s="195">
        <v>0</v>
      </c>
      <c r="AM65" s="195">
        <v>0</v>
      </c>
      <c r="AN65" s="195">
        <v>0</v>
      </c>
      <c r="AO65" s="195">
        <v>0</v>
      </c>
      <c r="AP65" s="195">
        <v>0</v>
      </c>
      <c r="AQ65" s="195">
        <v>0</v>
      </c>
      <c r="AR65" s="195">
        <v>0</v>
      </c>
      <c r="AS65" s="195">
        <v>0</v>
      </c>
      <c r="AT65" s="195">
        <v>0</v>
      </c>
      <c r="AU65" s="195">
        <v>0</v>
      </c>
      <c r="AV65" s="195">
        <v>0</v>
      </c>
      <c r="AW65" s="195">
        <v>0</v>
      </c>
      <c r="AX65" s="195">
        <v>0</v>
      </c>
      <c r="AY65" s="195">
        <v>0</v>
      </c>
      <c r="AZ65" s="195">
        <v>0</v>
      </c>
      <c r="BA65" s="195">
        <v>0</v>
      </c>
      <c r="BB65" s="195">
        <v>0</v>
      </c>
      <c r="BC65" s="195">
        <v>0</v>
      </c>
      <c r="BD65" s="195">
        <v>0</v>
      </c>
      <c r="BE65" s="195">
        <v>0</v>
      </c>
      <c r="BF65" s="195">
        <v>0</v>
      </c>
      <c r="BG65" s="195">
        <v>0</v>
      </c>
      <c r="BH65" s="195">
        <v>0</v>
      </c>
      <c r="BI65" s="195">
        <v>0</v>
      </c>
      <c r="BJ65" s="195">
        <v>0</v>
      </c>
      <c r="BK65" s="195">
        <v>0</v>
      </c>
      <c r="BL65" s="195">
        <v>0</v>
      </c>
      <c r="BM65" s="195">
        <v>0</v>
      </c>
      <c r="BN65" s="195">
        <v>0</v>
      </c>
      <c r="BO65" s="195">
        <v>0</v>
      </c>
      <c r="BP65" s="195">
        <v>0</v>
      </c>
      <c r="BQ65" s="195">
        <v>0</v>
      </c>
      <c r="BR65" s="195">
        <v>0</v>
      </c>
      <c r="BS65" s="195">
        <v>0</v>
      </c>
      <c r="BT65" s="195">
        <v>0</v>
      </c>
      <c r="BU65" s="195">
        <v>0</v>
      </c>
      <c r="BV65" s="195">
        <v>0</v>
      </c>
      <c r="BW65" s="195">
        <v>0</v>
      </c>
      <c r="BX65" s="195">
        <v>0</v>
      </c>
      <c r="BY65" s="195">
        <v>0</v>
      </c>
    </row>
    <row r="66" spans="1:77" x14ac:dyDescent="0.25">
      <c r="A66" s="195" t="s">
        <v>170</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20000</v>
      </c>
      <c r="T66" s="195">
        <v>20000</v>
      </c>
      <c r="U66" s="195">
        <v>370642.07</v>
      </c>
      <c r="V66" s="195">
        <v>684600</v>
      </c>
      <c r="W66" s="195">
        <v>998000</v>
      </c>
      <c r="X66" s="195">
        <v>998000</v>
      </c>
      <c r="Y66" s="195">
        <v>0</v>
      </c>
      <c r="Z66" s="195">
        <v>140000</v>
      </c>
      <c r="AA66" s="195">
        <v>140000</v>
      </c>
      <c r="AB66" s="195">
        <v>350000</v>
      </c>
      <c r="AC66" s="195">
        <v>350000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19520000</v>
      </c>
      <c r="AX66" s="195">
        <v>45617052.68</v>
      </c>
      <c r="AY66" s="195">
        <v>61820356.850000001</v>
      </c>
      <c r="AZ66" s="195">
        <v>83604297.829999998</v>
      </c>
      <c r="BA66" s="195">
        <v>103220824.3</v>
      </c>
      <c r="BB66" s="195">
        <v>117327681.63</v>
      </c>
      <c r="BC66" s="195">
        <v>137721398.38999999</v>
      </c>
      <c r="BD66" s="195">
        <v>154464914.69</v>
      </c>
      <c r="BE66" s="195">
        <v>167292178.40000001</v>
      </c>
      <c r="BF66" s="195">
        <v>170129136.16</v>
      </c>
      <c r="BG66" s="195">
        <v>177379136.16</v>
      </c>
      <c r="BH66" s="195">
        <v>22393591.199999999</v>
      </c>
      <c r="BI66" s="195">
        <v>23473351.199999999</v>
      </c>
      <c r="BJ66" s="195">
        <v>18383975.039999999</v>
      </c>
      <c r="BK66" s="195">
        <v>19826095.039999999</v>
      </c>
      <c r="BL66" s="195">
        <v>20681650</v>
      </c>
      <c r="BM66" s="195">
        <v>6638650</v>
      </c>
      <c r="BN66" s="195">
        <v>0</v>
      </c>
      <c r="BO66" s="195">
        <v>0</v>
      </c>
      <c r="BP66" s="195">
        <v>0</v>
      </c>
      <c r="BQ66" s="195">
        <v>0</v>
      </c>
      <c r="BR66" s="195">
        <v>0</v>
      </c>
      <c r="BS66" s="195">
        <v>0</v>
      </c>
      <c r="BT66" s="195">
        <v>0</v>
      </c>
      <c r="BU66" s="195">
        <v>0</v>
      </c>
      <c r="BV66" s="195">
        <v>0</v>
      </c>
      <c r="BW66" s="195">
        <v>0</v>
      </c>
      <c r="BX66" s="195">
        <v>0</v>
      </c>
      <c r="BY66" s="195">
        <v>0</v>
      </c>
    </row>
    <row r="67" spans="1:77" x14ac:dyDescent="0.25">
      <c r="A67" s="195" t="s">
        <v>171</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c r="BU67" s="195">
        <v>0</v>
      </c>
      <c r="BV67" s="195">
        <v>0</v>
      </c>
      <c r="BW67" s="195">
        <v>0</v>
      </c>
      <c r="BX67" s="195">
        <v>0</v>
      </c>
      <c r="BY67" s="195">
        <v>0</v>
      </c>
    </row>
    <row r="68" spans="1:77" x14ac:dyDescent="0.25">
      <c r="A68" s="195" t="s">
        <v>172</v>
      </c>
      <c r="B68" s="195">
        <v>19232566.82</v>
      </c>
      <c r="C68" s="195">
        <v>18523973.809999999</v>
      </c>
      <c r="D68" s="195">
        <v>14792793.27</v>
      </c>
      <c r="E68" s="195">
        <v>14900951.35</v>
      </c>
      <c r="F68" s="195">
        <v>15979392.9</v>
      </c>
      <c r="G68" s="195">
        <v>16916127.620000001</v>
      </c>
      <c r="H68" s="195">
        <v>17573045.18</v>
      </c>
      <c r="I68" s="195">
        <v>18193330.190000001</v>
      </c>
      <c r="J68" s="195">
        <v>18677347.32</v>
      </c>
      <c r="K68" s="195">
        <v>18831656.27</v>
      </c>
      <c r="L68" s="195">
        <v>19918664.640000001</v>
      </c>
      <c r="M68" s="195">
        <v>20708157.32</v>
      </c>
      <c r="N68" s="195">
        <v>18382599.41</v>
      </c>
      <c r="O68" s="195">
        <v>18439119.09</v>
      </c>
      <c r="P68" s="195">
        <v>19155061.34</v>
      </c>
      <c r="Q68" s="195">
        <v>19508197.41</v>
      </c>
      <c r="R68" s="195">
        <v>22068733.440000001</v>
      </c>
      <c r="S68" s="195">
        <v>22168127.440000001</v>
      </c>
      <c r="T68" s="195">
        <v>22292117.579999998</v>
      </c>
      <c r="U68" s="195">
        <v>19207114.25</v>
      </c>
      <c r="V68" s="195">
        <v>16305603.300000001</v>
      </c>
      <c r="W68" s="195">
        <v>16417362.99</v>
      </c>
      <c r="X68" s="195">
        <v>16536832.92</v>
      </c>
      <c r="Y68" s="195">
        <v>16638243.720000001</v>
      </c>
      <c r="Z68" s="195">
        <v>16965239.440000001</v>
      </c>
      <c r="AA68" s="195">
        <v>17108700.870000001</v>
      </c>
      <c r="AB68" s="195">
        <v>17759027.440000001</v>
      </c>
      <c r="AC68" s="195">
        <v>17456634.16</v>
      </c>
      <c r="AD68" s="195">
        <v>19555305.460000001</v>
      </c>
      <c r="AE68" s="195">
        <v>24156555.149999999</v>
      </c>
      <c r="AF68" s="195">
        <v>26397827.010000002</v>
      </c>
      <c r="AG68" s="195">
        <v>28611485.91</v>
      </c>
      <c r="AH68" s="195">
        <v>10025150.890000001</v>
      </c>
      <c r="AI68" s="195">
        <v>2799399.03</v>
      </c>
      <c r="AJ68" s="195">
        <v>1521588.71</v>
      </c>
      <c r="AK68" s="195">
        <v>2370894.9900000002</v>
      </c>
      <c r="AL68" s="195">
        <v>2541068.9900000002</v>
      </c>
      <c r="AM68" s="195">
        <v>2574428.9900000002</v>
      </c>
      <c r="AN68" s="195">
        <v>2607788.9900000002</v>
      </c>
      <c r="AO68" s="195">
        <v>2641148.9900000002</v>
      </c>
      <c r="AP68" s="195">
        <v>2674508.9900000002</v>
      </c>
      <c r="AQ68" s="195">
        <v>2707868.99</v>
      </c>
      <c r="AR68" s="195">
        <v>2741229.01</v>
      </c>
      <c r="AS68" s="195">
        <v>2901519.32</v>
      </c>
      <c r="AT68" s="195">
        <v>5200304.88</v>
      </c>
      <c r="AU68" s="195">
        <v>7625736.0499999998</v>
      </c>
      <c r="AV68" s="195">
        <v>6376661.4199999999</v>
      </c>
      <c r="AW68" s="195">
        <v>0</v>
      </c>
      <c r="AX68" s="195">
        <v>0</v>
      </c>
      <c r="AY68" s="195">
        <v>0</v>
      </c>
      <c r="AZ68" s="195">
        <v>0</v>
      </c>
      <c r="BA68" s="195">
        <v>0</v>
      </c>
      <c r="BB68" s="195">
        <v>0</v>
      </c>
      <c r="BC68" s="195">
        <v>0</v>
      </c>
      <c r="BD68" s="195">
        <v>0</v>
      </c>
      <c r="BE68" s="195">
        <v>0</v>
      </c>
      <c r="BF68" s="195">
        <v>0</v>
      </c>
      <c r="BG68" s="195">
        <v>0</v>
      </c>
      <c r="BH68" s="195">
        <v>0</v>
      </c>
      <c r="BI68" s="195">
        <v>0</v>
      </c>
      <c r="BJ68" s="195">
        <v>0</v>
      </c>
      <c r="BK68" s="195">
        <v>0</v>
      </c>
      <c r="BL68" s="195">
        <v>0</v>
      </c>
      <c r="BM68" s="195">
        <v>0</v>
      </c>
      <c r="BN68" s="195">
        <v>860.97</v>
      </c>
      <c r="BO68" s="195">
        <v>860.97</v>
      </c>
      <c r="BP68" s="195">
        <v>0</v>
      </c>
      <c r="BQ68" s="195">
        <v>0</v>
      </c>
      <c r="BR68" s="195">
        <v>0</v>
      </c>
      <c r="BS68" s="195">
        <v>0</v>
      </c>
      <c r="BT68" s="195">
        <v>0</v>
      </c>
      <c r="BU68" s="195">
        <v>0</v>
      </c>
      <c r="BV68" s="195">
        <v>0</v>
      </c>
      <c r="BW68" s="195">
        <v>0</v>
      </c>
      <c r="BX68" s="195">
        <v>0</v>
      </c>
      <c r="BY68" s="195">
        <v>0</v>
      </c>
    </row>
    <row r="69" spans="1:77" x14ac:dyDescent="0.25">
      <c r="A69" s="195" t="s">
        <v>173</v>
      </c>
      <c r="B69" s="195">
        <v>859127916.87</v>
      </c>
      <c r="C69" s="195">
        <v>877055598.30999994</v>
      </c>
      <c r="D69" s="195">
        <v>896420779.75</v>
      </c>
      <c r="E69" s="195">
        <v>915610203.01999998</v>
      </c>
      <c r="F69" s="195">
        <v>1126006734.99</v>
      </c>
      <c r="G69" s="195">
        <v>1347648401.9400001</v>
      </c>
      <c r="H69" s="195">
        <v>1149324094.8900001</v>
      </c>
      <c r="I69" s="195">
        <v>475428079.02999997</v>
      </c>
      <c r="J69" s="195">
        <v>655231685.78999996</v>
      </c>
      <c r="K69" s="195">
        <v>569323274.11000001</v>
      </c>
      <c r="L69" s="195">
        <v>425414862.43000001</v>
      </c>
      <c r="M69" s="195">
        <v>262906450.75</v>
      </c>
      <c r="N69" s="195">
        <v>199238039.06999999</v>
      </c>
      <c r="O69" s="195">
        <v>218502983.38999999</v>
      </c>
      <c r="P69" s="195">
        <v>215894571.71000001</v>
      </c>
      <c r="Q69" s="195">
        <v>206173356</v>
      </c>
      <c r="R69" s="195">
        <v>0</v>
      </c>
      <c r="S69" s="195">
        <v>0</v>
      </c>
      <c r="T69" s="195">
        <v>0</v>
      </c>
      <c r="U69" s="195">
        <v>0</v>
      </c>
      <c r="V69" s="195">
        <v>0</v>
      </c>
      <c r="W69" s="195">
        <v>0</v>
      </c>
      <c r="X69" s="195">
        <v>0</v>
      </c>
      <c r="Y69" s="195">
        <v>0</v>
      </c>
      <c r="Z69" s="195">
        <v>0</v>
      </c>
      <c r="AA69" s="195">
        <v>0</v>
      </c>
      <c r="AB69" s="195">
        <v>0</v>
      </c>
      <c r="AC69" s="195">
        <v>0</v>
      </c>
      <c r="AD69" s="195">
        <v>0</v>
      </c>
      <c r="AE69" s="195">
        <v>0</v>
      </c>
      <c r="AF69" s="195">
        <v>0</v>
      </c>
      <c r="AG69" s="195">
        <v>0</v>
      </c>
      <c r="AH69" s="195">
        <v>0</v>
      </c>
      <c r="AI69" s="195">
        <v>0</v>
      </c>
      <c r="AJ69" s="195">
        <v>0</v>
      </c>
      <c r="AK69" s="195">
        <v>0</v>
      </c>
      <c r="AL69" s="195">
        <v>0</v>
      </c>
      <c r="AM69" s="195">
        <v>0</v>
      </c>
      <c r="AN69" s="195">
        <v>0</v>
      </c>
      <c r="AO69" s="195">
        <v>0</v>
      </c>
      <c r="AP69" s="195">
        <v>0</v>
      </c>
      <c r="AQ69" s="195">
        <v>0</v>
      </c>
      <c r="AR69" s="195">
        <v>0</v>
      </c>
      <c r="AS69" s="195">
        <v>0</v>
      </c>
      <c r="AT69" s="195">
        <v>0</v>
      </c>
      <c r="AU69" s="195">
        <v>0</v>
      </c>
      <c r="AV69" s="195">
        <v>0</v>
      </c>
      <c r="AW69" s="195">
        <v>0</v>
      </c>
      <c r="AX69" s="195">
        <v>0</v>
      </c>
      <c r="AY69" s="195">
        <v>0</v>
      </c>
      <c r="AZ69" s="195">
        <v>0</v>
      </c>
      <c r="BA69" s="195">
        <v>0</v>
      </c>
      <c r="BB69" s="195">
        <v>0</v>
      </c>
      <c r="BC69" s="195">
        <v>0</v>
      </c>
      <c r="BD69" s="195">
        <v>0</v>
      </c>
      <c r="BE69" s="195">
        <v>0</v>
      </c>
      <c r="BF69" s="195">
        <v>0</v>
      </c>
      <c r="BG69" s="195">
        <v>0</v>
      </c>
      <c r="BH69" s="195">
        <v>0</v>
      </c>
      <c r="BI69" s="195">
        <v>0</v>
      </c>
      <c r="BJ69" s="195">
        <v>0</v>
      </c>
      <c r="BK69" s="195">
        <v>0</v>
      </c>
      <c r="BL69" s="195">
        <v>0</v>
      </c>
      <c r="BM69" s="195">
        <v>0</v>
      </c>
      <c r="BN69" s="195">
        <v>0</v>
      </c>
      <c r="BO69" s="195">
        <v>0</v>
      </c>
      <c r="BP69" s="195">
        <v>0</v>
      </c>
      <c r="BQ69" s="195">
        <v>0</v>
      </c>
      <c r="BR69" s="195">
        <v>0</v>
      </c>
      <c r="BS69" s="195">
        <v>0</v>
      </c>
      <c r="BT69" s="195">
        <v>0</v>
      </c>
      <c r="BU69" s="195">
        <v>0</v>
      </c>
      <c r="BV69" s="195">
        <v>0</v>
      </c>
      <c r="BW69" s="195">
        <v>0</v>
      </c>
      <c r="BX69" s="195">
        <v>0</v>
      </c>
      <c r="BY69" s="195">
        <v>0</v>
      </c>
    </row>
    <row r="70" spans="1:77" x14ac:dyDescent="0.25">
      <c r="A70" s="195" t="s">
        <v>174</v>
      </c>
      <c r="B70" s="195">
        <v>0</v>
      </c>
      <c r="C70" s="195">
        <v>0</v>
      </c>
      <c r="D70" s="195">
        <v>0</v>
      </c>
      <c r="E70" s="195">
        <v>0</v>
      </c>
      <c r="F70" s="195">
        <v>0</v>
      </c>
      <c r="G70" s="195">
        <v>0</v>
      </c>
      <c r="H70" s="195">
        <v>0</v>
      </c>
      <c r="I70" s="195">
        <v>0</v>
      </c>
      <c r="J70" s="195">
        <v>0</v>
      </c>
      <c r="K70" s="195">
        <v>0</v>
      </c>
      <c r="L70" s="195">
        <v>0</v>
      </c>
      <c r="M70" s="195">
        <v>0</v>
      </c>
      <c r="N70" s="195">
        <v>0</v>
      </c>
      <c r="O70" s="195">
        <v>0</v>
      </c>
      <c r="P70" s="195">
        <v>0</v>
      </c>
      <c r="Q70" s="195">
        <v>3812804.03</v>
      </c>
      <c r="R70" s="195">
        <v>3904392.35</v>
      </c>
      <c r="S70" s="195">
        <v>3995980.67</v>
      </c>
      <c r="T70" s="195">
        <v>4087568.99</v>
      </c>
      <c r="U70" s="195">
        <v>4179157.31</v>
      </c>
      <c r="V70" s="195">
        <v>4230719.8099999996</v>
      </c>
      <c r="W70" s="195">
        <v>4282282.3099999996</v>
      </c>
      <c r="X70" s="195">
        <v>4333844.8099999996</v>
      </c>
      <c r="Y70" s="195">
        <v>4385407.3099999996</v>
      </c>
      <c r="Z70" s="195">
        <v>4436969.8099999996</v>
      </c>
      <c r="AA70" s="195">
        <v>4488532.3099999996</v>
      </c>
      <c r="AB70" s="195">
        <v>4540094.8099999996</v>
      </c>
      <c r="AC70" s="195">
        <v>4591657.3099999996</v>
      </c>
      <c r="AD70" s="195">
        <v>3042187.5</v>
      </c>
      <c r="AE70" s="195">
        <v>3093750</v>
      </c>
      <c r="AF70" s="195">
        <v>3145312.5</v>
      </c>
      <c r="AG70" s="195">
        <v>3196875</v>
      </c>
      <c r="AH70" s="195">
        <v>0</v>
      </c>
      <c r="AI70" s="195">
        <v>0</v>
      </c>
      <c r="AJ70" s="195">
        <v>0</v>
      </c>
      <c r="AK70" s="195">
        <v>0</v>
      </c>
      <c r="AL70" s="195">
        <v>0</v>
      </c>
      <c r="AM70" s="195">
        <v>0</v>
      </c>
      <c r="AN70" s="195">
        <v>0</v>
      </c>
      <c r="AO70" s="195">
        <v>0</v>
      </c>
      <c r="AP70" s="195">
        <v>33910632.210000001</v>
      </c>
      <c r="AQ70" s="195">
        <v>40692758.700000003</v>
      </c>
      <c r="AR70" s="195">
        <v>47474885.130000003</v>
      </c>
      <c r="AS70" s="195">
        <v>17590344.829999998</v>
      </c>
      <c r="AT70" s="195">
        <v>95023993.560000002</v>
      </c>
      <c r="AU70" s="195">
        <v>93983993.560000002</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c r="BU70" s="195">
        <v>0</v>
      </c>
      <c r="BV70" s="195">
        <v>0</v>
      </c>
      <c r="BW70" s="195">
        <v>0</v>
      </c>
      <c r="BX70" s="195">
        <v>0</v>
      </c>
      <c r="BY70" s="195">
        <v>0</v>
      </c>
    </row>
    <row r="71" spans="1:77" x14ac:dyDescent="0.25">
      <c r="A71" s="195" t="s">
        <v>175</v>
      </c>
      <c r="B71" s="195">
        <v>5514034769.3699999</v>
      </c>
      <c r="C71" s="195">
        <v>6135575865.5200005</v>
      </c>
      <c r="D71" s="195">
        <v>7369379152.1400003</v>
      </c>
      <c r="E71" s="195">
        <v>7253512685.5</v>
      </c>
      <c r="F71" s="195">
        <v>8329340409.8900003</v>
      </c>
      <c r="G71" s="195">
        <v>9195354632.1800003</v>
      </c>
      <c r="H71" s="195">
        <v>10198889256.48</v>
      </c>
      <c r="I71" s="195">
        <v>9829671858.9599991</v>
      </c>
      <c r="J71" s="195">
        <v>12189712211.1</v>
      </c>
      <c r="K71" s="195">
        <v>11305049775.049999</v>
      </c>
      <c r="L71" s="195">
        <v>12673714198.52</v>
      </c>
      <c r="M71" s="195">
        <v>13707909771.18</v>
      </c>
      <c r="N71" s="195">
        <v>13628343049.219999</v>
      </c>
      <c r="O71" s="195">
        <v>14439233709.469999</v>
      </c>
      <c r="P71" s="195">
        <v>16009210795.969999</v>
      </c>
      <c r="Q71" s="195">
        <v>15072421097.059999</v>
      </c>
      <c r="R71" s="195">
        <v>13719224108.32</v>
      </c>
      <c r="S71" s="195">
        <v>11974867934.23</v>
      </c>
      <c r="T71" s="195">
        <v>10755554523.190001</v>
      </c>
      <c r="U71" s="195">
        <v>8921356641.5599995</v>
      </c>
      <c r="V71" s="195">
        <v>8170831334.8199997</v>
      </c>
      <c r="W71" s="195">
        <v>6331609178.0799999</v>
      </c>
      <c r="X71" s="195">
        <v>4944336611.75</v>
      </c>
      <c r="Y71" s="195">
        <v>4471596531.3199997</v>
      </c>
      <c r="Z71" s="195">
        <v>3820642707.25</v>
      </c>
      <c r="AA71" s="195">
        <v>3776193492.6799998</v>
      </c>
      <c r="AB71" s="195">
        <v>2794281857.25</v>
      </c>
      <c r="AC71" s="195">
        <v>2446083821.4699998</v>
      </c>
      <c r="AD71" s="195">
        <v>2664519588.77</v>
      </c>
      <c r="AE71" s="195">
        <v>2332509223.1500001</v>
      </c>
      <c r="AF71" s="195">
        <v>2274509309.6500001</v>
      </c>
      <c r="AG71" s="195">
        <v>2065571028.9100001</v>
      </c>
      <c r="AH71" s="195">
        <v>1720176271.8900001</v>
      </c>
      <c r="AI71" s="195">
        <v>1604453810.03</v>
      </c>
      <c r="AJ71" s="195">
        <v>716147534.71000004</v>
      </c>
      <c r="AK71" s="195">
        <v>635206640.99000001</v>
      </c>
      <c r="AL71" s="195">
        <v>478741341.99000001</v>
      </c>
      <c r="AM71" s="195">
        <v>370369101.99000001</v>
      </c>
      <c r="AN71" s="195">
        <v>360332611.99000001</v>
      </c>
      <c r="AO71" s="195">
        <v>428654121.99000001</v>
      </c>
      <c r="AP71" s="195">
        <v>536305186.51999998</v>
      </c>
      <c r="AQ71" s="195">
        <v>801359702.16999996</v>
      </c>
      <c r="AR71" s="195">
        <v>841265291.54999995</v>
      </c>
      <c r="AS71" s="195">
        <v>603305502.11000001</v>
      </c>
      <c r="AT71" s="195">
        <v>507640100.06</v>
      </c>
      <c r="AU71" s="195">
        <v>970194614.45000005</v>
      </c>
      <c r="AV71" s="195">
        <v>851266641.14999998</v>
      </c>
      <c r="AW71" s="195">
        <v>821189800</v>
      </c>
      <c r="AX71" s="195">
        <v>867782452.67999995</v>
      </c>
      <c r="AY71" s="195">
        <v>1021630056.85</v>
      </c>
      <c r="AZ71" s="195">
        <v>1317149797.8299999</v>
      </c>
      <c r="BA71" s="195">
        <v>1444063924.3</v>
      </c>
      <c r="BB71" s="195">
        <v>1798295681.6300001</v>
      </c>
      <c r="BC71" s="195">
        <v>1949504898.3900001</v>
      </c>
      <c r="BD71" s="195">
        <v>1609335914.6900001</v>
      </c>
      <c r="BE71" s="195">
        <v>1227674678.4000001</v>
      </c>
      <c r="BF71" s="195">
        <v>744129136.15999997</v>
      </c>
      <c r="BG71" s="195">
        <v>551379136.15999997</v>
      </c>
      <c r="BH71" s="195">
        <v>106393591.2</v>
      </c>
      <c r="BI71" s="195">
        <v>107473351.2</v>
      </c>
      <c r="BJ71" s="195">
        <v>135383975.03999999</v>
      </c>
      <c r="BK71" s="195">
        <v>72826095.040000007</v>
      </c>
      <c r="BL71" s="195">
        <v>73681650</v>
      </c>
      <c r="BM71" s="195">
        <v>59638650</v>
      </c>
      <c r="BN71" s="195">
        <v>30000860.969999999</v>
      </c>
      <c r="BO71" s="195">
        <v>860.97</v>
      </c>
      <c r="BP71" s="195">
        <v>0</v>
      </c>
      <c r="BQ71" s="195">
        <v>0</v>
      </c>
      <c r="BR71" s="195">
        <v>0</v>
      </c>
      <c r="BS71" s="195">
        <v>0</v>
      </c>
      <c r="BT71" s="195">
        <v>10000000</v>
      </c>
      <c r="BU71" s="195">
        <v>35000000</v>
      </c>
      <c r="BV71" s="195">
        <v>35000000</v>
      </c>
      <c r="BW71" s="195">
        <v>40000000</v>
      </c>
      <c r="BX71" s="195">
        <v>53772141.869999997</v>
      </c>
      <c r="BY71" s="195">
        <v>0</v>
      </c>
    </row>
    <row r="72" spans="1:77" x14ac:dyDescent="0.25">
      <c r="A72" s="195" t="s">
        <v>176</v>
      </c>
      <c r="B72" s="195">
        <v>34704220762.029999</v>
      </c>
      <c r="C72" s="195">
        <v>33513409079.02</v>
      </c>
      <c r="D72" s="195">
        <v>35645208001.879997</v>
      </c>
      <c r="E72" s="195">
        <v>35073605689.870003</v>
      </c>
      <c r="F72" s="195">
        <v>36065823500.910004</v>
      </c>
      <c r="G72" s="195">
        <v>35101831689.610001</v>
      </c>
      <c r="H72" s="195">
        <v>33537560589.049999</v>
      </c>
      <c r="I72" s="195">
        <v>32431078399.48</v>
      </c>
      <c r="J72" s="195">
        <v>34788256069.690002</v>
      </c>
      <c r="K72" s="195">
        <v>34766644488.379997</v>
      </c>
      <c r="L72" s="195">
        <v>34085849683.200001</v>
      </c>
      <c r="M72" s="195">
        <v>32981182686.139999</v>
      </c>
      <c r="N72" s="195">
        <v>31966034875.740002</v>
      </c>
      <c r="O72" s="195">
        <v>30435707062.34</v>
      </c>
      <c r="P72" s="195">
        <v>29813047281.060001</v>
      </c>
      <c r="Q72" s="195">
        <v>28306409955.950001</v>
      </c>
      <c r="R72" s="195">
        <v>25579583387.990002</v>
      </c>
      <c r="S72" s="195">
        <v>24307639008.32</v>
      </c>
      <c r="T72" s="195">
        <v>22247695533.450001</v>
      </c>
      <c r="U72" s="195">
        <v>19362723307.52</v>
      </c>
      <c r="V72" s="195">
        <v>17362113404.470001</v>
      </c>
      <c r="W72" s="195">
        <v>16515896673.93</v>
      </c>
      <c r="X72" s="195">
        <v>14539305561.309999</v>
      </c>
      <c r="Y72" s="195">
        <v>12698651272</v>
      </c>
      <c r="Z72" s="195">
        <v>11614548883.700001</v>
      </c>
      <c r="AA72" s="195">
        <v>10525731746.629999</v>
      </c>
      <c r="AB72" s="195">
        <v>9478474565.1100006</v>
      </c>
      <c r="AC72" s="195">
        <v>9203059194.6700001</v>
      </c>
      <c r="AD72" s="195">
        <v>7263173738.54</v>
      </c>
      <c r="AE72" s="195">
        <v>7671594019.6300001</v>
      </c>
      <c r="AF72" s="195">
        <v>7299900827.8299999</v>
      </c>
      <c r="AG72" s="195">
        <v>5787702826.8800001</v>
      </c>
      <c r="AH72" s="195">
        <v>5024169848.8100004</v>
      </c>
      <c r="AI72" s="195">
        <v>4471713380.1700001</v>
      </c>
      <c r="AJ72" s="195">
        <v>4056969604.3099999</v>
      </c>
      <c r="AK72" s="195">
        <v>3836060265.4099998</v>
      </c>
      <c r="AL72" s="195">
        <v>4416950433.0200005</v>
      </c>
      <c r="AM72" s="195">
        <v>4233519398.5799999</v>
      </c>
      <c r="AN72" s="195">
        <v>4257583814.2600002</v>
      </c>
      <c r="AO72" s="195">
        <v>2413308434.7399998</v>
      </c>
      <c r="AP72" s="195">
        <v>2652775597.6700001</v>
      </c>
      <c r="AQ72" s="195">
        <v>2976648034.0700002</v>
      </c>
      <c r="AR72" s="195">
        <v>4113908726.9000001</v>
      </c>
      <c r="AS72" s="195">
        <v>3155892445.21</v>
      </c>
      <c r="AT72" s="195">
        <v>3196551877.3200002</v>
      </c>
      <c r="AU72" s="195">
        <v>3061350176.4099998</v>
      </c>
      <c r="AV72" s="195">
        <v>2565311573.8200002</v>
      </c>
      <c r="AW72" s="195">
        <v>2351261941.3400002</v>
      </c>
      <c r="AX72" s="195">
        <v>2678939833.7199998</v>
      </c>
      <c r="AY72" s="195">
        <v>2716686636.3600001</v>
      </c>
      <c r="AZ72" s="195">
        <v>2777955810.8699999</v>
      </c>
      <c r="BA72" s="195">
        <v>2792290855.4099998</v>
      </c>
      <c r="BB72" s="195">
        <v>2715855630.5</v>
      </c>
      <c r="BC72" s="195">
        <v>2651995087.0300002</v>
      </c>
      <c r="BD72" s="195">
        <v>2255026433.0100002</v>
      </c>
      <c r="BE72" s="195">
        <v>1747614707.3</v>
      </c>
      <c r="BF72" s="195">
        <v>1281270852.0999999</v>
      </c>
      <c r="BG72" s="195">
        <v>1059274166.65</v>
      </c>
      <c r="BH72" s="195">
        <v>510270869.42000002</v>
      </c>
      <c r="BI72" s="195">
        <v>400971899.56</v>
      </c>
      <c r="BJ72" s="195">
        <v>281393898.04000002</v>
      </c>
      <c r="BK72" s="195">
        <v>196902956.50999999</v>
      </c>
      <c r="BL72" s="195">
        <v>282727270.98000002</v>
      </c>
      <c r="BM72" s="195">
        <v>196274315.53</v>
      </c>
      <c r="BN72" s="195">
        <v>95571672.930000007</v>
      </c>
      <c r="BO72" s="195">
        <v>24531310</v>
      </c>
      <c r="BP72" s="195">
        <v>142563879.46000001</v>
      </c>
      <c r="BQ72" s="195">
        <v>72907734.739999995</v>
      </c>
      <c r="BR72" s="195">
        <v>0</v>
      </c>
      <c r="BS72" s="195">
        <v>64501530.380000003</v>
      </c>
      <c r="BT72" s="195">
        <v>156537787.19999999</v>
      </c>
      <c r="BU72" s="195">
        <v>165735142</v>
      </c>
      <c r="BV72" s="195">
        <v>130431204.05</v>
      </c>
      <c r="BW72" s="195">
        <v>74938375.370000005</v>
      </c>
      <c r="BX72" s="195">
        <v>93817434</v>
      </c>
      <c r="BY72" s="195">
        <v>0</v>
      </c>
    </row>
    <row r="73" spans="1:77" x14ac:dyDescent="0.25">
      <c r="A73" s="195" t="s">
        <v>177</v>
      </c>
    </row>
    <row r="74" spans="1:77" x14ac:dyDescent="0.25">
      <c r="A74" s="195" t="s">
        <v>178</v>
      </c>
      <c r="B74" s="195">
        <v>2734012800</v>
      </c>
      <c r="C74" s="195">
        <v>2734012800</v>
      </c>
      <c r="D74" s="195">
        <v>2734012800</v>
      </c>
      <c r="E74" s="195">
        <v>2734012800</v>
      </c>
      <c r="F74" s="195">
        <v>2734012800</v>
      </c>
      <c r="G74" s="195">
        <v>2734012800</v>
      </c>
      <c r="H74" s="195">
        <v>2278344000</v>
      </c>
      <c r="I74" s="195">
        <v>2162334720</v>
      </c>
      <c r="J74" s="195">
        <v>2162334720</v>
      </c>
      <c r="K74" s="195">
        <v>2162334720</v>
      </c>
      <c r="L74" s="195">
        <v>2162334720</v>
      </c>
      <c r="M74" s="195">
        <v>2162334720</v>
      </c>
      <c r="N74" s="195">
        <v>2162334720</v>
      </c>
      <c r="O74" s="195">
        <v>2162334720</v>
      </c>
      <c r="P74" s="195">
        <v>2162334720</v>
      </c>
      <c r="Q74" s="195">
        <v>2162334720</v>
      </c>
      <c r="R74" s="195">
        <v>2162334720</v>
      </c>
      <c r="S74" s="195">
        <v>2162334720</v>
      </c>
      <c r="T74" s="195">
        <v>2162334720</v>
      </c>
      <c r="U74" s="195">
        <v>2162334720</v>
      </c>
      <c r="V74" s="195">
        <v>2162334720</v>
      </c>
      <c r="W74" s="195">
        <v>2162334720</v>
      </c>
      <c r="X74" s="195">
        <v>2162334720</v>
      </c>
      <c r="Y74" s="195">
        <v>2162334720</v>
      </c>
      <c r="Z74" s="195">
        <v>2162334720</v>
      </c>
      <c r="AA74" s="195">
        <v>2162334720</v>
      </c>
      <c r="AB74" s="195">
        <v>2162334720</v>
      </c>
      <c r="AC74" s="195">
        <v>2162334720</v>
      </c>
      <c r="AD74" s="195">
        <v>2162334720</v>
      </c>
      <c r="AE74" s="195">
        <v>2162334720</v>
      </c>
      <c r="AF74" s="195">
        <v>1663334400</v>
      </c>
      <c r="AG74" s="195">
        <v>1663334400</v>
      </c>
      <c r="AH74" s="195">
        <v>1663334400</v>
      </c>
      <c r="AI74" s="195">
        <v>1663334400</v>
      </c>
      <c r="AJ74" s="195">
        <v>1663334400</v>
      </c>
      <c r="AK74" s="195">
        <v>1663334400</v>
      </c>
      <c r="AL74" s="195">
        <v>1663334400</v>
      </c>
      <c r="AM74" s="195">
        <v>1663334400</v>
      </c>
      <c r="AN74" s="195">
        <v>1663334400</v>
      </c>
      <c r="AO74" s="195">
        <v>1663334400</v>
      </c>
      <c r="AP74" s="195">
        <v>1663334400</v>
      </c>
      <c r="AQ74" s="195">
        <v>1663334400</v>
      </c>
      <c r="AR74" s="195">
        <v>1663334400</v>
      </c>
      <c r="AS74" s="195">
        <v>1663334400</v>
      </c>
      <c r="AT74" s="195">
        <v>1663334400</v>
      </c>
      <c r="AU74" s="195">
        <v>1188096000</v>
      </c>
      <c r="AV74" s="195">
        <v>1188096000</v>
      </c>
      <c r="AW74" s="195">
        <v>1188096000</v>
      </c>
      <c r="AX74" s="195">
        <v>1188096000</v>
      </c>
      <c r="AY74" s="195">
        <v>1188096000</v>
      </c>
      <c r="AZ74" s="195">
        <v>848640000</v>
      </c>
      <c r="BA74" s="195">
        <v>848640000</v>
      </c>
      <c r="BB74" s="195">
        <v>848640000</v>
      </c>
      <c r="BC74" s="195">
        <v>848640000</v>
      </c>
      <c r="BD74" s="195">
        <v>652800000</v>
      </c>
      <c r="BE74" s="195">
        <v>652800000</v>
      </c>
      <c r="BF74" s="195">
        <v>652800000</v>
      </c>
      <c r="BG74" s="195">
        <v>652800000</v>
      </c>
      <c r="BH74" s="195">
        <v>384000000</v>
      </c>
      <c r="BI74" s="195">
        <v>384000000</v>
      </c>
      <c r="BJ74" s="195">
        <v>384000000</v>
      </c>
      <c r="BK74" s="195">
        <v>384000000</v>
      </c>
      <c r="BL74" s="195">
        <v>384000000</v>
      </c>
      <c r="BM74" s="195">
        <v>384000000</v>
      </c>
      <c r="BN74" s="195">
        <v>384000000</v>
      </c>
      <c r="BO74" s="195">
        <v>384000000</v>
      </c>
      <c r="BP74" s="195">
        <v>240000000</v>
      </c>
      <c r="BQ74" s="195">
        <v>240000000</v>
      </c>
      <c r="BR74" s="195">
        <v>240000000</v>
      </c>
      <c r="BS74" s="195">
        <v>240000000</v>
      </c>
      <c r="BT74" s="195">
        <v>120000000</v>
      </c>
      <c r="BU74" s="195">
        <v>80000000</v>
      </c>
      <c r="BV74" s="195">
        <v>80000000</v>
      </c>
      <c r="BW74" s="195">
        <v>80000000</v>
      </c>
      <c r="BX74" s="195">
        <v>0</v>
      </c>
      <c r="BY74" s="195">
        <v>0</v>
      </c>
    </row>
    <row r="75" spans="1:77" x14ac:dyDescent="0.25">
      <c r="A75" s="195" t="s">
        <v>179</v>
      </c>
      <c r="B75" s="195">
        <v>2393006467.8800001</v>
      </c>
      <c r="C75" s="195">
        <v>2392970759.21</v>
      </c>
      <c r="D75" s="195">
        <v>2392932848.7199998</v>
      </c>
      <c r="E75" s="195">
        <v>2392825722.6999998</v>
      </c>
      <c r="F75" s="195">
        <v>2392983416.27</v>
      </c>
      <c r="G75" s="195">
        <v>2392919887.8200002</v>
      </c>
      <c r="H75" s="195">
        <v>2392889251.1399999</v>
      </c>
      <c r="I75" s="195">
        <v>48410490.399999999</v>
      </c>
      <c r="J75" s="195">
        <v>48535567.670000002</v>
      </c>
      <c r="K75" s="195">
        <v>48454654.090000004</v>
      </c>
      <c r="L75" s="195">
        <v>48500026.789999999</v>
      </c>
      <c r="M75" s="195">
        <v>48344557.950000003</v>
      </c>
      <c r="N75" s="195">
        <v>48470538.880000003</v>
      </c>
      <c r="O75" s="195">
        <v>48427434.719999999</v>
      </c>
      <c r="P75" s="195">
        <v>48335935.149999999</v>
      </c>
      <c r="Q75" s="195">
        <v>48344055.18</v>
      </c>
      <c r="R75" s="195">
        <v>49486723.130000003</v>
      </c>
      <c r="S75" s="195">
        <v>38168889.009999998</v>
      </c>
      <c r="T75" s="195">
        <v>29947689.010000002</v>
      </c>
      <c r="U75" s="195">
        <v>30053089.010000002</v>
      </c>
      <c r="V75" s="195">
        <v>33272052.079999998</v>
      </c>
      <c r="W75" s="195">
        <v>29359672.079999998</v>
      </c>
      <c r="X75" s="195">
        <v>39722192.079999998</v>
      </c>
      <c r="Y75" s="195">
        <v>33589272.079999998</v>
      </c>
      <c r="Z75" s="195">
        <v>35915552.079999998</v>
      </c>
      <c r="AA75" s="195">
        <v>45855112.079999998</v>
      </c>
      <c r="AB75" s="195">
        <v>50824892.079999998</v>
      </c>
      <c r="AC75" s="195">
        <v>48392872.079999998</v>
      </c>
      <c r="AD75" s="195">
        <v>59495572.079999998</v>
      </c>
      <c r="AE75" s="195">
        <v>81912452.079999998</v>
      </c>
      <c r="AF75" s="195">
        <v>96879735.920000002</v>
      </c>
      <c r="AG75" s="195">
        <v>108728435.15000001</v>
      </c>
      <c r="AH75" s="195">
        <v>92263935.150000006</v>
      </c>
      <c r="AI75" s="195">
        <v>60885935.149999999</v>
      </c>
      <c r="AJ75" s="195">
        <v>83036391.849999994</v>
      </c>
      <c r="AK75" s="195">
        <v>47836391.850000001</v>
      </c>
      <c r="AL75" s="195">
        <v>47836391.850000001</v>
      </c>
      <c r="AM75" s="195">
        <v>47836391.850000001</v>
      </c>
      <c r="AN75" s="195">
        <v>47836391.850000001</v>
      </c>
      <c r="AO75" s="195">
        <v>47836391.850000001</v>
      </c>
      <c r="AP75" s="195">
        <v>47120951.039999999</v>
      </c>
      <c r="AQ75" s="195">
        <v>46669026.799999997</v>
      </c>
      <c r="AR75" s="195">
        <v>38785773.090000004</v>
      </c>
      <c r="AS75" s="195">
        <v>38785773.090000004</v>
      </c>
      <c r="AT75" s="195">
        <v>38785773.090000004</v>
      </c>
      <c r="AU75" s="195">
        <v>38785773.090000004</v>
      </c>
      <c r="AV75" s="195">
        <v>31366981.890000001</v>
      </c>
      <c r="AW75" s="195">
        <v>31366981.890000001</v>
      </c>
      <c r="AX75" s="195">
        <v>32330017</v>
      </c>
      <c r="AY75" s="195">
        <v>32330017</v>
      </c>
      <c r="AZ75" s="195">
        <v>31092583.940000001</v>
      </c>
      <c r="BA75" s="195">
        <v>31068348.739999998</v>
      </c>
      <c r="BB75" s="195">
        <v>31068348.739999998</v>
      </c>
      <c r="BC75" s="195">
        <v>31068348.739999998</v>
      </c>
      <c r="BD75" s="195">
        <v>30643663.760000002</v>
      </c>
      <c r="BE75" s="195">
        <v>30643663.760000002</v>
      </c>
      <c r="BF75" s="195">
        <v>30563354.32</v>
      </c>
      <c r="BG75" s="195">
        <v>30563804.32</v>
      </c>
      <c r="BH75" s="195">
        <v>222563804.31999999</v>
      </c>
      <c r="BI75" s="195">
        <v>222563804.31999999</v>
      </c>
      <c r="BJ75" s="195">
        <v>222602929.86000001</v>
      </c>
      <c r="BK75" s="195">
        <v>222544462.44999999</v>
      </c>
      <c r="BL75" s="195">
        <v>222544462.44999999</v>
      </c>
      <c r="BM75" s="195">
        <v>222544462.44999999</v>
      </c>
      <c r="BN75" s="195">
        <v>222012086.94</v>
      </c>
      <c r="BO75" s="195">
        <v>222012086.94</v>
      </c>
      <c r="BP75" s="195">
        <v>342010338.91000003</v>
      </c>
      <c r="BQ75" s="195">
        <v>342010338.91000003</v>
      </c>
      <c r="BR75" s="195">
        <v>0</v>
      </c>
      <c r="BS75" s="195">
        <v>342010338.91000003</v>
      </c>
      <c r="BT75" s="195">
        <v>438010338.91000003</v>
      </c>
      <c r="BU75" s="195">
        <v>43050538.909999996</v>
      </c>
      <c r="BV75" s="195">
        <v>43050538.909999996</v>
      </c>
      <c r="BW75" s="195">
        <v>43050538.909999996</v>
      </c>
      <c r="BX75" s="195">
        <v>0</v>
      </c>
      <c r="BY75" s="195">
        <v>0</v>
      </c>
    </row>
    <row r="76" spans="1:77" x14ac:dyDescent="0.25">
      <c r="A76" s="195" t="s">
        <v>180</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c r="BU76" s="195">
        <v>0</v>
      </c>
      <c r="BV76" s="195">
        <v>0</v>
      </c>
      <c r="BW76" s="195">
        <v>0</v>
      </c>
      <c r="BX76" s="195">
        <v>0</v>
      </c>
      <c r="BY76" s="195">
        <v>0</v>
      </c>
    </row>
    <row r="77" spans="1:77" x14ac:dyDescent="0.25">
      <c r="A77" s="195" t="s">
        <v>181</v>
      </c>
      <c r="B77" s="195">
        <v>-49752008.530000001</v>
      </c>
      <c r="C77" s="195">
        <v>-7988717.3899999997</v>
      </c>
      <c r="D77" s="195">
        <v>526666.98</v>
      </c>
      <c r="E77" s="195">
        <v>9518565.6500000004</v>
      </c>
      <c r="F77" s="195">
        <v>16272454.23</v>
      </c>
      <c r="G77" s="195">
        <v>11750179.1</v>
      </c>
      <c r="H77" s="195">
        <v>12887716.27</v>
      </c>
      <c r="I77" s="195">
        <v>7607533.2400000002</v>
      </c>
      <c r="J77" s="195">
        <v>4758195.21</v>
      </c>
      <c r="K77" s="195">
        <v>5203804.4000000004</v>
      </c>
      <c r="L77" s="195">
        <v>1918394.7</v>
      </c>
      <c r="M77" s="195">
        <v>4015139.5</v>
      </c>
      <c r="N77" s="195">
        <v>-13694209.109999999</v>
      </c>
      <c r="O77" s="195">
        <v>-18278448.25</v>
      </c>
      <c r="P77" s="195">
        <v>-18496135.050000001</v>
      </c>
      <c r="Q77" s="195">
        <v>-12526257.43</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row>
    <row r="78" spans="1:77" x14ac:dyDescent="0.25">
      <c r="A78" s="195" t="s">
        <v>182</v>
      </c>
      <c r="B78" s="195">
        <v>0</v>
      </c>
      <c r="C78" s="195">
        <v>0</v>
      </c>
      <c r="D78" s="195">
        <v>0</v>
      </c>
      <c r="E78" s="195">
        <v>0</v>
      </c>
      <c r="F78" s="195">
        <v>0</v>
      </c>
      <c r="G78" s="195">
        <v>0</v>
      </c>
      <c r="H78" s="195">
        <v>0</v>
      </c>
      <c r="I78" s="195">
        <v>0</v>
      </c>
      <c r="J78" s="195">
        <v>0</v>
      </c>
      <c r="K78" s="195">
        <v>0</v>
      </c>
      <c r="L78" s="195">
        <v>0</v>
      </c>
      <c r="M78" s="195">
        <v>0</v>
      </c>
      <c r="N78" s="195">
        <v>479224.14</v>
      </c>
      <c r="O78" s="195">
        <v>1893811.06</v>
      </c>
      <c r="P78" s="195">
        <v>2081921.06</v>
      </c>
      <c r="Q78" s="195">
        <v>696629.53</v>
      </c>
      <c r="R78" s="195">
        <v>851816.16</v>
      </c>
      <c r="S78" s="195">
        <v>1259949.4099999999</v>
      </c>
      <c r="T78" s="195">
        <v>1421218.67</v>
      </c>
      <c r="U78" s="195">
        <v>0</v>
      </c>
      <c r="V78" s="195">
        <v>1139093.6599999999</v>
      </c>
      <c r="W78" s="195">
        <v>428947.02</v>
      </c>
      <c r="X78" s="195">
        <v>583313.52</v>
      </c>
      <c r="Y78" s="195">
        <v>0</v>
      </c>
      <c r="Z78" s="195">
        <v>1593523.58</v>
      </c>
      <c r="AA78" s="195">
        <v>1078509.17</v>
      </c>
      <c r="AB78" s="195">
        <v>3975462.31</v>
      </c>
      <c r="AC78" s="195">
        <v>0</v>
      </c>
      <c r="AD78" s="195">
        <v>1789214.56</v>
      </c>
      <c r="AE78" s="195">
        <v>1706623.44</v>
      </c>
      <c r="AF78" s="195">
        <v>1361846.68</v>
      </c>
      <c r="AG78" s="195">
        <v>0</v>
      </c>
      <c r="AH78" s="195">
        <v>679475.03</v>
      </c>
      <c r="AI78" s="195">
        <v>0</v>
      </c>
      <c r="AJ78" s="195">
        <v>1551967.96</v>
      </c>
      <c r="AK78" s="195">
        <v>0</v>
      </c>
      <c r="AL78" s="195">
        <v>0</v>
      </c>
      <c r="AM78" s="195">
        <v>0</v>
      </c>
      <c r="AN78" s="195">
        <v>0</v>
      </c>
      <c r="AO78" s="195">
        <v>0</v>
      </c>
      <c r="AP78" s="195">
        <v>0</v>
      </c>
      <c r="AQ78" s="195">
        <v>0</v>
      </c>
      <c r="AR78" s="195">
        <v>0</v>
      </c>
      <c r="AS78" s="195">
        <v>0</v>
      </c>
      <c r="AT78" s="195">
        <v>0</v>
      </c>
      <c r="AU78" s="195">
        <v>0</v>
      </c>
      <c r="AV78" s="195">
        <v>0</v>
      </c>
      <c r="AW78" s="195">
        <v>0</v>
      </c>
      <c r="AX78" s="195">
        <v>0</v>
      </c>
      <c r="AY78" s="195">
        <v>0</v>
      </c>
      <c r="AZ78" s="195">
        <v>0</v>
      </c>
      <c r="BA78" s="195">
        <v>0</v>
      </c>
      <c r="BB78" s="195">
        <v>0</v>
      </c>
      <c r="BC78" s="195">
        <v>0</v>
      </c>
      <c r="BD78" s="195">
        <v>0</v>
      </c>
      <c r="BE78" s="195">
        <v>0</v>
      </c>
      <c r="BF78" s="195">
        <v>0</v>
      </c>
      <c r="BG78" s="195">
        <v>0</v>
      </c>
      <c r="BH78" s="195">
        <v>0</v>
      </c>
      <c r="BI78" s="195">
        <v>0</v>
      </c>
      <c r="BJ78" s="195">
        <v>0</v>
      </c>
      <c r="BK78" s="195">
        <v>0</v>
      </c>
      <c r="BL78" s="195">
        <v>0</v>
      </c>
      <c r="BM78" s="195">
        <v>0</v>
      </c>
      <c r="BN78" s="195">
        <v>0</v>
      </c>
      <c r="BO78" s="195">
        <v>0</v>
      </c>
      <c r="BP78" s="195">
        <v>0</v>
      </c>
      <c r="BQ78" s="195">
        <v>0</v>
      </c>
      <c r="BR78" s="195">
        <v>0</v>
      </c>
      <c r="BS78" s="195">
        <v>0</v>
      </c>
      <c r="BT78" s="195">
        <v>0</v>
      </c>
      <c r="BU78" s="195">
        <v>0</v>
      </c>
      <c r="BV78" s="195">
        <v>0</v>
      </c>
      <c r="BW78" s="195">
        <v>0</v>
      </c>
      <c r="BX78" s="195">
        <v>0</v>
      </c>
      <c r="BY78" s="195">
        <v>0</v>
      </c>
    </row>
    <row r="79" spans="1:77" x14ac:dyDescent="0.25">
      <c r="A79" s="195" t="s">
        <v>183</v>
      </c>
      <c r="B79" s="195">
        <v>2823172641.71</v>
      </c>
      <c r="C79" s="195">
        <v>2823172641.71</v>
      </c>
      <c r="D79" s="195">
        <v>2823172641.71</v>
      </c>
      <c r="E79" s="195">
        <v>2823172641.71</v>
      </c>
      <c r="F79" s="195">
        <v>1579310659.1099999</v>
      </c>
      <c r="G79" s="195">
        <v>1579310659.1099999</v>
      </c>
      <c r="H79" s="195">
        <v>1579310659.1099999</v>
      </c>
      <c r="I79" s="195">
        <v>1579310659.1099999</v>
      </c>
      <c r="J79" s="195">
        <v>1579310659.1099999</v>
      </c>
      <c r="K79" s="195">
        <v>1579310659.1099999</v>
      </c>
      <c r="L79" s="195">
        <v>1579310659.1099999</v>
      </c>
      <c r="M79" s="195">
        <v>1579310659.1099999</v>
      </c>
      <c r="N79" s="195">
        <v>1579310659.1099999</v>
      </c>
      <c r="O79" s="195">
        <v>1579310659.1099999</v>
      </c>
      <c r="P79" s="195">
        <v>1579310659.1099999</v>
      </c>
      <c r="Q79" s="195">
        <v>1579310659.1099999</v>
      </c>
      <c r="R79" s="195">
        <v>1579310659.1099999</v>
      </c>
      <c r="S79" s="195">
        <v>1579310659.1099999</v>
      </c>
      <c r="T79" s="195">
        <v>1579310659.1099999</v>
      </c>
      <c r="U79" s="195">
        <v>1579310659.1099999</v>
      </c>
      <c r="V79" s="195">
        <v>1579310659.1099999</v>
      </c>
      <c r="W79" s="195">
        <v>1579310659.1099999</v>
      </c>
      <c r="X79" s="195">
        <v>1579310659.1099999</v>
      </c>
      <c r="Y79" s="195">
        <v>1579310659.1099999</v>
      </c>
      <c r="Z79" s="195">
        <v>1477991746.3299999</v>
      </c>
      <c r="AA79" s="195">
        <v>1477991746.3299999</v>
      </c>
      <c r="AB79" s="195">
        <v>1477991746.3299999</v>
      </c>
      <c r="AC79" s="195">
        <v>1477991746.3299999</v>
      </c>
      <c r="AD79" s="195">
        <v>1150249222.6400001</v>
      </c>
      <c r="AE79" s="195">
        <v>1150249222.6400001</v>
      </c>
      <c r="AF79" s="195">
        <v>1150249222.6400001</v>
      </c>
      <c r="AG79" s="195">
        <v>1150249222.6400001</v>
      </c>
      <c r="AH79" s="195">
        <v>963714323.86000001</v>
      </c>
      <c r="AI79" s="195">
        <v>963714323.86000001</v>
      </c>
      <c r="AJ79" s="195">
        <v>963714323.86000001</v>
      </c>
      <c r="AK79" s="195">
        <v>963714323.86000001</v>
      </c>
      <c r="AL79" s="195">
        <v>818420076.46000004</v>
      </c>
      <c r="AM79" s="195">
        <v>818420076.46000004</v>
      </c>
      <c r="AN79" s="195">
        <v>818420076.46000004</v>
      </c>
      <c r="AO79" s="195">
        <v>818420076.46000004</v>
      </c>
      <c r="AP79" s="195">
        <v>621628353.90999997</v>
      </c>
      <c r="AQ79" s="195">
        <v>621628353.90999997</v>
      </c>
      <c r="AR79" s="195">
        <v>621628353.90999997</v>
      </c>
      <c r="AS79" s="195">
        <v>621628353.90999997</v>
      </c>
      <c r="AT79" s="195">
        <v>592322663.15999997</v>
      </c>
      <c r="AU79" s="195">
        <v>592322663.15999997</v>
      </c>
      <c r="AV79" s="195">
        <v>592491649.66999996</v>
      </c>
      <c r="AW79" s="195">
        <v>576705891.12</v>
      </c>
      <c r="AX79" s="195">
        <v>397235332.06</v>
      </c>
      <c r="AY79" s="195">
        <v>397235332.06</v>
      </c>
      <c r="AZ79" s="195">
        <v>397235332.06</v>
      </c>
      <c r="BA79" s="195">
        <v>397235332.06</v>
      </c>
      <c r="BB79" s="195">
        <v>241084797.59</v>
      </c>
      <c r="BC79" s="195">
        <v>241084797.59</v>
      </c>
      <c r="BD79" s="195">
        <v>241084797.59</v>
      </c>
      <c r="BE79" s="195">
        <v>241084797.59</v>
      </c>
      <c r="BF79" s="195">
        <v>139540139.34</v>
      </c>
      <c r="BG79" s="195">
        <v>139540139.34</v>
      </c>
      <c r="BH79" s="195">
        <v>139540139.34</v>
      </c>
      <c r="BI79" s="195">
        <v>139540139.34</v>
      </c>
      <c r="BJ79" s="195">
        <v>81470601.019999996</v>
      </c>
      <c r="BK79" s="195">
        <v>81470601.019999996</v>
      </c>
      <c r="BL79" s="195">
        <v>81470601.019999996</v>
      </c>
      <c r="BM79" s="195">
        <v>81470601.019999996</v>
      </c>
      <c r="BN79" s="195">
        <v>42888991.719999999</v>
      </c>
      <c r="BO79" s="195">
        <v>42888991.719999999</v>
      </c>
      <c r="BP79" s="195">
        <v>42888991.719999999</v>
      </c>
      <c r="BQ79" s="195">
        <v>42888991.719999999</v>
      </c>
      <c r="BR79" s="195">
        <v>0</v>
      </c>
      <c r="BS79" s="195">
        <v>17706893.420000002</v>
      </c>
      <c r="BT79" s="195">
        <v>17706893.420000002</v>
      </c>
      <c r="BU79" s="195">
        <v>5256015.32</v>
      </c>
      <c r="BV79" s="195">
        <v>5256015.32</v>
      </c>
      <c r="BW79" s="195">
        <v>0</v>
      </c>
      <c r="BX79" s="195">
        <v>0</v>
      </c>
      <c r="BY79" s="195">
        <v>0</v>
      </c>
    </row>
    <row r="80" spans="1:77" x14ac:dyDescent="0.25">
      <c r="A80" s="195" t="s">
        <v>184</v>
      </c>
      <c r="B80" s="195">
        <v>0</v>
      </c>
      <c r="C80" s="195">
        <v>0</v>
      </c>
      <c r="D80" s="195">
        <v>0</v>
      </c>
      <c r="E80" s="195">
        <v>0</v>
      </c>
      <c r="F80" s="195">
        <v>0</v>
      </c>
      <c r="G80" s="195">
        <v>0</v>
      </c>
      <c r="H80" s="195">
        <v>0</v>
      </c>
      <c r="I80" s="195">
        <v>0</v>
      </c>
      <c r="J80" s="195">
        <v>0</v>
      </c>
      <c r="K80" s="195">
        <v>0</v>
      </c>
      <c r="L80" s="195">
        <v>0</v>
      </c>
      <c r="M80" s="195">
        <v>0</v>
      </c>
      <c r="N80" s="195">
        <v>0</v>
      </c>
      <c r="O80" s="195">
        <v>0</v>
      </c>
      <c r="P80" s="195">
        <v>0</v>
      </c>
      <c r="Q80" s="195">
        <v>0</v>
      </c>
      <c r="R80" s="195">
        <v>0</v>
      </c>
      <c r="S80" s="195">
        <v>0</v>
      </c>
      <c r="T80" s="195">
        <v>0</v>
      </c>
      <c r="U80" s="195">
        <v>0</v>
      </c>
      <c r="V80" s="195">
        <v>0</v>
      </c>
      <c r="W80" s="195">
        <v>0</v>
      </c>
      <c r="X80" s="195">
        <v>0</v>
      </c>
      <c r="Y80" s="195">
        <v>0</v>
      </c>
      <c r="Z80" s="195">
        <v>0</v>
      </c>
      <c r="AA80" s="195">
        <v>0</v>
      </c>
      <c r="AB80" s="195">
        <v>0</v>
      </c>
      <c r="AC80" s="195">
        <v>0</v>
      </c>
      <c r="AD80" s="195">
        <v>0</v>
      </c>
      <c r="AE80" s="195">
        <v>0</v>
      </c>
      <c r="AF80" s="195">
        <v>0</v>
      </c>
      <c r="AG80" s="195">
        <v>0</v>
      </c>
      <c r="AH80" s="195">
        <v>0</v>
      </c>
      <c r="AI80" s="195">
        <v>0</v>
      </c>
      <c r="AJ80" s="195">
        <v>0</v>
      </c>
      <c r="AK80" s="195">
        <v>0</v>
      </c>
      <c r="AL80" s="195">
        <v>0</v>
      </c>
      <c r="AM80" s="195">
        <v>0</v>
      </c>
      <c r="AN80" s="195">
        <v>0</v>
      </c>
      <c r="AO80" s="195">
        <v>0</v>
      </c>
      <c r="AP80" s="195">
        <v>0</v>
      </c>
      <c r="AQ80" s="195">
        <v>0</v>
      </c>
      <c r="AR80" s="195">
        <v>0</v>
      </c>
      <c r="AS80" s="195">
        <v>0</v>
      </c>
      <c r="AT80" s="195">
        <v>0</v>
      </c>
      <c r="AU80" s="195">
        <v>0</v>
      </c>
      <c r="AV80" s="195">
        <v>0</v>
      </c>
      <c r="AW80" s="195">
        <v>0</v>
      </c>
      <c r="AX80" s="195">
        <v>0</v>
      </c>
      <c r="AY80" s="195">
        <v>0</v>
      </c>
      <c r="AZ80" s="195">
        <v>0</v>
      </c>
      <c r="BA80" s="195">
        <v>0</v>
      </c>
      <c r="BB80" s="195">
        <v>0</v>
      </c>
      <c r="BC80" s="195">
        <v>0</v>
      </c>
      <c r="BD80" s="195">
        <v>0</v>
      </c>
      <c r="BE80" s="195">
        <v>0</v>
      </c>
      <c r="BF80" s="195">
        <v>0</v>
      </c>
      <c r="BG80" s="195">
        <v>0</v>
      </c>
      <c r="BH80" s="195">
        <v>0</v>
      </c>
      <c r="BI80" s="195">
        <v>0</v>
      </c>
      <c r="BJ80" s="195">
        <v>0</v>
      </c>
      <c r="BK80" s="195">
        <v>0</v>
      </c>
      <c r="BL80" s="195">
        <v>0</v>
      </c>
      <c r="BM80" s="195">
        <v>0</v>
      </c>
      <c r="BN80" s="195">
        <v>0</v>
      </c>
      <c r="BO80" s="195">
        <v>0</v>
      </c>
      <c r="BP80" s="195">
        <v>0</v>
      </c>
      <c r="BQ80" s="195">
        <v>0</v>
      </c>
      <c r="BR80" s="195">
        <v>0</v>
      </c>
      <c r="BS80" s="195">
        <v>0</v>
      </c>
      <c r="BT80" s="195">
        <v>0</v>
      </c>
      <c r="BU80" s="195">
        <v>0</v>
      </c>
      <c r="BV80" s="195">
        <v>0</v>
      </c>
      <c r="BW80" s="195">
        <v>0</v>
      </c>
      <c r="BX80" s="195">
        <v>0</v>
      </c>
      <c r="BY80" s="195">
        <v>0</v>
      </c>
    </row>
    <row r="81" spans="1:77" x14ac:dyDescent="0.25">
      <c r="A81" s="195" t="s">
        <v>185</v>
      </c>
      <c r="B81" s="195">
        <v>24240012420.689999</v>
      </c>
      <c r="C81" s="195">
        <v>22168925381.450001</v>
      </c>
      <c r="D81" s="195">
        <v>18764713145.299999</v>
      </c>
      <c r="E81" s="195">
        <v>19320010167.130001</v>
      </c>
      <c r="F81" s="195">
        <v>17240077847.09</v>
      </c>
      <c r="G81" s="195">
        <v>14290119747.360001</v>
      </c>
      <c r="H81" s="195">
        <v>13218982473.92</v>
      </c>
      <c r="I81" s="195">
        <v>11023922668.07</v>
      </c>
      <c r="J81" s="195">
        <v>9844753657.0900002</v>
      </c>
      <c r="K81" s="195">
        <v>8712475912.4200001</v>
      </c>
      <c r="L81" s="195">
        <v>7788141295.1400003</v>
      </c>
      <c r="M81" s="195">
        <v>7776967780.1700001</v>
      </c>
      <c r="N81" s="195">
        <v>7602977881.7799997</v>
      </c>
      <c r="O81" s="195">
        <v>7185923565.0299997</v>
      </c>
      <c r="P81" s="195">
        <v>7286797315.3800001</v>
      </c>
      <c r="Q81" s="195">
        <v>6815924586.5799999</v>
      </c>
      <c r="R81" s="195">
        <v>6494417133.1499996</v>
      </c>
      <c r="S81" s="195">
        <v>5801120020.1599998</v>
      </c>
      <c r="T81" s="195">
        <v>6662804270.5299997</v>
      </c>
      <c r="U81" s="195">
        <v>5910192504.0299997</v>
      </c>
      <c r="V81" s="195">
        <v>5355555500.9799995</v>
      </c>
      <c r="W81" s="195">
        <v>4556677681.6800003</v>
      </c>
      <c r="X81" s="195">
        <v>5274203600.4899998</v>
      </c>
      <c r="Y81" s="195">
        <v>4532414513.29</v>
      </c>
      <c r="Z81" s="195">
        <v>3933395130.8299999</v>
      </c>
      <c r="AA81" s="195">
        <v>3268653069.1700001</v>
      </c>
      <c r="AB81" s="195">
        <v>4024086875.73</v>
      </c>
      <c r="AC81" s="195">
        <v>3582254775.3699999</v>
      </c>
      <c r="AD81" s="195">
        <v>3594628633.54</v>
      </c>
      <c r="AE81" s="195">
        <v>3054357827.4000001</v>
      </c>
      <c r="AF81" s="195">
        <v>3700485673.7399998</v>
      </c>
      <c r="AG81" s="195">
        <v>3220431040.2199998</v>
      </c>
      <c r="AH81" s="195">
        <v>2845432713.1199999</v>
      </c>
      <c r="AI81" s="195">
        <v>2482468057.98</v>
      </c>
      <c r="AJ81" s="195">
        <v>2626452412.21</v>
      </c>
      <c r="AK81" s="195">
        <v>2375758008.4699998</v>
      </c>
      <c r="AL81" s="195">
        <v>2318734264.23</v>
      </c>
      <c r="AM81" s="195">
        <v>1957121490.8800001</v>
      </c>
      <c r="AN81" s="195">
        <v>1646015531.5699999</v>
      </c>
      <c r="AO81" s="195">
        <v>2286340877.0999999</v>
      </c>
      <c r="AP81" s="195">
        <v>2144026850.47</v>
      </c>
      <c r="AQ81" s="195">
        <v>1815028972.0799999</v>
      </c>
      <c r="AR81" s="195">
        <v>1310575566.74</v>
      </c>
      <c r="AS81" s="195">
        <v>1599625590.21</v>
      </c>
      <c r="AT81" s="195">
        <v>1205036648.6099999</v>
      </c>
      <c r="AU81" s="195">
        <v>1187801160.9100001</v>
      </c>
      <c r="AV81" s="195">
        <v>1021560591.4</v>
      </c>
      <c r="AW81" s="195">
        <v>681228072.42999995</v>
      </c>
      <c r="AX81" s="195">
        <v>613695017.59000003</v>
      </c>
      <c r="AY81" s="195">
        <v>353316020.97000003</v>
      </c>
      <c r="AZ81" s="195">
        <v>679548415.61000001</v>
      </c>
      <c r="BA81" s="195">
        <v>501491847.06999999</v>
      </c>
      <c r="BB81" s="195">
        <v>520254651.60000002</v>
      </c>
      <c r="BC81" s="195">
        <v>368309344.67000002</v>
      </c>
      <c r="BD81" s="195">
        <v>523055535.56</v>
      </c>
      <c r="BE81" s="195">
        <v>366412157.57999998</v>
      </c>
      <c r="BF81" s="195">
        <v>379317072.97000003</v>
      </c>
      <c r="BG81" s="195">
        <v>279732865.20999998</v>
      </c>
      <c r="BH81" s="195">
        <v>315338311.29000002</v>
      </c>
      <c r="BI81" s="195">
        <v>218052371.97999999</v>
      </c>
      <c r="BJ81" s="195">
        <v>230483116.19999999</v>
      </c>
      <c r="BK81" s="195">
        <v>182126950.84</v>
      </c>
      <c r="BL81" s="195">
        <v>101831572.37</v>
      </c>
      <c r="BM81" s="195">
        <v>43843757.030000001</v>
      </c>
      <c r="BN81" s="195">
        <v>129264055.06999999</v>
      </c>
      <c r="BO81" s="195">
        <v>97938789.680000007</v>
      </c>
      <c r="BP81" s="195">
        <v>64592394.740000002</v>
      </c>
      <c r="BQ81" s="195">
        <v>28898929.140000001</v>
      </c>
      <c r="BR81" s="195">
        <v>0</v>
      </c>
      <c r="BS81" s="195">
        <v>64124081.960000001</v>
      </c>
      <c r="BT81" s="195">
        <v>25352634.260000002</v>
      </c>
      <c r="BU81" s="195">
        <v>26896127.27</v>
      </c>
      <c r="BV81" s="195">
        <v>7970356.0700000003</v>
      </c>
      <c r="BW81" s="195">
        <v>-653705.18999999994</v>
      </c>
      <c r="BX81" s="195">
        <v>0</v>
      </c>
      <c r="BY81" s="195">
        <v>0</v>
      </c>
    </row>
    <row r="82" spans="1:77" x14ac:dyDescent="0.25">
      <c r="A82" s="195" t="s">
        <v>186</v>
      </c>
      <c r="B82" s="195">
        <v>32140452321.75</v>
      </c>
      <c r="C82" s="195">
        <v>30111092864.98</v>
      </c>
      <c r="D82" s="195">
        <v>26715358102.709999</v>
      </c>
      <c r="E82" s="195">
        <v>27279539897.189999</v>
      </c>
      <c r="F82" s="195">
        <v>23962657176.700001</v>
      </c>
      <c r="G82" s="195">
        <v>21008113273.389999</v>
      </c>
      <c r="H82" s="195">
        <v>19482414100.439999</v>
      </c>
      <c r="I82" s="195">
        <v>14821586070.82</v>
      </c>
      <c r="J82" s="195">
        <v>13639692799.08</v>
      </c>
      <c r="K82" s="195">
        <v>12507779750.02</v>
      </c>
      <c r="L82" s="195">
        <v>11580205095.74</v>
      </c>
      <c r="M82" s="195">
        <v>11570972856.73</v>
      </c>
      <c r="N82" s="195">
        <v>11379878814.799999</v>
      </c>
      <c r="O82" s="195">
        <v>10959611741.67</v>
      </c>
      <c r="P82" s="195">
        <v>11060364415.65</v>
      </c>
      <c r="Q82" s="195">
        <v>10594084392.969999</v>
      </c>
      <c r="R82" s="195">
        <v>10277955393.42</v>
      </c>
      <c r="S82" s="195">
        <v>9578515210.1200008</v>
      </c>
      <c r="T82" s="195">
        <v>10433567109.120001</v>
      </c>
      <c r="U82" s="195">
        <v>9677924314.5100002</v>
      </c>
      <c r="V82" s="195">
        <v>9127320439.2399998</v>
      </c>
      <c r="W82" s="195">
        <v>8321512493.1000004</v>
      </c>
      <c r="X82" s="195">
        <v>9049030588.2999992</v>
      </c>
      <c r="Y82" s="195">
        <v>8304389812.3000002</v>
      </c>
      <c r="Z82" s="195">
        <v>7607273259.46</v>
      </c>
      <c r="AA82" s="195">
        <v>6949312721.1599998</v>
      </c>
      <c r="AB82" s="195">
        <v>7720201901.8699999</v>
      </c>
      <c r="AC82" s="195">
        <v>7267479375.1300001</v>
      </c>
      <c r="AD82" s="195">
        <v>6971525491.8900003</v>
      </c>
      <c r="AE82" s="195">
        <v>6456602719.8900003</v>
      </c>
      <c r="AF82" s="195">
        <v>6617174022.8199997</v>
      </c>
      <c r="AG82" s="195">
        <v>6146481574.54</v>
      </c>
      <c r="AH82" s="195">
        <v>5569897600.4799995</v>
      </c>
      <c r="AI82" s="195">
        <v>5175373630.4200001</v>
      </c>
      <c r="AJ82" s="195">
        <v>5341196617.0299997</v>
      </c>
      <c r="AK82" s="195">
        <v>5051236705.5500002</v>
      </c>
      <c r="AL82" s="195">
        <v>4848250345.4300003</v>
      </c>
      <c r="AM82" s="195">
        <v>4488287554.1099997</v>
      </c>
      <c r="AN82" s="195">
        <v>4177908501.96</v>
      </c>
      <c r="AO82" s="195">
        <v>4817456931.3400002</v>
      </c>
      <c r="AP82" s="195">
        <v>4477787263.29</v>
      </c>
      <c r="AQ82" s="195">
        <v>4148533020.7399998</v>
      </c>
      <c r="AR82" s="195">
        <v>3635964250.9499998</v>
      </c>
      <c r="AS82" s="195">
        <v>3924015709.2199998</v>
      </c>
      <c r="AT82" s="195">
        <v>3499729124.0900002</v>
      </c>
      <c r="AU82" s="195">
        <v>3007024908.1999998</v>
      </c>
      <c r="AV82" s="195">
        <v>2833639454.2199998</v>
      </c>
      <c r="AW82" s="195">
        <v>2477426469.6300001</v>
      </c>
      <c r="AX82" s="195">
        <v>2231356366.6500001</v>
      </c>
      <c r="AY82" s="195">
        <v>1970977370.03</v>
      </c>
      <c r="AZ82" s="195">
        <v>1956516331.6099999</v>
      </c>
      <c r="BA82" s="195">
        <v>1778435527.8699999</v>
      </c>
      <c r="BB82" s="195">
        <v>1641047797.9300001</v>
      </c>
      <c r="BC82" s="195">
        <v>1489102491</v>
      </c>
      <c r="BD82" s="195">
        <v>1447583996.9100001</v>
      </c>
      <c r="BE82" s="195">
        <v>1290940618.9300001</v>
      </c>
      <c r="BF82" s="195">
        <v>1202220566.6300001</v>
      </c>
      <c r="BG82" s="195">
        <v>1102636808.8699999</v>
      </c>
      <c r="BH82" s="195">
        <v>1061442254.95</v>
      </c>
      <c r="BI82" s="195">
        <v>964156315.63999999</v>
      </c>
      <c r="BJ82" s="195">
        <v>918556647.08000004</v>
      </c>
      <c r="BK82" s="195">
        <v>870142014.30999994</v>
      </c>
      <c r="BL82" s="195">
        <v>789846635.84000003</v>
      </c>
      <c r="BM82" s="195">
        <v>808658820.5</v>
      </c>
      <c r="BN82" s="195">
        <v>778165133.73000002</v>
      </c>
      <c r="BO82" s="195">
        <v>746839868.34000003</v>
      </c>
      <c r="BP82" s="195">
        <v>689491725.37</v>
      </c>
      <c r="BQ82" s="195">
        <v>653798259.76999998</v>
      </c>
      <c r="BR82" s="195">
        <v>687705800</v>
      </c>
      <c r="BS82" s="195">
        <v>663841314.28999996</v>
      </c>
      <c r="BT82" s="195">
        <v>601069866.59000003</v>
      </c>
      <c r="BU82" s="195">
        <v>155202681.5</v>
      </c>
      <c r="BV82" s="195">
        <v>128306554.23</v>
      </c>
      <c r="BW82" s="195">
        <v>122396833.72</v>
      </c>
      <c r="BX82" s="195">
        <v>70008325.519999996</v>
      </c>
      <c r="BY82" s="195">
        <v>0</v>
      </c>
    </row>
    <row r="83" spans="1:77" x14ac:dyDescent="0.25">
      <c r="A83" s="195" t="s">
        <v>187</v>
      </c>
      <c r="B83" s="195">
        <v>5148879594.0699997</v>
      </c>
      <c r="C83" s="195">
        <v>4468263810.54</v>
      </c>
      <c r="D83" s="195">
        <v>4062772082.1999998</v>
      </c>
      <c r="E83" s="195">
        <v>3474586661.1799998</v>
      </c>
      <c r="F83" s="195">
        <v>2724516917.6300001</v>
      </c>
      <c r="G83" s="195">
        <v>3878138084.1999998</v>
      </c>
      <c r="H83" s="195">
        <v>3898118847.6700001</v>
      </c>
      <c r="I83" s="195">
        <v>3512350984.8600001</v>
      </c>
      <c r="J83" s="195">
        <v>3157116747.29</v>
      </c>
      <c r="K83" s="195">
        <v>3066247266.1700001</v>
      </c>
      <c r="L83" s="195">
        <v>3353401798.6300001</v>
      </c>
      <c r="M83" s="195">
        <v>3252261539.0500002</v>
      </c>
      <c r="N83" s="195">
        <v>3093287005.2800002</v>
      </c>
      <c r="O83" s="195">
        <v>2930980588.9299998</v>
      </c>
      <c r="P83" s="195">
        <v>2795749831.5100002</v>
      </c>
      <c r="Q83" s="195">
        <v>2691591279.8099999</v>
      </c>
      <c r="R83" s="195">
        <v>2505240926.1199999</v>
      </c>
      <c r="S83" s="195">
        <v>2113851658.9200001</v>
      </c>
      <c r="T83" s="195">
        <v>2274511474.3099999</v>
      </c>
      <c r="U83" s="195">
        <v>2103031138.27</v>
      </c>
      <c r="V83" s="195">
        <v>1915723723.76</v>
      </c>
      <c r="W83" s="195">
        <v>1668175371.1900001</v>
      </c>
      <c r="X83" s="195">
        <v>1541876980.1400001</v>
      </c>
      <c r="Y83" s="195">
        <v>1538420240.76</v>
      </c>
      <c r="Z83" s="195">
        <v>1318162868.25</v>
      </c>
      <c r="AA83" s="195">
        <v>1137541762.02</v>
      </c>
      <c r="AB83" s="195">
        <v>1015050439.6799999</v>
      </c>
      <c r="AC83" s="195">
        <v>948144749.34000003</v>
      </c>
      <c r="AD83" s="195">
        <v>1270353304.5</v>
      </c>
      <c r="AE83" s="195">
        <v>1109324386.9300001</v>
      </c>
      <c r="AF83" s="195">
        <v>1126998809.25</v>
      </c>
      <c r="AG83" s="195">
        <v>1008737710.48</v>
      </c>
      <c r="AH83" s="195">
        <v>737384167.88999999</v>
      </c>
      <c r="AI83" s="195">
        <v>697846353.63</v>
      </c>
      <c r="AJ83" s="195">
        <v>804966272.05999994</v>
      </c>
      <c r="AK83" s="195">
        <v>773881633.17999995</v>
      </c>
      <c r="AL83" s="195">
        <v>728282702.60000002</v>
      </c>
      <c r="AM83" s="195">
        <v>649261921.52999997</v>
      </c>
      <c r="AN83" s="195">
        <v>541200964.52999997</v>
      </c>
      <c r="AO83" s="195">
        <v>631957305.69000006</v>
      </c>
      <c r="AP83" s="195">
        <v>569251664.46000004</v>
      </c>
      <c r="AQ83" s="195">
        <v>515681053.38999999</v>
      </c>
      <c r="AR83" s="195">
        <v>385986526.14999998</v>
      </c>
      <c r="AS83" s="195">
        <v>514461139.75</v>
      </c>
      <c r="AT83" s="195">
        <v>443556823.94</v>
      </c>
      <c r="AU83" s="195">
        <v>394170221.25</v>
      </c>
      <c r="AV83" s="195">
        <v>422515795.08999997</v>
      </c>
      <c r="AW83" s="195">
        <v>342337783.56</v>
      </c>
      <c r="AX83" s="195">
        <v>318517901.66000003</v>
      </c>
      <c r="AY83" s="195">
        <v>274763019.31999999</v>
      </c>
      <c r="AZ83" s="195">
        <v>266893856.94</v>
      </c>
      <c r="BA83" s="195">
        <v>76967924.849999994</v>
      </c>
      <c r="BB83" s="195">
        <v>74206073.739999995</v>
      </c>
      <c r="BC83" s="195">
        <v>74096419.620000005</v>
      </c>
      <c r="BD83" s="195">
        <v>73864189.609999999</v>
      </c>
      <c r="BE83" s="195">
        <v>73828709.079999998</v>
      </c>
      <c r="BF83" s="195">
        <v>73773300.180000007</v>
      </c>
      <c r="BG83" s="195">
        <v>73740285.659999996</v>
      </c>
      <c r="BH83" s="195">
        <v>73734515.349999994</v>
      </c>
      <c r="BI83" s="195">
        <v>73742160.650000006</v>
      </c>
      <c r="BJ83" s="195">
        <v>73750000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row>
    <row r="84" spans="1:77" x14ac:dyDescent="0.25">
      <c r="A84" s="195" t="s">
        <v>188</v>
      </c>
      <c r="B84" s="195">
        <v>37289331915.82</v>
      </c>
      <c r="C84" s="195">
        <v>34579356675.519997</v>
      </c>
      <c r="D84" s="195">
        <v>30778130184.91</v>
      </c>
      <c r="E84" s="195">
        <v>30754126558.369999</v>
      </c>
      <c r="F84" s="195">
        <v>26687174094.330002</v>
      </c>
      <c r="G84" s="195">
        <v>24886251357.59</v>
      </c>
      <c r="H84" s="195">
        <v>23380532948.110001</v>
      </c>
      <c r="I84" s="195">
        <v>18333937055.68</v>
      </c>
      <c r="J84" s="195">
        <v>16796809546.370001</v>
      </c>
      <c r="K84" s="195">
        <v>15574027016.190001</v>
      </c>
      <c r="L84" s="195">
        <v>14933606894.370001</v>
      </c>
      <c r="M84" s="195">
        <v>14823234395.780001</v>
      </c>
      <c r="N84" s="195">
        <v>14473165820.08</v>
      </c>
      <c r="O84" s="195">
        <v>13890592330.6</v>
      </c>
      <c r="P84" s="195">
        <v>13856114247.16</v>
      </c>
      <c r="Q84" s="195">
        <v>13285675672.780001</v>
      </c>
      <c r="R84" s="195">
        <v>12783196319.540001</v>
      </c>
      <c r="S84" s="195">
        <v>11692366869.040001</v>
      </c>
      <c r="T84" s="195">
        <v>12708078583.43</v>
      </c>
      <c r="U84" s="195">
        <v>11780955452.780001</v>
      </c>
      <c r="V84" s="195">
        <v>11043044163</v>
      </c>
      <c r="W84" s="195">
        <v>9989687864.2900009</v>
      </c>
      <c r="X84" s="195">
        <v>10590907568.440001</v>
      </c>
      <c r="Y84" s="195">
        <v>9842810053.0599995</v>
      </c>
      <c r="Z84" s="195">
        <v>8925436127.7099991</v>
      </c>
      <c r="AA84" s="195">
        <v>8086854483.1800003</v>
      </c>
      <c r="AB84" s="195">
        <v>8735252341.5499992</v>
      </c>
      <c r="AC84" s="195">
        <v>8215624124.4700003</v>
      </c>
      <c r="AD84" s="195">
        <v>8241878796.3900003</v>
      </c>
      <c r="AE84" s="195">
        <v>7565927106.8199997</v>
      </c>
      <c r="AF84" s="195">
        <v>7744172832.0699997</v>
      </c>
      <c r="AG84" s="195">
        <v>7155219285.0200005</v>
      </c>
      <c r="AH84" s="195">
        <v>6307281768.3699999</v>
      </c>
      <c r="AI84" s="195">
        <v>5873219984.0500002</v>
      </c>
      <c r="AJ84" s="195">
        <v>6146162889.0900002</v>
      </c>
      <c r="AK84" s="195">
        <v>5825118338.7299995</v>
      </c>
      <c r="AL84" s="195">
        <v>5576533048.0299997</v>
      </c>
      <c r="AM84" s="195">
        <v>5137549475.6400003</v>
      </c>
      <c r="AN84" s="195">
        <v>4719109466.4899998</v>
      </c>
      <c r="AO84" s="195">
        <v>5449414237.0299997</v>
      </c>
      <c r="AP84" s="195">
        <v>5047038927.75</v>
      </c>
      <c r="AQ84" s="195">
        <v>4664214074.1300001</v>
      </c>
      <c r="AR84" s="195">
        <v>4021950777.0999999</v>
      </c>
      <c r="AS84" s="195">
        <v>4438476848.9700003</v>
      </c>
      <c r="AT84" s="195">
        <v>3943285948.0300002</v>
      </c>
      <c r="AU84" s="195">
        <v>3401195129.4499998</v>
      </c>
      <c r="AV84" s="195">
        <v>3256155249.3099999</v>
      </c>
      <c r="AW84" s="195">
        <v>2819764253.1900001</v>
      </c>
      <c r="AX84" s="195">
        <v>2549874268.3099999</v>
      </c>
      <c r="AY84" s="195">
        <v>2245740389.3499999</v>
      </c>
      <c r="AZ84" s="195">
        <v>2223410188.5500002</v>
      </c>
      <c r="BA84" s="195">
        <v>1855403452.72</v>
      </c>
      <c r="BB84" s="195">
        <v>1715253871.6700001</v>
      </c>
      <c r="BC84" s="195">
        <v>1563198910.6199999</v>
      </c>
      <c r="BD84" s="195">
        <v>1521448186.52</v>
      </c>
      <c r="BE84" s="195">
        <v>1364769328.01</v>
      </c>
      <c r="BF84" s="195">
        <v>1275993866.8099999</v>
      </c>
      <c r="BG84" s="195">
        <v>1176377094.53</v>
      </c>
      <c r="BH84" s="195">
        <v>1135176770.3</v>
      </c>
      <c r="BI84" s="195">
        <v>1037898476.29</v>
      </c>
      <c r="BJ84" s="195">
        <v>992306647.08000004</v>
      </c>
      <c r="BK84" s="195">
        <v>870142014.30999994</v>
      </c>
      <c r="BL84" s="195">
        <v>789846635.84000003</v>
      </c>
      <c r="BM84" s="195">
        <v>808658820.5</v>
      </c>
      <c r="BN84" s="195">
        <v>778165133.73000002</v>
      </c>
      <c r="BO84" s="195">
        <v>746839868.34000003</v>
      </c>
      <c r="BP84" s="195">
        <v>689491725.37</v>
      </c>
      <c r="BQ84" s="195">
        <v>653798259.76999998</v>
      </c>
      <c r="BR84" s="195">
        <v>0</v>
      </c>
      <c r="BS84" s="195">
        <v>663841314.28999996</v>
      </c>
      <c r="BT84" s="195">
        <v>601069866.59000003</v>
      </c>
      <c r="BU84" s="195">
        <v>155202681.5</v>
      </c>
      <c r="BV84" s="195">
        <v>128306554.23</v>
      </c>
      <c r="BW84" s="195">
        <v>122396833.72</v>
      </c>
      <c r="BX84" s="195">
        <v>70008325.519999996</v>
      </c>
      <c r="BY84" s="195">
        <v>0</v>
      </c>
    </row>
    <row r="85" spans="1:77" x14ac:dyDescent="0.25">
      <c r="A85" s="195" t="s">
        <v>189</v>
      </c>
      <c r="B85" s="195">
        <v>71993552677.850006</v>
      </c>
      <c r="C85" s="195">
        <v>68092765754.540001</v>
      </c>
      <c r="D85" s="195">
        <v>66423338186.790001</v>
      </c>
      <c r="E85" s="195">
        <v>65827732248.239998</v>
      </c>
      <c r="F85" s="195">
        <v>62752997595.239998</v>
      </c>
      <c r="G85" s="195">
        <v>59988083047.199997</v>
      </c>
      <c r="H85" s="195">
        <v>56918093537.160004</v>
      </c>
      <c r="I85" s="195">
        <v>50765015455.160004</v>
      </c>
      <c r="J85" s="195">
        <v>51585065616.059998</v>
      </c>
      <c r="K85" s="195">
        <v>50340671504.57</v>
      </c>
      <c r="L85" s="195">
        <v>49019456577.57</v>
      </c>
      <c r="M85" s="195">
        <v>47804417081.919998</v>
      </c>
      <c r="N85" s="195">
        <v>46439200695.82</v>
      </c>
      <c r="O85" s="195">
        <v>44326299392.940002</v>
      </c>
      <c r="P85" s="195">
        <v>43669161528.220001</v>
      </c>
      <c r="Q85" s="195">
        <v>41592085628.730003</v>
      </c>
      <c r="R85" s="195">
        <v>38362779707.529999</v>
      </c>
      <c r="S85" s="195">
        <v>36000005877.360001</v>
      </c>
      <c r="T85" s="195">
        <v>34955774116.879997</v>
      </c>
      <c r="U85" s="195">
        <v>31143678760.299999</v>
      </c>
      <c r="V85" s="195">
        <v>28405157567.470001</v>
      </c>
      <c r="W85" s="195">
        <v>26505584538.220001</v>
      </c>
      <c r="X85" s="195">
        <v>25130213129.75</v>
      </c>
      <c r="Y85" s="195">
        <v>22541461325.060001</v>
      </c>
      <c r="Z85" s="195">
        <v>20539985011.41</v>
      </c>
      <c r="AA85" s="195">
        <v>18612586229.810001</v>
      </c>
      <c r="AB85" s="195">
        <v>18213726906.66</v>
      </c>
      <c r="AC85" s="195">
        <v>17418683319.139999</v>
      </c>
      <c r="AD85" s="195">
        <v>15505052534.93</v>
      </c>
      <c r="AE85" s="195">
        <v>15237521126.450001</v>
      </c>
      <c r="AF85" s="195">
        <v>15044073659.9</v>
      </c>
      <c r="AG85" s="195">
        <v>12942922111.9</v>
      </c>
      <c r="AH85" s="195">
        <v>11331451617.18</v>
      </c>
      <c r="AI85" s="195">
        <v>10344933364.219999</v>
      </c>
      <c r="AJ85" s="195">
        <v>10203132493.4</v>
      </c>
      <c r="AK85" s="195">
        <v>9661178604.1399994</v>
      </c>
      <c r="AL85" s="195">
        <v>9993483481.0499992</v>
      </c>
      <c r="AM85" s="195">
        <v>9371068874.2199993</v>
      </c>
      <c r="AN85" s="195">
        <v>8976693280.75</v>
      </c>
      <c r="AO85" s="195">
        <v>7862722671.7700005</v>
      </c>
      <c r="AP85" s="195">
        <v>7699814525.4200001</v>
      </c>
      <c r="AQ85" s="195">
        <v>7640862108.1999998</v>
      </c>
      <c r="AR85" s="195">
        <v>8135859504</v>
      </c>
      <c r="AS85" s="195">
        <v>7594369294.1800003</v>
      </c>
      <c r="AT85" s="195">
        <v>7139837825.3500004</v>
      </c>
      <c r="AU85" s="195">
        <v>6462545305.8599997</v>
      </c>
      <c r="AV85" s="195">
        <v>5821466823.1300001</v>
      </c>
      <c r="AW85" s="195">
        <v>5171026194.5299997</v>
      </c>
      <c r="AX85" s="195">
        <v>5228814102.0299997</v>
      </c>
      <c r="AY85" s="195">
        <v>4962427025.71</v>
      </c>
      <c r="AZ85" s="195">
        <v>5001365999.4200001</v>
      </c>
      <c r="BA85" s="195">
        <v>4647694308.1300001</v>
      </c>
      <c r="BB85" s="195">
        <v>4431109502.1700001</v>
      </c>
      <c r="BC85" s="195">
        <v>4215193997.6500001</v>
      </c>
      <c r="BD85" s="195">
        <v>3776474619.5300002</v>
      </c>
      <c r="BE85" s="195">
        <v>3112384035.3099999</v>
      </c>
      <c r="BF85" s="195">
        <v>2557264718.9099998</v>
      </c>
      <c r="BG85" s="195">
        <v>2235651261.1799998</v>
      </c>
      <c r="BH85" s="195">
        <v>1645447639.72</v>
      </c>
      <c r="BI85" s="195">
        <v>1438870375.8499999</v>
      </c>
      <c r="BJ85" s="195">
        <v>1273700545.1199999</v>
      </c>
      <c r="BK85" s="195">
        <v>1067044970.8200001</v>
      </c>
      <c r="BL85" s="195">
        <v>1072573906.8200001</v>
      </c>
      <c r="BM85" s="195">
        <v>928133136.02999997</v>
      </c>
      <c r="BN85" s="195">
        <v>873736806.65999997</v>
      </c>
      <c r="BO85" s="195">
        <v>771371178.34000003</v>
      </c>
      <c r="BP85" s="195">
        <v>832055604.83000004</v>
      </c>
      <c r="BQ85" s="195">
        <v>726705994.50999999</v>
      </c>
      <c r="BR85" s="195">
        <v>782782500</v>
      </c>
      <c r="BS85" s="195">
        <v>728342844.66999996</v>
      </c>
      <c r="BT85" s="195">
        <v>757607653.78999996</v>
      </c>
      <c r="BU85" s="195">
        <v>320937823.5</v>
      </c>
      <c r="BV85" s="195">
        <v>258737758.28</v>
      </c>
      <c r="BW85" s="195">
        <v>197335209.09</v>
      </c>
      <c r="BX85" s="195">
        <v>163825759.52000001</v>
      </c>
      <c r="BY85" s="195">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Y31"/>
  <sheetViews>
    <sheetView workbookViewId="0">
      <selection activeCell="A2" sqref="A2"/>
    </sheetView>
  </sheetViews>
  <sheetFormatPr defaultRowHeight="14.4" x14ac:dyDescent="0.25"/>
  <cols>
    <col min="1" max="1" width="39.109375" style="195" bestFit="1" customWidth="1"/>
    <col min="2" max="3" width="13.88671875" style="195" hidden="1" customWidth="1"/>
    <col min="4"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2.77734375" style="195" hidden="1" customWidth="1"/>
    <col min="17" max="17" width="12.77734375" style="195" bestFit="1" customWidth="1"/>
    <col min="18" max="20" width="12.77734375" style="195" hidden="1" customWidth="1"/>
    <col min="21" max="21" width="13.88671875" style="195" bestFit="1" customWidth="1"/>
    <col min="22" max="24" width="12.77734375" style="195" hidden="1" customWidth="1"/>
    <col min="25" max="25" width="13.88671875" style="195" bestFit="1" customWidth="1"/>
    <col min="26" max="26" width="13.88671875" style="195" hidden="1" customWidth="1"/>
    <col min="27" max="28" width="12.77734375" style="195" hidden="1" customWidth="1"/>
    <col min="29" max="29" width="13.88671875" style="195" bestFit="1" customWidth="1"/>
    <col min="30" max="31" width="13.88671875" style="195" hidden="1" customWidth="1"/>
    <col min="32" max="32" width="12.77734375" style="195" hidden="1" customWidth="1"/>
    <col min="33" max="33" width="13.88671875" style="195" bestFit="1" customWidth="1"/>
    <col min="34" max="35" width="13.88671875" style="195" hidden="1" customWidth="1"/>
    <col min="36" max="36" width="12.77734375" style="195" hidden="1" customWidth="1"/>
    <col min="37" max="37" width="12.77734375" style="195" bestFit="1" customWidth="1"/>
    <col min="38" max="40" width="12.77734375" style="195" hidden="1" customWidth="1"/>
    <col min="41" max="41" width="12.77734375" style="195" bestFit="1" customWidth="1"/>
    <col min="42" max="42" width="12.77734375" style="195" hidden="1" customWidth="1"/>
    <col min="43" max="44" width="13.886718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2.777343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190</v>
      </c>
      <c r="B3" s="195">
        <v>45923234743.599998</v>
      </c>
      <c r="C3" s="195">
        <v>30054174638.75</v>
      </c>
      <c r="D3" s="195">
        <v>13601913514.620001</v>
      </c>
      <c r="E3" s="195">
        <v>53123173258.809998</v>
      </c>
      <c r="F3" s="195">
        <v>38963503949.470001</v>
      </c>
      <c r="G3" s="195">
        <v>24430086476.77</v>
      </c>
      <c r="H3" s="195">
        <v>11007048624.780001</v>
      </c>
      <c r="I3" s="195">
        <v>30099861530.439999</v>
      </c>
      <c r="J3" s="195">
        <v>20932181906.599998</v>
      </c>
      <c r="K3" s="195">
        <v>12475770000.66</v>
      </c>
      <c r="L3" s="195">
        <v>5299611141.0799999</v>
      </c>
      <c r="M3" s="195">
        <v>19492382889.529999</v>
      </c>
      <c r="N3" s="195">
        <v>14788324545.110001</v>
      </c>
      <c r="O3" s="195">
        <v>10042263367.92</v>
      </c>
      <c r="P3" s="195">
        <v>4535504042.1400003</v>
      </c>
      <c r="Q3" s="195">
        <v>22088368488.740002</v>
      </c>
      <c r="R3" s="195">
        <v>17760200636.82</v>
      </c>
      <c r="S3" s="195">
        <v>11664821009.41</v>
      </c>
      <c r="T3" s="195">
        <v>5136453372.2299995</v>
      </c>
      <c r="U3" s="195">
        <v>20237973217.990002</v>
      </c>
      <c r="V3" s="195">
        <v>15374222330.959999</v>
      </c>
      <c r="W3" s="195">
        <v>9975902570.6299992</v>
      </c>
      <c r="X3" s="195">
        <v>4776338536.5900002</v>
      </c>
      <c r="Y3" s="195">
        <v>15942126516.790001</v>
      </c>
      <c r="Z3" s="195">
        <v>11420363881.030001</v>
      </c>
      <c r="AA3" s="195">
        <v>7160169875.2299995</v>
      </c>
      <c r="AB3" s="195">
        <v>3281137342.6300001</v>
      </c>
      <c r="AC3" s="195">
        <v>13662307339.379999</v>
      </c>
      <c r="AD3" s="195">
        <v>10509011428.01</v>
      </c>
      <c r="AE3" s="195">
        <v>6878445645.8699999</v>
      </c>
      <c r="AF3" s="195">
        <v>3183673615.0500002</v>
      </c>
      <c r="AG3" s="195">
        <v>9429776859.9500008</v>
      </c>
      <c r="AH3" s="195">
        <v>6705726493.8800001</v>
      </c>
      <c r="AI3" s="195">
        <v>4380333890.5100002</v>
      </c>
      <c r="AJ3" s="195">
        <v>2049227801.8900001</v>
      </c>
      <c r="AK3" s="195">
        <v>6492919698.9300003</v>
      </c>
      <c r="AL3" s="195">
        <v>4654460556.0100002</v>
      </c>
      <c r="AM3" s="195">
        <v>2749958976.3099999</v>
      </c>
      <c r="AN3" s="195">
        <v>1211789500.1500001</v>
      </c>
      <c r="AO3" s="195">
        <v>7704393026.1300001</v>
      </c>
      <c r="AP3" s="195">
        <v>6172540592.6899996</v>
      </c>
      <c r="AQ3" s="195">
        <v>4167736314.3200002</v>
      </c>
      <c r="AR3" s="195">
        <v>1965085110.6700001</v>
      </c>
      <c r="AS3" s="195">
        <v>7803583625.5100002</v>
      </c>
      <c r="AT3" s="195">
        <v>5865382373.6400003</v>
      </c>
      <c r="AU3" s="195">
        <v>3528589761.7600002</v>
      </c>
      <c r="AV3" s="195">
        <v>1727878248.71</v>
      </c>
      <c r="AW3" s="195">
        <v>4907452080.1700001</v>
      </c>
      <c r="AX3" s="195">
        <v>3544767170.25</v>
      </c>
      <c r="AY3" s="195">
        <v>2099665559.29</v>
      </c>
      <c r="AZ3" s="195">
        <v>1053321162.3099999</v>
      </c>
      <c r="BA3" s="195">
        <v>3313328564.54</v>
      </c>
      <c r="BB3" s="195">
        <v>2544222631.0799999</v>
      </c>
      <c r="BC3" s="195">
        <v>1615930766.0699999</v>
      </c>
      <c r="BD3" s="195">
        <v>795135266.36000001</v>
      </c>
      <c r="BE3" s="195">
        <v>2106015417.76</v>
      </c>
      <c r="BF3" s="195">
        <v>1697207737</v>
      </c>
      <c r="BG3" s="195">
        <v>1055474228.74</v>
      </c>
      <c r="BH3" s="195">
        <v>501736960.55000001</v>
      </c>
      <c r="BI3" s="195">
        <v>1343181090.8900001</v>
      </c>
      <c r="BJ3" s="195">
        <v>1010831052.88</v>
      </c>
      <c r="BK3" s="195">
        <v>728932226.85000002</v>
      </c>
      <c r="BL3" s="195">
        <v>364466439.76999998</v>
      </c>
      <c r="BM3" s="195">
        <v>881895635.89999998</v>
      </c>
      <c r="BN3" s="195">
        <v>731742886.64999998</v>
      </c>
      <c r="BO3" s="195">
        <v>439663277.50999999</v>
      </c>
      <c r="BP3" s="195">
        <v>219205439.69</v>
      </c>
      <c r="BQ3" s="195">
        <v>571647538.66999996</v>
      </c>
      <c r="BR3" s="195">
        <v>478079600</v>
      </c>
      <c r="BS3" s="195">
        <v>290341398.47000003</v>
      </c>
      <c r="BT3" s="195">
        <v>345710195.74000001</v>
      </c>
      <c r="BU3" s="195">
        <v>161569570.75999999</v>
      </c>
      <c r="BV3" s="195">
        <v>210843458.52000001</v>
      </c>
      <c r="BW3" s="195">
        <v>181524246.47</v>
      </c>
      <c r="BX3" s="195">
        <v>140737571.91999999</v>
      </c>
      <c r="BY3" s="195">
        <v>0</v>
      </c>
    </row>
    <row r="4" spans="1:77" x14ac:dyDescent="0.25">
      <c r="A4" s="195" t="s">
        <v>191</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row>
    <row r="5" spans="1:77" x14ac:dyDescent="0.25">
      <c r="A5" s="195" t="s">
        <v>192</v>
      </c>
      <c r="B5" s="195">
        <v>33302077287.779999</v>
      </c>
      <c r="C5" s="195">
        <v>20635477735.110001</v>
      </c>
      <c r="D5" s="195">
        <v>9021069484.4200001</v>
      </c>
      <c r="E5" s="195">
        <v>37192905993.040001</v>
      </c>
      <c r="F5" s="195">
        <v>27445302165.080002</v>
      </c>
      <c r="G5" s="195">
        <v>17208235184.189999</v>
      </c>
      <c r="H5" s="195">
        <v>7731760490.2799997</v>
      </c>
      <c r="I5" s="195">
        <v>24502087346.650002</v>
      </c>
      <c r="J5" s="195">
        <v>17290274535.459999</v>
      </c>
      <c r="K5" s="195">
        <v>10527520788.209999</v>
      </c>
      <c r="L5" s="195">
        <v>4644129827.8199997</v>
      </c>
      <c r="M5" s="195">
        <v>16677290643.950001</v>
      </c>
      <c r="N5" s="195">
        <v>12484046927</v>
      </c>
      <c r="O5" s="195">
        <v>8210813570.9700003</v>
      </c>
      <c r="P5" s="195">
        <v>3766169770.1100001</v>
      </c>
      <c r="Q5" s="195">
        <v>17945264655.880001</v>
      </c>
      <c r="R5" s="195">
        <v>14356618412.139999</v>
      </c>
      <c r="S5" s="195">
        <v>9413863480.2199993</v>
      </c>
      <c r="T5" s="195">
        <v>4032227339.5999999</v>
      </c>
      <c r="U5" s="195">
        <v>15976560933.08</v>
      </c>
      <c r="V5" s="195">
        <v>11923590769.9</v>
      </c>
      <c r="W5" s="195">
        <v>7652206525.0299997</v>
      </c>
      <c r="X5" s="195">
        <v>3662369790.7399998</v>
      </c>
      <c r="Y5" s="195">
        <v>12335226970.440001</v>
      </c>
      <c r="Z5" s="195">
        <v>8983701009.1299992</v>
      </c>
      <c r="AA5" s="195">
        <v>5721462397.29</v>
      </c>
      <c r="AB5" s="195">
        <v>2622401638.2800002</v>
      </c>
      <c r="AC5" s="195">
        <v>10932291316.549999</v>
      </c>
      <c r="AD5" s="195">
        <v>8192119490.5799999</v>
      </c>
      <c r="AE5" s="195">
        <v>5377044272.2600002</v>
      </c>
      <c r="AF5" s="195">
        <v>2480538047.3499999</v>
      </c>
      <c r="AG5" s="195">
        <v>7945748396.9700003</v>
      </c>
      <c r="AH5" s="195">
        <v>5632635300.5600004</v>
      </c>
      <c r="AI5" s="195">
        <v>3675030429.8200002</v>
      </c>
      <c r="AJ5" s="195">
        <v>1741737598.8699999</v>
      </c>
      <c r="AK5" s="195">
        <v>5382384582.4399996</v>
      </c>
      <c r="AL5" s="195">
        <v>3828376239.8899999</v>
      </c>
      <c r="AM5" s="195">
        <v>2314343066.9400001</v>
      </c>
      <c r="AN5" s="195">
        <v>1102427070.28</v>
      </c>
      <c r="AO5" s="195">
        <v>6055173197</v>
      </c>
      <c r="AP5" s="195">
        <v>4629934637.7700005</v>
      </c>
      <c r="AQ5" s="195">
        <v>2942534891.8699999</v>
      </c>
      <c r="AR5" s="195">
        <v>1402761873.9400001</v>
      </c>
      <c r="AS5" s="195">
        <v>5586661317.04</v>
      </c>
      <c r="AT5" s="195">
        <v>4211163801</v>
      </c>
      <c r="AU5" s="195">
        <v>2573148032.4699998</v>
      </c>
      <c r="AV5" s="195">
        <v>1264031095.8099999</v>
      </c>
      <c r="AW5" s="195">
        <v>3628569420.5900002</v>
      </c>
      <c r="AX5" s="195">
        <v>2611814422.46</v>
      </c>
      <c r="AY5" s="195">
        <v>1596658021.9300001</v>
      </c>
      <c r="AZ5" s="195">
        <v>785112815.88</v>
      </c>
      <c r="BA5" s="195">
        <v>2408274012.1500001</v>
      </c>
      <c r="BB5" s="195">
        <v>1825649624.7</v>
      </c>
      <c r="BC5" s="195">
        <v>1122568998.5599999</v>
      </c>
      <c r="BD5" s="195">
        <v>561231579.60000002</v>
      </c>
      <c r="BE5" s="195">
        <v>1551663630.72</v>
      </c>
      <c r="BF5" s="195">
        <v>1203624003.24</v>
      </c>
      <c r="BG5" s="195">
        <v>710420358.55999994</v>
      </c>
      <c r="BH5" s="195">
        <v>357143677.22000003</v>
      </c>
      <c r="BI5" s="195">
        <v>1041320613.6</v>
      </c>
      <c r="BJ5" s="195">
        <v>740105690.05999994</v>
      </c>
      <c r="BK5" s="195">
        <v>526253745.56</v>
      </c>
      <c r="BL5" s="195">
        <v>278677450.95999998</v>
      </c>
      <c r="BM5" s="195">
        <v>690865404.11000001</v>
      </c>
      <c r="BN5" s="195">
        <v>572387683.12</v>
      </c>
      <c r="BO5" s="195">
        <v>328238799.06999999</v>
      </c>
      <c r="BP5" s="195">
        <v>166148333.38999999</v>
      </c>
      <c r="BQ5" s="195">
        <v>450976770.73000002</v>
      </c>
      <c r="BR5" s="195">
        <v>0</v>
      </c>
      <c r="BS5" s="195">
        <v>213904837.16999999</v>
      </c>
      <c r="BT5" s="195">
        <v>282261228.14999998</v>
      </c>
      <c r="BU5" s="195">
        <v>121404344.81</v>
      </c>
      <c r="BV5" s="195">
        <v>177182601.16999999</v>
      </c>
      <c r="BW5" s="195">
        <v>157099612.62</v>
      </c>
      <c r="BX5" s="195">
        <v>123183471.83</v>
      </c>
      <c r="BY5" s="195">
        <v>0</v>
      </c>
    </row>
    <row r="6" spans="1:77" x14ac:dyDescent="0.25">
      <c r="A6" s="195" t="s">
        <v>193</v>
      </c>
      <c r="B6" s="195">
        <v>29014011247.049999</v>
      </c>
      <c r="C6" s="195">
        <v>17995540445.200001</v>
      </c>
      <c r="D6" s="195">
        <v>7749050838.6099997</v>
      </c>
      <c r="E6" s="195">
        <v>32033253462.200001</v>
      </c>
      <c r="F6" s="195">
        <v>23762343011.110001</v>
      </c>
      <c r="G6" s="195">
        <v>14946177503.389999</v>
      </c>
      <c r="H6" s="195">
        <v>6688903404.2399998</v>
      </c>
      <c r="I6" s="195">
        <v>20744809250.07</v>
      </c>
      <c r="J6" s="195">
        <v>14628719989.24</v>
      </c>
      <c r="K6" s="195">
        <v>8851952029.6200008</v>
      </c>
      <c r="L6" s="195">
        <v>3868973210.0100002</v>
      </c>
      <c r="M6" s="195">
        <v>13619965426.6</v>
      </c>
      <c r="N6" s="195">
        <v>10094559402.790001</v>
      </c>
      <c r="O6" s="195">
        <v>6718028765.5799999</v>
      </c>
      <c r="P6" s="195">
        <v>3154336266.1700001</v>
      </c>
      <c r="Q6" s="195">
        <v>15269639735.889999</v>
      </c>
      <c r="R6" s="195">
        <v>12406038868.049999</v>
      </c>
      <c r="S6" s="195">
        <v>8123296494.29</v>
      </c>
      <c r="T6" s="195">
        <v>3554897748.1999998</v>
      </c>
      <c r="U6" s="195">
        <v>13582949179.870001</v>
      </c>
      <c r="V6" s="195">
        <v>10039384410.16</v>
      </c>
      <c r="W6" s="195">
        <v>6429177035.0299997</v>
      </c>
      <c r="X6" s="195">
        <v>3111699665.1199999</v>
      </c>
      <c r="Y6" s="195">
        <v>10381869493.6</v>
      </c>
      <c r="Z6" s="195">
        <v>7545910596.1899996</v>
      </c>
      <c r="AA6" s="195">
        <v>4813978177.7700005</v>
      </c>
      <c r="AB6" s="195">
        <v>2216024656.5700002</v>
      </c>
      <c r="AC6" s="195">
        <v>9488664821.2399998</v>
      </c>
      <c r="AD6" s="195">
        <v>7067162108.7799997</v>
      </c>
      <c r="AE6" s="195">
        <v>4637940337.5500002</v>
      </c>
      <c r="AF6" s="195">
        <v>2131293503.98</v>
      </c>
      <c r="AG6" s="195">
        <v>7041509863.6999998</v>
      </c>
      <c r="AH6" s="195">
        <v>5021591295.8599997</v>
      </c>
      <c r="AI6" s="195">
        <v>3243051207.7399998</v>
      </c>
      <c r="AJ6" s="195">
        <v>1557274955.4300001</v>
      </c>
      <c r="AK6" s="195">
        <v>4606765873.4099998</v>
      </c>
      <c r="AL6" s="195">
        <v>3253577491.3000002</v>
      </c>
      <c r="AM6" s="195">
        <v>1966108249.5599999</v>
      </c>
      <c r="AN6" s="195">
        <v>920678918.63</v>
      </c>
      <c r="AO6" s="195">
        <v>5294196775.4300003</v>
      </c>
      <c r="AP6" s="195">
        <v>4046162569.9699998</v>
      </c>
      <c r="AQ6" s="195">
        <v>2582073570.1300001</v>
      </c>
      <c r="AR6" s="195">
        <v>1227427771.4100001</v>
      </c>
      <c r="AS6" s="195">
        <v>4651703918.1899996</v>
      </c>
      <c r="AT6" s="195">
        <v>3578426888.8699999</v>
      </c>
      <c r="AU6" s="195">
        <v>2209440549.4899998</v>
      </c>
      <c r="AV6" s="195">
        <v>1087781048.79</v>
      </c>
      <c r="AW6" s="195">
        <v>3139049523.0500002</v>
      </c>
      <c r="AX6" s="195">
        <v>2252345297.48</v>
      </c>
      <c r="AY6" s="195">
        <v>1400629182.1400001</v>
      </c>
      <c r="AZ6" s="195">
        <v>690278011.37</v>
      </c>
      <c r="BA6" s="195">
        <v>2071239585.1900001</v>
      </c>
      <c r="BB6" s="195">
        <v>1569034978.9100001</v>
      </c>
      <c r="BC6" s="195">
        <v>967239817.53999996</v>
      </c>
      <c r="BD6" s="195">
        <v>469751672.69999999</v>
      </c>
      <c r="BE6" s="195">
        <v>1252818732.1400001</v>
      </c>
      <c r="BF6" s="195">
        <v>973372532.09000003</v>
      </c>
      <c r="BG6" s="195">
        <v>572483914.66999996</v>
      </c>
      <c r="BH6" s="195">
        <v>290169041.20999998</v>
      </c>
      <c r="BI6" s="195">
        <v>861457343.46000004</v>
      </c>
      <c r="BJ6" s="195">
        <v>621831935.80999994</v>
      </c>
      <c r="BK6" s="195">
        <v>452234197.25999999</v>
      </c>
      <c r="BL6" s="195">
        <v>235189970.84999999</v>
      </c>
      <c r="BM6" s="195">
        <v>576099921.12</v>
      </c>
      <c r="BN6" s="195">
        <v>487704935.55000001</v>
      </c>
      <c r="BO6" s="195">
        <v>287596089.52999997</v>
      </c>
      <c r="BP6" s="195">
        <v>143189251.71000001</v>
      </c>
      <c r="BQ6" s="195">
        <v>363108488.54000002</v>
      </c>
      <c r="BR6" s="195">
        <v>0</v>
      </c>
      <c r="BS6" s="195">
        <v>176016395.74000001</v>
      </c>
      <c r="BT6" s="195">
        <v>231885194.97</v>
      </c>
      <c r="BU6" s="195">
        <v>95901275.469999999</v>
      </c>
      <c r="BV6" s="195">
        <v>160030203.71000001</v>
      </c>
      <c r="BW6" s="195">
        <v>142355825.75999999</v>
      </c>
      <c r="BX6" s="195">
        <v>110766360.22</v>
      </c>
      <c r="BY6" s="195">
        <v>0</v>
      </c>
    </row>
    <row r="7" spans="1:77" x14ac:dyDescent="0.25">
      <c r="A7" s="195" t="s">
        <v>194</v>
      </c>
      <c r="B7" s="195">
        <v>443593815.44</v>
      </c>
      <c r="C7" s="195">
        <v>313901360.97000003</v>
      </c>
      <c r="D7" s="195">
        <v>149516281.13999999</v>
      </c>
      <c r="E7" s="195">
        <v>475378440.49000001</v>
      </c>
      <c r="F7" s="195">
        <v>304423717.72000003</v>
      </c>
      <c r="G7" s="195">
        <v>168049530.69</v>
      </c>
      <c r="H7" s="195">
        <v>65662825.07</v>
      </c>
      <c r="I7" s="195">
        <v>203761067.86000001</v>
      </c>
      <c r="J7" s="195">
        <v>71349811.150000006</v>
      </c>
      <c r="K7" s="195">
        <v>46576489</v>
      </c>
      <c r="L7" s="195">
        <v>12391312.449999999</v>
      </c>
      <c r="M7" s="195">
        <v>95650234.629999995</v>
      </c>
      <c r="N7" s="195">
        <v>66574350.329999998</v>
      </c>
      <c r="O7" s="195">
        <v>43914758.340000004</v>
      </c>
      <c r="P7" s="195">
        <v>15741136.26</v>
      </c>
      <c r="Q7" s="195">
        <v>107719792.73999999</v>
      </c>
      <c r="R7" s="195">
        <v>77169296.909999996</v>
      </c>
      <c r="S7" s="195">
        <v>42471754.68</v>
      </c>
      <c r="T7" s="195">
        <v>16211541.390000001</v>
      </c>
      <c r="U7" s="195">
        <v>124987791.27</v>
      </c>
      <c r="V7" s="195">
        <v>103692578.84</v>
      </c>
      <c r="W7" s="195">
        <v>71270991.959999993</v>
      </c>
      <c r="X7" s="195">
        <v>37477122.899999999</v>
      </c>
      <c r="Y7" s="195">
        <v>88203142.469999999</v>
      </c>
      <c r="Z7" s="195">
        <v>60403158.270000003</v>
      </c>
      <c r="AA7" s="195">
        <v>26438278.57</v>
      </c>
      <c r="AB7" s="195">
        <v>5891628.04</v>
      </c>
      <c r="AC7" s="195">
        <v>60570135.009999998</v>
      </c>
      <c r="AD7" s="195">
        <v>44222697.229999997</v>
      </c>
      <c r="AE7" s="195">
        <v>21190332.379999999</v>
      </c>
      <c r="AF7" s="195">
        <v>5550792.3799999999</v>
      </c>
      <c r="AG7" s="195">
        <v>27279924.27</v>
      </c>
      <c r="AH7" s="195">
        <v>18299304.010000002</v>
      </c>
      <c r="AI7" s="195">
        <v>10643212.15</v>
      </c>
      <c r="AJ7" s="195">
        <v>4012920.88</v>
      </c>
      <c r="AK7" s="195">
        <v>27503335.260000002</v>
      </c>
      <c r="AL7" s="195">
        <v>22542449.609999999</v>
      </c>
      <c r="AM7" s="195">
        <v>15171273.380000001</v>
      </c>
      <c r="AN7" s="195">
        <v>7452994.5999999996</v>
      </c>
      <c r="AO7" s="195">
        <v>48551437.280000001</v>
      </c>
      <c r="AP7" s="195">
        <v>38282893.909999996</v>
      </c>
      <c r="AQ7" s="195">
        <v>31496366.91</v>
      </c>
      <c r="AR7" s="195">
        <v>15203092.939999999</v>
      </c>
      <c r="AS7" s="195">
        <v>66652892.759999998</v>
      </c>
      <c r="AT7" s="195">
        <v>51980200.600000001</v>
      </c>
      <c r="AU7" s="195">
        <v>27940093.84</v>
      </c>
      <c r="AV7" s="195">
        <v>11767810.68</v>
      </c>
      <c r="AW7" s="195">
        <v>35246912</v>
      </c>
      <c r="AX7" s="195">
        <v>28646260.920000002</v>
      </c>
      <c r="AY7" s="195">
        <v>12901095.949999999</v>
      </c>
      <c r="AZ7" s="195">
        <v>3704089.66</v>
      </c>
      <c r="BA7" s="195">
        <v>24391547.969999999</v>
      </c>
      <c r="BB7" s="195">
        <v>17824759.629999999</v>
      </c>
      <c r="BC7" s="195">
        <v>11130050.93</v>
      </c>
      <c r="BD7" s="195">
        <v>5116990.8099999996</v>
      </c>
      <c r="BE7" s="195">
        <v>13071649.359999999</v>
      </c>
      <c r="BF7" s="195">
        <v>12274977.810000001</v>
      </c>
      <c r="BG7" s="195">
        <v>7784529.9000000004</v>
      </c>
      <c r="BH7" s="195">
        <v>3340067.99</v>
      </c>
      <c r="BI7" s="195">
        <v>10033587.91</v>
      </c>
      <c r="BJ7" s="195">
        <v>7705082.3300000001</v>
      </c>
      <c r="BK7" s="195">
        <v>4887731.57</v>
      </c>
      <c r="BL7" s="195">
        <v>2091601.66</v>
      </c>
      <c r="BM7" s="195">
        <v>5214040.9400000004</v>
      </c>
      <c r="BN7" s="195">
        <v>4255415.29</v>
      </c>
      <c r="BO7" s="195">
        <v>2423002.52</v>
      </c>
      <c r="BP7" s="195">
        <v>1645637.62</v>
      </c>
      <c r="BQ7" s="195">
        <v>4091150.91</v>
      </c>
      <c r="BR7" s="195">
        <v>0</v>
      </c>
      <c r="BS7" s="195">
        <v>1939877.85</v>
      </c>
      <c r="BT7" s="195">
        <v>1899489.84</v>
      </c>
      <c r="BU7" s="195">
        <v>575201.6</v>
      </c>
      <c r="BV7" s="195">
        <v>1076291.96</v>
      </c>
      <c r="BW7" s="195">
        <v>769057.81</v>
      </c>
      <c r="BX7" s="195">
        <v>526966.91</v>
      </c>
      <c r="BY7" s="195">
        <v>0</v>
      </c>
    </row>
    <row r="8" spans="1:77" x14ac:dyDescent="0.25">
      <c r="A8" s="195" t="s">
        <v>195</v>
      </c>
      <c r="B8" s="195">
        <v>1219230455.3699999</v>
      </c>
      <c r="C8" s="195">
        <v>788975503.90999997</v>
      </c>
      <c r="D8" s="195">
        <v>352176546.86000001</v>
      </c>
      <c r="E8" s="195">
        <v>1416999560.47</v>
      </c>
      <c r="F8" s="195">
        <v>1038617673.1799999</v>
      </c>
      <c r="G8" s="195">
        <v>671559854.64999998</v>
      </c>
      <c r="H8" s="195">
        <v>304224336.44999999</v>
      </c>
      <c r="I8" s="195">
        <v>1165983654.8900001</v>
      </c>
      <c r="J8" s="195">
        <v>803987150.49000001</v>
      </c>
      <c r="K8" s="195">
        <v>517908496.91000003</v>
      </c>
      <c r="L8" s="195">
        <v>244093669.31</v>
      </c>
      <c r="M8" s="195">
        <v>847269688.95000005</v>
      </c>
      <c r="N8" s="195">
        <v>579629667.38999999</v>
      </c>
      <c r="O8" s="195">
        <v>370192797.54000002</v>
      </c>
      <c r="P8" s="195">
        <v>161249607.06999999</v>
      </c>
      <c r="Q8" s="195">
        <v>700428306.59000003</v>
      </c>
      <c r="R8" s="195">
        <v>514838924.38999999</v>
      </c>
      <c r="S8" s="195">
        <v>330760603.86000001</v>
      </c>
      <c r="T8" s="195">
        <v>119773632.52</v>
      </c>
      <c r="U8" s="195">
        <v>595849295.92999995</v>
      </c>
      <c r="V8" s="195">
        <v>460278237.80000001</v>
      </c>
      <c r="W8" s="195">
        <v>322569181.61000001</v>
      </c>
      <c r="X8" s="195">
        <v>134340553.72</v>
      </c>
      <c r="Y8" s="195">
        <v>486416845.54000002</v>
      </c>
      <c r="Z8" s="195">
        <v>339515631.80000001</v>
      </c>
      <c r="AA8" s="195">
        <v>206667894.94999999</v>
      </c>
      <c r="AB8" s="195">
        <v>94460901.930000007</v>
      </c>
      <c r="AC8" s="195">
        <v>386726440.72000003</v>
      </c>
      <c r="AD8" s="195">
        <v>286345415.00999999</v>
      </c>
      <c r="AE8" s="195">
        <v>187948342.78999999</v>
      </c>
      <c r="AF8" s="195">
        <v>85474453.390000001</v>
      </c>
      <c r="AG8" s="195">
        <v>273624351.13999999</v>
      </c>
      <c r="AH8" s="195">
        <v>201674303.13999999</v>
      </c>
      <c r="AI8" s="195">
        <v>135418094.25</v>
      </c>
      <c r="AJ8" s="195">
        <v>61923604.390000001</v>
      </c>
      <c r="AK8" s="195">
        <v>235225015.80000001</v>
      </c>
      <c r="AL8" s="195">
        <v>165433233.72999999</v>
      </c>
      <c r="AM8" s="195">
        <v>101363953.83</v>
      </c>
      <c r="AN8" s="195">
        <v>54973468.200000003</v>
      </c>
      <c r="AO8" s="195">
        <v>207141030.28999999</v>
      </c>
      <c r="AP8" s="195">
        <v>163742472.84999999</v>
      </c>
      <c r="AQ8" s="195">
        <v>108594338.31999999</v>
      </c>
      <c r="AR8" s="195">
        <v>50674850.340000004</v>
      </c>
      <c r="AS8" s="195">
        <v>223516631.16999999</v>
      </c>
      <c r="AT8" s="195">
        <v>159092253.09</v>
      </c>
      <c r="AU8" s="195">
        <v>98006221.109999999</v>
      </c>
      <c r="AV8" s="195">
        <v>45876275.130000003</v>
      </c>
      <c r="AW8" s="195">
        <v>126715371.18000001</v>
      </c>
      <c r="AX8" s="195">
        <v>91500805.799999997</v>
      </c>
      <c r="AY8" s="195">
        <v>51590565.619999997</v>
      </c>
      <c r="AZ8" s="195">
        <v>24362096.32</v>
      </c>
      <c r="BA8" s="195">
        <v>71325807.409999996</v>
      </c>
      <c r="BB8" s="195">
        <v>53919101.100000001</v>
      </c>
      <c r="BC8" s="195">
        <v>36750496.93</v>
      </c>
      <c r="BD8" s="195">
        <v>20224518.170000002</v>
      </c>
      <c r="BE8" s="195">
        <v>62230028.909999996</v>
      </c>
      <c r="BF8" s="195">
        <v>51313792.130000003</v>
      </c>
      <c r="BG8" s="195">
        <v>31944080.98</v>
      </c>
      <c r="BH8" s="195">
        <v>16478870.1</v>
      </c>
      <c r="BI8" s="195">
        <v>45496868.149999999</v>
      </c>
      <c r="BJ8" s="195">
        <v>25558883.579999998</v>
      </c>
      <c r="BK8" s="195">
        <v>14473113.32</v>
      </c>
      <c r="BL8" s="195">
        <v>7283411.1200000001</v>
      </c>
      <c r="BM8" s="195">
        <v>32325991.07</v>
      </c>
      <c r="BN8" s="195">
        <v>23584568.399999999</v>
      </c>
      <c r="BO8" s="195">
        <v>13386234.01</v>
      </c>
      <c r="BP8" s="195">
        <v>6782057.5899999999</v>
      </c>
      <c r="BQ8" s="195">
        <v>20799956.309999999</v>
      </c>
      <c r="BR8" s="195">
        <v>0</v>
      </c>
      <c r="BS8" s="195">
        <v>9768978.1500000004</v>
      </c>
      <c r="BT8" s="195">
        <v>9684022.5099999998</v>
      </c>
      <c r="BU8" s="195">
        <v>6853433.7699999996</v>
      </c>
      <c r="BV8" s="195">
        <v>4024681.17</v>
      </c>
      <c r="BW8" s="195">
        <v>3815283.33</v>
      </c>
      <c r="BX8" s="195">
        <v>2622320.12</v>
      </c>
      <c r="BY8" s="195">
        <v>0</v>
      </c>
    </row>
    <row r="9" spans="1:77" x14ac:dyDescent="0.25">
      <c r="A9" s="195" t="s">
        <v>196</v>
      </c>
      <c r="B9" s="195">
        <v>781660916.63999999</v>
      </c>
      <c r="C9" s="195">
        <v>1070147079.5</v>
      </c>
      <c r="D9" s="195">
        <v>446762160.56</v>
      </c>
      <c r="E9" s="195">
        <v>2034568276.1500001</v>
      </c>
      <c r="F9" s="195">
        <v>1413716412.74</v>
      </c>
      <c r="G9" s="195">
        <v>811531490.39999998</v>
      </c>
      <c r="H9" s="195">
        <v>393700215.00999999</v>
      </c>
      <c r="I9" s="195">
        <v>1423283407.77</v>
      </c>
      <c r="J9" s="195">
        <v>1071440217.97</v>
      </c>
      <c r="K9" s="195">
        <v>627040756.5</v>
      </c>
      <c r="L9" s="195">
        <v>274088818.70999998</v>
      </c>
      <c r="M9" s="195">
        <v>1281515644.4300001</v>
      </c>
      <c r="N9" s="195">
        <v>1035578756.38</v>
      </c>
      <c r="O9" s="195">
        <v>730369026.32000005</v>
      </c>
      <c r="P9" s="195">
        <v>300713066.91000003</v>
      </c>
      <c r="Q9" s="195">
        <v>1358892533.97</v>
      </c>
      <c r="R9" s="195">
        <v>975322236.10000002</v>
      </c>
      <c r="S9" s="195">
        <v>638873818.64999998</v>
      </c>
      <c r="T9" s="195">
        <v>211292618.38</v>
      </c>
      <c r="U9" s="195">
        <v>1388192012.74</v>
      </c>
      <c r="V9" s="195">
        <v>1043147668.91</v>
      </c>
      <c r="W9" s="195">
        <v>658123589.13</v>
      </c>
      <c r="X9" s="195">
        <v>254200787.16999999</v>
      </c>
      <c r="Y9" s="195">
        <v>1054199281.34</v>
      </c>
      <c r="Z9" s="195">
        <v>740436544.39999998</v>
      </c>
      <c r="AA9" s="195">
        <v>474545735.98000002</v>
      </c>
      <c r="AB9" s="195">
        <v>204398170.28</v>
      </c>
      <c r="AC9" s="195">
        <v>851728952.30999994</v>
      </c>
      <c r="AD9" s="195">
        <v>687770387.03999996</v>
      </c>
      <c r="AE9" s="195">
        <v>453609327.23000002</v>
      </c>
      <c r="AF9" s="195">
        <v>211001819.52000001</v>
      </c>
      <c r="AG9" s="195">
        <v>535734805.25999999</v>
      </c>
      <c r="AH9" s="195">
        <v>349718849.01999998</v>
      </c>
      <c r="AI9" s="195">
        <v>231579042.43000001</v>
      </c>
      <c r="AJ9" s="195">
        <v>93355014.730000004</v>
      </c>
      <c r="AK9" s="195">
        <v>449667767.81999999</v>
      </c>
      <c r="AL9" s="195">
        <v>327717791.43000001</v>
      </c>
      <c r="AM9" s="195">
        <v>185985696.27000001</v>
      </c>
      <c r="AN9" s="195">
        <v>86283274.980000004</v>
      </c>
      <c r="AO9" s="195">
        <v>454186980.87</v>
      </c>
      <c r="AP9" s="195">
        <v>342525356.25999999</v>
      </c>
      <c r="AQ9" s="195">
        <v>232675377.80000001</v>
      </c>
      <c r="AR9" s="195">
        <v>123487610.18000001</v>
      </c>
      <c r="AS9" s="195">
        <v>571193496.42999995</v>
      </c>
      <c r="AT9" s="195">
        <v>355413740.13</v>
      </c>
      <c r="AU9" s="195">
        <v>193897929.34999999</v>
      </c>
      <c r="AV9" s="195">
        <v>92133047.010000005</v>
      </c>
      <c r="AW9" s="195">
        <v>316788486.07999998</v>
      </c>
      <c r="AX9" s="195">
        <v>223846039.24000001</v>
      </c>
      <c r="AY9" s="195">
        <v>119736582.02</v>
      </c>
      <c r="AZ9" s="195">
        <v>62325603.270000003</v>
      </c>
      <c r="BA9" s="195">
        <v>235623560.65000001</v>
      </c>
      <c r="BB9" s="195">
        <v>177688539.74000001</v>
      </c>
      <c r="BC9" s="195">
        <v>103933515.34999999</v>
      </c>
      <c r="BD9" s="195">
        <v>63851770.979999997</v>
      </c>
      <c r="BE9" s="195">
        <v>215272387.62</v>
      </c>
      <c r="BF9" s="195">
        <v>160555181.15000001</v>
      </c>
      <c r="BG9" s="195">
        <v>96407186.329999998</v>
      </c>
      <c r="BH9" s="195">
        <v>47077206.840000004</v>
      </c>
      <c r="BI9" s="195">
        <v>124971388.59</v>
      </c>
      <c r="BJ9" s="195">
        <v>85502720.159999996</v>
      </c>
      <c r="BK9" s="195">
        <v>55261708.299999997</v>
      </c>
      <c r="BL9" s="195">
        <v>34325551.969999999</v>
      </c>
      <c r="BM9" s="195">
        <v>80369841.780000001</v>
      </c>
      <c r="BN9" s="195">
        <v>59399179.420000002</v>
      </c>
      <c r="BO9" s="195">
        <v>27287259.789999999</v>
      </c>
      <c r="BP9" s="195">
        <v>16644550.83</v>
      </c>
      <c r="BQ9" s="195">
        <v>64562414.719999999</v>
      </c>
      <c r="BR9" s="195">
        <v>0</v>
      </c>
      <c r="BS9" s="195">
        <v>28483931.850000001</v>
      </c>
      <c r="BT9" s="195">
        <v>32842193.23</v>
      </c>
      <c r="BU9" s="195">
        <v>15643981.039999999</v>
      </c>
      <c r="BV9" s="195">
        <v>9185742.0099999998</v>
      </c>
      <c r="BW9" s="195">
        <v>6116144.1100000003</v>
      </c>
      <c r="BX9" s="195">
        <v>5895552.0499999998</v>
      </c>
      <c r="BY9" s="195">
        <v>0</v>
      </c>
    </row>
    <row r="10" spans="1:77" x14ac:dyDescent="0.25">
      <c r="A10" s="195" t="s">
        <v>197</v>
      </c>
      <c r="B10" s="195">
        <v>652306128.76999998</v>
      </c>
      <c r="C10" s="195">
        <v>420633215.62</v>
      </c>
      <c r="D10" s="195">
        <v>247954077.53999999</v>
      </c>
      <c r="E10" s="195">
        <v>929390186.17999995</v>
      </c>
      <c r="F10" s="195">
        <v>717420186.02999997</v>
      </c>
      <c r="G10" s="195">
        <v>450443344.86000001</v>
      </c>
      <c r="H10" s="195">
        <v>207311348.16</v>
      </c>
      <c r="I10" s="195">
        <v>889951201.73000002</v>
      </c>
      <c r="J10" s="195">
        <v>658114008.67999995</v>
      </c>
      <c r="K10" s="195">
        <v>427670564.45999998</v>
      </c>
      <c r="L10" s="195">
        <v>216291606.33000001</v>
      </c>
      <c r="M10" s="195">
        <v>841242986.61000001</v>
      </c>
      <c r="N10" s="195">
        <v>706215527.63</v>
      </c>
      <c r="O10" s="195">
        <v>336005537.79000002</v>
      </c>
      <c r="P10" s="195">
        <v>121081157.28</v>
      </c>
      <c r="Q10" s="195">
        <v>434318006.63999999</v>
      </c>
      <c r="R10" s="195">
        <v>332576153.88999999</v>
      </c>
      <c r="S10" s="195">
        <v>228324936.5</v>
      </c>
      <c r="T10" s="195">
        <v>105963903.34</v>
      </c>
      <c r="U10" s="195">
        <v>257672066.78999999</v>
      </c>
      <c r="V10" s="195">
        <v>240479194.38999999</v>
      </c>
      <c r="W10" s="195">
        <v>132373137.58</v>
      </c>
      <c r="X10" s="195">
        <v>90613483.900000006</v>
      </c>
      <c r="Y10" s="195">
        <v>289409693.10000002</v>
      </c>
      <c r="Z10" s="195">
        <v>269419256.16000003</v>
      </c>
      <c r="AA10" s="195">
        <v>176394158.50999999</v>
      </c>
      <c r="AB10" s="195">
        <v>67718985.019999996</v>
      </c>
      <c r="AC10" s="195">
        <v>149543408.13</v>
      </c>
      <c r="AD10" s="195">
        <v>95599082.150000006</v>
      </c>
      <c r="AE10" s="195">
        <v>51690931.990000002</v>
      </c>
      <c r="AF10" s="195">
        <v>25812918.710000001</v>
      </c>
      <c r="AG10" s="195">
        <v>35125958.859999999</v>
      </c>
      <c r="AH10" s="195">
        <v>14669864.130000001</v>
      </c>
      <c r="AI10" s="195">
        <v>34528117</v>
      </c>
      <c r="AJ10" s="195">
        <v>13394072.880000001</v>
      </c>
      <c r="AK10" s="195">
        <v>53523800.299999997</v>
      </c>
      <c r="AL10" s="195">
        <v>41987440.939999998</v>
      </c>
      <c r="AM10" s="195">
        <v>36926585.880000003</v>
      </c>
      <c r="AN10" s="195">
        <v>28076939.34</v>
      </c>
      <c r="AO10" s="195">
        <v>50843495.409999996</v>
      </c>
      <c r="AP10" s="195">
        <v>26723228.359999999</v>
      </c>
      <c r="AQ10" s="195">
        <v>-17964350.649999999</v>
      </c>
      <c r="AR10" s="195">
        <v>-19204677.640000001</v>
      </c>
      <c r="AS10" s="195">
        <v>53713314.060000002</v>
      </c>
      <c r="AT10" s="195">
        <v>58875511.689999998</v>
      </c>
      <c r="AU10" s="195">
        <v>36841179.420000002</v>
      </c>
      <c r="AV10" s="195">
        <v>12703537.65</v>
      </c>
      <c r="AW10" s="195">
        <v>10769128.279999999</v>
      </c>
      <c r="AX10" s="195">
        <v>15476019.02</v>
      </c>
      <c r="AY10" s="195">
        <v>11800596.199999999</v>
      </c>
      <c r="AZ10" s="195">
        <v>4443015.26</v>
      </c>
      <c r="BA10" s="195">
        <v>5693510.9299999997</v>
      </c>
      <c r="BB10" s="195">
        <v>7182245.3200000003</v>
      </c>
      <c r="BC10" s="195">
        <v>3515117.81</v>
      </c>
      <c r="BD10" s="195">
        <v>2286626.94</v>
      </c>
      <c r="BE10" s="195">
        <v>8270832.6900000004</v>
      </c>
      <c r="BF10" s="195">
        <v>6107520.0599999996</v>
      </c>
      <c r="BG10" s="195">
        <v>1800646.68</v>
      </c>
      <c r="BH10" s="195">
        <v>78491.08</v>
      </c>
      <c r="BI10" s="195">
        <v>-638574.51</v>
      </c>
      <c r="BJ10" s="195">
        <v>-492931.82</v>
      </c>
      <c r="BK10" s="195">
        <v>-603004.89</v>
      </c>
      <c r="BL10" s="195">
        <v>-213084.64</v>
      </c>
      <c r="BM10" s="195">
        <v>-3144390.8</v>
      </c>
      <c r="BN10" s="195">
        <v>-2556415.54</v>
      </c>
      <c r="BO10" s="195">
        <v>-2453786.7799999998</v>
      </c>
      <c r="BP10" s="195">
        <v>-2113164.36</v>
      </c>
      <c r="BQ10" s="195">
        <v>-1585239.75</v>
      </c>
      <c r="BR10" s="195">
        <v>0</v>
      </c>
      <c r="BS10" s="195">
        <v>-2304346.42</v>
      </c>
      <c r="BT10" s="195">
        <v>5950327.5999999996</v>
      </c>
      <c r="BU10" s="195">
        <v>2430452.9300000002</v>
      </c>
      <c r="BV10" s="195">
        <v>2589207.4500000002</v>
      </c>
      <c r="BW10" s="195">
        <v>4043301.61</v>
      </c>
      <c r="BX10" s="195">
        <v>3372272.53</v>
      </c>
      <c r="BY10" s="195">
        <v>0</v>
      </c>
    </row>
    <row r="11" spans="1:77" x14ac:dyDescent="0.25">
      <c r="A11" s="195" t="s">
        <v>198</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row>
    <row r="12" spans="1:77" x14ac:dyDescent="0.25">
      <c r="A12" s="195" t="s">
        <v>199</v>
      </c>
      <c r="B12" s="195">
        <v>0</v>
      </c>
      <c r="C12" s="195">
        <v>0</v>
      </c>
      <c r="D12" s="195">
        <v>0</v>
      </c>
      <c r="E12" s="195">
        <v>0</v>
      </c>
      <c r="F12" s="195">
        <v>0</v>
      </c>
      <c r="G12" s="195">
        <v>0</v>
      </c>
      <c r="H12" s="195">
        <v>0</v>
      </c>
      <c r="I12" s="195">
        <v>0</v>
      </c>
      <c r="J12" s="195">
        <v>0</v>
      </c>
      <c r="K12" s="195">
        <v>0</v>
      </c>
      <c r="L12" s="195">
        <v>0</v>
      </c>
      <c r="M12" s="195">
        <v>-3466833.57</v>
      </c>
      <c r="N12" s="195">
        <v>4942571.4000000004</v>
      </c>
      <c r="O12" s="195">
        <v>61599319.68</v>
      </c>
      <c r="P12" s="195">
        <v>60074553.920000002</v>
      </c>
      <c r="Q12" s="195">
        <v>3466833.57</v>
      </c>
      <c r="R12" s="195">
        <v>0</v>
      </c>
      <c r="S12" s="195">
        <v>0</v>
      </c>
      <c r="T12" s="195">
        <v>0</v>
      </c>
      <c r="U12" s="195">
        <v>16017988.99</v>
      </c>
      <c r="V12" s="195">
        <v>4197699.6900000004</v>
      </c>
      <c r="W12" s="195">
        <v>3027699.69</v>
      </c>
      <c r="X12" s="195">
        <v>48099.41</v>
      </c>
      <c r="Y12" s="195">
        <v>2667597.81</v>
      </c>
      <c r="Z12" s="195">
        <v>-1175200.52</v>
      </c>
      <c r="AA12" s="195">
        <v>488799.23</v>
      </c>
      <c r="AB12" s="195">
        <v>972400.04</v>
      </c>
      <c r="AC12" s="195">
        <v>-9444630.1099999994</v>
      </c>
      <c r="AD12" s="195">
        <v>-3851800.91</v>
      </c>
      <c r="AE12" s="195">
        <v>5699046.6200000001</v>
      </c>
      <c r="AF12" s="195">
        <v>-149953.68</v>
      </c>
      <c r="AG12" s="195">
        <v>-14778307.92</v>
      </c>
      <c r="AH12" s="195">
        <v>-16194431.960000001</v>
      </c>
      <c r="AI12" s="195">
        <v>-21160651.789999999</v>
      </c>
      <c r="AJ12" s="195">
        <v>-6465180.3899999997</v>
      </c>
      <c r="AK12" s="195">
        <v>5524360.5499999998</v>
      </c>
      <c r="AL12" s="195">
        <v>-2220921.19</v>
      </c>
      <c r="AM12" s="195">
        <v>0</v>
      </c>
      <c r="AN12" s="195">
        <v>0</v>
      </c>
      <c r="AO12" s="195">
        <v>-846202.06</v>
      </c>
      <c r="AP12" s="195">
        <v>0</v>
      </c>
      <c r="AQ12" s="195">
        <v>0</v>
      </c>
      <c r="AR12" s="195">
        <v>-7149537.6399999997</v>
      </c>
      <c r="AS12" s="195">
        <v>-4365321.92</v>
      </c>
      <c r="AT12" s="195">
        <v>1389456.2</v>
      </c>
      <c r="AU12" s="195">
        <v>8605807.5399999991</v>
      </c>
      <c r="AV12" s="195">
        <v>1898282.78</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row>
    <row r="13" spans="1:77" x14ac:dyDescent="0.25">
      <c r="A13" s="195" t="s">
        <v>200</v>
      </c>
      <c r="B13" s="195">
        <v>78304929.760000005</v>
      </c>
      <c r="C13" s="195">
        <v>53855509.789999999</v>
      </c>
      <c r="D13" s="195">
        <v>29820267.109999999</v>
      </c>
      <c r="E13" s="195">
        <v>125557555.26000001</v>
      </c>
      <c r="F13" s="195">
        <v>79561569.200000003</v>
      </c>
      <c r="G13" s="195">
        <v>55661140.079999998</v>
      </c>
      <c r="H13" s="195">
        <v>22849729.07</v>
      </c>
      <c r="I13" s="195">
        <v>52752991.719999999</v>
      </c>
      <c r="J13" s="195">
        <v>36498714.939999998</v>
      </c>
      <c r="K13" s="195">
        <v>30474195.829999998</v>
      </c>
      <c r="L13" s="195">
        <v>-1417252.38</v>
      </c>
      <c r="M13" s="195">
        <v>3387514.8</v>
      </c>
      <c r="N13" s="195">
        <v>67246685.079999998</v>
      </c>
      <c r="O13" s="195">
        <v>5310621.29</v>
      </c>
      <c r="P13" s="195">
        <v>-1190517.49</v>
      </c>
      <c r="Q13" s="195">
        <v>-1257102.1200000001</v>
      </c>
      <c r="R13" s="195">
        <v>-333570.40000000002</v>
      </c>
      <c r="S13" s="195">
        <v>1302253.6000000001</v>
      </c>
      <c r="T13" s="195">
        <v>2021981.59</v>
      </c>
      <c r="U13" s="195">
        <v>-16521156.17</v>
      </c>
      <c r="V13" s="195">
        <v>-3934863.27</v>
      </c>
      <c r="W13" s="195">
        <v>-3742700.15</v>
      </c>
      <c r="X13" s="195">
        <v>-283175.13</v>
      </c>
      <c r="Y13" s="195">
        <v>4372236.96</v>
      </c>
      <c r="Z13" s="195">
        <v>4330048.58</v>
      </c>
      <c r="AA13" s="195">
        <v>4237929.08</v>
      </c>
      <c r="AB13" s="195">
        <v>2989048.27</v>
      </c>
      <c r="AC13" s="195">
        <v>9946689.4299999997</v>
      </c>
      <c r="AD13" s="195">
        <v>9059362.1600000001</v>
      </c>
      <c r="AE13" s="195">
        <v>-5937068.3200000003</v>
      </c>
      <c r="AF13" s="195">
        <v>2906442.49</v>
      </c>
      <c r="AG13" s="195">
        <v>203411497.43000001</v>
      </c>
      <c r="AH13" s="195">
        <v>14745866.02</v>
      </c>
      <c r="AI13" s="195">
        <v>12974901.699999999</v>
      </c>
      <c r="AJ13" s="195">
        <v>5679961.6200000001</v>
      </c>
      <c r="AK13" s="195">
        <v>23029725.120000001</v>
      </c>
      <c r="AL13" s="195">
        <v>12675249.279999999</v>
      </c>
      <c r="AM13" s="195">
        <v>9560969.9100000001</v>
      </c>
      <c r="AN13" s="195">
        <v>3441883.41</v>
      </c>
      <c r="AO13" s="195">
        <v>4914187.7699999996</v>
      </c>
      <c r="AP13" s="195">
        <v>-930380.59</v>
      </c>
      <c r="AQ13" s="195">
        <v>-7876342.5499999998</v>
      </c>
      <c r="AR13" s="195">
        <v>6521906.0300000003</v>
      </c>
      <c r="AS13" s="195">
        <v>148255267.41999999</v>
      </c>
      <c r="AT13" s="195">
        <v>62055871.75</v>
      </c>
      <c r="AU13" s="195">
        <v>7904137.3200000003</v>
      </c>
      <c r="AV13" s="195">
        <v>2766492.93</v>
      </c>
      <c r="AW13" s="195">
        <v>14318717.74</v>
      </c>
      <c r="AX13" s="195">
        <v>14019438.57</v>
      </c>
      <c r="AY13" s="195">
        <v>14009438.57</v>
      </c>
      <c r="AZ13" s="195">
        <v>6036022.2699999996</v>
      </c>
      <c r="BA13" s="195">
        <v>3228353.47</v>
      </c>
      <c r="BB13" s="195">
        <v>1968092.42</v>
      </c>
      <c r="BC13" s="195">
        <v>-892725.16</v>
      </c>
      <c r="BD13" s="195">
        <v>-162719.66</v>
      </c>
      <c r="BE13" s="195">
        <v>2890900.94</v>
      </c>
      <c r="BF13" s="195">
        <v>-255923.71</v>
      </c>
      <c r="BG13" s="195">
        <v>-250667.51</v>
      </c>
      <c r="BH13" s="195">
        <v>48919.87</v>
      </c>
      <c r="BI13" s="195">
        <v>946914.2</v>
      </c>
      <c r="BJ13" s="195">
        <v>98113.99</v>
      </c>
      <c r="BK13" s="195">
        <v>604187.18999999994</v>
      </c>
      <c r="BL13" s="195">
        <v>573275.71</v>
      </c>
      <c r="BM13" s="195">
        <v>-296138.87</v>
      </c>
      <c r="BN13" s="195">
        <v>225245.9</v>
      </c>
      <c r="BO13" s="195">
        <v>327855.90000000002</v>
      </c>
      <c r="BP13" s="195">
        <v>242481.5</v>
      </c>
      <c r="BQ13" s="195">
        <v>323331.55</v>
      </c>
      <c r="BR13" s="195">
        <v>1314800</v>
      </c>
      <c r="BS13" s="195">
        <v>500000</v>
      </c>
      <c r="BT13" s="195">
        <v>0</v>
      </c>
      <c r="BU13" s="195">
        <v>0</v>
      </c>
      <c r="BV13" s="195">
        <v>0</v>
      </c>
      <c r="BW13" s="195">
        <v>0</v>
      </c>
      <c r="BX13" s="195">
        <v>0</v>
      </c>
      <c r="BY13" s="195">
        <v>0</v>
      </c>
    </row>
    <row r="14" spans="1:77" x14ac:dyDescent="0.25">
      <c r="A14" s="195" t="s">
        <v>201</v>
      </c>
      <c r="B14" s="195">
        <v>78304929.760000005</v>
      </c>
      <c r="C14" s="195">
        <v>53855509.789999999</v>
      </c>
      <c r="D14" s="195">
        <v>29820267.109999999</v>
      </c>
      <c r="E14" s="195">
        <v>104557555.26000001</v>
      </c>
      <c r="F14" s="195">
        <v>73582078.549999997</v>
      </c>
      <c r="G14" s="195">
        <v>49677651.479999997</v>
      </c>
      <c r="H14" s="195">
        <v>22864854.079999998</v>
      </c>
      <c r="I14" s="195">
        <v>22768159.899999999</v>
      </c>
      <c r="J14" s="195">
        <v>6503727.0099999998</v>
      </c>
      <c r="K14" s="195">
        <v>474195.83</v>
      </c>
      <c r="L14" s="195">
        <v>-1417252.38</v>
      </c>
      <c r="M14" s="195">
        <v>-2612485.2000000002</v>
      </c>
      <c r="N14" s="195">
        <v>-5628039.8899999997</v>
      </c>
      <c r="O14" s="195">
        <v>-689378.71</v>
      </c>
      <c r="P14" s="195">
        <v>-1190284.95</v>
      </c>
      <c r="Q14" s="195">
        <v>-3321122.95</v>
      </c>
      <c r="R14" s="195">
        <v>-2235497.3199999998</v>
      </c>
      <c r="S14" s="195">
        <v>-1697746.4</v>
      </c>
      <c r="T14" s="195">
        <v>-978018.41</v>
      </c>
      <c r="U14" s="195">
        <v>-1986405.44</v>
      </c>
      <c r="V14" s="195">
        <v>-926748.31</v>
      </c>
      <c r="W14" s="195">
        <v>-442085.19</v>
      </c>
      <c r="X14" s="195">
        <v>-283175.13</v>
      </c>
      <c r="Y14" s="195">
        <v>45037.04</v>
      </c>
      <c r="Z14" s="195">
        <v>2848.66</v>
      </c>
      <c r="AA14" s="195">
        <v>-6070.92</v>
      </c>
      <c r="AB14" s="195">
        <v>-10951.73</v>
      </c>
      <c r="AC14" s="195">
        <v>-5583.1</v>
      </c>
      <c r="AD14" s="195">
        <v>0</v>
      </c>
      <c r="AE14" s="195">
        <v>0</v>
      </c>
      <c r="AF14" s="195">
        <v>0</v>
      </c>
      <c r="AG14" s="195">
        <v>22855763.780000001</v>
      </c>
      <c r="AH14" s="195">
        <v>9510047.1899999995</v>
      </c>
      <c r="AI14" s="195">
        <v>8301952.8799999999</v>
      </c>
      <c r="AJ14" s="195">
        <v>3320814.66</v>
      </c>
      <c r="AK14" s="195">
        <v>14509124.640000001</v>
      </c>
      <c r="AL14" s="195">
        <v>10957442.83</v>
      </c>
      <c r="AM14" s="195">
        <v>8560969.9100000001</v>
      </c>
      <c r="AN14" s="195">
        <v>3441883.41</v>
      </c>
      <c r="AO14" s="195">
        <v>11811196.189999999</v>
      </c>
      <c r="AP14" s="195">
        <v>0</v>
      </c>
      <c r="AQ14" s="195">
        <v>0</v>
      </c>
      <c r="AR14" s="195">
        <v>0</v>
      </c>
      <c r="AS14" s="195">
        <v>0</v>
      </c>
      <c r="AT14" s="195">
        <v>2000000</v>
      </c>
      <c r="AU14" s="195">
        <v>2000000</v>
      </c>
      <c r="AV14" s="195">
        <v>0</v>
      </c>
      <c r="AW14" s="195">
        <v>0</v>
      </c>
      <c r="AX14" s="195">
        <v>0</v>
      </c>
      <c r="AY14" s="195">
        <v>0</v>
      </c>
      <c r="AZ14" s="195">
        <v>0</v>
      </c>
      <c r="BA14" s="195">
        <v>0</v>
      </c>
      <c r="BB14" s="195">
        <v>0</v>
      </c>
      <c r="BC14" s="195">
        <v>0</v>
      </c>
      <c r="BD14" s="195">
        <v>0</v>
      </c>
      <c r="BE14" s="195">
        <v>0</v>
      </c>
      <c r="BF14" s="195">
        <v>0</v>
      </c>
      <c r="BG14" s="195">
        <v>0</v>
      </c>
      <c r="BH14" s="195">
        <v>0</v>
      </c>
      <c r="BI14" s="195">
        <v>0</v>
      </c>
      <c r="BJ14" s="195">
        <v>0</v>
      </c>
      <c r="BK14" s="195">
        <v>0</v>
      </c>
      <c r="BL14" s="195">
        <v>0</v>
      </c>
      <c r="BM14" s="195">
        <v>0</v>
      </c>
      <c r="BN14" s="195">
        <v>0</v>
      </c>
      <c r="BO14" s="195">
        <v>0</v>
      </c>
      <c r="BP14" s="195">
        <v>0</v>
      </c>
      <c r="BQ14" s="195">
        <v>0</v>
      </c>
      <c r="BR14" s="195">
        <v>0</v>
      </c>
      <c r="BS14" s="195">
        <v>0</v>
      </c>
      <c r="BT14" s="195">
        <v>0</v>
      </c>
      <c r="BU14" s="195">
        <v>0</v>
      </c>
      <c r="BV14" s="195">
        <v>0</v>
      </c>
      <c r="BW14" s="195">
        <v>0</v>
      </c>
      <c r="BX14" s="195">
        <v>0</v>
      </c>
      <c r="BY14" s="195">
        <v>0</v>
      </c>
    </row>
    <row r="15" spans="1:77" x14ac:dyDescent="0.25">
      <c r="A15" s="195" t="s">
        <v>202</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203</v>
      </c>
      <c r="B16" s="195">
        <v>13711687190.51</v>
      </c>
      <c r="C16" s="195">
        <v>10317119422.030001</v>
      </c>
      <c r="D16" s="195">
        <v>5188235897.5100002</v>
      </c>
      <c r="E16" s="195">
        <v>16959302814.73</v>
      </c>
      <c r="F16" s="195">
        <v>11734181649.74</v>
      </c>
      <c r="G16" s="195">
        <v>7381902941.0299997</v>
      </c>
      <c r="H16" s="195">
        <v>3298137863.5700002</v>
      </c>
      <c r="I16" s="195">
        <v>5650527175.5100002</v>
      </c>
      <c r="J16" s="195">
        <v>3678406086.0799999</v>
      </c>
      <c r="K16" s="195">
        <v>1978723408.28</v>
      </c>
      <c r="L16" s="195">
        <v>654064060.88</v>
      </c>
      <c r="M16" s="195">
        <v>2815012926.8099999</v>
      </c>
      <c r="N16" s="195">
        <v>2376466874.5900002</v>
      </c>
      <c r="O16" s="195">
        <v>1898359737.9200001</v>
      </c>
      <c r="P16" s="195">
        <v>828218308.46000004</v>
      </c>
      <c r="Q16" s="195">
        <v>4145313564.3099999</v>
      </c>
      <c r="R16" s="195">
        <v>3403248654.2800002</v>
      </c>
      <c r="S16" s="195">
        <v>2252259782.79</v>
      </c>
      <c r="T16" s="195">
        <v>1106248014.22</v>
      </c>
      <c r="U16" s="195">
        <v>4260909117.73</v>
      </c>
      <c r="V16" s="195">
        <v>3450894397.48</v>
      </c>
      <c r="W16" s="195">
        <v>2322981045.1399999</v>
      </c>
      <c r="X16" s="195">
        <v>1113733670.1300001</v>
      </c>
      <c r="Y16" s="195">
        <v>3613939381.1199999</v>
      </c>
      <c r="Z16" s="195">
        <v>2439817719.96</v>
      </c>
      <c r="AA16" s="195">
        <v>1443434206.25</v>
      </c>
      <c r="AB16" s="195">
        <v>662697152.65999997</v>
      </c>
      <c r="AC16" s="195">
        <v>2730518082.1500001</v>
      </c>
      <c r="AD16" s="195">
        <v>2322099498.6799998</v>
      </c>
      <c r="AE16" s="195">
        <v>1501163351.9100001</v>
      </c>
      <c r="AF16" s="195">
        <v>705892056.50999999</v>
      </c>
      <c r="AG16" s="195">
        <v>1672661652.49</v>
      </c>
      <c r="AH16" s="195">
        <v>1071642627.38</v>
      </c>
      <c r="AI16" s="195">
        <v>697117710.60000002</v>
      </c>
      <c r="AJ16" s="195">
        <v>306704984.25</v>
      </c>
      <c r="AK16" s="195">
        <v>1139089202.1600001</v>
      </c>
      <c r="AL16" s="195">
        <v>836538644.21000004</v>
      </c>
      <c r="AM16" s="195">
        <v>445176879.27999997</v>
      </c>
      <c r="AN16" s="195">
        <v>112804313.28</v>
      </c>
      <c r="AO16" s="195">
        <v>1653287814.8399999</v>
      </c>
      <c r="AP16" s="195">
        <v>1541675574.3299999</v>
      </c>
      <c r="AQ16" s="195">
        <v>1217325079.9000001</v>
      </c>
      <c r="AR16" s="195">
        <v>561695605.12</v>
      </c>
      <c r="AS16" s="195">
        <v>2360812253.9699998</v>
      </c>
      <c r="AT16" s="195">
        <v>1717663900.5899999</v>
      </c>
      <c r="AU16" s="195">
        <v>971951674.14999998</v>
      </c>
      <c r="AV16" s="195">
        <v>468511928.61000001</v>
      </c>
      <c r="AW16" s="195">
        <v>1309390669.8599999</v>
      </c>
      <c r="AX16" s="195">
        <v>950462186.36000001</v>
      </c>
      <c r="AY16" s="195">
        <v>520506975.93000001</v>
      </c>
      <c r="AZ16" s="195">
        <v>277734368.69999999</v>
      </c>
      <c r="BA16" s="195">
        <v>908282905.86000001</v>
      </c>
      <c r="BB16" s="195">
        <v>720541098.79999995</v>
      </c>
      <c r="BC16" s="195">
        <v>492469042.35000002</v>
      </c>
      <c r="BD16" s="195">
        <v>233740967.09999999</v>
      </c>
      <c r="BE16" s="195">
        <v>557242687.98000002</v>
      </c>
      <c r="BF16" s="195">
        <v>493327810.05000001</v>
      </c>
      <c r="BG16" s="195">
        <v>344803202.67000002</v>
      </c>
      <c r="BH16" s="195">
        <v>144642203.19999999</v>
      </c>
      <c r="BI16" s="195">
        <v>302807391.49000001</v>
      </c>
      <c r="BJ16" s="195">
        <v>270823476.81</v>
      </c>
      <c r="BK16" s="195">
        <v>203282668.47999999</v>
      </c>
      <c r="BL16" s="195">
        <v>86362264.519999996</v>
      </c>
      <c r="BM16" s="195">
        <v>190734092.91999999</v>
      </c>
      <c r="BN16" s="195">
        <v>159580449.43000001</v>
      </c>
      <c r="BO16" s="195">
        <v>111752334.34</v>
      </c>
      <c r="BP16" s="195">
        <v>53299587.799999997</v>
      </c>
      <c r="BQ16" s="195">
        <v>120994099.48999999</v>
      </c>
      <c r="BR16" s="195">
        <v>112564600</v>
      </c>
      <c r="BS16" s="195">
        <v>76936561.299999997</v>
      </c>
      <c r="BT16" s="195">
        <v>65977967.590000004</v>
      </c>
      <c r="BU16" s="195">
        <v>40165225.950000003</v>
      </c>
      <c r="BV16" s="195">
        <v>39362280.030000001</v>
      </c>
      <c r="BW16" s="195">
        <v>24424633.850000001</v>
      </c>
      <c r="BX16" s="195">
        <v>17554100.09</v>
      </c>
      <c r="BY16" s="195">
        <v>0</v>
      </c>
    </row>
    <row r="17" spans="1:77" x14ac:dyDescent="0.25">
      <c r="A17" s="195" t="s">
        <v>204</v>
      </c>
      <c r="B17" s="195">
        <v>5372072.5599999996</v>
      </c>
      <c r="C17" s="195">
        <v>3563427.8399999999</v>
      </c>
      <c r="D17" s="195">
        <v>1576297.16</v>
      </c>
      <c r="E17" s="195">
        <v>18683867.48</v>
      </c>
      <c r="F17" s="195">
        <v>19256041.629999999</v>
      </c>
      <c r="G17" s="195">
        <v>17059746.23</v>
      </c>
      <c r="H17" s="195">
        <v>55202220.140000001</v>
      </c>
      <c r="I17" s="195">
        <v>89748999.640000001</v>
      </c>
      <c r="J17" s="195">
        <v>68606757.519999996</v>
      </c>
      <c r="K17" s="195">
        <v>51105512.07</v>
      </c>
      <c r="L17" s="195">
        <v>22374321.210000001</v>
      </c>
      <c r="M17" s="195">
        <v>302312759.66000003</v>
      </c>
      <c r="N17" s="195">
        <v>258485714.50999999</v>
      </c>
      <c r="O17" s="195">
        <v>18251060.34</v>
      </c>
      <c r="P17" s="195">
        <v>12266678.140000001</v>
      </c>
      <c r="Q17" s="195">
        <v>264990235.66999999</v>
      </c>
      <c r="R17" s="195">
        <v>192392828.59</v>
      </c>
      <c r="S17" s="195">
        <v>112064246.69</v>
      </c>
      <c r="T17" s="195">
        <v>88033181</v>
      </c>
      <c r="U17" s="195">
        <v>198762496.81</v>
      </c>
      <c r="V17" s="195">
        <v>183706354.49000001</v>
      </c>
      <c r="W17" s="195">
        <v>62809275.390000001</v>
      </c>
      <c r="X17" s="195">
        <v>46641628.909999996</v>
      </c>
      <c r="Y17" s="195">
        <v>125845803.08</v>
      </c>
      <c r="Z17" s="195">
        <v>83842529.260000005</v>
      </c>
      <c r="AA17" s="195">
        <v>55789189.210000001</v>
      </c>
      <c r="AB17" s="195">
        <v>6551137.0099999998</v>
      </c>
      <c r="AC17" s="195">
        <v>103646762.48999999</v>
      </c>
      <c r="AD17" s="195">
        <v>59151976.280000001</v>
      </c>
      <c r="AE17" s="195">
        <v>24913140.98</v>
      </c>
      <c r="AF17" s="195">
        <v>5199373.01</v>
      </c>
      <c r="AG17" s="195">
        <v>267398206.33000001</v>
      </c>
      <c r="AH17" s="195">
        <v>188046725.65000001</v>
      </c>
      <c r="AI17" s="195">
        <v>102881539.90000001</v>
      </c>
      <c r="AJ17" s="195">
        <v>21998577.91</v>
      </c>
      <c r="AK17" s="195">
        <v>322450587.74000001</v>
      </c>
      <c r="AL17" s="195">
        <v>338740511.10000002</v>
      </c>
      <c r="AM17" s="195">
        <v>215984923.37</v>
      </c>
      <c r="AN17" s="195">
        <v>128887627.19</v>
      </c>
      <c r="AO17" s="195">
        <v>383781249.18000001</v>
      </c>
      <c r="AP17" s="195">
        <v>264031520.84999999</v>
      </c>
      <c r="AQ17" s="195">
        <v>98068061.640000001</v>
      </c>
      <c r="AR17" s="195">
        <v>15708291.810000001</v>
      </c>
      <c r="AS17" s="195">
        <v>128336401.73999999</v>
      </c>
      <c r="AT17" s="195">
        <v>62964754.340000004</v>
      </c>
      <c r="AU17" s="195">
        <v>61928517.609999999</v>
      </c>
      <c r="AV17" s="195">
        <v>57730000</v>
      </c>
      <c r="AW17" s="195">
        <v>936164.63</v>
      </c>
      <c r="AX17" s="195">
        <v>186579.41</v>
      </c>
      <c r="AY17" s="195">
        <v>103271.45</v>
      </c>
      <c r="AZ17" s="195">
        <v>10425</v>
      </c>
      <c r="BA17" s="195">
        <v>135935.88</v>
      </c>
      <c r="BB17" s="195">
        <v>24385</v>
      </c>
      <c r="BC17" s="195">
        <v>12707</v>
      </c>
      <c r="BD17" s="195">
        <v>600</v>
      </c>
      <c r="BE17" s="195">
        <v>937941.4</v>
      </c>
      <c r="BF17" s="195">
        <v>922941.4</v>
      </c>
      <c r="BG17" s="195">
        <v>556496</v>
      </c>
      <c r="BH17" s="195">
        <v>553496</v>
      </c>
      <c r="BI17" s="195">
        <v>272840.89</v>
      </c>
      <c r="BJ17" s="195">
        <v>212391.89</v>
      </c>
      <c r="BK17" s="195">
        <v>206517.77</v>
      </c>
      <c r="BL17" s="195">
        <v>186713.60000000001</v>
      </c>
      <c r="BM17" s="195">
        <v>493432.9</v>
      </c>
      <c r="BN17" s="195">
        <v>470784.9</v>
      </c>
      <c r="BO17" s="195">
        <v>376364.6</v>
      </c>
      <c r="BP17" s="195">
        <v>7773</v>
      </c>
      <c r="BQ17" s="195">
        <v>71720</v>
      </c>
      <c r="BR17" s="195">
        <v>0</v>
      </c>
      <c r="BS17" s="195">
        <v>70720</v>
      </c>
      <c r="BT17" s="195">
        <v>3645802.9</v>
      </c>
      <c r="BU17" s="195">
        <v>8.5399999999999991</v>
      </c>
      <c r="BV17" s="195">
        <v>2800</v>
      </c>
      <c r="BW17" s="195">
        <v>0</v>
      </c>
      <c r="BX17" s="195">
        <v>0</v>
      </c>
      <c r="BY17" s="195">
        <v>0</v>
      </c>
    </row>
    <row r="18" spans="1:77" x14ac:dyDescent="0.25">
      <c r="A18" s="195" t="s">
        <v>205</v>
      </c>
      <c r="B18" s="195">
        <v>30977237.829999998</v>
      </c>
      <c r="C18" s="195">
        <v>15188263.300000001</v>
      </c>
      <c r="D18" s="195">
        <v>5361888.4800000004</v>
      </c>
      <c r="E18" s="195">
        <v>228250891.93000001</v>
      </c>
      <c r="F18" s="195">
        <v>63300451.969999999</v>
      </c>
      <c r="G18" s="195">
        <v>8786952.6500000004</v>
      </c>
      <c r="H18" s="195">
        <v>1950347.83</v>
      </c>
      <c r="I18" s="195">
        <v>87196774.329999998</v>
      </c>
      <c r="J18" s="195">
        <v>46125097.219999999</v>
      </c>
      <c r="K18" s="195">
        <v>8001781.3399999999</v>
      </c>
      <c r="L18" s="195">
        <v>5390237.4400000004</v>
      </c>
      <c r="M18" s="195">
        <v>162876927.56</v>
      </c>
      <c r="N18" s="195">
        <v>64043171.68</v>
      </c>
      <c r="O18" s="195">
        <v>44386634.25</v>
      </c>
      <c r="P18" s="195">
        <v>5928316.9400000004</v>
      </c>
      <c r="Q18" s="195">
        <v>241776446.47999999</v>
      </c>
      <c r="R18" s="195">
        <v>19104363.32</v>
      </c>
      <c r="S18" s="195">
        <v>7598172.7300000004</v>
      </c>
      <c r="T18" s="195">
        <v>7001947.3499999996</v>
      </c>
      <c r="U18" s="195">
        <v>33987429.549999997</v>
      </c>
      <c r="V18" s="195">
        <v>22680959.73</v>
      </c>
      <c r="W18" s="195">
        <v>12442756.210000001</v>
      </c>
      <c r="X18" s="195">
        <v>9401687.8000000007</v>
      </c>
      <c r="Y18" s="195">
        <v>173866553.56</v>
      </c>
      <c r="Z18" s="195">
        <v>24815254.870000001</v>
      </c>
      <c r="AA18" s="195">
        <v>4260708.2300000004</v>
      </c>
      <c r="AB18" s="195">
        <v>307656.8</v>
      </c>
      <c r="AC18" s="195">
        <v>19217148.850000001</v>
      </c>
      <c r="AD18" s="195">
        <v>17616857.59</v>
      </c>
      <c r="AE18" s="195">
        <v>740014.75</v>
      </c>
      <c r="AF18" s="195">
        <v>202376.82</v>
      </c>
      <c r="AG18" s="195">
        <v>2393979.29</v>
      </c>
      <c r="AH18" s="195">
        <v>915295.98</v>
      </c>
      <c r="AI18" s="195">
        <v>260456.7</v>
      </c>
      <c r="AJ18" s="195">
        <v>150000</v>
      </c>
      <c r="AK18" s="195">
        <v>11535721.060000001</v>
      </c>
      <c r="AL18" s="195">
        <v>396757.46</v>
      </c>
      <c r="AM18" s="195">
        <v>185842.03</v>
      </c>
      <c r="AN18" s="195">
        <v>59406.9</v>
      </c>
      <c r="AO18" s="195">
        <v>11411191.67</v>
      </c>
      <c r="AP18" s="195">
        <v>11605953.25</v>
      </c>
      <c r="AQ18" s="195">
        <v>1523118.02</v>
      </c>
      <c r="AR18" s="195">
        <v>21570.799999999999</v>
      </c>
      <c r="AS18" s="195">
        <v>6936216.1699999999</v>
      </c>
      <c r="AT18" s="195">
        <v>1237469.54</v>
      </c>
      <c r="AU18" s="195">
        <v>917813.05</v>
      </c>
      <c r="AV18" s="195">
        <v>144197.38</v>
      </c>
      <c r="AW18" s="195">
        <v>1065266.92</v>
      </c>
      <c r="AX18" s="195">
        <v>256604.93</v>
      </c>
      <c r="AY18" s="195">
        <v>113561.02</v>
      </c>
      <c r="AZ18" s="195">
        <v>35289.43</v>
      </c>
      <c r="BA18" s="195">
        <v>43179169.979999997</v>
      </c>
      <c r="BB18" s="195">
        <v>286813.03000000003</v>
      </c>
      <c r="BC18" s="195">
        <v>5243.43</v>
      </c>
      <c r="BD18" s="195">
        <v>0</v>
      </c>
      <c r="BE18" s="195">
        <v>44444383.350000001</v>
      </c>
      <c r="BF18" s="195">
        <v>23688896.16</v>
      </c>
      <c r="BG18" s="195">
        <v>23688145.710000001</v>
      </c>
      <c r="BH18" s="195">
        <v>450</v>
      </c>
      <c r="BI18" s="195">
        <v>982734.11</v>
      </c>
      <c r="BJ18" s="195">
        <v>980630.25</v>
      </c>
      <c r="BK18" s="195">
        <v>829340.25</v>
      </c>
      <c r="BL18" s="195">
        <v>0</v>
      </c>
      <c r="BM18" s="195">
        <v>1278081.1499999999</v>
      </c>
      <c r="BN18" s="195">
        <v>1202289.48</v>
      </c>
      <c r="BO18" s="195">
        <v>33881.54</v>
      </c>
      <c r="BP18" s="195">
        <v>33531.54</v>
      </c>
      <c r="BQ18" s="195">
        <v>6674418.8300000001</v>
      </c>
      <c r="BR18" s="195">
        <v>1756600</v>
      </c>
      <c r="BS18" s="195">
        <v>1817862.42</v>
      </c>
      <c r="BT18" s="195">
        <v>9367649.8800000008</v>
      </c>
      <c r="BU18" s="195">
        <v>21760.959999999999</v>
      </c>
      <c r="BV18" s="195">
        <v>2632395.2000000002</v>
      </c>
      <c r="BW18" s="195">
        <v>0</v>
      </c>
      <c r="BX18" s="195">
        <v>0</v>
      </c>
      <c r="BY18" s="195">
        <v>0</v>
      </c>
    </row>
    <row r="19" spans="1:77" x14ac:dyDescent="0.25">
      <c r="A19" s="195" t="s">
        <v>206</v>
      </c>
      <c r="B19" s="195">
        <v>0</v>
      </c>
      <c r="C19" s="195">
        <v>0</v>
      </c>
      <c r="D19" s="195">
        <v>0</v>
      </c>
      <c r="E19" s="195">
        <v>0</v>
      </c>
      <c r="F19" s="195">
        <v>61760440.310000002</v>
      </c>
      <c r="G19" s="195">
        <v>8705977.7200000007</v>
      </c>
      <c r="H19" s="195">
        <v>1949127.3</v>
      </c>
      <c r="I19" s="195">
        <v>85368752.989999995</v>
      </c>
      <c r="J19" s="195">
        <v>45308156.299999997</v>
      </c>
      <c r="K19" s="195">
        <v>7642072.8300000001</v>
      </c>
      <c r="L19" s="195">
        <v>5284977.26</v>
      </c>
      <c r="M19" s="195">
        <v>160219100.15000001</v>
      </c>
      <c r="N19" s="195">
        <v>61303238.700000003</v>
      </c>
      <c r="O19" s="195">
        <v>43297404.770000003</v>
      </c>
      <c r="P19" s="195">
        <v>5301387.5599999996</v>
      </c>
      <c r="Q19" s="195">
        <v>223004485.63</v>
      </c>
      <c r="R19" s="195">
        <v>16940227.390000001</v>
      </c>
      <c r="S19" s="195">
        <v>6709945.1799999997</v>
      </c>
      <c r="T19" s="195">
        <v>6549981.9900000002</v>
      </c>
      <c r="U19" s="195">
        <v>30142782.98</v>
      </c>
      <c r="V19" s="195">
        <v>20639117.5</v>
      </c>
      <c r="W19" s="195">
        <v>11128771.109999999</v>
      </c>
      <c r="X19" s="195">
        <v>8807691.9199999999</v>
      </c>
      <c r="Y19" s="195">
        <v>171031269.53</v>
      </c>
      <c r="Z19" s="195">
        <v>23436250.030000001</v>
      </c>
      <c r="AA19" s="195">
        <v>3585787.44</v>
      </c>
      <c r="AB19" s="195">
        <v>11847.66</v>
      </c>
      <c r="AC19" s="195">
        <v>16053380.08</v>
      </c>
      <c r="AD19" s="195">
        <v>16034158.039999999</v>
      </c>
      <c r="AE19" s="195">
        <v>139467.82999999999</v>
      </c>
      <c r="AF19" s="195">
        <v>6869.29</v>
      </c>
      <c r="AG19" s="195">
        <v>347836.44</v>
      </c>
      <c r="AH19" s="195">
        <v>308846.96999999997</v>
      </c>
      <c r="AI19" s="195">
        <v>25086.7</v>
      </c>
      <c r="AJ19" s="195">
        <v>0</v>
      </c>
      <c r="AK19" s="195">
        <v>10704430.17</v>
      </c>
      <c r="AL19" s="195">
        <v>150630.60999999999</v>
      </c>
      <c r="AM19" s="195">
        <v>123405.18</v>
      </c>
      <c r="AN19" s="195">
        <v>33493.46</v>
      </c>
      <c r="AO19" s="195">
        <v>10132304.880000001</v>
      </c>
      <c r="AP19" s="195">
        <v>10379481.33</v>
      </c>
      <c r="AQ19" s="195">
        <v>463345.19</v>
      </c>
      <c r="AR19" s="195">
        <v>11070.8</v>
      </c>
      <c r="AS19" s="195">
        <v>5734188.3099999996</v>
      </c>
      <c r="AT19" s="195">
        <v>944595.79</v>
      </c>
      <c r="AU19" s="195">
        <v>879570.05</v>
      </c>
      <c r="AV19" s="195">
        <v>23751.599999999999</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207</v>
      </c>
      <c r="B20" s="195">
        <v>13686082025.24</v>
      </c>
      <c r="C20" s="195">
        <v>10305494586.57</v>
      </c>
      <c r="D20" s="195">
        <v>5184450306.1899996</v>
      </c>
      <c r="E20" s="195">
        <v>16749735790.280001</v>
      </c>
      <c r="F20" s="195">
        <v>11690137239.4</v>
      </c>
      <c r="G20" s="195">
        <v>7390175734.6099997</v>
      </c>
      <c r="H20" s="195">
        <v>3351389735.8800001</v>
      </c>
      <c r="I20" s="195">
        <v>5653079400.8199997</v>
      </c>
      <c r="J20" s="195">
        <v>3700887746.3800001</v>
      </c>
      <c r="K20" s="195">
        <v>2021827139.01</v>
      </c>
      <c r="L20" s="195">
        <v>671048144.64999998</v>
      </c>
      <c r="M20" s="195">
        <v>2954448758.9099998</v>
      </c>
      <c r="N20" s="195">
        <v>2570909417.4200001</v>
      </c>
      <c r="O20" s="195">
        <v>1872224164.01</v>
      </c>
      <c r="P20" s="195">
        <v>834556669.65999997</v>
      </c>
      <c r="Q20" s="195">
        <v>4168527353.5</v>
      </c>
      <c r="R20" s="195">
        <v>3576537119.5500002</v>
      </c>
      <c r="S20" s="195">
        <v>2356725856.75</v>
      </c>
      <c r="T20" s="195">
        <v>1187279247.8699999</v>
      </c>
      <c r="U20" s="195">
        <v>4425684184.9899998</v>
      </c>
      <c r="V20" s="195">
        <v>3611919792.2399998</v>
      </c>
      <c r="W20" s="195">
        <v>2373347564.3200002</v>
      </c>
      <c r="X20" s="195">
        <v>1150973611.24</v>
      </c>
      <c r="Y20" s="195">
        <v>3565918630.6399999</v>
      </c>
      <c r="Z20" s="195">
        <v>2498844994.3499999</v>
      </c>
      <c r="AA20" s="195">
        <v>1494962687.23</v>
      </c>
      <c r="AB20" s="195">
        <v>668940632.87</v>
      </c>
      <c r="AC20" s="195">
        <v>2814947695.79</v>
      </c>
      <c r="AD20" s="195">
        <v>2363634617.3699999</v>
      </c>
      <c r="AE20" s="195">
        <v>1525336478.1400001</v>
      </c>
      <c r="AF20" s="195">
        <v>710889052.70000005</v>
      </c>
      <c r="AG20" s="195">
        <v>1937665879.53</v>
      </c>
      <c r="AH20" s="195">
        <v>1258774057.05</v>
      </c>
      <c r="AI20" s="195">
        <v>799738793.79999995</v>
      </c>
      <c r="AJ20" s="195">
        <v>328553562.16000003</v>
      </c>
      <c r="AK20" s="195">
        <v>1450004068.8399999</v>
      </c>
      <c r="AL20" s="195">
        <v>1174882397.8499999</v>
      </c>
      <c r="AM20" s="195">
        <v>660975960.62</v>
      </c>
      <c r="AN20" s="195">
        <v>241632533.56999999</v>
      </c>
      <c r="AO20" s="195">
        <v>2025657872.3499999</v>
      </c>
      <c r="AP20" s="195">
        <v>1794101141.9300001</v>
      </c>
      <c r="AQ20" s="195">
        <v>1313870023.52</v>
      </c>
      <c r="AR20" s="195">
        <v>577382326.13</v>
      </c>
      <c r="AS20" s="195">
        <v>2482212439.54</v>
      </c>
      <c r="AT20" s="195">
        <v>1779391185.3900001</v>
      </c>
      <c r="AU20" s="195">
        <v>1032962378.71</v>
      </c>
      <c r="AV20" s="195">
        <v>526097731.23000002</v>
      </c>
      <c r="AW20" s="195">
        <v>1309261567.5699999</v>
      </c>
      <c r="AX20" s="195">
        <v>950392160.84000003</v>
      </c>
      <c r="AY20" s="195">
        <v>520496686.36000001</v>
      </c>
      <c r="AZ20" s="195">
        <v>277709504.26999998</v>
      </c>
      <c r="BA20" s="195">
        <v>865239671.75999999</v>
      </c>
      <c r="BB20" s="195">
        <v>720278670.76999998</v>
      </c>
      <c r="BC20" s="195">
        <v>492476505.92000002</v>
      </c>
      <c r="BD20" s="195">
        <v>233741567.09999999</v>
      </c>
      <c r="BE20" s="195">
        <v>513736246.02999997</v>
      </c>
      <c r="BF20" s="195">
        <v>470561855.29000002</v>
      </c>
      <c r="BG20" s="195">
        <v>321671552.95999998</v>
      </c>
      <c r="BH20" s="195">
        <v>145195249.19999999</v>
      </c>
      <c r="BI20" s="195">
        <v>302097498.26999998</v>
      </c>
      <c r="BJ20" s="195">
        <v>270055238.44999999</v>
      </c>
      <c r="BK20" s="195">
        <v>202659846</v>
      </c>
      <c r="BL20" s="195">
        <v>86548978.120000005</v>
      </c>
      <c r="BM20" s="195">
        <v>189949444.66999999</v>
      </c>
      <c r="BN20" s="195">
        <v>158848944.84999999</v>
      </c>
      <c r="BO20" s="195">
        <v>112094817.40000001</v>
      </c>
      <c r="BP20" s="195">
        <v>53273829.259999998</v>
      </c>
      <c r="BQ20" s="195">
        <v>114391400.66</v>
      </c>
      <c r="BR20" s="195">
        <v>110808000</v>
      </c>
      <c r="BS20" s="195">
        <v>75189418.879999995</v>
      </c>
      <c r="BT20" s="195">
        <v>60256120.609999999</v>
      </c>
      <c r="BU20" s="195">
        <v>40143473.530000001</v>
      </c>
      <c r="BV20" s="195">
        <v>36732684.829999998</v>
      </c>
      <c r="BW20" s="195">
        <v>24424633.850000001</v>
      </c>
      <c r="BX20" s="195">
        <v>17554100.09</v>
      </c>
      <c r="BY20" s="195">
        <v>0</v>
      </c>
    </row>
    <row r="21" spans="1:77" x14ac:dyDescent="0.25">
      <c r="A21" s="195" t="s">
        <v>208</v>
      </c>
      <c r="B21" s="195">
        <v>2828152344.0799999</v>
      </c>
      <c r="C21" s="195">
        <v>2075315522.8900001</v>
      </c>
      <c r="D21" s="195">
        <v>1050542707</v>
      </c>
      <c r="E21" s="195">
        <v>3440416082.3000002</v>
      </c>
      <c r="F21" s="195">
        <v>2427384390.1100001</v>
      </c>
      <c r="G21" s="195">
        <v>1580614505.98</v>
      </c>
      <c r="H21" s="195">
        <v>763562067.22000003</v>
      </c>
      <c r="I21" s="195">
        <v>1105009965.22</v>
      </c>
      <c r="J21" s="195">
        <v>727221559.33000004</v>
      </c>
      <c r="K21" s="195">
        <v>388388335.63999999</v>
      </c>
      <c r="L21" s="195">
        <v>126267426.09999999</v>
      </c>
      <c r="M21" s="195">
        <v>674887970.39999998</v>
      </c>
      <c r="N21" s="195">
        <v>624632543.83000004</v>
      </c>
      <c r="O21" s="195">
        <v>475876081.47000003</v>
      </c>
      <c r="P21" s="195">
        <v>200891416.84999999</v>
      </c>
      <c r="Q21" s="195">
        <v>950980245.09000003</v>
      </c>
      <c r="R21" s="195">
        <v>866383398.58000004</v>
      </c>
      <c r="S21" s="195">
        <v>560358515.97000003</v>
      </c>
      <c r="T21" s="195">
        <v>263187145.33000001</v>
      </c>
      <c r="U21" s="195">
        <v>659900041.15999997</v>
      </c>
      <c r="V21" s="195">
        <v>588080065.97000003</v>
      </c>
      <c r="W21" s="195">
        <v>395934009.92000002</v>
      </c>
      <c r="X21" s="195">
        <v>196924891.36000001</v>
      </c>
      <c r="Y21" s="195">
        <v>545978664.79999995</v>
      </c>
      <c r="Z21" s="195">
        <v>399714664.26999998</v>
      </c>
      <c r="AA21" s="195">
        <v>240981557.03</v>
      </c>
      <c r="AB21" s="195">
        <v>110571592.18000001</v>
      </c>
      <c r="AC21" s="195">
        <v>419540335.66000003</v>
      </c>
      <c r="AD21" s="195">
        <v>376690567.62</v>
      </c>
      <c r="AE21" s="195">
        <v>239692152.06999999</v>
      </c>
      <c r="AF21" s="195">
        <v>112573320.41</v>
      </c>
      <c r="AG21" s="195">
        <v>216911869.09</v>
      </c>
      <c r="AH21" s="195">
        <v>169490169.12</v>
      </c>
      <c r="AI21" s="195">
        <v>112957375.26000001</v>
      </c>
      <c r="AJ21" s="195">
        <v>47305730.049999997</v>
      </c>
      <c r="AK21" s="195">
        <v>170280700.09999999</v>
      </c>
      <c r="AL21" s="195">
        <v>143075951.34</v>
      </c>
      <c r="AM21" s="195">
        <v>70883531</v>
      </c>
      <c r="AN21" s="195">
        <v>21707020.260000002</v>
      </c>
      <c r="AO21" s="195">
        <v>267561854.19</v>
      </c>
      <c r="AP21" s="195">
        <v>397216912.63</v>
      </c>
      <c r="AQ21" s="195">
        <v>303392968.00999999</v>
      </c>
      <c r="AR21" s="195">
        <v>145973203.19999999</v>
      </c>
      <c r="AS21" s="195">
        <v>785351995.83000004</v>
      </c>
      <c r="AT21" s="195">
        <v>535364449.35000002</v>
      </c>
      <c r="AU21" s="195">
        <v>330796133.05000001</v>
      </c>
      <c r="AV21" s="195">
        <v>159222138.30000001</v>
      </c>
      <c r="AW21" s="195">
        <v>395504745.88</v>
      </c>
      <c r="AX21" s="195">
        <v>312966519.83999997</v>
      </c>
      <c r="AY21" s="195">
        <v>187204924.31999999</v>
      </c>
      <c r="AZ21" s="195">
        <v>92739488.439999998</v>
      </c>
      <c r="BA21" s="195">
        <v>247242583.87</v>
      </c>
      <c r="BB21" s="195">
        <v>239681163.93000001</v>
      </c>
      <c r="BC21" s="195">
        <v>163933960.13</v>
      </c>
      <c r="BD21" s="195">
        <v>77062708.590000004</v>
      </c>
      <c r="BE21" s="195">
        <v>110145253.75</v>
      </c>
      <c r="BF21" s="195">
        <v>155666014.77000001</v>
      </c>
      <c r="BG21" s="195">
        <v>106392934.72</v>
      </c>
      <c r="BH21" s="195">
        <v>47916955.189999998</v>
      </c>
      <c r="BI21" s="195">
        <v>69827184.349999994</v>
      </c>
      <c r="BJ21" s="195">
        <v>83415879.280000001</v>
      </c>
      <c r="BK21" s="195">
        <v>64376652.189999998</v>
      </c>
      <c r="BL21" s="195">
        <v>28561162.780000001</v>
      </c>
      <c r="BM21" s="195">
        <v>35623007.479999997</v>
      </c>
      <c r="BN21" s="195">
        <v>34483818.920000002</v>
      </c>
      <c r="BO21" s="195">
        <v>19054956.859999999</v>
      </c>
      <c r="BP21" s="195">
        <v>17580363.66</v>
      </c>
      <c r="BQ21" s="195">
        <v>13663007.48</v>
      </c>
      <c r="BR21" s="195">
        <v>24172100</v>
      </c>
      <c r="BS21" s="195">
        <v>12417971.18</v>
      </c>
      <c r="BT21" s="195">
        <v>10452608.25</v>
      </c>
      <c r="BU21" s="195">
        <v>13247346.26</v>
      </c>
      <c r="BV21" s="195">
        <v>10452608.25</v>
      </c>
      <c r="BW21" s="195">
        <v>3721593.27</v>
      </c>
      <c r="BX21" s="195">
        <v>3801115.32</v>
      </c>
      <c r="BY21" s="195">
        <v>0</v>
      </c>
    </row>
    <row r="22" spans="1:77" x14ac:dyDescent="0.25">
      <c r="A22" s="195" t="s">
        <v>209</v>
      </c>
      <c r="B22" s="195">
        <v>10857929681.16</v>
      </c>
      <c r="C22" s="195">
        <v>8230179063.6800003</v>
      </c>
      <c r="D22" s="195">
        <v>4133907599.1900001</v>
      </c>
      <c r="E22" s="195">
        <v>13309319707.98</v>
      </c>
      <c r="F22" s="195">
        <v>9262752849.2900009</v>
      </c>
      <c r="G22" s="195">
        <v>5809561228.6300001</v>
      </c>
      <c r="H22" s="195">
        <v>2587827668.6599998</v>
      </c>
      <c r="I22" s="195">
        <v>4548069435.6000004</v>
      </c>
      <c r="J22" s="195">
        <v>2973666187.0500002</v>
      </c>
      <c r="K22" s="195">
        <v>1633438803.3699999</v>
      </c>
      <c r="L22" s="195">
        <v>544780718.54999995</v>
      </c>
      <c r="M22" s="195">
        <v>2279560788.5100002</v>
      </c>
      <c r="N22" s="195">
        <v>1946276873.5899999</v>
      </c>
      <c r="O22" s="195">
        <v>1396348082.54</v>
      </c>
      <c r="P22" s="195">
        <v>633665252.80999994</v>
      </c>
      <c r="Q22" s="195">
        <v>3217547108.4099998</v>
      </c>
      <c r="R22" s="195">
        <v>2710153720.9699998</v>
      </c>
      <c r="S22" s="195">
        <v>1796367340.78</v>
      </c>
      <c r="T22" s="195">
        <v>924092102.53999996</v>
      </c>
      <c r="U22" s="195">
        <v>3765784143.8299999</v>
      </c>
      <c r="V22" s="195">
        <v>3023839726.27</v>
      </c>
      <c r="W22" s="195">
        <v>1977413554.4000001</v>
      </c>
      <c r="X22" s="195">
        <v>954048719.88</v>
      </c>
      <c r="Y22" s="195">
        <v>3019939965.8400002</v>
      </c>
      <c r="Z22" s="195">
        <v>2099130330.0799999</v>
      </c>
      <c r="AA22" s="195">
        <v>1253981130.2</v>
      </c>
      <c r="AB22" s="195">
        <v>558369040.69000006</v>
      </c>
      <c r="AC22" s="195">
        <v>2395407360.1300001</v>
      </c>
      <c r="AD22" s="195">
        <v>1986944049.75</v>
      </c>
      <c r="AE22" s="195">
        <v>1285644326.0699999</v>
      </c>
      <c r="AF22" s="195">
        <v>598315732.28999996</v>
      </c>
      <c r="AG22" s="195">
        <v>1720754010.4400001</v>
      </c>
      <c r="AH22" s="195">
        <v>1089283887.9300001</v>
      </c>
      <c r="AI22" s="195">
        <v>686781418.53999996</v>
      </c>
      <c r="AJ22" s="195">
        <v>281247832.11000001</v>
      </c>
      <c r="AK22" s="195">
        <v>1279723368.74</v>
      </c>
      <c r="AL22" s="195">
        <v>1031806446.51</v>
      </c>
      <c r="AM22" s="195">
        <v>590092429.62</v>
      </c>
      <c r="AN22" s="195">
        <v>219925513.31</v>
      </c>
      <c r="AO22" s="195">
        <v>1758096018.1600001</v>
      </c>
      <c r="AP22" s="195">
        <v>1396884229.3</v>
      </c>
      <c r="AQ22" s="195">
        <v>1010477055.51</v>
      </c>
      <c r="AR22" s="195">
        <v>431409122.93000001</v>
      </c>
      <c r="AS22" s="195">
        <v>1696860443.71</v>
      </c>
      <c r="AT22" s="195">
        <v>1244026736.04</v>
      </c>
      <c r="AU22" s="195">
        <v>702166245.65999997</v>
      </c>
      <c r="AV22" s="195">
        <v>366875592.93000001</v>
      </c>
      <c r="AW22" s="195">
        <v>913756821.69000006</v>
      </c>
      <c r="AX22" s="195">
        <v>637425641</v>
      </c>
      <c r="AY22" s="195">
        <v>333291762.04000002</v>
      </c>
      <c r="AZ22" s="195">
        <v>184970015.83000001</v>
      </c>
      <c r="BA22" s="195">
        <v>617997087.88999999</v>
      </c>
      <c r="BB22" s="195">
        <v>480597506.83999997</v>
      </c>
      <c r="BC22" s="195">
        <v>328542545.79000002</v>
      </c>
      <c r="BD22" s="195">
        <v>156678858.50999999</v>
      </c>
      <c r="BE22" s="195">
        <v>403590992.27999997</v>
      </c>
      <c r="BF22" s="195">
        <v>314895840.51999998</v>
      </c>
      <c r="BG22" s="195">
        <v>215278618.24000001</v>
      </c>
      <c r="BH22" s="195">
        <v>97278294.010000005</v>
      </c>
      <c r="BI22" s="195">
        <v>232270313.91999999</v>
      </c>
      <c r="BJ22" s="195">
        <v>186639359.16999999</v>
      </c>
      <c r="BK22" s="195">
        <v>138283193.81</v>
      </c>
      <c r="BL22" s="195">
        <v>57987815.340000004</v>
      </c>
      <c r="BM22" s="195">
        <v>154326437.19</v>
      </c>
      <c r="BN22" s="195">
        <v>124365125.93000001</v>
      </c>
      <c r="BO22" s="195">
        <v>93039860.540000007</v>
      </c>
      <c r="BP22" s="195">
        <v>35693465.600000001</v>
      </c>
      <c r="BQ22" s="195">
        <v>100728393.18000001</v>
      </c>
      <c r="BR22" s="195">
        <v>86635900</v>
      </c>
      <c r="BS22" s="195">
        <v>62771447.700000003</v>
      </c>
      <c r="BT22" s="195">
        <v>49803512.359999999</v>
      </c>
      <c r="BU22" s="195">
        <v>26896127.27</v>
      </c>
      <c r="BV22" s="195">
        <v>26280076.579999998</v>
      </c>
      <c r="BW22" s="195">
        <v>20703040.579999998</v>
      </c>
      <c r="BX22" s="195">
        <v>13752984.77</v>
      </c>
      <c r="BY22" s="195">
        <v>0</v>
      </c>
    </row>
    <row r="23" spans="1:77" x14ac:dyDescent="0.25">
      <c r="A23" s="195" t="s">
        <v>210</v>
      </c>
      <c r="B23" s="195">
        <v>9021021453.5599995</v>
      </c>
      <c r="C23" s="195">
        <v>6949934414.3199997</v>
      </c>
      <c r="D23" s="195">
        <v>3545722178.1700001</v>
      </c>
      <c r="E23" s="195">
        <v>11134790281.66</v>
      </c>
      <c r="F23" s="195">
        <v>7810995979.0200005</v>
      </c>
      <c r="G23" s="195">
        <v>4861037879.29</v>
      </c>
      <c r="H23" s="195">
        <v>2195059805.8499999</v>
      </c>
      <c r="I23" s="195">
        <v>3679421831.9000001</v>
      </c>
      <c r="J23" s="195">
        <v>2500252820.9200001</v>
      </c>
      <c r="K23" s="195">
        <v>1367975076.25</v>
      </c>
      <c r="L23" s="195">
        <v>443640458.97000003</v>
      </c>
      <c r="M23" s="195">
        <v>1609743609.5899999</v>
      </c>
      <c r="N23" s="195">
        <v>1435753711.2</v>
      </c>
      <c r="O23" s="195">
        <v>1018699394.45</v>
      </c>
      <c r="P23" s="195">
        <v>470872728.80000001</v>
      </c>
      <c r="Q23" s="195">
        <v>2419366386.5500002</v>
      </c>
      <c r="R23" s="195">
        <v>2097858933.1199999</v>
      </c>
      <c r="S23" s="195">
        <v>1404561820.1300001</v>
      </c>
      <c r="T23" s="195">
        <v>752611766.5</v>
      </c>
      <c r="U23" s="195">
        <v>2891412294.7399998</v>
      </c>
      <c r="V23" s="195">
        <v>2336775291.6900001</v>
      </c>
      <c r="W23" s="195">
        <v>1537897472.3900001</v>
      </c>
      <c r="X23" s="195">
        <v>741789087.20000005</v>
      </c>
      <c r="Y23" s="195">
        <v>2348879482.6999998</v>
      </c>
      <c r="Z23" s="195">
        <v>1648541187.46</v>
      </c>
      <c r="AA23" s="195">
        <v>983799125.79999995</v>
      </c>
      <c r="AB23" s="195">
        <v>441832100.36000001</v>
      </c>
      <c r="AC23" s="195">
        <v>1853900338.8399999</v>
      </c>
      <c r="AD23" s="195">
        <v>1538531673.3199999</v>
      </c>
      <c r="AE23" s="195">
        <v>998260867.17999995</v>
      </c>
      <c r="AF23" s="195">
        <v>480054633.51999998</v>
      </c>
      <c r="AG23" s="195">
        <v>1530208250.53</v>
      </c>
      <c r="AH23" s="195">
        <v>968675024.64999998</v>
      </c>
      <c r="AI23" s="195">
        <v>605710369.50999999</v>
      </c>
      <c r="AJ23" s="195">
        <v>250694403.74000001</v>
      </c>
      <c r="AK23" s="195">
        <v>1066378578.77</v>
      </c>
      <c r="AL23" s="195">
        <v>864060587.13</v>
      </c>
      <c r="AM23" s="195">
        <v>502447813.77999997</v>
      </c>
      <c r="AN23" s="195">
        <v>191341854.47</v>
      </c>
      <c r="AO23" s="195">
        <v>1509736369.9000001</v>
      </c>
      <c r="AP23" s="195">
        <v>1209735020.26</v>
      </c>
      <c r="AQ23" s="195">
        <v>880737141.87</v>
      </c>
      <c r="AR23" s="195">
        <v>376283736.52999997</v>
      </c>
      <c r="AS23" s="195">
        <v>1481341778.1199999</v>
      </c>
      <c r="AT23" s="195">
        <v>1098643157.72</v>
      </c>
      <c r="AU23" s="195">
        <v>606169270.01999998</v>
      </c>
      <c r="AV23" s="195">
        <v>320161510.25999999</v>
      </c>
      <c r="AW23" s="195">
        <v>825958784.41999996</v>
      </c>
      <c r="AX23" s="195">
        <v>578955170.51999998</v>
      </c>
      <c r="AY23" s="195">
        <v>318576173.89999998</v>
      </c>
      <c r="AZ23" s="195">
        <v>178056568.53999999</v>
      </c>
      <c r="BA23" s="195">
        <v>617630223.96000004</v>
      </c>
      <c r="BB23" s="195">
        <v>480242494.01999998</v>
      </c>
      <c r="BC23" s="195">
        <v>328297187.08999997</v>
      </c>
      <c r="BD23" s="195">
        <v>156643377.97999999</v>
      </c>
      <c r="BE23" s="195">
        <v>403504443.85000002</v>
      </c>
      <c r="BF23" s="195">
        <v>314864700.99000001</v>
      </c>
      <c r="BG23" s="195">
        <v>215280493.22999999</v>
      </c>
      <c r="BH23" s="195">
        <v>97285939.310000002</v>
      </c>
      <c r="BI23" s="195">
        <v>232278153.27000001</v>
      </c>
      <c r="BJ23" s="195">
        <v>186639359.16999999</v>
      </c>
      <c r="BK23" s="195">
        <v>138283193.81</v>
      </c>
      <c r="BL23" s="195">
        <v>57987815.340000004</v>
      </c>
      <c r="BM23" s="195">
        <v>154326437.19</v>
      </c>
      <c r="BN23" s="195">
        <v>124365125.93000001</v>
      </c>
      <c r="BO23" s="195">
        <v>93039860.540000007</v>
      </c>
      <c r="BP23" s="195">
        <v>35693465.600000001</v>
      </c>
      <c r="BQ23" s="195">
        <v>100728393.18000001</v>
      </c>
      <c r="BR23" s="195">
        <v>86635900</v>
      </c>
      <c r="BS23" s="195">
        <v>62771447.700000003</v>
      </c>
      <c r="BT23" s="195">
        <v>49803512.359999999</v>
      </c>
      <c r="BU23" s="195">
        <v>26896127.27</v>
      </c>
      <c r="BV23" s="195">
        <v>26280076.579999998</v>
      </c>
      <c r="BW23" s="195">
        <v>20703040.579999998</v>
      </c>
      <c r="BX23" s="195">
        <v>13752984.77</v>
      </c>
      <c r="BY23" s="195">
        <v>0</v>
      </c>
    </row>
    <row r="24" spans="1:77" x14ac:dyDescent="0.25">
      <c r="A24" s="195" t="s">
        <v>211</v>
      </c>
      <c r="B24" s="195">
        <v>1836908227.5999999</v>
      </c>
      <c r="C24" s="195">
        <v>1280244649.3599999</v>
      </c>
      <c r="D24" s="195">
        <v>588185421.01999998</v>
      </c>
      <c r="E24" s="195">
        <v>2174529426.3200002</v>
      </c>
      <c r="F24" s="195">
        <v>1451756870.27</v>
      </c>
      <c r="G24" s="195">
        <v>948523349.34000003</v>
      </c>
      <c r="H24" s="195">
        <v>392767862.81</v>
      </c>
      <c r="I24" s="195">
        <v>868647603.70000005</v>
      </c>
      <c r="J24" s="195">
        <v>473413366.13</v>
      </c>
      <c r="K24" s="195">
        <v>265463727.12</v>
      </c>
      <c r="L24" s="195">
        <v>101140259.58</v>
      </c>
      <c r="M24" s="195">
        <v>669817178.91999996</v>
      </c>
      <c r="N24" s="195">
        <v>510523162.38999999</v>
      </c>
      <c r="O24" s="195">
        <v>377648688.08999997</v>
      </c>
      <c r="P24" s="195">
        <v>162792524.00999999</v>
      </c>
      <c r="Q24" s="195">
        <v>798180721.86000001</v>
      </c>
      <c r="R24" s="195">
        <v>612294787.85000002</v>
      </c>
      <c r="S24" s="195">
        <v>391805520.64999998</v>
      </c>
      <c r="T24" s="195">
        <v>171480336.03999999</v>
      </c>
      <c r="U24" s="195">
        <v>874371849.09000003</v>
      </c>
      <c r="V24" s="195">
        <v>687064434.58000004</v>
      </c>
      <c r="W24" s="195">
        <v>439516082.00999999</v>
      </c>
      <c r="X24" s="195">
        <v>212259632.68000001</v>
      </c>
      <c r="Y24" s="195">
        <v>671060483.13999999</v>
      </c>
      <c r="Z24" s="195">
        <v>450589142.62</v>
      </c>
      <c r="AA24" s="195">
        <v>270182004.39999998</v>
      </c>
      <c r="AB24" s="195">
        <v>116536940.33</v>
      </c>
      <c r="AC24" s="195">
        <v>541507021.28999996</v>
      </c>
      <c r="AD24" s="195">
        <v>448412376.43000001</v>
      </c>
      <c r="AE24" s="195">
        <v>287383458.88999999</v>
      </c>
      <c r="AF24" s="195">
        <v>118261098.77</v>
      </c>
      <c r="AG24" s="195">
        <v>190545759.91</v>
      </c>
      <c r="AH24" s="195">
        <v>120608863.28</v>
      </c>
      <c r="AI24" s="195">
        <v>81071049.030000001</v>
      </c>
      <c r="AJ24" s="195">
        <v>30553428.370000001</v>
      </c>
      <c r="AK24" s="195">
        <v>213344789.97</v>
      </c>
      <c r="AL24" s="195">
        <v>167745859.38</v>
      </c>
      <c r="AM24" s="195">
        <v>87644615.840000004</v>
      </c>
      <c r="AN24" s="195">
        <v>28583658.84</v>
      </c>
      <c r="AO24" s="195">
        <v>248359648.25999999</v>
      </c>
      <c r="AP24" s="195">
        <v>187149209.03999999</v>
      </c>
      <c r="AQ24" s="195">
        <v>129739913.64</v>
      </c>
      <c r="AR24" s="195">
        <v>55125386.399999999</v>
      </c>
      <c r="AS24" s="195">
        <v>215518665.59</v>
      </c>
      <c r="AT24" s="195">
        <v>145383578.31999999</v>
      </c>
      <c r="AU24" s="195">
        <v>95996975.640000001</v>
      </c>
      <c r="AV24" s="195">
        <v>46714082.670000002</v>
      </c>
      <c r="AW24" s="195">
        <v>87798037.269999996</v>
      </c>
      <c r="AX24" s="195">
        <v>58470470.479999997</v>
      </c>
      <c r="AY24" s="195">
        <v>14715588.140000001</v>
      </c>
      <c r="AZ24" s="195">
        <v>6913447.29</v>
      </c>
      <c r="BA24" s="195">
        <v>366863.93</v>
      </c>
      <c r="BB24" s="195">
        <v>355012.82</v>
      </c>
      <c r="BC24" s="195">
        <v>245358.7</v>
      </c>
      <c r="BD24" s="195">
        <v>35480.53</v>
      </c>
      <c r="BE24" s="195">
        <v>86548.43</v>
      </c>
      <c r="BF24" s="195">
        <v>31139.53</v>
      </c>
      <c r="BG24" s="195">
        <v>-1874.99</v>
      </c>
      <c r="BH24" s="195">
        <v>-7645.3</v>
      </c>
      <c r="BI24" s="195">
        <v>-7839.35</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212</v>
      </c>
    </row>
    <row r="26" spans="1:77" x14ac:dyDescent="0.25">
      <c r="A26" s="195" t="s">
        <v>213</v>
      </c>
      <c r="B26" s="195">
        <v>3.3</v>
      </c>
      <c r="C26" s="195">
        <v>2.54</v>
      </c>
      <c r="D26" s="195">
        <v>1.3</v>
      </c>
      <c r="E26" s="195">
        <v>4.09</v>
      </c>
      <c r="F26" s="195">
        <v>2.87</v>
      </c>
      <c r="G26" s="195">
        <v>1.79</v>
      </c>
      <c r="H26" s="195">
        <v>0.96</v>
      </c>
      <c r="I26" s="195">
        <v>1.7</v>
      </c>
      <c r="J26" s="195">
        <v>1.1599999999999999</v>
      </c>
      <c r="K26" s="195">
        <v>0.63</v>
      </c>
      <c r="L26" s="195">
        <v>0.21</v>
      </c>
      <c r="M26" s="195">
        <v>0.74</v>
      </c>
      <c r="N26" s="195">
        <v>0.66</v>
      </c>
      <c r="O26" s="195">
        <v>0.47</v>
      </c>
      <c r="P26" s="195">
        <v>0.22</v>
      </c>
      <c r="Q26" s="195">
        <v>1.1200000000000001</v>
      </c>
      <c r="R26" s="195">
        <v>0.97</v>
      </c>
      <c r="S26" s="195">
        <v>0.65</v>
      </c>
      <c r="T26" s="195">
        <v>0.35</v>
      </c>
      <c r="U26" s="195">
        <v>1.34</v>
      </c>
      <c r="V26" s="195">
        <v>1.08</v>
      </c>
      <c r="W26" s="195">
        <v>0.71</v>
      </c>
      <c r="X26" s="195">
        <v>0.34</v>
      </c>
      <c r="Y26" s="195">
        <v>1.0900000000000001</v>
      </c>
      <c r="Z26" s="195">
        <v>0.76</v>
      </c>
      <c r="AA26" s="195">
        <v>0.45</v>
      </c>
      <c r="AB26" s="195">
        <v>0.2</v>
      </c>
      <c r="AC26" s="195">
        <v>0.86</v>
      </c>
      <c r="AD26" s="195">
        <v>0.71</v>
      </c>
      <c r="AE26" s="195">
        <v>0.46</v>
      </c>
      <c r="AF26" s="195">
        <v>0.28999999999999998</v>
      </c>
      <c r="AG26" s="195">
        <v>0.92</v>
      </c>
      <c r="AH26" s="195">
        <v>0.57999999999999996</v>
      </c>
      <c r="AI26" s="195">
        <v>0.36</v>
      </c>
      <c r="AJ26" s="195">
        <v>0.15</v>
      </c>
      <c r="AK26" s="195">
        <v>0.64</v>
      </c>
      <c r="AL26" s="195">
        <v>0.52</v>
      </c>
      <c r="AM26" s="195">
        <v>0.3</v>
      </c>
      <c r="AN26" s="195">
        <v>0.12</v>
      </c>
      <c r="AO26" s="195">
        <v>0.91</v>
      </c>
      <c r="AP26" s="195">
        <v>0.73</v>
      </c>
      <c r="AQ26" s="195">
        <v>0.53</v>
      </c>
      <c r="AR26" s="195">
        <v>0.23</v>
      </c>
      <c r="AS26" s="195">
        <v>0.89</v>
      </c>
      <c r="AT26" s="195">
        <v>0.66</v>
      </c>
      <c r="AU26" s="195">
        <v>0.51</v>
      </c>
      <c r="AV26" s="195">
        <v>0.27</v>
      </c>
      <c r="AW26" s="195">
        <v>0</v>
      </c>
      <c r="AX26" s="195">
        <v>0</v>
      </c>
      <c r="AY26" s="195">
        <v>0</v>
      </c>
      <c r="AZ26" s="195">
        <v>0</v>
      </c>
      <c r="BA26" s="195">
        <v>0.73</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row>
    <row r="27" spans="1:77" x14ac:dyDescent="0.25">
      <c r="A27" s="195" t="s">
        <v>214</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1.34</v>
      </c>
      <c r="V27" s="195">
        <v>0</v>
      </c>
      <c r="W27" s="195">
        <v>0.71</v>
      </c>
      <c r="X27" s="195">
        <v>0</v>
      </c>
      <c r="Y27" s="195">
        <v>1.0900000000000001</v>
      </c>
      <c r="Z27" s="195">
        <v>0</v>
      </c>
      <c r="AA27" s="195">
        <v>0.45</v>
      </c>
      <c r="AB27" s="195">
        <v>0</v>
      </c>
      <c r="AC27" s="195">
        <v>0</v>
      </c>
      <c r="AD27" s="195">
        <v>0</v>
      </c>
      <c r="AE27" s="195">
        <v>0</v>
      </c>
      <c r="AF27" s="195">
        <v>0</v>
      </c>
      <c r="AG27" s="195">
        <v>0</v>
      </c>
      <c r="AH27" s="195">
        <v>0</v>
      </c>
      <c r="AI27" s="195">
        <v>0</v>
      </c>
      <c r="AJ27" s="195">
        <v>0</v>
      </c>
      <c r="AK27" s="195">
        <v>0</v>
      </c>
      <c r="AL27" s="195">
        <v>0.52</v>
      </c>
      <c r="AM27" s="195">
        <v>0.3</v>
      </c>
      <c r="AN27" s="195">
        <v>0.12</v>
      </c>
      <c r="AO27" s="195">
        <v>0</v>
      </c>
      <c r="AP27" s="195">
        <v>0.73</v>
      </c>
      <c r="AQ27" s="195">
        <v>0.53</v>
      </c>
      <c r="AR27" s="195">
        <v>0</v>
      </c>
      <c r="AS27" s="195">
        <v>0</v>
      </c>
      <c r="AT27" s="195">
        <v>0.66</v>
      </c>
      <c r="AU27" s="195">
        <v>0.51</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215</v>
      </c>
      <c r="B28" s="195">
        <v>-59270574.18</v>
      </c>
      <c r="C28" s="195">
        <v>-17507283.039999999</v>
      </c>
      <c r="D28" s="195">
        <v>-8991898.6699999999</v>
      </c>
      <c r="E28" s="195">
        <v>1911032.41</v>
      </c>
      <c r="F28" s="195">
        <v>8664920.9900000002</v>
      </c>
      <c r="G28" s="195">
        <v>4142645.86</v>
      </c>
      <c r="H28" s="195">
        <v>5280183.03</v>
      </c>
      <c r="I28" s="195">
        <v>3592393.74</v>
      </c>
      <c r="J28" s="195">
        <v>743055.71</v>
      </c>
      <c r="K28" s="195">
        <v>1188664.8999999999</v>
      </c>
      <c r="L28" s="195">
        <v>-2096744.8</v>
      </c>
      <c r="M28" s="195">
        <v>16541396.93</v>
      </c>
      <c r="N28" s="195">
        <v>-1167951.68</v>
      </c>
      <c r="O28" s="195">
        <v>-5752190.8200000003</v>
      </c>
      <c r="P28" s="195">
        <v>-5969877.6200000001</v>
      </c>
      <c r="Q28" s="195">
        <v>9723246.3499999996</v>
      </c>
      <c r="R28" s="195">
        <v>14954633.630000001</v>
      </c>
      <c r="S28" s="195">
        <v>8403430.0700000003</v>
      </c>
      <c r="T28" s="195">
        <v>1609809.44</v>
      </c>
      <c r="U28" s="195">
        <v>-4243488.53</v>
      </c>
      <c r="V28" s="195">
        <v>-1349454.41</v>
      </c>
      <c r="W28" s="195">
        <v>-7569434.6100000003</v>
      </c>
      <c r="X28" s="195">
        <v>2268375.2799999998</v>
      </c>
      <c r="Y28" s="195">
        <v>-14568213.529999999</v>
      </c>
      <c r="Z28" s="195">
        <v>-12939994.710000001</v>
      </c>
      <c r="AA28" s="195">
        <v>-5643456.9400000004</v>
      </c>
      <c r="AB28" s="195">
        <v>6914964.0700000003</v>
      </c>
      <c r="AC28" s="195">
        <v>-67568778.25</v>
      </c>
      <c r="AD28" s="195">
        <v>-48153995.969999999</v>
      </c>
      <c r="AE28" s="195">
        <v>-22805961.829999998</v>
      </c>
      <c r="AF28" s="195">
        <v>-9362185.2400000002</v>
      </c>
      <c r="AG28" s="195">
        <v>64036938.460000001</v>
      </c>
      <c r="AH28" s="195">
        <v>48986190.280000001</v>
      </c>
      <c r="AI28" s="195">
        <v>17426875.359999999</v>
      </c>
      <c r="AJ28" s="195">
        <v>37713539.780000001</v>
      </c>
      <c r="AK28" s="195">
        <v>-931604.56</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row>
    <row r="29" spans="1:77" x14ac:dyDescent="0.25">
      <c r="A29" s="195" t="s">
        <v>216</v>
      </c>
      <c r="B29" s="195">
        <v>10798659106.98</v>
      </c>
      <c r="C29" s="195">
        <v>8212671780.6400003</v>
      </c>
      <c r="D29" s="195">
        <v>4124915700.52</v>
      </c>
      <c r="E29" s="195">
        <v>13311230740.389999</v>
      </c>
      <c r="F29" s="195">
        <v>9271417770.2800007</v>
      </c>
      <c r="G29" s="195">
        <v>5813703874.4899998</v>
      </c>
      <c r="H29" s="195">
        <v>2593107851.6900001</v>
      </c>
      <c r="I29" s="195">
        <v>4551661829.3400002</v>
      </c>
      <c r="J29" s="195">
        <v>2974409242.7600002</v>
      </c>
      <c r="K29" s="195">
        <v>1634627468.27</v>
      </c>
      <c r="L29" s="195">
        <v>542683973.75</v>
      </c>
      <c r="M29" s="195">
        <v>2296102185.4400001</v>
      </c>
      <c r="N29" s="195">
        <v>1945108921.9100001</v>
      </c>
      <c r="O29" s="195">
        <v>1390595891.72</v>
      </c>
      <c r="P29" s="195">
        <v>627695375.19000006</v>
      </c>
      <c r="Q29" s="195">
        <v>3227270354.7600002</v>
      </c>
      <c r="R29" s="195">
        <v>2725108354.5999999</v>
      </c>
      <c r="S29" s="195">
        <v>1804770770.8499999</v>
      </c>
      <c r="T29" s="195">
        <v>925701911.98000002</v>
      </c>
      <c r="U29" s="195">
        <v>3761540655.3000002</v>
      </c>
      <c r="V29" s="195">
        <v>3022490271.8600001</v>
      </c>
      <c r="W29" s="195">
        <v>1969844119.79</v>
      </c>
      <c r="X29" s="195">
        <v>956317095.15999997</v>
      </c>
      <c r="Y29" s="195">
        <v>3005371752.3099999</v>
      </c>
      <c r="Z29" s="195">
        <v>2086190335.3699999</v>
      </c>
      <c r="AA29" s="195">
        <v>1248337673.26</v>
      </c>
      <c r="AB29" s="195">
        <v>565284004.75999999</v>
      </c>
      <c r="AC29" s="195">
        <v>2327838581.8800001</v>
      </c>
      <c r="AD29" s="195">
        <v>1938790053.78</v>
      </c>
      <c r="AE29" s="195">
        <v>1262838364.24</v>
      </c>
      <c r="AF29" s="195">
        <v>588953547.04999995</v>
      </c>
      <c r="AG29" s="195">
        <v>1784790948.9000001</v>
      </c>
      <c r="AH29" s="195">
        <v>1138270078.21</v>
      </c>
      <c r="AI29" s="195">
        <v>704208293.89999998</v>
      </c>
      <c r="AJ29" s="195">
        <v>318961371.88999999</v>
      </c>
      <c r="AK29" s="195">
        <v>1278791764.1800001</v>
      </c>
      <c r="AL29" s="195">
        <v>0</v>
      </c>
      <c r="AM29" s="195">
        <v>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row>
    <row r="30" spans="1:77" x14ac:dyDescent="0.25">
      <c r="A30" s="195" t="s">
        <v>217</v>
      </c>
      <c r="B30" s="195">
        <v>8961750879.3799992</v>
      </c>
      <c r="C30" s="195">
        <v>6932427131.2799997</v>
      </c>
      <c r="D30" s="195">
        <v>3536730279.5</v>
      </c>
      <c r="E30" s="195">
        <v>11136701314.07</v>
      </c>
      <c r="F30" s="195">
        <v>7819660900.0100002</v>
      </c>
      <c r="G30" s="195">
        <v>4865180525.1499996</v>
      </c>
      <c r="H30" s="195">
        <v>2200339988.8800001</v>
      </c>
      <c r="I30" s="195">
        <v>3683014225.6399999</v>
      </c>
      <c r="J30" s="195">
        <v>2500995876.6300001</v>
      </c>
      <c r="K30" s="195">
        <v>1369163741.1500001</v>
      </c>
      <c r="L30" s="195">
        <v>441543714.17000002</v>
      </c>
      <c r="M30" s="195">
        <v>1626285006.52</v>
      </c>
      <c r="N30" s="195">
        <v>1434585759.52</v>
      </c>
      <c r="O30" s="195">
        <v>1012947203.63</v>
      </c>
      <c r="P30" s="195">
        <v>464902851.18000001</v>
      </c>
      <c r="Q30" s="195">
        <v>2429089632.9000001</v>
      </c>
      <c r="R30" s="195">
        <v>2112813566.75</v>
      </c>
      <c r="S30" s="195">
        <v>1412965250.2</v>
      </c>
      <c r="T30" s="195">
        <v>754221575.94000006</v>
      </c>
      <c r="U30" s="195">
        <v>2887168806.21</v>
      </c>
      <c r="V30" s="195">
        <v>2335425837.2800002</v>
      </c>
      <c r="W30" s="195">
        <v>1530328037.78</v>
      </c>
      <c r="X30" s="195">
        <v>744057462.48000002</v>
      </c>
      <c r="Y30" s="195">
        <v>2334311269.1700001</v>
      </c>
      <c r="Z30" s="195">
        <v>1635601192.75</v>
      </c>
      <c r="AA30" s="195">
        <v>978155668.86000001</v>
      </c>
      <c r="AB30" s="195">
        <v>448747064.43000001</v>
      </c>
      <c r="AC30" s="195">
        <v>1786331560.5899999</v>
      </c>
      <c r="AD30" s="195">
        <v>1490377677.3499999</v>
      </c>
      <c r="AE30" s="195">
        <v>975454905.35000002</v>
      </c>
      <c r="AF30" s="195">
        <v>470692448.27999997</v>
      </c>
      <c r="AG30" s="195">
        <v>1594245188.99</v>
      </c>
      <c r="AH30" s="195">
        <v>1017661214.9299999</v>
      </c>
      <c r="AI30" s="195">
        <v>623137244.87</v>
      </c>
      <c r="AJ30" s="195">
        <v>288407943.51999998</v>
      </c>
      <c r="AK30" s="195">
        <v>1065446974.21</v>
      </c>
      <c r="AL30" s="195">
        <v>0</v>
      </c>
      <c r="AM30" s="195">
        <v>0</v>
      </c>
      <c r="AN30" s="195">
        <v>0</v>
      </c>
      <c r="AO30" s="195">
        <v>0</v>
      </c>
      <c r="AP30" s="195">
        <v>0</v>
      </c>
      <c r="AQ30" s="195">
        <v>0</v>
      </c>
      <c r="AR30" s="195">
        <v>0</v>
      </c>
      <c r="AS30" s="195">
        <v>0</v>
      </c>
      <c r="AT30" s="195">
        <v>0</v>
      </c>
      <c r="AU30" s="195">
        <v>0</v>
      </c>
      <c r="AV30" s="195">
        <v>0</v>
      </c>
      <c r="AW30" s="195">
        <v>0</v>
      </c>
      <c r="AX30" s="195">
        <v>0</v>
      </c>
      <c r="AY30" s="195">
        <v>0</v>
      </c>
      <c r="AZ30" s="195">
        <v>0</v>
      </c>
      <c r="BA30" s="195">
        <v>0</v>
      </c>
      <c r="BB30" s="195">
        <v>0</v>
      </c>
      <c r="BC30" s="195">
        <v>0</v>
      </c>
      <c r="BD30" s="195">
        <v>0</v>
      </c>
      <c r="BE30" s="195">
        <v>0</v>
      </c>
      <c r="BF30" s="195">
        <v>0</v>
      </c>
      <c r="BG30" s="195">
        <v>0</v>
      </c>
      <c r="BH30" s="195">
        <v>0</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218</v>
      </c>
      <c r="B31" s="195">
        <v>1836908227.5999999</v>
      </c>
      <c r="C31" s="195">
        <v>1280244649.3599999</v>
      </c>
      <c r="D31" s="195">
        <v>588185421.01999998</v>
      </c>
      <c r="E31" s="195">
        <v>2174529426.3200002</v>
      </c>
      <c r="F31" s="195">
        <v>1451756870.27</v>
      </c>
      <c r="G31" s="195">
        <v>948523349.34000003</v>
      </c>
      <c r="H31" s="195">
        <v>392767862.81</v>
      </c>
      <c r="I31" s="195">
        <v>868647603.70000005</v>
      </c>
      <c r="J31" s="195">
        <v>473413366.13</v>
      </c>
      <c r="K31" s="195">
        <v>265463727.12</v>
      </c>
      <c r="L31" s="195">
        <v>101140259.58</v>
      </c>
      <c r="M31" s="195">
        <v>669817178.91999996</v>
      </c>
      <c r="N31" s="195">
        <v>510523162.38999999</v>
      </c>
      <c r="O31" s="195">
        <v>377648688.08999997</v>
      </c>
      <c r="P31" s="195">
        <v>162792524.00999999</v>
      </c>
      <c r="Q31" s="195">
        <v>798180721.86000001</v>
      </c>
      <c r="R31" s="195">
        <v>612294787.85000002</v>
      </c>
      <c r="S31" s="195">
        <v>391805520.64999998</v>
      </c>
      <c r="T31" s="195">
        <v>171480336.03999999</v>
      </c>
      <c r="U31" s="195">
        <v>874371849.09000003</v>
      </c>
      <c r="V31" s="195">
        <v>687064434.58000004</v>
      </c>
      <c r="W31" s="195">
        <v>439516082.00999999</v>
      </c>
      <c r="X31" s="195">
        <v>212259632.68000001</v>
      </c>
      <c r="Y31" s="195">
        <v>671060483.13999999</v>
      </c>
      <c r="Z31" s="195">
        <v>450589142.62</v>
      </c>
      <c r="AA31" s="195">
        <v>270182004.39999998</v>
      </c>
      <c r="AB31" s="195">
        <v>116536940.33</v>
      </c>
      <c r="AC31" s="195">
        <v>541507021.28999996</v>
      </c>
      <c r="AD31" s="195">
        <v>448412376.43000001</v>
      </c>
      <c r="AE31" s="195">
        <v>287383458.88999999</v>
      </c>
      <c r="AF31" s="195">
        <v>118261098.77</v>
      </c>
      <c r="AG31" s="195">
        <v>190545759.91</v>
      </c>
      <c r="AH31" s="195">
        <v>120608863.28</v>
      </c>
      <c r="AI31" s="195">
        <v>81071049.030000001</v>
      </c>
      <c r="AJ31" s="195">
        <v>30553428.370000001</v>
      </c>
      <c r="AK31" s="195">
        <v>213344789.97</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T77"/>
  <sheetViews>
    <sheetView topLeftCell="A31" workbookViewId="0">
      <selection activeCell="A31" sqref="A31"/>
    </sheetView>
  </sheetViews>
  <sheetFormatPr defaultRowHeight="14.4" x14ac:dyDescent="0.25"/>
  <cols>
    <col min="1" max="1" width="57.77734375" style="195" bestFit="1" customWidth="1"/>
    <col min="2" max="2" width="12.77734375" style="195" hidden="1" customWidth="1"/>
    <col min="3" max="4" width="13.88671875" style="195" hidden="1" customWidth="1"/>
    <col min="5" max="5" width="13.88671875" style="195" bestFit="1" customWidth="1"/>
    <col min="6" max="6" width="12.77734375" style="195" hidden="1" customWidth="1"/>
    <col min="7" max="7" width="13.88671875" style="195" hidden="1" customWidth="1"/>
    <col min="8" max="8" width="12.77734375" style="195" hidden="1" customWidth="1"/>
    <col min="9" max="9" width="13.88671875" style="195" bestFit="1" customWidth="1"/>
    <col min="10" max="10" width="12.77734375" style="195" hidden="1" customWidth="1"/>
    <col min="11" max="12" width="13.88671875" style="195" hidden="1" customWidth="1"/>
    <col min="13" max="13" width="13.88671875" style="195" bestFit="1" customWidth="1"/>
    <col min="14" max="16" width="13.88671875" style="195" hidden="1" customWidth="1"/>
    <col min="17" max="17" width="13.88671875" style="195" bestFit="1" customWidth="1"/>
    <col min="18" max="18" width="12.77734375" style="195" hidden="1" customWidth="1"/>
    <col min="19" max="20" width="13.88671875" style="195" hidden="1" customWidth="1"/>
    <col min="21" max="21" width="13.88671875" style="195" bestFit="1" customWidth="1"/>
    <col min="22" max="23" width="13.88671875" style="195" hidden="1" customWidth="1"/>
    <col min="24" max="24" width="12.77734375" style="195" hidden="1" customWidth="1"/>
    <col min="25" max="25" width="13.88671875" style="195" bestFit="1" customWidth="1"/>
    <col min="26" max="28" width="13.88671875" style="195" hidden="1" customWidth="1"/>
    <col min="29" max="29" width="13.88671875" style="195" bestFit="1" customWidth="1"/>
    <col min="30" max="32" width="13.88671875" style="195" hidden="1" customWidth="1"/>
    <col min="33" max="33" width="13.88671875" style="195" bestFit="1" customWidth="1"/>
    <col min="34" max="34" width="12.77734375" style="195" hidden="1" customWidth="1"/>
    <col min="35" max="36" width="13.88671875" style="195" hidden="1" customWidth="1"/>
    <col min="37" max="37" width="13.88671875" style="195" bestFit="1" customWidth="1"/>
    <col min="38" max="38" width="12.77734375" style="195" hidden="1" customWidth="1"/>
    <col min="39" max="40" width="13.88671875" style="195" hidden="1" customWidth="1"/>
    <col min="41" max="41" width="13.88671875" style="195" bestFit="1" customWidth="1"/>
    <col min="42" max="44" width="13.88671875" style="195" hidden="1" customWidth="1"/>
    <col min="45" max="45" width="13.88671875" style="195" bestFit="1" customWidth="1"/>
    <col min="46" max="48" width="13.88671875" style="195" hidden="1" customWidth="1"/>
    <col min="49" max="49" width="13.88671875" style="195" bestFit="1" customWidth="1"/>
    <col min="50" max="52" width="13.88671875" style="195" hidden="1" customWidth="1"/>
    <col min="53" max="53" width="13.88671875" style="195" bestFit="1" customWidth="1"/>
    <col min="54" max="56" width="13.88671875" style="195" hidden="1" customWidth="1"/>
    <col min="57" max="57" width="13.88671875" style="195" bestFit="1" customWidth="1"/>
    <col min="58" max="60" width="13.88671875" style="195" hidden="1" customWidth="1"/>
    <col min="61" max="61" width="13.88671875" style="195" bestFit="1" customWidth="1"/>
    <col min="62" max="64" width="13.88671875" style="195" hidden="1" customWidth="1"/>
    <col min="65" max="65" width="13.88671875" style="195" bestFit="1" customWidth="1"/>
    <col min="66" max="66" width="13.88671875" style="195" hidden="1" customWidth="1"/>
    <col min="67" max="67" width="13.88671875" style="195" bestFit="1" customWidth="1"/>
    <col min="68" max="68" width="13.88671875" style="195" hidden="1" customWidth="1"/>
    <col min="69" max="69" width="13.88671875" style="195" bestFit="1" customWidth="1"/>
    <col min="70" max="70" width="13.88671875" style="195" hidden="1" customWidth="1"/>
    <col min="71" max="71" width="13.88671875" style="195" bestFit="1" customWidth="1"/>
    <col min="72" max="72" width="9.5546875" style="195" hidden="1" customWidth="1"/>
    <col min="73" max="16384" width="8.88671875" style="195"/>
  </cols>
  <sheetData>
    <row r="1" spans="1:72"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20020630</v>
      </c>
      <c r="BO1" s="195">
        <v>20011231</v>
      </c>
      <c r="BP1" s="195">
        <v>20010630</v>
      </c>
      <c r="BQ1" s="195">
        <v>20001231</v>
      </c>
      <c r="BR1" s="195">
        <v>20000630</v>
      </c>
      <c r="BS1" s="195">
        <v>19991231</v>
      </c>
      <c r="BT1" s="195">
        <v>19700101</v>
      </c>
    </row>
    <row r="2" spans="1:72"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row>
    <row r="3" spans="1:72" x14ac:dyDescent="0.25">
      <c r="A3" s="195" t="s">
        <v>219</v>
      </c>
    </row>
    <row r="4" spans="1:72" x14ac:dyDescent="0.25">
      <c r="A4" s="195" t="s">
        <v>220</v>
      </c>
      <c r="B4" s="195">
        <v>57682262811.269997</v>
      </c>
      <c r="C4" s="195">
        <v>36671078983.330002</v>
      </c>
      <c r="D4" s="195">
        <v>16976287146.059999</v>
      </c>
      <c r="E4" s="195">
        <v>61535059267.309998</v>
      </c>
      <c r="F4" s="195">
        <v>42897180340.470001</v>
      </c>
      <c r="G4" s="195">
        <v>25049927662.849998</v>
      </c>
      <c r="H4" s="195">
        <v>11565703517.41</v>
      </c>
      <c r="I4" s="195">
        <v>37012639797.660004</v>
      </c>
      <c r="J4" s="195">
        <v>25254477060.209999</v>
      </c>
      <c r="K4" s="195">
        <v>14502819069.799999</v>
      </c>
      <c r="L4" s="195">
        <v>6199381852.5900002</v>
      </c>
      <c r="M4" s="195">
        <v>25981900736.91</v>
      </c>
      <c r="N4" s="195">
        <v>17120211868.559999</v>
      </c>
      <c r="O4" s="195">
        <v>11370141264.530001</v>
      </c>
      <c r="P4" s="195">
        <v>4489668822.2600002</v>
      </c>
      <c r="Q4" s="195">
        <v>29780903077.529999</v>
      </c>
      <c r="R4" s="195">
        <v>20339971142.209999</v>
      </c>
      <c r="S4" s="195">
        <v>12399408113.83</v>
      </c>
      <c r="T4" s="195">
        <v>5646612095.8500004</v>
      </c>
      <c r="U4" s="195">
        <v>25434710492.709999</v>
      </c>
      <c r="V4" s="195">
        <v>16584581779.299999</v>
      </c>
      <c r="W4" s="195">
        <v>10534862303.17</v>
      </c>
      <c r="X4" s="195">
        <v>4839495726.1400003</v>
      </c>
      <c r="Y4" s="195">
        <v>18685013760.110001</v>
      </c>
      <c r="Z4" s="195">
        <v>12106614342.190001</v>
      </c>
      <c r="AA4" s="195">
        <v>7752030627.0299997</v>
      </c>
      <c r="AB4" s="195">
        <v>3728292298.1999998</v>
      </c>
      <c r="AC4" s="195">
        <v>15918845089.59</v>
      </c>
      <c r="AD4" s="195">
        <v>11149448694.879999</v>
      </c>
      <c r="AE4" s="195">
        <v>7763149173.1999998</v>
      </c>
      <c r="AF4" s="195">
        <v>3537039593.6599998</v>
      </c>
      <c r="AG4" s="195">
        <v>10437416621.93</v>
      </c>
      <c r="AH4" s="195">
        <v>7352827775.46</v>
      </c>
      <c r="AI4" s="195">
        <v>4902659864.1999998</v>
      </c>
      <c r="AJ4" s="195">
        <v>2186865896.29</v>
      </c>
      <c r="AK4" s="195">
        <v>7959965606.6499996</v>
      </c>
      <c r="AL4" s="195">
        <v>5424116775.7799997</v>
      </c>
      <c r="AM4" s="195">
        <v>3470568225.4400001</v>
      </c>
      <c r="AN4" s="195">
        <v>1613817611.1400001</v>
      </c>
      <c r="AO4" s="195">
        <v>9527178125.2700005</v>
      </c>
      <c r="AP4" s="195">
        <v>6604332027.75</v>
      </c>
      <c r="AQ4" s="195">
        <v>4408299735.3400002</v>
      </c>
      <c r="AR4" s="195">
        <v>1729320727.98</v>
      </c>
      <c r="AS4" s="195">
        <v>8791855063.2999992</v>
      </c>
      <c r="AT4" s="195">
        <v>6257769827.7600002</v>
      </c>
      <c r="AU4" s="195">
        <v>3672186347.1599998</v>
      </c>
      <c r="AV4" s="195">
        <v>1787888603.78</v>
      </c>
      <c r="AW4" s="195">
        <v>5377946355.4300003</v>
      </c>
      <c r="AX4" s="195">
        <v>3816491428.75</v>
      </c>
      <c r="AY4" s="195">
        <v>2446423972.5799999</v>
      </c>
      <c r="AZ4" s="195">
        <v>1162738676.6300001</v>
      </c>
      <c r="BA4" s="195">
        <v>3860376191.9000001</v>
      </c>
      <c r="BB4" s="195">
        <v>2954112547.54</v>
      </c>
      <c r="BC4" s="195">
        <v>1911732591.21</v>
      </c>
      <c r="BD4" s="195">
        <v>918390736.91999996</v>
      </c>
      <c r="BE4" s="195">
        <v>2280997936.5100002</v>
      </c>
      <c r="BF4" s="195">
        <v>1843035504.8299999</v>
      </c>
      <c r="BG4" s="195">
        <v>1146045952.75</v>
      </c>
      <c r="BH4" s="195">
        <v>474478292.08999997</v>
      </c>
      <c r="BI4" s="195">
        <v>1609658666.6199999</v>
      </c>
      <c r="BJ4" s="195">
        <v>1162274609.3499999</v>
      </c>
      <c r="BK4" s="195">
        <v>728783183.47000003</v>
      </c>
      <c r="BL4" s="195">
        <v>331063872.73000002</v>
      </c>
      <c r="BM4" s="195">
        <v>996933601.72000003</v>
      </c>
      <c r="BN4" s="195">
        <v>278467610.75</v>
      </c>
      <c r="BO4" s="195">
        <v>643929683.94000006</v>
      </c>
      <c r="BP4" s="195">
        <v>317083323.06</v>
      </c>
      <c r="BQ4" s="195">
        <v>430942696.16000003</v>
      </c>
      <c r="BR4" s="195">
        <v>188265572.46000001</v>
      </c>
      <c r="BS4" s="195">
        <v>237176842</v>
      </c>
      <c r="BT4" s="195">
        <v>0</v>
      </c>
    </row>
    <row r="5" spans="1:72" x14ac:dyDescent="0.25">
      <c r="A5" s="195" t="s">
        <v>221</v>
      </c>
      <c r="B5" s="195">
        <v>992655089.55999994</v>
      </c>
      <c r="C5" s="195">
        <v>687547942</v>
      </c>
      <c r="D5" s="195">
        <v>307971059.44999999</v>
      </c>
      <c r="E5" s="195">
        <v>1093952152.1300001</v>
      </c>
      <c r="F5" s="195">
        <v>846364080.49000001</v>
      </c>
      <c r="G5" s="195">
        <v>535748503.75999999</v>
      </c>
      <c r="H5" s="195">
        <v>250559423.69</v>
      </c>
      <c r="I5" s="195">
        <v>456361742</v>
      </c>
      <c r="J5" s="195">
        <v>334973600.5</v>
      </c>
      <c r="K5" s="195">
        <v>238154299.56999999</v>
      </c>
      <c r="L5" s="195">
        <v>104004015.84</v>
      </c>
      <c r="M5" s="195">
        <v>509682844.44</v>
      </c>
      <c r="N5" s="195">
        <v>389472299.35000002</v>
      </c>
      <c r="O5" s="195">
        <v>260249145.69999999</v>
      </c>
      <c r="P5" s="195">
        <v>147906383.21000001</v>
      </c>
      <c r="Q5" s="195">
        <v>440976297.57999998</v>
      </c>
      <c r="R5" s="195">
        <v>307884877.54000002</v>
      </c>
      <c r="S5" s="195">
        <v>109392380.25</v>
      </c>
      <c r="T5" s="195">
        <v>17257799.010000002</v>
      </c>
      <c r="U5" s="195">
        <v>350675919.94</v>
      </c>
      <c r="V5" s="195">
        <v>197634862.06</v>
      </c>
      <c r="W5" s="195">
        <v>100804384.17</v>
      </c>
      <c r="X5" s="195">
        <v>44149279.359999999</v>
      </c>
      <c r="Y5" s="195">
        <v>249709521.34</v>
      </c>
      <c r="Z5" s="195">
        <v>107798168.73999999</v>
      </c>
      <c r="AA5" s="195">
        <v>98148801.099999994</v>
      </c>
      <c r="AB5" s="195">
        <v>65268724.270000003</v>
      </c>
      <c r="AC5" s="195">
        <v>229380668.86000001</v>
      </c>
      <c r="AD5" s="195">
        <v>166164353.63</v>
      </c>
      <c r="AE5" s="195">
        <v>104598704.52</v>
      </c>
      <c r="AF5" s="195">
        <v>48287866.490000002</v>
      </c>
      <c r="AG5" s="195">
        <v>86722032.239999995</v>
      </c>
      <c r="AH5" s="195">
        <v>76432709.150000006</v>
      </c>
      <c r="AI5" s="195">
        <v>43414300.25</v>
      </c>
      <c r="AJ5" s="195">
        <v>23444154.16</v>
      </c>
      <c r="AK5" s="195">
        <v>45267702.460000001</v>
      </c>
      <c r="AL5" s="195">
        <v>78602893.129999995</v>
      </c>
      <c r="AM5" s="195">
        <v>74182172.170000002</v>
      </c>
      <c r="AN5" s="195">
        <v>1678842.05</v>
      </c>
      <c r="AO5" s="195">
        <v>461664377.67000002</v>
      </c>
      <c r="AP5" s="195">
        <v>9212525.9800000004</v>
      </c>
      <c r="AQ5" s="195">
        <v>7929004</v>
      </c>
      <c r="AR5" s="195">
        <v>1839931.17</v>
      </c>
      <c r="AS5" s="195">
        <v>216210668.84</v>
      </c>
      <c r="AT5" s="195">
        <v>94803494.25</v>
      </c>
      <c r="AU5" s="195">
        <v>92555354.319999993</v>
      </c>
      <c r="AV5" s="195">
        <v>479435.3</v>
      </c>
      <c r="AW5" s="195">
        <v>4585479.3600000003</v>
      </c>
      <c r="AX5" s="195">
        <v>5092037.0999999996</v>
      </c>
      <c r="AY5" s="195">
        <v>5092037.0999999996</v>
      </c>
      <c r="AZ5" s="195">
        <v>3490000</v>
      </c>
      <c r="BA5" s="195">
        <v>0</v>
      </c>
      <c r="BB5" s="195">
        <v>67060.28</v>
      </c>
      <c r="BC5" s="195">
        <v>0</v>
      </c>
      <c r="BD5" s="195">
        <v>0</v>
      </c>
      <c r="BE5" s="195">
        <v>1076890.51</v>
      </c>
      <c r="BF5" s="195">
        <v>1076890.51</v>
      </c>
      <c r="BG5" s="195">
        <v>1076890.51</v>
      </c>
      <c r="BH5" s="195">
        <v>1076890.51</v>
      </c>
      <c r="BI5" s="195">
        <v>764607.81</v>
      </c>
      <c r="BJ5" s="195">
        <v>584607.81000000006</v>
      </c>
      <c r="BK5" s="195">
        <v>214569.43</v>
      </c>
      <c r="BL5" s="195">
        <v>214569.43</v>
      </c>
      <c r="BM5" s="195">
        <v>0</v>
      </c>
      <c r="BN5" s="195">
        <v>0</v>
      </c>
      <c r="BO5" s="195">
        <v>22217399.98</v>
      </c>
      <c r="BP5" s="195">
        <v>11350000</v>
      </c>
      <c r="BQ5" s="195">
        <v>2529000</v>
      </c>
      <c r="BR5" s="195">
        <v>0</v>
      </c>
      <c r="BS5" s="195">
        <v>7830820.21</v>
      </c>
      <c r="BT5" s="195">
        <v>0</v>
      </c>
    </row>
    <row r="6" spans="1:72" x14ac:dyDescent="0.25">
      <c r="A6" s="195" t="s">
        <v>222</v>
      </c>
      <c r="B6" s="195">
        <v>995751409.01999998</v>
      </c>
      <c r="C6" s="195">
        <v>827796455.25999999</v>
      </c>
      <c r="D6" s="195">
        <v>595372960.91999996</v>
      </c>
      <c r="E6" s="195">
        <v>848679106.01999998</v>
      </c>
      <c r="F6" s="195">
        <v>830963116.34000003</v>
      </c>
      <c r="G6" s="195">
        <v>610329705.71000004</v>
      </c>
      <c r="H6" s="195">
        <v>701544700.64999998</v>
      </c>
      <c r="I6" s="195">
        <v>186759133.03999999</v>
      </c>
      <c r="J6" s="195">
        <v>511913887.89999998</v>
      </c>
      <c r="K6" s="195">
        <v>395863567.32999998</v>
      </c>
      <c r="L6" s="195">
        <v>206995411.33000001</v>
      </c>
      <c r="M6" s="195">
        <v>397359391.30000001</v>
      </c>
      <c r="N6" s="195">
        <v>271681529.11000001</v>
      </c>
      <c r="O6" s="195">
        <v>69173904.150000006</v>
      </c>
      <c r="P6" s="195">
        <v>48999013.060000002</v>
      </c>
      <c r="Q6" s="195">
        <v>355847515.69</v>
      </c>
      <c r="R6" s="195">
        <v>260528894.52000001</v>
      </c>
      <c r="S6" s="195">
        <v>127363331.83</v>
      </c>
      <c r="T6" s="195">
        <v>97385164.209999993</v>
      </c>
      <c r="U6" s="195">
        <v>219695302.68000001</v>
      </c>
      <c r="V6" s="195">
        <v>215805295.83000001</v>
      </c>
      <c r="W6" s="195">
        <v>80522619.040000007</v>
      </c>
      <c r="X6" s="195">
        <v>50474313.799999997</v>
      </c>
      <c r="Y6" s="195">
        <v>333669519.31999999</v>
      </c>
      <c r="Z6" s="195">
        <v>136244391.15000001</v>
      </c>
      <c r="AA6" s="195">
        <v>104918088.77</v>
      </c>
      <c r="AB6" s="195">
        <v>8261045.8600000003</v>
      </c>
      <c r="AC6" s="195">
        <v>142086267.38</v>
      </c>
      <c r="AD6" s="195">
        <v>71205184.859999999</v>
      </c>
      <c r="AE6" s="195">
        <v>31451847.989999998</v>
      </c>
      <c r="AF6" s="195">
        <v>4746234.82</v>
      </c>
      <c r="AG6" s="195">
        <v>137859752.50999999</v>
      </c>
      <c r="AH6" s="195">
        <v>121400430.63</v>
      </c>
      <c r="AI6" s="195">
        <v>57811495.07</v>
      </c>
      <c r="AJ6" s="195">
        <v>25939770.239999998</v>
      </c>
      <c r="AK6" s="195">
        <v>155597985.97</v>
      </c>
      <c r="AL6" s="195">
        <v>167883370.84</v>
      </c>
      <c r="AM6" s="195">
        <v>119698330.09999999</v>
      </c>
      <c r="AN6" s="195">
        <v>45156829.090000004</v>
      </c>
      <c r="AO6" s="195">
        <v>187735226.88999999</v>
      </c>
      <c r="AP6" s="195">
        <v>221461418.12</v>
      </c>
      <c r="AQ6" s="195">
        <v>196993947.47999999</v>
      </c>
      <c r="AR6" s="195">
        <v>163992219.52000001</v>
      </c>
      <c r="AS6" s="195">
        <v>102657814.45999999</v>
      </c>
      <c r="AT6" s="195">
        <v>108861584.29000001</v>
      </c>
      <c r="AU6" s="195">
        <v>101491386.88</v>
      </c>
      <c r="AV6" s="195">
        <v>74524872.75</v>
      </c>
      <c r="AW6" s="195">
        <v>56058857.869999997</v>
      </c>
      <c r="AX6" s="195">
        <v>4425446.03</v>
      </c>
      <c r="AY6" s="195">
        <v>4502994.29</v>
      </c>
      <c r="AZ6" s="195">
        <v>4385416.67</v>
      </c>
      <c r="BA6" s="195">
        <v>7611806.04</v>
      </c>
      <c r="BB6" s="195">
        <v>5764600.7400000002</v>
      </c>
      <c r="BC6" s="195">
        <v>1563058.9</v>
      </c>
      <c r="BD6" s="195">
        <v>477012.32</v>
      </c>
      <c r="BE6" s="195">
        <v>4234135.4000000004</v>
      </c>
      <c r="BF6" s="195">
        <v>2843732.38</v>
      </c>
      <c r="BG6" s="195">
        <v>1718776.86</v>
      </c>
      <c r="BH6" s="195">
        <v>834671.34</v>
      </c>
      <c r="BI6" s="195">
        <v>16564174.970000001</v>
      </c>
      <c r="BJ6" s="195">
        <v>12240915.83</v>
      </c>
      <c r="BK6" s="195">
        <v>12164538.720000001</v>
      </c>
      <c r="BL6" s="195">
        <v>1976866.17</v>
      </c>
      <c r="BM6" s="195">
        <v>25172262.07</v>
      </c>
      <c r="BN6" s="195">
        <v>14081129.08</v>
      </c>
      <c r="BO6" s="195">
        <v>1907119.65</v>
      </c>
      <c r="BP6" s="195">
        <v>2321795.77</v>
      </c>
      <c r="BQ6" s="195">
        <v>826341.78</v>
      </c>
      <c r="BR6" s="195">
        <v>1259416.9099999999</v>
      </c>
      <c r="BS6" s="195">
        <v>2038958.21</v>
      </c>
      <c r="BT6" s="195">
        <v>0</v>
      </c>
    </row>
    <row r="7" spans="1:72" x14ac:dyDescent="0.25">
      <c r="A7" s="195" t="s">
        <v>223</v>
      </c>
      <c r="B7" s="195">
        <v>59670669309.849998</v>
      </c>
      <c r="C7" s="195">
        <v>38186423380.589996</v>
      </c>
      <c r="D7" s="195">
        <v>17879631166.43</v>
      </c>
      <c r="E7" s="195">
        <v>63477690525.459999</v>
      </c>
      <c r="F7" s="195">
        <v>44574507537.300003</v>
      </c>
      <c r="G7" s="195">
        <v>26196005872.32</v>
      </c>
      <c r="H7" s="195">
        <v>12517807641.75</v>
      </c>
      <c r="I7" s="195">
        <v>37655760672.699997</v>
      </c>
      <c r="J7" s="195">
        <v>26101364548.610001</v>
      </c>
      <c r="K7" s="195">
        <v>15136836936.700001</v>
      </c>
      <c r="L7" s="195">
        <v>6510381279.7600002</v>
      </c>
      <c r="M7" s="195">
        <v>26888942972.650002</v>
      </c>
      <c r="N7" s="195">
        <v>17781365697.02</v>
      </c>
      <c r="O7" s="195">
        <v>11699564314.379999</v>
      </c>
      <c r="P7" s="195">
        <v>4686574218.5299997</v>
      </c>
      <c r="Q7" s="195">
        <v>30577726890.799999</v>
      </c>
      <c r="R7" s="195">
        <v>20908384914.27</v>
      </c>
      <c r="S7" s="195">
        <v>12636163825.91</v>
      </c>
      <c r="T7" s="195">
        <v>5761255059.0699997</v>
      </c>
      <c r="U7" s="195">
        <v>26005081715.330002</v>
      </c>
      <c r="V7" s="195">
        <v>16998021937.190001</v>
      </c>
      <c r="W7" s="195">
        <v>10716189306.379999</v>
      </c>
      <c r="X7" s="195">
        <v>4934119319.3000002</v>
      </c>
      <c r="Y7" s="195">
        <v>19268392800.77</v>
      </c>
      <c r="Z7" s="195">
        <v>12350656902.08</v>
      </c>
      <c r="AA7" s="195">
        <v>7955097516.8999996</v>
      </c>
      <c r="AB7" s="195">
        <v>3801822068.3299999</v>
      </c>
      <c r="AC7" s="195">
        <v>16290312025.83</v>
      </c>
      <c r="AD7" s="195">
        <v>11386818233.370001</v>
      </c>
      <c r="AE7" s="195">
        <v>7899199725.71</v>
      </c>
      <c r="AF7" s="195">
        <v>3590073694.9699998</v>
      </c>
      <c r="AG7" s="195">
        <v>10661998406.68</v>
      </c>
      <c r="AH7" s="195">
        <v>7550660915.2399998</v>
      </c>
      <c r="AI7" s="195">
        <v>5003885659.5200005</v>
      </c>
      <c r="AJ7" s="195">
        <v>2236249820.6900001</v>
      </c>
      <c r="AK7" s="195">
        <v>8160831295.0799999</v>
      </c>
      <c r="AL7" s="195">
        <v>5670603039.75</v>
      </c>
      <c r="AM7" s="195">
        <v>3664448727.71</v>
      </c>
      <c r="AN7" s="195">
        <v>1660653282.28</v>
      </c>
      <c r="AO7" s="195">
        <v>10176577729.83</v>
      </c>
      <c r="AP7" s="195">
        <v>6835005971.8500004</v>
      </c>
      <c r="AQ7" s="195">
        <v>4613222686.8199997</v>
      </c>
      <c r="AR7" s="195">
        <v>1895152878.6700001</v>
      </c>
      <c r="AS7" s="195">
        <v>9110723546.6000004</v>
      </c>
      <c r="AT7" s="195">
        <v>6461434906.3000002</v>
      </c>
      <c r="AU7" s="195">
        <v>3866233088.3600001</v>
      </c>
      <c r="AV7" s="195">
        <v>1862892911.8299999</v>
      </c>
      <c r="AW7" s="195">
        <v>5438590692.6599998</v>
      </c>
      <c r="AX7" s="195">
        <v>3826008911.8800001</v>
      </c>
      <c r="AY7" s="195">
        <v>2456019003.9699998</v>
      </c>
      <c r="AZ7" s="195">
        <v>1170614093.3</v>
      </c>
      <c r="BA7" s="195">
        <v>3867987997.9400001</v>
      </c>
      <c r="BB7" s="195">
        <v>2959944208.5599999</v>
      </c>
      <c r="BC7" s="195">
        <v>1913295650.1099999</v>
      </c>
      <c r="BD7" s="195">
        <v>918867749.24000001</v>
      </c>
      <c r="BE7" s="195">
        <v>2286308962.4200001</v>
      </c>
      <c r="BF7" s="195">
        <v>1846956127.72</v>
      </c>
      <c r="BG7" s="195">
        <v>1148841620.1199999</v>
      </c>
      <c r="BH7" s="195">
        <v>476389853.94</v>
      </c>
      <c r="BI7" s="195">
        <v>1626987449.4000001</v>
      </c>
      <c r="BJ7" s="195">
        <v>1175100132.99</v>
      </c>
      <c r="BK7" s="195">
        <v>741162291.62</v>
      </c>
      <c r="BL7" s="195">
        <v>333255308.32999998</v>
      </c>
      <c r="BM7" s="195">
        <v>1022105863.79</v>
      </c>
      <c r="BN7" s="195">
        <v>292548739.82999998</v>
      </c>
      <c r="BO7" s="195">
        <v>668054203.57000005</v>
      </c>
      <c r="BP7" s="195">
        <v>330755118.82999998</v>
      </c>
      <c r="BQ7" s="195">
        <v>434298037.94</v>
      </c>
      <c r="BR7" s="195">
        <v>189524989.37</v>
      </c>
      <c r="BS7" s="195">
        <v>247046620.41999999</v>
      </c>
      <c r="BT7" s="195">
        <v>0</v>
      </c>
    </row>
    <row r="8" spans="1:72" x14ac:dyDescent="0.25">
      <c r="A8" s="195" t="s">
        <v>224</v>
      </c>
      <c r="B8" s="195">
        <v>32862656173.360001</v>
      </c>
      <c r="C8" s="195">
        <v>21954840846.150002</v>
      </c>
      <c r="D8" s="195">
        <v>9977048409.9899998</v>
      </c>
      <c r="E8" s="195">
        <v>43714485045.209999</v>
      </c>
      <c r="F8" s="195">
        <v>31797274223.98</v>
      </c>
      <c r="G8" s="195">
        <v>20517049226.77</v>
      </c>
      <c r="H8" s="195">
        <v>9830634920.5300007</v>
      </c>
      <c r="I8" s="195">
        <v>24633123207.389999</v>
      </c>
      <c r="J8" s="195">
        <v>17342812363.5</v>
      </c>
      <c r="K8" s="195">
        <v>10001121832.65</v>
      </c>
      <c r="L8" s="195">
        <v>3650041819.4400001</v>
      </c>
      <c r="M8" s="195">
        <v>17503058307.23</v>
      </c>
      <c r="N8" s="195">
        <v>11381281660</v>
      </c>
      <c r="O8" s="195">
        <v>7532129993.1400003</v>
      </c>
      <c r="P8" s="195">
        <v>2862045093.6199999</v>
      </c>
      <c r="Q8" s="195">
        <v>22041947070.5</v>
      </c>
      <c r="R8" s="195">
        <v>13724816986.549999</v>
      </c>
      <c r="S8" s="195">
        <v>9043415666.9300003</v>
      </c>
      <c r="T8" s="195">
        <v>3964591346.9299998</v>
      </c>
      <c r="U8" s="195">
        <v>17869332966.560001</v>
      </c>
      <c r="V8" s="195">
        <v>11570013149.5</v>
      </c>
      <c r="W8" s="195">
        <v>7041632858.04</v>
      </c>
      <c r="X8" s="195">
        <v>3184538812.6100001</v>
      </c>
      <c r="Y8" s="195">
        <v>12544205821.25</v>
      </c>
      <c r="Z8" s="195">
        <v>7662549475.5200005</v>
      </c>
      <c r="AA8" s="195">
        <v>5041006165.6300001</v>
      </c>
      <c r="AB8" s="195">
        <v>2429235350.5599999</v>
      </c>
      <c r="AC8" s="195">
        <v>11915144787.27</v>
      </c>
      <c r="AD8" s="195">
        <v>8676325384.1599998</v>
      </c>
      <c r="AE8" s="195">
        <v>5978217703.4499998</v>
      </c>
      <c r="AF8" s="195">
        <v>2928230276.1900001</v>
      </c>
      <c r="AG8" s="195">
        <v>8918980746.4099998</v>
      </c>
      <c r="AH8" s="195">
        <v>6420991610.8800001</v>
      </c>
      <c r="AI8" s="195">
        <v>4213363744.77</v>
      </c>
      <c r="AJ8" s="195">
        <v>1743025963.78</v>
      </c>
      <c r="AK8" s="195">
        <v>5618962505.29</v>
      </c>
      <c r="AL8" s="195">
        <v>3851862516.8299999</v>
      </c>
      <c r="AM8" s="195">
        <v>2083834886.6500001</v>
      </c>
      <c r="AN8" s="195">
        <v>860545602.83000004</v>
      </c>
      <c r="AO8" s="195">
        <v>6347565435.3000002</v>
      </c>
      <c r="AP8" s="195">
        <v>4476669131.3199997</v>
      </c>
      <c r="AQ8" s="195">
        <v>3009197108.96</v>
      </c>
      <c r="AR8" s="195">
        <v>1261996299.96</v>
      </c>
      <c r="AS8" s="195">
        <v>5742735880.3100004</v>
      </c>
      <c r="AT8" s="195">
        <v>3913137807.3099999</v>
      </c>
      <c r="AU8" s="195">
        <v>2459384100.25</v>
      </c>
      <c r="AV8" s="195">
        <v>1456729211.21</v>
      </c>
      <c r="AW8" s="195">
        <v>3427846509.1700001</v>
      </c>
      <c r="AX8" s="195">
        <v>2316522423.6500001</v>
      </c>
      <c r="AY8" s="195">
        <v>1602563932.25</v>
      </c>
      <c r="AZ8" s="195">
        <v>870959511.79999995</v>
      </c>
      <c r="BA8" s="195">
        <v>2382151897.7199998</v>
      </c>
      <c r="BB8" s="195">
        <v>1905942959.3499999</v>
      </c>
      <c r="BC8" s="195">
        <v>1320262901.4200001</v>
      </c>
      <c r="BD8" s="195">
        <v>520950415.08999997</v>
      </c>
      <c r="BE8" s="195">
        <v>1611947324.95</v>
      </c>
      <c r="BF8" s="195">
        <v>1221928013.54</v>
      </c>
      <c r="BG8" s="195">
        <v>674775502.52999997</v>
      </c>
      <c r="BH8" s="195">
        <v>307699727.26999998</v>
      </c>
      <c r="BI8" s="195">
        <v>971810754.45000005</v>
      </c>
      <c r="BJ8" s="195">
        <v>664902342.58000004</v>
      </c>
      <c r="BK8" s="195">
        <v>496900542.49000001</v>
      </c>
      <c r="BL8" s="195">
        <v>259376355.59</v>
      </c>
      <c r="BM8" s="195">
        <v>715833678.22000003</v>
      </c>
      <c r="BN8" s="195">
        <v>224040001.56</v>
      </c>
      <c r="BO8" s="195">
        <v>447381165.74000001</v>
      </c>
      <c r="BP8" s="195">
        <v>222414544.03999999</v>
      </c>
      <c r="BQ8" s="195">
        <v>303178065.76999998</v>
      </c>
      <c r="BR8" s="195">
        <v>170527639.5</v>
      </c>
      <c r="BS8" s="195">
        <v>136274993.81999999</v>
      </c>
      <c r="BT8" s="195">
        <v>0</v>
      </c>
    </row>
    <row r="9" spans="1:72" x14ac:dyDescent="0.25">
      <c r="A9" s="195" t="s">
        <v>225</v>
      </c>
      <c r="B9" s="195">
        <v>1994971045.5599999</v>
      </c>
      <c r="C9" s="195">
        <v>1353501347.5</v>
      </c>
      <c r="D9" s="195">
        <v>791814252.02999997</v>
      </c>
      <c r="E9" s="195">
        <v>2055572019.8800001</v>
      </c>
      <c r="F9" s="195">
        <v>1569453913.6900001</v>
      </c>
      <c r="G9" s="195">
        <v>1036431220.29</v>
      </c>
      <c r="H9" s="195">
        <v>670628130.46000004</v>
      </c>
      <c r="I9" s="195">
        <v>1443746530.4400001</v>
      </c>
      <c r="J9" s="195">
        <v>1052079006.53</v>
      </c>
      <c r="K9" s="195">
        <v>688030947.66999996</v>
      </c>
      <c r="L9" s="195">
        <v>397540710.99000001</v>
      </c>
      <c r="M9" s="195">
        <v>1278943798.3699999</v>
      </c>
      <c r="N9" s="195">
        <v>927104689.86000001</v>
      </c>
      <c r="O9" s="195">
        <v>662696661.62</v>
      </c>
      <c r="P9" s="195">
        <v>339410229.89999998</v>
      </c>
      <c r="Q9" s="195">
        <v>977279891.60000002</v>
      </c>
      <c r="R9" s="195">
        <v>759032201.63</v>
      </c>
      <c r="S9" s="195">
        <v>473551748.88</v>
      </c>
      <c r="T9" s="195">
        <v>318850470.57999998</v>
      </c>
      <c r="U9" s="195">
        <v>856674925.64999998</v>
      </c>
      <c r="V9" s="195">
        <v>653804103.99000001</v>
      </c>
      <c r="W9" s="195">
        <v>394566457.98000002</v>
      </c>
      <c r="X9" s="195">
        <v>251859067.52000001</v>
      </c>
      <c r="Y9" s="195">
        <v>674312732.66999996</v>
      </c>
      <c r="Z9" s="195">
        <v>550661031.14999998</v>
      </c>
      <c r="AA9" s="195">
        <v>303505108.44</v>
      </c>
      <c r="AB9" s="195">
        <v>165621414.31999999</v>
      </c>
      <c r="AC9" s="195">
        <v>485281977.95999998</v>
      </c>
      <c r="AD9" s="195">
        <v>374757939.47000003</v>
      </c>
      <c r="AE9" s="195">
        <v>272803167.50999999</v>
      </c>
      <c r="AF9" s="195">
        <v>129062979.86</v>
      </c>
      <c r="AG9" s="195">
        <v>292442218.50999999</v>
      </c>
      <c r="AH9" s="195">
        <v>238993848.71000001</v>
      </c>
      <c r="AI9" s="195">
        <v>153303006.06</v>
      </c>
      <c r="AJ9" s="195">
        <v>92424497.049999997</v>
      </c>
      <c r="AK9" s="195">
        <v>272074526.52999997</v>
      </c>
      <c r="AL9" s="195">
        <v>203112497.72</v>
      </c>
      <c r="AM9" s="195">
        <v>147953633.53999999</v>
      </c>
      <c r="AN9" s="195">
        <v>91645017.310000002</v>
      </c>
      <c r="AO9" s="195">
        <v>279001081.32999998</v>
      </c>
      <c r="AP9" s="195">
        <v>224194218.36000001</v>
      </c>
      <c r="AQ9" s="195">
        <v>168890760.63</v>
      </c>
      <c r="AR9" s="195">
        <v>88753886.909999996</v>
      </c>
      <c r="AS9" s="195">
        <v>290494084.35000002</v>
      </c>
      <c r="AT9" s="195">
        <v>186684295.03999999</v>
      </c>
      <c r="AU9" s="195">
        <v>122373009.81</v>
      </c>
      <c r="AV9" s="195">
        <v>50303372.350000001</v>
      </c>
      <c r="AW9" s="195">
        <v>231854367.72</v>
      </c>
      <c r="AX9" s="195">
        <v>177684013.56999999</v>
      </c>
      <c r="AY9" s="195">
        <v>97935244.219999999</v>
      </c>
      <c r="AZ9" s="195">
        <v>68432091.010000005</v>
      </c>
      <c r="BA9" s="195">
        <v>140543386.21000001</v>
      </c>
      <c r="BB9" s="195">
        <v>65411401.170000002</v>
      </c>
      <c r="BC9" s="195">
        <v>43132244.670000002</v>
      </c>
      <c r="BD9" s="195">
        <v>25002055.27</v>
      </c>
      <c r="BE9" s="195">
        <v>138326649.59999999</v>
      </c>
      <c r="BF9" s="195">
        <v>95574258.260000005</v>
      </c>
      <c r="BG9" s="195">
        <v>50356037.450000003</v>
      </c>
      <c r="BH9" s="195">
        <v>17635352.489999998</v>
      </c>
      <c r="BI9" s="195">
        <v>83224664.489999995</v>
      </c>
      <c r="BJ9" s="195">
        <v>56659404.609999999</v>
      </c>
      <c r="BK9" s="195">
        <v>27789433.449999999</v>
      </c>
      <c r="BL9" s="195">
        <v>10223227.130000001</v>
      </c>
      <c r="BM9" s="195">
        <v>46364666.990000002</v>
      </c>
      <c r="BN9" s="195">
        <v>12611824.32</v>
      </c>
      <c r="BO9" s="195">
        <v>30401472.579999998</v>
      </c>
      <c r="BP9" s="195">
        <v>11532817.449999999</v>
      </c>
      <c r="BQ9" s="195">
        <v>13762056.439999999</v>
      </c>
      <c r="BR9" s="195">
        <v>5858118.75</v>
      </c>
      <c r="BS9" s="195">
        <v>9082638.9700000007</v>
      </c>
      <c r="BT9" s="195">
        <v>0</v>
      </c>
    </row>
    <row r="10" spans="1:72" x14ac:dyDescent="0.25">
      <c r="A10" s="195" t="s">
        <v>226</v>
      </c>
      <c r="B10" s="195">
        <v>6315487467.1099997</v>
      </c>
      <c r="C10" s="195">
        <v>5252931292.8999996</v>
      </c>
      <c r="D10" s="195">
        <v>3013166263.8099999</v>
      </c>
      <c r="E10" s="195">
        <v>5311389823.3400002</v>
      </c>
      <c r="F10" s="195">
        <v>4122543949.04</v>
      </c>
      <c r="G10" s="195">
        <v>2356022706.8600001</v>
      </c>
      <c r="H10" s="195">
        <v>1195527503.97</v>
      </c>
      <c r="I10" s="195">
        <v>2239167671.9400001</v>
      </c>
      <c r="J10" s="195">
        <v>1325188343.5699999</v>
      </c>
      <c r="K10" s="195">
        <v>695687125.61000001</v>
      </c>
      <c r="L10" s="195">
        <v>312627106.37</v>
      </c>
      <c r="M10" s="195">
        <v>1728678452.5899999</v>
      </c>
      <c r="N10" s="195">
        <v>1234684329.2</v>
      </c>
      <c r="O10" s="195">
        <v>837497978.27999997</v>
      </c>
      <c r="P10" s="195">
        <v>340731058.31</v>
      </c>
      <c r="Q10" s="195">
        <v>2083731087.79</v>
      </c>
      <c r="R10" s="195">
        <v>1408765865.54</v>
      </c>
      <c r="S10" s="195">
        <v>777532229.66999996</v>
      </c>
      <c r="T10" s="195">
        <v>276041820.81</v>
      </c>
      <c r="U10" s="195">
        <v>2005195733.02</v>
      </c>
      <c r="V10" s="195">
        <v>1434082658.9200001</v>
      </c>
      <c r="W10" s="195">
        <v>881508027.72000003</v>
      </c>
      <c r="X10" s="195">
        <v>468233213.37</v>
      </c>
      <c r="Y10" s="195">
        <v>1195732589.01</v>
      </c>
      <c r="Z10" s="195">
        <v>713310757.70000005</v>
      </c>
      <c r="AA10" s="195">
        <v>326693365.75999999</v>
      </c>
      <c r="AB10" s="195">
        <v>85027371.930000007</v>
      </c>
      <c r="AC10" s="195">
        <v>1003622774.1900001</v>
      </c>
      <c r="AD10" s="195">
        <v>641446482.75</v>
      </c>
      <c r="AE10" s="195">
        <v>335023609.17000002</v>
      </c>
      <c r="AF10" s="195">
        <v>124632837.15000001</v>
      </c>
      <c r="AG10" s="195">
        <v>365425200.68000001</v>
      </c>
      <c r="AH10" s="195">
        <v>257479345.53</v>
      </c>
      <c r="AI10" s="195">
        <v>163672389.75</v>
      </c>
      <c r="AJ10" s="195">
        <v>80686037.709999993</v>
      </c>
      <c r="AK10" s="195">
        <v>324607290.06</v>
      </c>
      <c r="AL10" s="195">
        <v>323268204.11000001</v>
      </c>
      <c r="AM10" s="195">
        <v>176553980.33000001</v>
      </c>
      <c r="AN10" s="195">
        <v>125627807.81</v>
      </c>
      <c r="AO10" s="195">
        <v>969921900.97000003</v>
      </c>
      <c r="AP10" s="195">
        <v>852388509.50999999</v>
      </c>
      <c r="AQ10" s="195">
        <v>688640235.83000004</v>
      </c>
      <c r="AR10" s="195">
        <v>339357185.93000001</v>
      </c>
      <c r="AS10" s="195">
        <v>1196774122.3699999</v>
      </c>
      <c r="AT10" s="195">
        <v>893367558.83000004</v>
      </c>
      <c r="AU10" s="195">
        <v>574192468.38999999</v>
      </c>
      <c r="AV10" s="195">
        <v>159637982.5</v>
      </c>
      <c r="AW10" s="195">
        <v>564956246.49000001</v>
      </c>
      <c r="AX10" s="195">
        <v>415976162.80000001</v>
      </c>
      <c r="AY10" s="195">
        <v>260288944.55000001</v>
      </c>
      <c r="AZ10" s="195">
        <v>81592005.950000003</v>
      </c>
      <c r="BA10" s="195">
        <v>405024442.45999998</v>
      </c>
      <c r="BB10" s="195">
        <v>316688189.07999998</v>
      </c>
      <c r="BC10" s="195">
        <v>195260076.15000001</v>
      </c>
      <c r="BD10" s="195">
        <v>70613403.450000003</v>
      </c>
      <c r="BE10" s="195">
        <v>264482116.33000001</v>
      </c>
      <c r="BF10" s="195">
        <v>205262741.58000001</v>
      </c>
      <c r="BG10" s="195">
        <v>107543052.16</v>
      </c>
      <c r="BH10" s="195">
        <v>52650651.539999999</v>
      </c>
      <c r="BI10" s="195">
        <v>153711922.46000001</v>
      </c>
      <c r="BJ10" s="195">
        <v>115720163.56</v>
      </c>
      <c r="BK10" s="195">
        <v>73454871.379999995</v>
      </c>
      <c r="BL10" s="195">
        <v>23806864.510000002</v>
      </c>
      <c r="BM10" s="195">
        <v>100719543.09</v>
      </c>
      <c r="BN10" s="195">
        <v>42773996.880000003</v>
      </c>
      <c r="BO10" s="195">
        <v>85557290.209999993</v>
      </c>
      <c r="BP10" s="195">
        <v>43606251.100000001</v>
      </c>
      <c r="BQ10" s="195">
        <v>27237236.690000001</v>
      </c>
      <c r="BR10" s="195">
        <v>17584894.960000001</v>
      </c>
      <c r="BS10" s="195">
        <v>26506960.079999998</v>
      </c>
      <c r="BT10" s="195">
        <v>0</v>
      </c>
    </row>
    <row r="11" spans="1:72" x14ac:dyDescent="0.25">
      <c r="A11" s="195" t="s">
        <v>227</v>
      </c>
      <c r="B11" s="195">
        <v>2978127008.9200001</v>
      </c>
      <c r="C11" s="195">
        <v>1179977874.55</v>
      </c>
      <c r="D11" s="195">
        <v>507600443.74000001</v>
      </c>
      <c r="E11" s="195">
        <v>2184097041.6300001</v>
      </c>
      <c r="F11" s="195">
        <v>1453784551.28</v>
      </c>
      <c r="G11" s="195">
        <v>837974687.70000005</v>
      </c>
      <c r="H11" s="195">
        <v>347952265.26999998</v>
      </c>
      <c r="I11" s="195">
        <v>1990879384.0999999</v>
      </c>
      <c r="J11" s="195">
        <v>1167987713.8199999</v>
      </c>
      <c r="K11" s="195">
        <v>555041067.24000001</v>
      </c>
      <c r="L11" s="195">
        <v>352432932.17000002</v>
      </c>
      <c r="M11" s="195">
        <v>1775868688.54</v>
      </c>
      <c r="N11" s="195">
        <v>976360084.26999998</v>
      </c>
      <c r="O11" s="195">
        <v>728883733.30999994</v>
      </c>
      <c r="P11" s="195">
        <v>399998868.22000003</v>
      </c>
      <c r="Q11" s="195">
        <v>1454253978.0799999</v>
      </c>
      <c r="R11" s="195">
        <v>1014613134.52</v>
      </c>
      <c r="S11" s="195">
        <v>524601962.48000002</v>
      </c>
      <c r="T11" s="195">
        <v>160332755.25</v>
      </c>
      <c r="U11" s="195">
        <v>1404615120.03</v>
      </c>
      <c r="V11" s="195">
        <v>909110498.60000002</v>
      </c>
      <c r="W11" s="195">
        <v>614424873.76999998</v>
      </c>
      <c r="X11" s="195">
        <v>258137998.62</v>
      </c>
      <c r="Y11" s="195">
        <v>1047962919.3099999</v>
      </c>
      <c r="Z11" s="195">
        <v>655959966.53999996</v>
      </c>
      <c r="AA11" s="195">
        <v>389770492.55000001</v>
      </c>
      <c r="AB11" s="195">
        <v>180176968.53</v>
      </c>
      <c r="AC11" s="195">
        <v>873829108.50999999</v>
      </c>
      <c r="AD11" s="195">
        <v>663573035.00999999</v>
      </c>
      <c r="AE11" s="195">
        <v>365510050.11000001</v>
      </c>
      <c r="AF11" s="195">
        <v>163057586.59999999</v>
      </c>
      <c r="AG11" s="195">
        <v>671791834.87</v>
      </c>
      <c r="AH11" s="195">
        <v>415946200.67000002</v>
      </c>
      <c r="AI11" s="195">
        <v>248997284.97999999</v>
      </c>
      <c r="AJ11" s="195">
        <v>98426492.359999999</v>
      </c>
      <c r="AK11" s="195">
        <v>490808944.35000002</v>
      </c>
      <c r="AL11" s="195">
        <v>320786973.30000001</v>
      </c>
      <c r="AM11" s="195">
        <v>218375089.87</v>
      </c>
      <c r="AN11" s="195">
        <v>82587831.769999996</v>
      </c>
      <c r="AO11" s="195">
        <v>579884820.84000003</v>
      </c>
      <c r="AP11" s="195">
        <v>389494730.79000002</v>
      </c>
      <c r="AQ11" s="195">
        <v>269130088.14999998</v>
      </c>
      <c r="AR11" s="195">
        <v>179766108.33000001</v>
      </c>
      <c r="AS11" s="195">
        <v>598342405.10000002</v>
      </c>
      <c r="AT11" s="195">
        <v>307250767.26999998</v>
      </c>
      <c r="AU11" s="195">
        <v>141096359.80000001</v>
      </c>
      <c r="AV11" s="195">
        <v>100161122.5</v>
      </c>
      <c r="AW11" s="195">
        <v>281585503.74000001</v>
      </c>
      <c r="AX11" s="195">
        <v>226924795.66</v>
      </c>
      <c r="AY11" s="195">
        <v>120341510.06999999</v>
      </c>
      <c r="AZ11" s="195">
        <v>52715459.789999999</v>
      </c>
      <c r="BA11" s="195">
        <v>112871985.44</v>
      </c>
      <c r="BB11" s="195">
        <v>108762791.15000001</v>
      </c>
      <c r="BC11" s="195">
        <v>47594020.030000001</v>
      </c>
      <c r="BD11" s="195">
        <v>22756329.949999999</v>
      </c>
      <c r="BE11" s="195">
        <v>68325171.090000004</v>
      </c>
      <c r="BF11" s="195">
        <v>39381518.950000003</v>
      </c>
      <c r="BG11" s="195">
        <v>26779958.52</v>
      </c>
      <c r="BH11" s="195">
        <v>18251534.039999999</v>
      </c>
      <c r="BI11" s="195">
        <v>44017385.75</v>
      </c>
      <c r="BJ11" s="195">
        <v>21344036.399999999</v>
      </c>
      <c r="BK11" s="195">
        <v>16917479.48</v>
      </c>
      <c r="BL11" s="195">
        <v>4923478.92</v>
      </c>
      <c r="BM11" s="195">
        <v>35208277.590000004</v>
      </c>
      <c r="BN11" s="195">
        <v>12395160.039999999</v>
      </c>
      <c r="BO11" s="195">
        <v>19947753.550000001</v>
      </c>
      <c r="BP11" s="195">
        <v>20604383.699999999</v>
      </c>
      <c r="BQ11" s="195">
        <v>6034624.6699999999</v>
      </c>
      <c r="BR11" s="195">
        <v>7433508.8799999999</v>
      </c>
      <c r="BS11" s="195">
        <v>20744457.789999999</v>
      </c>
      <c r="BT11" s="195">
        <v>0</v>
      </c>
    </row>
    <row r="12" spans="1:72" x14ac:dyDescent="0.25">
      <c r="A12" s="195" t="s">
        <v>228</v>
      </c>
      <c r="B12" s="195">
        <v>44151241694.949997</v>
      </c>
      <c r="C12" s="195">
        <v>29741251361.099998</v>
      </c>
      <c r="D12" s="195">
        <v>14289629369.57</v>
      </c>
      <c r="E12" s="195">
        <v>53265543930.059998</v>
      </c>
      <c r="F12" s="195">
        <v>38943056637.989998</v>
      </c>
      <c r="G12" s="195">
        <v>24747477841.619999</v>
      </c>
      <c r="H12" s="195">
        <v>12044742820.23</v>
      </c>
      <c r="I12" s="195">
        <v>30306916793.869999</v>
      </c>
      <c r="J12" s="195">
        <v>20888067427.419998</v>
      </c>
      <c r="K12" s="195">
        <v>11939880973.17</v>
      </c>
      <c r="L12" s="195">
        <v>4712642568.9700003</v>
      </c>
      <c r="M12" s="195">
        <v>22286549246.73</v>
      </c>
      <c r="N12" s="195">
        <v>14519430763.33</v>
      </c>
      <c r="O12" s="195">
        <v>9761208366.3500004</v>
      </c>
      <c r="P12" s="195">
        <v>3942185250.0500002</v>
      </c>
      <c r="Q12" s="195">
        <v>26557212027.970001</v>
      </c>
      <c r="R12" s="195">
        <v>16907228188.24</v>
      </c>
      <c r="S12" s="195">
        <v>10819101607.959999</v>
      </c>
      <c r="T12" s="195">
        <v>4719816393.5699997</v>
      </c>
      <c r="U12" s="195">
        <v>22135818745.259998</v>
      </c>
      <c r="V12" s="195">
        <v>14567010411.01</v>
      </c>
      <c r="W12" s="195">
        <v>8932132217.5100002</v>
      </c>
      <c r="X12" s="195">
        <v>4162769092.1199999</v>
      </c>
      <c r="Y12" s="195">
        <v>15462214062.24</v>
      </c>
      <c r="Z12" s="195">
        <v>9582481230.9099998</v>
      </c>
      <c r="AA12" s="195">
        <v>6060975132.3800001</v>
      </c>
      <c r="AB12" s="195">
        <v>2860061105.3400002</v>
      </c>
      <c r="AC12" s="195">
        <v>14277878647.93</v>
      </c>
      <c r="AD12" s="195">
        <v>10356102841.389999</v>
      </c>
      <c r="AE12" s="195">
        <v>6951554530.2399998</v>
      </c>
      <c r="AF12" s="195">
        <v>3344983679.8000002</v>
      </c>
      <c r="AG12" s="195">
        <v>10248640000.469999</v>
      </c>
      <c r="AH12" s="195">
        <v>7333411005.79</v>
      </c>
      <c r="AI12" s="195">
        <v>4779336425.5600004</v>
      </c>
      <c r="AJ12" s="195">
        <v>2014562990.9000001</v>
      </c>
      <c r="AK12" s="195">
        <v>6706453266.2299995</v>
      </c>
      <c r="AL12" s="195">
        <v>4699030191.96</v>
      </c>
      <c r="AM12" s="195">
        <v>2626717590.3899999</v>
      </c>
      <c r="AN12" s="195">
        <v>1160406259.72</v>
      </c>
      <c r="AO12" s="195">
        <v>8176373238.4399996</v>
      </c>
      <c r="AP12" s="195">
        <v>5942746589.9799995</v>
      </c>
      <c r="AQ12" s="195">
        <v>4135858193.5700002</v>
      </c>
      <c r="AR12" s="195">
        <v>1869873481.1300001</v>
      </c>
      <c r="AS12" s="195">
        <v>7828346492.1300001</v>
      </c>
      <c r="AT12" s="195">
        <v>5300440428.4499998</v>
      </c>
      <c r="AU12" s="195">
        <v>3297045938.25</v>
      </c>
      <c r="AV12" s="195">
        <v>1766831688.5599999</v>
      </c>
      <c r="AW12" s="195">
        <v>4506242627.1199999</v>
      </c>
      <c r="AX12" s="195">
        <v>3137107395.6799998</v>
      </c>
      <c r="AY12" s="195">
        <v>2081129631.0899999</v>
      </c>
      <c r="AZ12" s="195">
        <v>1073699068.55</v>
      </c>
      <c r="BA12" s="195">
        <v>3040591711.8299999</v>
      </c>
      <c r="BB12" s="195">
        <v>2396805340.75</v>
      </c>
      <c r="BC12" s="195">
        <v>1606249242.27</v>
      </c>
      <c r="BD12" s="195">
        <v>639322203.75999999</v>
      </c>
      <c r="BE12" s="195">
        <v>2083081261.97</v>
      </c>
      <c r="BF12" s="195">
        <v>1562146532.3299999</v>
      </c>
      <c r="BG12" s="195">
        <v>859454550.65999997</v>
      </c>
      <c r="BH12" s="195">
        <v>396237265.33999997</v>
      </c>
      <c r="BI12" s="195">
        <v>1252764727.1500001</v>
      </c>
      <c r="BJ12" s="195">
        <v>858625947.14999998</v>
      </c>
      <c r="BK12" s="195">
        <v>615062326.79999995</v>
      </c>
      <c r="BL12" s="195">
        <v>298329926.14999998</v>
      </c>
      <c r="BM12" s="195">
        <v>898126165.88999999</v>
      </c>
      <c r="BN12" s="195">
        <v>291820982.80000001</v>
      </c>
      <c r="BO12" s="195">
        <v>583287682.08000004</v>
      </c>
      <c r="BP12" s="195">
        <v>298157996.29000002</v>
      </c>
      <c r="BQ12" s="195">
        <v>350211983.56999999</v>
      </c>
      <c r="BR12" s="195">
        <v>201404162.09</v>
      </c>
      <c r="BS12" s="195">
        <v>192609050.66</v>
      </c>
      <c r="BT12" s="195">
        <v>0</v>
      </c>
    </row>
    <row r="13" spans="1:72" x14ac:dyDescent="0.25">
      <c r="A13" s="195" t="s">
        <v>229</v>
      </c>
      <c r="B13" s="195">
        <v>15519427614.9</v>
      </c>
      <c r="C13" s="195">
        <v>8445172019.4899998</v>
      </c>
      <c r="D13" s="195">
        <v>3590001796.8600001</v>
      </c>
      <c r="E13" s="195">
        <v>10212146595.4</v>
      </c>
      <c r="F13" s="195">
        <v>5631450899.3100004</v>
      </c>
      <c r="G13" s="195">
        <v>1448528030.7</v>
      </c>
      <c r="H13" s="195">
        <v>473064821.51999998</v>
      </c>
      <c r="I13" s="195">
        <v>7348843878.8299999</v>
      </c>
      <c r="J13" s="195">
        <v>5213297121.1899996</v>
      </c>
      <c r="K13" s="195">
        <v>3196955963.5300002</v>
      </c>
      <c r="L13" s="195">
        <v>1797738710.79</v>
      </c>
      <c r="M13" s="195">
        <v>4602393725.9200001</v>
      </c>
      <c r="N13" s="195">
        <v>3261934933.6900001</v>
      </c>
      <c r="O13" s="195">
        <v>1938355948.03</v>
      </c>
      <c r="P13" s="195">
        <v>744388968.48000002</v>
      </c>
      <c r="Q13" s="195">
        <v>4020514862.8299999</v>
      </c>
      <c r="R13" s="195">
        <v>4001156726.0300002</v>
      </c>
      <c r="S13" s="195">
        <v>1817062217.95</v>
      </c>
      <c r="T13" s="195">
        <v>1041438665.5</v>
      </c>
      <c r="U13" s="195">
        <v>3869262970.0700002</v>
      </c>
      <c r="V13" s="195">
        <v>2431011526.1799998</v>
      </c>
      <c r="W13" s="195">
        <v>1784057088.8699999</v>
      </c>
      <c r="X13" s="195">
        <v>771350227.17999995</v>
      </c>
      <c r="Y13" s="195">
        <v>3806178738.5300002</v>
      </c>
      <c r="Z13" s="195">
        <v>2768175671.1700001</v>
      </c>
      <c r="AA13" s="195">
        <v>1894122384.52</v>
      </c>
      <c r="AB13" s="195">
        <v>941760962.99000001</v>
      </c>
      <c r="AC13" s="195">
        <v>2012433377.9000001</v>
      </c>
      <c r="AD13" s="195">
        <v>1030715391.98</v>
      </c>
      <c r="AE13" s="195">
        <v>947645195.47000003</v>
      </c>
      <c r="AF13" s="195">
        <v>245090015.16999999</v>
      </c>
      <c r="AG13" s="195">
        <v>413358406.20999998</v>
      </c>
      <c r="AH13" s="195">
        <v>217249909.44999999</v>
      </c>
      <c r="AI13" s="195">
        <v>224549233.96000001</v>
      </c>
      <c r="AJ13" s="195">
        <v>221686829.78999999</v>
      </c>
      <c r="AK13" s="195">
        <v>1454378028.8499999</v>
      </c>
      <c r="AL13" s="195">
        <v>971572847.78999996</v>
      </c>
      <c r="AM13" s="195">
        <v>1037731137.3200001</v>
      </c>
      <c r="AN13" s="195">
        <v>500247022.56</v>
      </c>
      <c r="AO13" s="195">
        <v>2000204491.3900001</v>
      </c>
      <c r="AP13" s="195">
        <v>892259381.87</v>
      </c>
      <c r="AQ13" s="195">
        <v>477364493.25</v>
      </c>
      <c r="AR13" s="195">
        <v>25279397.539999999</v>
      </c>
      <c r="AS13" s="195">
        <v>1282377054.47</v>
      </c>
      <c r="AT13" s="195">
        <v>1160994477.8499999</v>
      </c>
      <c r="AU13" s="195">
        <v>569187150.11000001</v>
      </c>
      <c r="AV13" s="195">
        <v>96061223.269999996</v>
      </c>
      <c r="AW13" s="195">
        <v>932348065.53999996</v>
      </c>
      <c r="AX13" s="195">
        <v>688901516.20000005</v>
      </c>
      <c r="AY13" s="195">
        <v>374889372.88</v>
      </c>
      <c r="AZ13" s="195">
        <v>96915024.75</v>
      </c>
      <c r="BA13" s="195">
        <v>827396286.11000001</v>
      </c>
      <c r="BB13" s="195">
        <v>563138867.80999994</v>
      </c>
      <c r="BC13" s="195">
        <v>307046407.83999997</v>
      </c>
      <c r="BD13" s="195">
        <v>279545545.48000002</v>
      </c>
      <c r="BE13" s="195">
        <v>203227700.44999999</v>
      </c>
      <c r="BF13" s="195">
        <v>284809595.38999999</v>
      </c>
      <c r="BG13" s="195">
        <v>289387069.45999998</v>
      </c>
      <c r="BH13" s="195">
        <v>80152588.599999994</v>
      </c>
      <c r="BI13" s="195">
        <v>374222722.25</v>
      </c>
      <c r="BJ13" s="195">
        <v>316474185.83999997</v>
      </c>
      <c r="BK13" s="195">
        <v>126099964.81999999</v>
      </c>
      <c r="BL13" s="195">
        <v>34925382.18</v>
      </c>
      <c r="BM13" s="195">
        <v>123979697.90000001</v>
      </c>
      <c r="BN13" s="195">
        <v>727757.03</v>
      </c>
      <c r="BO13" s="195">
        <v>84766521.489999995</v>
      </c>
      <c r="BP13" s="195">
        <v>32597122.539999999</v>
      </c>
      <c r="BQ13" s="195">
        <v>84086054.370000005</v>
      </c>
      <c r="BR13" s="195">
        <v>-11879172.720000001</v>
      </c>
      <c r="BS13" s="195">
        <v>54437569.759999998</v>
      </c>
      <c r="BT13" s="195">
        <v>0</v>
      </c>
    </row>
    <row r="14" spans="1:72" x14ac:dyDescent="0.25">
      <c r="A14" s="195" t="s">
        <v>230</v>
      </c>
    </row>
    <row r="15" spans="1:72" x14ac:dyDescent="0.25">
      <c r="A15" s="195" t="s">
        <v>231</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96833251.590000004</v>
      </c>
      <c r="R15" s="195">
        <v>44675273.07</v>
      </c>
      <c r="S15" s="195">
        <v>0</v>
      </c>
      <c r="T15" s="195">
        <v>0</v>
      </c>
      <c r="U15" s="195">
        <v>25788610.579999998</v>
      </c>
      <c r="V15" s="195">
        <v>13343072.43</v>
      </c>
      <c r="W15" s="195">
        <v>13343072.43</v>
      </c>
      <c r="X15" s="195">
        <v>0</v>
      </c>
      <c r="Y15" s="195">
        <v>0</v>
      </c>
      <c r="Z15" s="195">
        <v>0</v>
      </c>
      <c r="AA15" s="195">
        <v>0</v>
      </c>
      <c r="AB15" s="195">
        <v>0</v>
      </c>
      <c r="AC15" s="195">
        <v>9345451.2200000007</v>
      </c>
      <c r="AD15" s="195">
        <v>11700178.699999999</v>
      </c>
      <c r="AE15" s="195">
        <v>11700178.699999999</v>
      </c>
      <c r="AF15" s="195">
        <v>8092626.0800000001</v>
      </c>
      <c r="AG15" s="195">
        <v>32915905</v>
      </c>
      <c r="AH15" s="195">
        <v>31520666.93</v>
      </c>
      <c r="AI15" s="195">
        <v>29722754.219999999</v>
      </c>
      <c r="AJ15" s="195">
        <v>26549150.609999999</v>
      </c>
      <c r="AK15" s="195">
        <v>304013619.31999999</v>
      </c>
      <c r="AL15" s="195">
        <v>2337056.4500000002</v>
      </c>
      <c r="AM15" s="195">
        <v>0</v>
      </c>
      <c r="AN15" s="195">
        <v>0</v>
      </c>
      <c r="AO15" s="195">
        <v>67412276.469999999</v>
      </c>
      <c r="AP15" s="195">
        <v>58175592.25</v>
      </c>
      <c r="AQ15" s="195">
        <v>58042460.18</v>
      </c>
      <c r="AR15" s="195">
        <v>17486179.210000001</v>
      </c>
      <c r="AS15" s="195">
        <v>285592409.08999997</v>
      </c>
      <c r="AT15" s="195">
        <v>106549791.37</v>
      </c>
      <c r="AU15" s="195">
        <v>50629565.710000001</v>
      </c>
      <c r="AV15" s="195">
        <v>21000000</v>
      </c>
      <c r="AW15" s="195">
        <v>104464682.98</v>
      </c>
      <c r="AX15" s="195">
        <v>47551485.210000001</v>
      </c>
      <c r="AY15" s="195">
        <v>33941804.909999996</v>
      </c>
      <c r="AZ15" s="195">
        <v>27572826.27</v>
      </c>
      <c r="BA15" s="195">
        <v>132983808.13</v>
      </c>
      <c r="BB15" s="195">
        <v>83577739.650000006</v>
      </c>
      <c r="BC15" s="195">
        <v>62723578</v>
      </c>
      <c r="BD15" s="195">
        <v>37723578</v>
      </c>
      <c r="BE15" s="195">
        <v>31101076.32</v>
      </c>
      <c r="BF15" s="195">
        <v>2733441.13</v>
      </c>
      <c r="BG15" s="195">
        <v>2733441.13</v>
      </c>
      <c r="BH15" s="195">
        <v>1903949.48</v>
      </c>
      <c r="BI15" s="195">
        <v>1344087.27</v>
      </c>
      <c r="BJ15" s="195">
        <v>1207353.2</v>
      </c>
      <c r="BK15" s="195">
        <v>1207353.2</v>
      </c>
      <c r="BL15" s="195">
        <v>0</v>
      </c>
      <c r="BM15" s="195">
        <v>3530750.04</v>
      </c>
      <c r="BN15" s="195">
        <v>3719417.55</v>
      </c>
      <c r="BO15" s="195">
        <v>76103114.420000002</v>
      </c>
      <c r="BP15" s="195">
        <v>0</v>
      </c>
      <c r="BQ15" s="195">
        <v>0</v>
      </c>
      <c r="BR15" s="195">
        <v>0</v>
      </c>
      <c r="BS15" s="195">
        <v>0</v>
      </c>
      <c r="BT15" s="195">
        <v>0</v>
      </c>
    </row>
    <row r="16" spans="1:72" x14ac:dyDescent="0.25">
      <c r="A16" s="195" t="s">
        <v>232</v>
      </c>
      <c r="B16" s="195">
        <v>66304460.18</v>
      </c>
      <c r="C16" s="195">
        <v>66304460.18</v>
      </c>
      <c r="D16" s="195">
        <v>0</v>
      </c>
      <c r="E16" s="195">
        <v>29033203.800000001</v>
      </c>
      <c r="F16" s="195">
        <v>14033203.800000001</v>
      </c>
      <c r="G16" s="195">
        <v>6000000</v>
      </c>
      <c r="H16" s="195">
        <v>0</v>
      </c>
      <c r="I16" s="195">
        <v>30000000</v>
      </c>
      <c r="J16" s="195">
        <v>30000000</v>
      </c>
      <c r="K16" s="195">
        <v>30000000</v>
      </c>
      <c r="L16" s="195">
        <v>0</v>
      </c>
      <c r="M16" s="195">
        <v>6000000</v>
      </c>
      <c r="N16" s="195">
        <v>72874724.969999999</v>
      </c>
      <c r="O16" s="195">
        <v>6000000</v>
      </c>
      <c r="P16" s="195">
        <v>0</v>
      </c>
      <c r="Q16" s="195">
        <v>3000000</v>
      </c>
      <c r="R16" s="195">
        <v>3000000</v>
      </c>
      <c r="S16" s="195">
        <v>3000000</v>
      </c>
      <c r="T16" s="195">
        <v>3000000</v>
      </c>
      <c r="U16" s="195">
        <v>3914500</v>
      </c>
      <c r="V16" s="195">
        <v>3914500</v>
      </c>
      <c r="W16" s="195">
        <v>3622000</v>
      </c>
      <c r="X16" s="195">
        <v>0</v>
      </c>
      <c r="Y16" s="195">
        <v>4327199.92</v>
      </c>
      <c r="Z16" s="195">
        <v>4327199.92</v>
      </c>
      <c r="AA16" s="195">
        <v>4244000</v>
      </c>
      <c r="AB16" s="195">
        <v>3000000</v>
      </c>
      <c r="AC16" s="195">
        <v>9952272.5299999993</v>
      </c>
      <c r="AD16" s="195">
        <v>4674799.93</v>
      </c>
      <c r="AE16" s="195">
        <v>4492800</v>
      </c>
      <c r="AF16" s="195">
        <v>3000000</v>
      </c>
      <c r="AG16" s="195">
        <v>29814421.77</v>
      </c>
      <c r="AH16" s="195">
        <v>12373500</v>
      </c>
      <c r="AI16" s="195">
        <v>12373500</v>
      </c>
      <c r="AJ16" s="195">
        <v>5364562.03</v>
      </c>
      <c r="AK16" s="195">
        <v>17036810.809999999</v>
      </c>
      <c r="AL16" s="195">
        <v>9249683.4100000001</v>
      </c>
      <c r="AM16" s="195">
        <v>9249683.4100000001</v>
      </c>
      <c r="AN16" s="195">
        <v>1000000</v>
      </c>
      <c r="AO16" s="195">
        <v>2456019.12</v>
      </c>
      <c r="AP16" s="195">
        <v>3804198.56</v>
      </c>
      <c r="AQ16" s="195">
        <v>3804198.56</v>
      </c>
      <c r="AR16" s="195">
        <v>2001928.5</v>
      </c>
      <c r="AS16" s="195">
        <v>2000000</v>
      </c>
      <c r="AT16" s="195">
        <v>61470871.75</v>
      </c>
      <c r="AU16" s="195">
        <v>7904137.3200000003</v>
      </c>
      <c r="AV16" s="195">
        <v>2516032</v>
      </c>
      <c r="AW16" s="195">
        <v>400000</v>
      </c>
      <c r="AX16" s="195">
        <v>400120</v>
      </c>
      <c r="AY16" s="195">
        <v>400000</v>
      </c>
      <c r="AZ16" s="195">
        <v>0</v>
      </c>
      <c r="BA16" s="195">
        <v>500000</v>
      </c>
      <c r="BB16" s="195">
        <v>2892892.68</v>
      </c>
      <c r="BC16" s="195">
        <v>1908830.6</v>
      </c>
      <c r="BD16" s="195">
        <v>727370.8</v>
      </c>
      <c r="BE16" s="195">
        <v>8244139.9800000004</v>
      </c>
      <c r="BF16" s="195">
        <v>250000</v>
      </c>
      <c r="BG16" s="195">
        <v>250000</v>
      </c>
      <c r="BH16" s="195">
        <v>0</v>
      </c>
      <c r="BI16" s="195">
        <v>200000</v>
      </c>
      <c r="BJ16" s="195">
        <v>336734.07</v>
      </c>
      <c r="BK16" s="195">
        <v>136734.07</v>
      </c>
      <c r="BL16" s="195">
        <v>0</v>
      </c>
      <c r="BM16" s="195">
        <v>400000</v>
      </c>
      <c r="BN16" s="195">
        <v>0</v>
      </c>
      <c r="BO16" s="195">
        <v>500000</v>
      </c>
      <c r="BP16" s="195">
        <v>500000</v>
      </c>
      <c r="BQ16" s="195">
        <v>0</v>
      </c>
      <c r="BR16" s="195">
        <v>0</v>
      </c>
      <c r="BS16" s="195">
        <v>0</v>
      </c>
      <c r="BT16" s="195">
        <v>0</v>
      </c>
    </row>
    <row r="17" spans="1:72" x14ac:dyDescent="0.25">
      <c r="A17" s="195" t="s">
        <v>233</v>
      </c>
      <c r="B17" s="195">
        <v>7239546.8600000003</v>
      </c>
      <c r="C17" s="195">
        <v>5646783.9800000004</v>
      </c>
      <c r="D17" s="195">
        <v>700044</v>
      </c>
      <c r="E17" s="195">
        <v>35978125.93</v>
      </c>
      <c r="F17" s="195">
        <v>1227015.8</v>
      </c>
      <c r="G17" s="195">
        <v>776508.2</v>
      </c>
      <c r="H17" s="195">
        <v>532557</v>
      </c>
      <c r="I17" s="195">
        <v>1830407.09</v>
      </c>
      <c r="J17" s="195">
        <v>1111663.8999999999</v>
      </c>
      <c r="K17" s="195">
        <v>606930.04</v>
      </c>
      <c r="L17" s="195">
        <v>471668.8</v>
      </c>
      <c r="M17" s="195">
        <v>63436020.560000002</v>
      </c>
      <c r="N17" s="195">
        <v>63238545.369999997</v>
      </c>
      <c r="O17" s="195">
        <v>63234495.369999997</v>
      </c>
      <c r="P17" s="195">
        <v>500</v>
      </c>
      <c r="Q17" s="195">
        <v>634270.06999999995</v>
      </c>
      <c r="R17" s="195">
        <v>632161.06999999995</v>
      </c>
      <c r="S17" s="195">
        <v>177216.07</v>
      </c>
      <c r="T17" s="195">
        <v>26949.16</v>
      </c>
      <c r="U17" s="195">
        <v>4744265.2</v>
      </c>
      <c r="V17" s="195">
        <v>549554</v>
      </c>
      <c r="W17" s="195">
        <v>4048.84</v>
      </c>
      <c r="X17" s="195">
        <v>4048.84</v>
      </c>
      <c r="Y17" s="195">
        <v>6307703.8099999996</v>
      </c>
      <c r="Z17" s="195">
        <v>467808.54</v>
      </c>
      <c r="AA17" s="195">
        <v>277626.37</v>
      </c>
      <c r="AB17" s="195">
        <v>275391.37</v>
      </c>
      <c r="AC17" s="195">
        <v>7821352.3700000001</v>
      </c>
      <c r="AD17" s="195">
        <v>3207564.32</v>
      </c>
      <c r="AE17" s="195">
        <v>1163709.3999999999</v>
      </c>
      <c r="AF17" s="195">
        <v>731841.22</v>
      </c>
      <c r="AG17" s="195">
        <v>9296283.0099999998</v>
      </c>
      <c r="AH17" s="195">
        <v>11496783.24</v>
      </c>
      <c r="AI17" s="195">
        <v>152730.35999999999</v>
      </c>
      <c r="AJ17" s="195">
        <v>3843.14</v>
      </c>
      <c r="AK17" s="195">
        <v>20471532.02</v>
      </c>
      <c r="AL17" s="195">
        <v>17966861.809999999</v>
      </c>
      <c r="AM17" s="195">
        <v>16672791.619999999</v>
      </c>
      <c r="AN17" s="195">
        <v>18000</v>
      </c>
      <c r="AO17" s="195">
        <v>5296292.9400000004</v>
      </c>
      <c r="AP17" s="195">
        <v>186245928.28999999</v>
      </c>
      <c r="AQ17" s="195">
        <v>100218481.88</v>
      </c>
      <c r="AR17" s="195">
        <v>0</v>
      </c>
      <c r="AS17" s="195">
        <v>6800</v>
      </c>
      <c r="AT17" s="195">
        <v>6800</v>
      </c>
      <c r="AU17" s="195">
        <v>6800</v>
      </c>
      <c r="AV17" s="195">
        <v>0</v>
      </c>
      <c r="AW17" s="195">
        <v>2089109.98</v>
      </c>
      <c r="AX17" s="195">
        <v>1041309.16</v>
      </c>
      <c r="AY17" s="195">
        <v>190000</v>
      </c>
      <c r="AZ17" s="195">
        <v>0</v>
      </c>
      <c r="BA17" s="195">
        <v>1426732</v>
      </c>
      <c r="BB17" s="195">
        <v>1106732</v>
      </c>
      <c r="BC17" s="195">
        <v>1006732</v>
      </c>
      <c r="BD17" s="195">
        <v>130397.69</v>
      </c>
      <c r="BE17" s="195">
        <v>1580553.31</v>
      </c>
      <c r="BF17" s="195">
        <v>887841.4</v>
      </c>
      <c r="BG17" s="195">
        <v>521396</v>
      </c>
      <c r="BH17" s="195">
        <v>521396</v>
      </c>
      <c r="BI17" s="195">
        <v>2690057.72</v>
      </c>
      <c r="BJ17" s="195">
        <v>1577725.6</v>
      </c>
      <c r="BK17" s="195">
        <v>1571909.6</v>
      </c>
      <c r="BL17" s="195">
        <v>186713.60000000001</v>
      </c>
      <c r="BM17" s="195">
        <v>102110.7</v>
      </c>
      <c r="BN17" s="195">
        <v>373734.6</v>
      </c>
      <c r="BO17" s="195">
        <v>45792</v>
      </c>
      <c r="BP17" s="195">
        <v>70720</v>
      </c>
      <c r="BQ17" s="195">
        <v>0</v>
      </c>
      <c r="BR17" s="195">
        <v>0</v>
      </c>
      <c r="BS17" s="195">
        <v>6094878</v>
      </c>
      <c r="BT17" s="195">
        <v>0</v>
      </c>
    </row>
    <row r="18" spans="1:72" x14ac:dyDescent="0.25">
      <c r="A18" s="195" t="s">
        <v>234</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20585000</v>
      </c>
      <c r="AT18" s="195">
        <v>20585000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row>
    <row r="19" spans="1:72" x14ac:dyDescent="0.25">
      <c r="A19" s="195" t="s">
        <v>235</v>
      </c>
      <c r="B19" s="195">
        <v>7615353.8899999997</v>
      </c>
      <c r="C19" s="195">
        <v>1590439.64</v>
      </c>
      <c r="D19" s="195">
        <v>1474870</v>
      </c>
      <c r="E19" s="195">
        <v>495652000</v>
      </c>
      <c r="F19" s="195">
        <v>399357747.98000002</v>
      </c>
      <c r="G19" s="195">
        <v>398060504.91000003</v>
      </c>
      <c r="H19" s="195">
        <v>2904845.34</v>
      </c>
      <c r="I19" s="195">
        <v>194000000</v>
      </c>
      <c r="J19" s="195">
        <v>0</v>
      </c>
      <c r="K19" s="195">
        <v>0</v>
      </c>
      <c r="L19" s="195">
        <v>0</v>
      </c>
      <c r="M19" s="195">
        <v>4879455.16</v>
      </c>
      <c r="N19" s="195">
        <v>3437967.03</v>
      </c>
      <c r="O19" s="195">
        <v>2467090</v>
      </c>
      <c r="P19" s="195">
        <v>2467090</v>
      </c>
      <c r="Q19" s="195">
        <v>0</v>
      </c>
      <c r="R19" s="195">
        <v>2601616.1</v>
      </c>
      <c r="S19" s="195">
        <v>2581088.2599999998</v>
      </c>
      <c r="T19" s="195">
        <v>2070300.32</v>
      </c>
      <c r="U19" s="195">
        <v>0</v>
      </c>
      <c r="V19" s="195">
        <v>0</v>
      </c>
      <c r="W19" s="195">
        <v>0</v>
      </c>
      <c r="X19" s="195">
        <v>0</v>
      </c>
      <c r="Y19" s="195">
        <v>21665719.5</v>
      </c>
      <c r="Z19" s="195">
        <v>0</v>
      </c>
      <c r="AA19" s="195">
        <v>0</v>
      </c>
      <c r="AB19" s="195">
        <v>0</v>
      </c>
      <c r="AC19" s="195">
        <v>11920000</v>
      </c>
      <c r="AD19" s="195">
        <v>0</v>
      </c>
      <c r="AE19" s="195">
        <v>0</v>
      </c>
      <c r="AF19" s="195">
        <v>0</v>
      </c>
      <c r="AG19" s="195">
        <v>0</v>
      </c>
      <c r="AH19" s="195">
        <v>0</v>
      </c>
      <c r="AI19" s="195">
        <v>0</v>
      </c>
      <c r="AJ19" s="195">
        <v>0</v>
      </c>
      <c r="AK19" s="195">
        <v>0</v>
      </c>
      <c r="AL19" s="195">
        <v>0</v>
      </c>
      <c r="AM19" s="195">
        <v>0</v>
      </c>
      <c r="AN19" s="195">
        <v>0</v>
      </c>
      <c r="AO19" s="195">
        <v>234529338.38</v>
      </c>
      <c r="AP19" s="195">
        <v>2333718.41</v>
      </c>
      <c r="AQ19" s="195">
        <v>0</v>
      </c>
      <c r="AR19" s="195">
        <v>0</v>
      </c>
      <c r="AS19" s="195">
        <v>0</v>
      </c>
      <c r="AT19" s="195">
        <v>0</v>
      </c>
      <c r="AU19" s="195">
        <v>0</v>
      </c>
      <c r="AV19" s="195">
        <v>0</v>
      </c>
      <c r="AW19" s="195">
        <v>0</v>
      </c>
      <c r="AX19" s="195">
        <v>0</v>
      </c>
      <c r="AY19" s="195">
        <v>0</v>
      </c>
      <c r="AZ19" s="195">
        <v>0</v>
      </c>
      <c r="BA19" s="195">
        <v>0</v>
      </c>
      <c r="BB19" s="195">
        <v>109182.29</v>
      </c>
      <c r="BC19" s="195">
        <v>78717.2</v>
      </c>
      <c r="BD19" s="195">
        <v>52708.15</v>
      </c>
      <c r="BE19" s="195">
        <v>2294781.6800000002</v>
      </c>
      <c r="BF19" s="195">
        <v>203050.03</v>
      </c>
      <c r="BG19" s="195">
        <v>0</v>
      </c>
      <c r="BH19" s="195">
        <v>429585.03</v>
      </c>
      <c r="BI19" s="195">
        <v>0</v>
      </c>
      <c r="BJ19" s="195">
        <v>74069</v>
      </c>
      <c r="BK19" s="195">
        <v>0</v>
      </c>
      <c r="BL19" s="195">
        <v>0</v>
      </c>
      <c r="BM19" s="195">
        <v>255936.61</v>
      </c>
      <c r="BN19" s="195">
        <v>0</v>
      </c>
      <c r="BO19" s="195">
        <v>104129.98</v>
      </c>
      <c r="BP19" s="195">
        <v>8535271.1999999993</v>
      </c>
      <c r="BQ19" s="195">
        <v>0</v>
      </c>
      <c r="BR19" s="195">
        <v>0</v>
      </c>
      <c r="BS19" s="195">
        <v>0</v>
      </c>
      <c r="BT19" s="195">
        <v>0</v>
      </c>
    </row>
    <row r="20" spans="1:72" x14ac:dyDescent="0.25">
      <c r="A20" s="195" t="s">
        <v>236</v>
      </c>
      <c r="B20" s="195">
        <v>81159360.930000007</v>
      </c>
      <c r="C20" s="195">
        <v>73541683.799999997</v>
      </c>
      <c r="D20" s="195">
        <v>2174914</v>
      </c>
      <c r="E20" s="195">
        <v>560663329.73000002</v>
      </c>
      <c r="F20" s="195">
        <v>414617967.57999998</v>
      </c>
      <c r="G20" s="195">
        <v>404837013.11000001</v>
      </c>
      <c r="H20" s="195">
        <v>3437402.34</v>
      </c>
      <c r="I20" s="195">
        <v>225830407.09</v>
      </c>
      <c r="J20" s="195">
        <v>31111663.899999999</v>
      </c>
      <c r="K20" s="195">
        <v>30606930.039999999</v>
      </c>
      <c r="L20" s="195">
        <v>471668.8</v>
      </c>
      <c r="M20" s="195">
        <v>74315475.719999999</v>
      </c>
      <c r="N20" s="195">
        <v>139551237.37</v>
      </c>
      <c r="O20" s="195">
        <v>71701585.370000005</v>
      </c>
      <c r="P20" s="195">
        <v>2467590</v>
      </c>
      <c r="Q20" s="195">
        <v>100467521.66</v>
      </c>
      <c r="R20" s="195">
        <v>50909050.240000002</v>
      </c>
      <c r="S20" s="195">
        <v>5758304.3300000001</v>
      </c>
      <c r="T20" s="195">
        <v>5097249.4800000004</v>
      </c>
      <c r="U20" s="195">
        <v>34447375.780000001</v>
      </c>
      <c r="V20" s="195">
        <v>17807126.43</v>
      </c>
      <c r="W20" s="195">
        <v>16969121.27</v>
      </c>
      <c r="X20" s="195">
        <v>4048.84</v>
      </c>
      <c r="Y20" s="195">
        <v>32300623.23</v>
      </c>
      <c r="Z20" s="195">
        <v>4795008.46</v>
      </c>
      <c r="AA20" s="195">
        <v>4521626.37</v>
      </c>
      <c r="AB20" s="195">
        <v>3275391.37</v>
      </c>
      <c r="AC20" s="195">
        <v>39039076.119999997</v>
      </c>
      <c r="AD20" s="195">
        <v>19582542.949999999</v>
      </c>
      <c r="AE20" s="195">
        <v>17356688.100000001</v>
      </c>
      <c r="AF20" s="195">
        <v>11824467.300000001</v>
      </c>
      <c r="AG20" s="195">
        <v>72026609.780000001</v>
      </c>
      <c r="AH20" s="195">
        <v>55390950.170000002</v>
      </c>
      <c r="AI20" s="195">
        <v>42248984.579999998</v>
      </c>
      <c r="AJ20" s="195">
        <v>31917555.780000001</v>
      </c>
      <c r="AK20" s="195">
        <v>341521962.14999998</v>
      </c>
      <c r="AL20" s="195">
        <v>29553601.670000002</v>
      </c>
      <c r="AM20" s="195">
        <v>25922475.030000001</v>
      </c>
      <c r="AN20" s="195">
        <v>1018000</v>
      </c>
      <c r="AO20" s="195">
        <v>309693926.91000003</v>
      </c>
      <c r="AP20" s="195">
        <v>250559437.50999999</v>
      </c>
      <c r="AQ20" s="195">
        <v>162065140.62</v>
      </c>
      <c r="AR20" s="195">
        <v>19488107.710000001</v>
      </c>
      <c r="AS20" s="195">
        <v>308184209.08999997</v>
      </c>
      <c r="AT20" s="195">
        <v>188612463.12</v>
      </c>
      <c r="AU20" s="195">
        <v>58540503.030000001</v>
      </c>
      <c r="AV20" s="195">
        <v>23516032</v>
      </c>
      <c r="AW20" s="195">
        <v>106953792.95999999</v>
      </c>
      <c r="AX20" s="195">
        <v>48992914.369999997</v>
      </c>
      <c r="AY20" s="195">
        <v>34531804.909999996</v>
      </c>
      <c r="AZ20" s="195">
        <v>27572826.27</v>
      </c>
      <c r="BA20" s="195">
        <v>134910540.13</v>
      </c>
      <c r="BB20" s="195">
        <v>87686546.620000005</v>
      </c>
      <c r="BC20" s="195">
        <v>65717857.799999997</v>
      </c>
      <c r="BD20" s="195">
        <v>38634054.640000001</v>
      </c>
      <c r="BE20" s="195">
        <v>43220551.289999999</v>
      </c>
      <c r="BF20" s="195">
        <v>4074332.56</v>
      </c>
      <c r="BG20" s="195">
        <v>3504837.13</v>
      </c>
      <c r="BH20" s="195">
        <v>2854930.51</v>
      </c>
      <c r="BI20" s="195">
        <v>4234144.99</v>
      </c>
      <c r="BJ20" s="195">
        <v>3195881.87</v>
      </c>
      <c r="BK20" s="195">
        <v>2915996.87</v>
      </c>
      <c r="BL20" s="195">
        <v>186713.60000000001</v>
      </c>
      <c r="BM20" s="195">
        <v>4288797.3499999996</v>
      </c>
      <c r="BN20" s="195">
        <v>4093152.15</v>
      </c>
      <c r="BO20" s="195">
        <v>76753036.400000006</v>
      </c>
      <c r="BP20" s="195">
        <v>9105991.1999999993</v>
      </c>
      <c r="BQ20" s="195">
        <v>0</v>
      </c>
      <c r="BR20" s="195">
        <v>0</v>
      </c>
      <c r="BS20" s="195">
        <v>6094878</v>
      </c>
      <c r="BT20" s="195">
        <v>0</v>
      </c>
    </row>
    <row r="21" spans="1:72" x14ac:dyDescent="0.25">
      <c r="A21" s="195" t="s">
        <v>237</v>
      </c>
      <c r="B21" s="195">
        <v>7115129262.6300001</v>
      </c>
      <c r="C21" s="195">
        <v>4182790655.0599999</v>
      </c>
      <c r="D21" s="195">
        <v>1556798668.3499999</v>
      </c>
      <c r="E21" s="195">
        <v>5952652459.3000002</v>
      </c>
      <c r="F21" s="195">
        <v>3928943448.52</v>
      </c>
      <c r="G21" s="195">
        <v>2586792863.6100001</v>
      </c>
      <c r="H21" s="195">
        <v>1346302497.46</v>
      </c>
      <c r="I21" s="195">
        <v>4113460406.9899998</v>
      </c>
      <c r="J21" s="195">
        <v>2850926864.4699998</v>
      </c>
      <c r="K21" s="195">
        <v>2309195910.77</v>
      </c>
      <c r="L21" s="195">
        <v>721096610.07000005</v>
      </c>
      <c r="M21" s="195">
        <v>5160464688.7700005</v>
      </c>
      <c r="N21" s="195">
        <v>4436258095.3699999</v>
      </c>
      <c r="O21" s="195">
        <v>2365600650.98</v>
      </c>
      <c r="P21" s="195">
        <v>2265736747.4099998</v>
      </c>
      <c r="Q21" s="195">
        <v>9050286746.0400009</v>
      </c>
      <c r="R21" s="195">
        <v>7989437541.04</v>
      </c>
      <c r="S21" s="195">
        <v>4587994943.6099997</v>
      </c>
      <c r="T21" s="195">
        <v>3301619197.1100001</v>
      </c>
      <c r="U21" s="195">
        <v>6770785284.0900002</v>
      </c>
      <c r="V21" s="195">
        <v>4319310599.8699999</v>
      </c>
      <c r="W21" s="195">
        <v>2981193512.1399999</v>
      </c>
      <c r="X21" s="195">
        <v>1393455996</v>
      </c>
      <c r="Y21" s="195">
        <v>3934707866.8200002</v>
      </c>
      <c r="Z21" s="195">
        <v>3038236732.9699998</v>
      </c>
      <c r="AA21" s="195">
        <v>1663126064.77</v>
      </c>
      <c r="AB21" s="195">
        <v>837044679.60000002</v>
      </c>
      <c r="AC21" s="195">
        <v>2903727003.4499998</v>
      </c>
      <c r="AD21" s="195">
        <v>1717541570.7</v>
      </c>
      <c r="AE21" s="195">
        <v>1188936900.1600001</v>
      </c>
      <c r="AF21" s="195">
        <v>735926489.94000006</v>
      </c>
      <c r="AG21" s="195">
        <v>1299273718.24</v>
      </c>
      <c r="AH21" s="195">
        <v>977043325.42999995</v>
      </c>
      <c r="AI21" s="195">
        <v>666146461.26999998</v>
      </c>
      <c r="AJ21" s="195">
        <v>537516451.11000001</v>
      </c>
      <c r="AK21" s="195">
        <v>1758073527.3699999</v>
      </c>
      <c r="AL21" s="195">
        <v>1096741062.48</v>
      </c>
      <c r="AM21" s="195">
        <v>625148971.26999998</v>
      </c>
      <c r="AN21" s="195">
        <v>211593013.12</v>
      </c>
      <c r="AO21" s="195">
        <v>1013862444.04</v>
      </c>
      <c r="AP21" s="195">
        <v>805744641.79999995</v>
      </c>
      <c r="AQ21" s="195">
        <v>507726700.16000003</v>
      </c>
      <c r="AR21" s="195">
        <v>334280981.61000001</v>
      </c>
      <c r="AS21" s="195">
        <v>529938267.81999999</v>
      </c>
      <c r="AT21" s="195">
        <v>216766865.31999999</v>
      </c>
      <c r="AU21" s="195">
        <v>133822674.01000001</v>
      </c>
      <c r="AV21" s="195">
        <v>68071768.430000007</v>
      </c>
      <c r="AW21" s="195">
        <v>466733584.23000002</v>
      </c>
      <c r="AX21" s="195">
        <v>380718661.67000002</v>
      </c>
      <c r="AY21" s="195">
        <v>224314021.36000001</v>
      </c>
      <c r="AZ21" s="195">
        <v>220729587.88</v>
      </c>
      <c r="BA21" s="195">
        <v>1387198959.8099999</v>
      </c>
      <c r="BB21" s="195">
        <v>1033991553.46</v>
      </c>
      <c r="BC21" s="195">
        <v>769955220.71000004</v>
      </c>
      <c r="BD21" s="195">
        <v>348386218.50999999</v>
      </c>
      <c r="BE21" s="195">
        <v>1245602177.03</v>
      </c>
      <c r="BF21" s="195">
        <v>745040798.48000002</v>
      </c>
      <c r="BG21" s="195">
        <v>383826231.44</v>
      </c>
      <c r="BH21" s="195">
        <v>121970849.94</v>
      </c>
      <c r="BI21" s="195">
        <v>286377097.55000001</v>
      </c>
      <c r="BJ21" s="195">
        <v>192981786.56</v>
      </c>
      <c r="BK21" s="195">
        <v>89980888.409999996</v>
      </c>
      <c r="BL21" s="195">
        <v>39655574.289999999</v>
      </c>
      <c r="BM21" s="195">
        <v>186024499.33000001</v>
      </c>
      <c r="BN21" s="195">
        <v>49917300.07</v>
      </c>
      <c r="BO21" s="195">
        <v>224926994.28</v>
      </c>
      <c r="BP21" s="195">
        <v>103510411.12</v>
      </c>
      <c r="BQ21" s="195">
        <v>97333763.25</v>
      </c>
      <c r="BR21" s="195">
        <v>6897098.4100000001</v>
      </c>
      <c r="BS21" s="195">
        <v>41978974.149999999</v>
      </c>
      <c r="BT21" s="195">
        <v>0</v>
      </c>
    </row>
    <row r="22" spans="1:72" x14ac:dyDescent="0.25">
      <c r="A22" s="195" t="s">
        <v>238</v>
      </c>
      <c r="B22" s="195">
        <v>145666100</v>
      </c>
      <c r="C22" s="195">
        <v>145666100</v>
      </c>
      <c r="D22" s="195">
        <v>145666100</v>
      </c>
      <c r="E22" s="195">
        <v>65800000</v>
      </c>
      <c r="F22" s="195">
        <v>10000000</v>
      </c>
      <c r="G22" s="195">
        <v>10000000</v>
      </c>
      <c r="H22" s="195">
        <v>10000000</v>
      </c>
      <c r="I22" s="195">
        <v>15000000</v>
      </c>
      <c r="J22" s="195">
        <v>15000000</v>
      </c>
      <c r="K22" s="195">
        <v>15000000</v>
      </c>
      <c r="L22" s="195">
        <v>15000000</v>
      </c>
      <c r="M22" s="195">
        <v>100000000</v>
      </c>
      <c r="N22" s="195">
        <v>100000000</v>
      </c>
      <c r="O22" s="195">
        <v>0</v>
      </c>
      <c r="P22" s="195">
        <v>0</v>
      </c>
      <c r="Q22" s="195">
        <v>0</v>
      </c>
      <c r="R22" s="195">
        <v>0</v>
      </c>
      <c r="S22" s="195">
        <v>0</v>
      </c>
      <c r="T22" s="195">
        <v>0</v>
      </c>
      <c r="U22" s="195">
        <v>68866000</v>
      </c>
      <c r="V22" s="195">
        <v>60000000</v>
      </c>
      <c r="W22" s="195">
        <v>60000000</v>
      </c>
      <c r="X22" s="195">
        <v>60000000</v>
      </c>
      <c r="Y22" s="195">
        <v>20034000</v>
      </c>
      <c r="Z22" s="195">
        <v>14490000</v>
      </c>
      <c r="AA22" s="195">
        <v>14490000</v>
      </c>
      <c r="AB22" s="195">
        <v>0</v>
      </c>
      <c r="AC22" s="195">
        <v>5100000</v>
      </c>
      <c r="AD22" s="195">
        <v>0</v>
      </c>
      <c r="AE22" s="195">
        <v>0</v>
      </c>
      <c r="AF22" s="195">
        <v>0</v>
      </c>
      <c r="AG22" s="195">
        <v>117902067.36</v>
      </c>
      <c r="AH22" s="195">
        <v>265515493.13</v>
      </c>
      <c r="AI22" s="195">
        <v>116835947.36</v>
      </c>
      <c r="AJ22" s="195">
        <v>114727526</v>
      </c>
      <c r="AK22" s="195">
        <v>355692990.93000001</v>
      </c>
      <c r="AL22" s="195">
        <v>321866149.89999998</v>
      </c>
      <c r="AM22" s="195">
        <v>300000000</v>
      </c>
      <c r="AN22" s="195">
        <v>0</v>
      </c>
      <c r="AO22" s="195">
        <v>161756368.61000001</v>
      </c>
      <c r="AP22" s="195">
        <v>160528847.93000001</v>
      </c>
      <c r="AQ22" s="195">
        <v>10389050</v>
      </c>
      <c r="AR22" s="195">
        <v>9311075</v>
      </c>
      <c r="AS22" s="195">
        <v>137554668.91</v>
      </c>
      <c r="AT22" s="195">
        <v>158310049.96000001</v>
      </c>
      <c r="AU22" s="195">
        <v>62640843.119999997</v>
      </c>
      <c r="AV22" s="195">
        <v>26344234.940000001</v>
      </c>
      <c r="AW22" s="195">
        <v>112723810.39</v>
      </c>
      <c r="AX22" s="195">
        <v>35815904.390000001</v>
      </c>
      <c r="AY22" s="195">
        <v>22736000</v>
      </c>
      <c r="AZ22" s="195">
        <v>26489000</v>
      </c>
      <c r="BA22" s="195">
        <v>145206283.91</v>
      </c>
      <c r="BB22" s="195">
        <v>98922184.510000005</v>
      </c>
      <c r="BC22" s="195">
        <v>77700200.5</v>
      </c>
      <c r="BD22" s="195">
        <v>3000000</v>
      </c>
      <c r="BE22" s="195">
        <v>41525004.090000004</v>
      </c>
      <c r="BF22" s="195">
        <v>6192525.79</v>
      </c>
      <c r="BG22" s="195">
        <v>2192525.79</v>
      </c>
      <c r="BH22" s="195">
        <v>2000000</v>
      </c>
      <c r="BI22" s="195">
        <v>45270274.770000003</v>
      </c>
      <c r="BJ22" s="195">
        <v>5267874.7699999996</v>
      </c>
      <c r="BK22" s="195">
        <v>5267874.7699999996</v>
      </c>
      <c r="BL22" s="195">
        <v>0</v>
      </c>
      <c r="BM22" s="195">
        <v>0</v>
      </c>
      <c r="BN22" s="195">
        <v>7390</v>
      </c>
      <c r="BO22" s="195">
        <v>100140432.90000001</v>
      </c>
      <c r="BP22" s="195">
        <v>74479832.010000005</v>
      </c>
      <c r="BQ22" s="195">
        <v>10000000</v>
      </c>
      <c r="BR22" s="195">
        <v>10000000</v>
      </c>
      <c r="BS22" s="195">
        <v>0</v>
      </c>
      <c r="BT22" s="195">
        <v>0</v>
      </c>
    </row>
    <row r="23" spans="1:72" x14ac:dyDescent="0.25">
      <c r="A23" s="195" t="s">
        <v>239</v>
      </c>
      <c r="B23" s="195">
        <v>0</v>
      </c>
      <c r="C23" s="195">
        <v>0</v>
      </c>
      <c r="D23" s="195">
        <v>0</v>
      </c>
      <c r="E23" s="195">
        <v>0</v>
      </c>
      <c r="F23" s="195">
        <v>0</v>
      </c>
      <c r="G23" s="195">
        <v>0</v>
      </c>
      <c r="H23" s="195">
        <v>0</v>
      </c>
      <c r="I23" s="195">
        <v>0</v>
      </c>
      <c r="J23" s="195">
        <v>0</v>
      </c>
      <c r="K23" s="195">
        <v>0</v>
      </c>
      <c r="L23" s="195">
        <v>0</v>
      </c>
      <c r="M23" s="195">
        <v>0</v>
      </c>
      <c r="N23" s="195">
        <v>0</v>
      </c>
      <c r="O23" s="195">
        <v>0</v>
      </c>
      <c r="P23" s="195">
        <v>0</v>
      </c>
      <c r="Q23" s="195">
        <v>72979056.739999995</v>
      </c>
      <c r="R23" s="195">
        <v>0</v>
      </c>
      <c r="S23" s="195">
        <v>0</v>
      </c>
      <c r="T23" s="195">
        <v>0</v>
      </c>
      <c r="U23" s="195">
        <v>0</v>
      </c>
      <c r="V23" s="195">
        <v>0</v>
      </c>
      <c r="W23" s="195">
        <v>0</v>
      </c>
      <c r="X23" s="195">
        <v>0</v>
      </c>
      <c r="Y23" s="195">
        <v>0</v>
      </c>
      <c r="Z23" s="195">
        <v>0</v>
      </c>
      <c r="AA23" s="195">
        <v>0</v>
      </c>
      <c r="AB23" s="195">
        <v>0</v>
      </c>
      <c r="AC23" s="195">
        <v>0</v>
      </c>
      <c r="AD23" s="195">
        <v>0</v>
      </c>
      <c r="AE23" s="195">
        <v>0</v>
      </c>
      <c r="AF23" s="195">
        <v>0</v>
      </c>
      <c r="AG23" s="195">
        <v>97548628.650000006</v>
      </c>
      <c r="AH23" s="195">
        <v>0</v>
      </c>
      <c r="AI23" s="195">
        <v>0</v>
      </c>
      <c r="AJ23" s="195">
        <v>0</v>
      </c>
      <c r="AK23" s="195">
        <v>0</v>
      </c>
      <c r="AL23" s="195">
        <v>0</v>
      </c>
      <c r="AM23" s="195">
        <v>0</v>
      </c>
      <c r="AN23" s="195">
        <v>0</v>
      </c>
      <c r="AO23" s="195">
        <v>0</v>
      </c>
      <c r="AP23" s="195">
        <v>0</v>
      </c>
      <c r="AQ23" s="195">
        <v>0</v>
      </c>
      <c r="AR23" s="195">
        <v>62400000</v>
      </c>
      <c r="AS23" s="195">
        <v>7535059.1299999999</v>
      </c>
      <c r="AT23" s="195">
        <v>0</v>
      </c>
      <c r="AU23" s="195">
        <v>0</v>
      </c>
      <c r="AV23" s="195">
        <v>0</v>
      </c>
      <c r="AW23" s="195">
        <v>4410000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row>
    <row r="24" spans="1:72" x14ac:dyDescent="0.25">
      <c r="A24" s="195" t="s">
        <v>240</v>
      </c>
      <c r="B24" s="195">
        <v>0</v>
      </c>
      <c r="C24" s="195">
        <v>0</v>
      </c>
      <c r="D24" s="195">
        <v>0</v>
      </c>
      <c r="E24" s="195">
        <v>2128900</v>
      </c>
      <c r="F24" s="195">
        <v>0</v>
      </c>
      <c r="G24" s="195">
        <v>87000000</v>
      </c>
      <c r="H24" s="195">
        <v>0</v>
      </c>
      <c r="I24" s="195">
        <v>66949009.100000001</v>
      </c>
      <c r="J24" s="195">
        <v>64827187.43</v>
      </c>
      <c r="K24" s="195">
        <v>1517471.39</v>
      </c>
      <c r="L24" s="195">
        <v>0</v>
      </c>
      <c r="M24" s="195">
        <v>38456870</v>
      </c>
      <c r="N24" s="195">
        <v>0</v>
      </c>
      <c r="O24" s="195">
        <v>0</v>
      </c>
      <c r="P24" s="195">
        <v>0</v>
      </c>
      <c r="Q24" s="195">
        <v>3032180.9</v>
      </c>
      <c r="R24" s="195">
        <v>0</v>
      </c>
      <c r="S24" s="195">
        <v>0</v>
      </c>
      <c r="T24" s="195">
        <v>0</v>
      </c>
      <c r="U24" s="195">
        <v>11267479.76</v>
      </c>
      <c r="V24" s="195">
        <v>0</v>
      </c>
      <c r="W24" s="195">
        <v>0</v>
      </c>
      <c r="X24" s="195">
        <v>0</v>
      </c>
      <c r="Y24" s="195">
        <v>0</v>
      </c>
      <c r="Z24" s="195">
        <v>0</v>
      </c>
      <c r="AA24" s="195">
        <v>26612935.699999999</v>
      </c>
      <c r="AB24" s="195">
        <v>0</v>
      </c>
      <c r="AC24" s="195">
        <v>0</v>
      </c>
      <c r="AD24" s="195">
        <v>0</v>
      </c>
      <c r="AE24" s="195">
        <v>0</v>
      </c>
      <c r="AF24" s="195">
        <v>0</v>
      </c>
      <c r="AG24" s="195">
        <v>0</v>
      </c>
      <c r="AH24" s="195">
        <v>0</v>
      </c>
      <c r="AI24" s="195">
        <v>0</v>
      </c>
      <c r="AJ24" s="195">
        <v>0</v>
      </c>
      <c r="AK24" s="195">
        <v>0</v>
      </c>
      <c r="AL24" s="195">
        <v>0</v>
      </c>
      <c r="AM24" s="195">
        <v>0</v>
      </c>
      <c r="AN24" s="195">
        <v>0</v>
      </c>
      <c r="AO24" s="195">
        <v>60000000</v>
      </c>
      <c r="AP24" s="195">
        <v>0</v>
      </c>
      <c r="AQ24" s="195">
        <v>62400000</v>
      </c>
      <c r="AR24" s="195">
        <v>0</v>
      </c>
      <c r="AS24" s="195">
        <v>0</v>
      </c>
      <c r="AT24" s="195">
        <v>0</v>
      </c>
      <c r="AU24" s="195">
        <v>0</v>
      </c>
      <c r="AV24" s="195">
        <v>0</v>
      </c>
      <c r="AW24" s="195">
        <v>42218931.299999997</v>
      </c>
      <c r="AX24" s="195">
        <v>0</v>
      </c>
      <c r="AY24" s="195">
        <v>0</v>
      </c>
      <c r="AZ24" s="195">
        <v>49860</v>
      </c>
      <c r="BA24" s="195">
        <v>0</v>
      </c>
      <c r="BB24" s="195">
        <v>1140143.93</v>
      </c>
      <c r="BC24" s="195">
        <v>370634.74</v>
      </c>
      <c r="BD24" s="195">
        <v>273471.06</v>
      </c>
      <c r="BE24" s="195">
        <v>2486401</v>
      </c>
      <c r="BF24" s="195">
        <v>0</v>
      </c>
      <c r="BG24" s="195">
        <v>677939.97</v>
      </c>
      <c r="BH24" s="195">
        <v>828050</v>
      </c>
      <c r="BI24" s="195">
        <v>0</v>
      </c>
      <c r="BJ24" s="195">
        <v>0</v>
      </c>
      <c r="BK24" s="195">
        <v>0</v>
      </c>
      <c r="BL24" s="195">
        <v>0</v>
      </c>
      <c r="BM24" s="195">
        <v>0</v>
      </c>
      <c r="BN24" s="195">
        <v>2754390.85</v>
      </c>
      <c r="BO24" s="195">
        <v>0</v>
      </c>
      <c r="BP24" s="195">
        <v>0</v>
      </c>
      <c r="BQ24" s="195">
        <v>0</v>
      </c>
      <c r="BR24" s="195">
        <v>0</v>
      </c>
      <c r="BS24" s="195">
        <v>200000</v>
      </c>
      <c r="BT24" s="195">
        <v>0</v>
      </c>
    </row>
    <row r="25" spans="1:72" x14ac:dyDescent="0.25">
      <c r="A25" s="195" t="s">
        <v>241</v>
      </c>
      <c r="B25" s="195">
        <v>7260795362.6300001</v>
      </c>
      <c r="C25" s="195">
        <v>4328456755.0600004</v>
      </c>
      <c r="D25" s="195">
        <v>1702464768.3499999</v>
      </c>
      <c r="E25" s="195">
        <v>6020581359.3000002</v>
      </c>
      <c r="F25" s="195">
        <v>3938943448.52</v>
      </c>
      <c r="G25" s="195">
        <v>2683792863.6100001</v>
      </c>
      <c r="H25" s="195">
        <v>1356302497.46</v>
      </c>
      <c r="I25" s="195">
        <v>4195409416.0900002</v>
      </c>
      <c r="J25" s="195">
        <v>2930754051.9000001</v>
      </c>
      <c r="K25" s="195">
        <v>2325713382.1599998</v>
      </c>
      <c r="L25" s="195">
        <v>736096610.07000005</v>
      </c>
      <c r="M25" s="195">
        <v>5298921558.7700005</v>
      </c>
      <c r="N25" s="195">
        <v>4536258095.3699999</v>
      </c>
      <c r="O25" s="195">
        <v>2365600650.98</v>
      </c>
      <c r="P25" s="195">
        <v>2265736747.4099998</v>
      </c>
      <c r="Q25" s="195">
        <v>9126297983.6800003</v>
      </c>
      <c r="R25" s="195">
        <v>7989437541.04</v>
      </c>
      <c r="S25" s="195">
        <v>4587994943.6099997</v>
      </c>
      <c r="T25" s="195">
        <v>3301619197.1100001</v>
      </c>
      <c r="U25" s="195">
        <v>6850918763.8500004</v>
      </c>
      <c r="V25" s="195">
        <v>4379310599.8699999</v>
      </c>
      <c r="W25" s="195">
        <v>3041193512.1399999</v>
      </c>
      <c r="X25" s="195">
        <v>1453455996</v>
      </c>
      <c r="Y25" s="195">
        <v>3954741866.8200002</v>
      </c>
      <c r="Z25" s="195">
        <v>3052726732.9699998</v>
      </c>
      <c r="AA25" s="195">
        <v>1704229000.47</v>
      </c>
      <c r="AB25" s="195">
        <v>837044679.60000002</v>
      </c>
      <c r="AC25" s="195">
        <v>2908827003.4499998</v>
      </c>
      <c r="AD25" s="195">
        <v>1717541570.7</v>
      </c>
      <c r="AE25" s="195">
        <v>1188936900.1600001</v>
      </c>
      <c r="AF25" s="195">
        <v>735926489.94000006</v>
      </c>
      <c r="AG25" s="195">
        <v>1514724414.25</v>
      </c>
      <c r="AH25" s="195">
        <v>1242558818.5599999</v>
      </c>
      <c r="AI25" s="195">
        <v>782982408.63</v>
      </c>
      <c r="AJ25" s="195">
        <v>652243977.11000001</v>
      </c>
      <c r="AK25" s="195">
        <v>2113766518.3</v>
      </c>
      <c r="AL25" s="195">
        <v>1418607212.3800001</v>
      </c>
      <c r="AM25" s="195">
        <v>925148971.26999998</v>
      </c>
      <c r="AN25" s="195">
        <v>211593013.12</v>
      </c>
      <c r="AO25" s="195">
        <v>1235618812.6500001</v>
      </c>
      <c r="AP25" s="195">
        <v>966273489.73000002</v>
      </c>
      <c r="AQ25" s="195">
        <v>580515750.15999997</v>
      </c>
      <c r="AR25" s="195">
        <v>405992056.61000001</v>
      </c>
      <c r="AS25" s="195">
        <v>675027995.86000001</v>
      </c>
      <c r="AT25" s="195">
        <v>375076915.27999997</v>
      </c>
      <c r="AU25" s="195">
        <v>196463517.13</v>
      </c>
      <c r="AV25" s="195">
        <v>94416003.370000005</v>
      </c>
      <c r="AW25" s="195">
        <v>626086325.91999996</v>
      </c>
      <c r="AX25" s="195">
        <v>416534566.06</v>
      </c>
      <c r="AY25" s="195">
        <v>247050021.36000001</v>
      </c>
      <c r="AZ25" s="195">
        <v>247268447.88</v>
      </c>
      <c r="BA25" s="195">
        <v>1532405243.72</v>
      </c>
      <c r="BB25" s="195">
        <v>1134053881.9000001</v>
      </c>
      <c r="BC25" s="195">
        <v>848026055.95000005</v>
      </c>
      <c r="BD25" s="195">
        <v>351659689.56999999</v>
      </c>
      <c r="BE25" s="195">
        <v>1289613582.1199999</v>
      </c>
      <c r="BF25" s="195">
        <v>751233324.26999998</v>
      </c>
      <c r="BG25" s="195">
        <v>386696697.19999999</v>
      </c>
      <c r="BH25" s="195">
        <v>124798899.94</v>
      </c>
      <c r="BI25" s="195">
        <v>331647372.31999999</v>
      </c>
      <c r="BJ25" s="195">
        <v>198249661.33000001</v>
      </c>
      <c r="BK25" s="195">
        <v>95248763.180000007</v>
      </c>
      <c r="BL25" s="195">
        <v>39655574.289999999</v>
      </c>
      <c r="BM25" s="195">
        <v>186024499.33000001</v>
      </c>
      <c r="BN25" s="195">
        <v>52679080.920000002</v>
      </c>
      <c r="BO25" s="195">
        <v>325067427.18000001</v>
      </c>
      <c r="BP25" s="195">
        <v>177990243.13</v>
      </c>
      <c r="BQ25" s="195">
        <v>107333763.25</v>
      </c>
      <c r="BR25" s="195">
        <v>16897098.41</v>
      </c>
      <c r="BS25" s="195">
        <v>42178974.149999999</v>
      </c>
      <c r="BT25" s="195">
        <v>0</v>
      </c>
    </row>
    <row r="26" spans="1:72" x14ac:dyDescent="0.25">
      <c r="A26" s="195" t="s">
        <v>242</v>
      </c>
      <c r="B26" s="195">
        <v>-7179636001.6999998</v>
      </c>
      <c r="C26" s="195">
        <v>-4254915071.2600002</v>
      </c>
      <c r="D26" s="195">
        <v>-1700289854.3499999</v>
      </c>
      <c r="E26" s="195">
        <v>-5459918029.5699997</v>
      </c>
      <c r="F26" s="195">
        <v>-3524325480.9400001</v>
      </c>
      <c r="G26" s="195">
        <v>-2278955850.5</v>
      </c>
      <c r="H26" s="195">
        <v>-1352865095.1199999</v>
      </c>
      <c r="I26" s="195">
        <v>-3969579009</v>
      </c>
      <c r="J26" s="195">
        <v>-2899642388</v>
      </c>
      <c r="K26" s="195">
        <v>-2295106452.1199999</v>
      </c>
      <c r="L26" s="195">
        <v>-735624941.26999998</v>
      </c>
      <c r="M26" s="195">
        <v>-5224606083.0500002</v>
      </c>
      <c r="N26" s="195">
        <v>-4396706858</v>
      </c>
      <c r="O26" s="195">
        <v>-2293899065.6100001</v>
      </c>
      <c r="P26" s="195">
        <v>-2263269157.4099998</v>
      </c>
      <c r="Q26" s="195">
        <v>-9025830462.0200005</v>
      </c>
      <c r="R26" s="195">
        <v>-7938528490.8000002</v>
      </c>
      <c r="S26" s="195">
        <v>-4582236639.2799997</v>
      </c>
      <c r="T26" s="195">
        <v>-3296521947.6300001</v>
      </c>
      <c r="U26" s="195">
        <v>-6816471388.0699997</v>
      </c>
      <c r="V26" s="195">
        <v>-4361503473.4399996</v>
      </c>
      <c r="W26" s="195">
        <v>-3024224390.8699999</v>
      </c>
      <c r="X26" s="195">
        <v>-1453451947.1600001</v>
      </c>
      <c r="Y26" s="195">
        <v>-3922441243.5900002</v>
      </c>
      <c r="Z26" s="195">
        <v>-3047931724.5100002</v>
      </c>
      <c r="AA26" s="195">
        <v>-1699707374.0999999</v>
      </c>
      <c r="AB26" s="195">
        <v>-833769288.23000002</v>
      </c>
      <c r="AC26" s="195">
        <v>-2869787927.3299999</v>
      </c>
      <c r="AD26" s="195">
        <v>-1697959027.75</v>
      </c>
      <c r="AE26" s="195">
        <v>-1171580212.0599999</v>
      </c>
      <c r="AF26" s="195">
        <v>-724102022.63999999</v>
      </c>
      <c r="AG26" s="195">
        <v>-1442697804.47</v>
      </c>
      <c r="AH26" s="195">
        <v>-1187167868.3900001</v>
      </c>
      <c r="AI26" s="195">
        <v>-740733424.04999995</v>
      </c>
      <c r="AJ26" s="195">
        <v>-620326421.33000004</v>
      </c>
      <c r="AK26" s="195">
        <v>-1772244556.1500001</v>
      </c>
      <c r="AL26" s="195">
        <v>-1389053610.71</v>
      </c>
      <c r="AM26" s="195">
        <v>-899226496.24000001</v>
      </c>
      <c r="AN26" s="195">
        <v>-210575013.12</v>
      </c>
      <c r="AO26" s="195">
        <v>-925924885.74000001</v>
      </c>
      <c r="AP26" s="195">
        <v>-715714052.22000003</v>
      </c>
      <c r="AQ26" s="195">
        <v>-418450609.54000002</v>
      </c>
      <c r="AR26" s="195">
        <v>-386503948.89999998</v>
      </c>
      <c r="AS26" s="195">
        <v>-366843786.76999998</v>
      </c>
      <c r="AT26" s="195">
        <v>-186464452.16</v>
      </c>
      <c r="AU26" s="195">
        <v>-137923014.09999999</v>
      </c>
      <c r="AV26" s="195">
        <v>-70899971.370000005</v>
      </c>
      <c r="AW26" s="195">
        <v>-519132532.95999998</v>
      </c>
      <c r="AX26" s="195">
        <v>-367541651.69</v>
      </c>
      <c r="AY26" s="195">
        <v>-212518216.44999999</v>
      </c>
      <c r="AZ26" s="195">
        <v>-219695621.61000001</v>
      </c>
      <c r="BA26" s="195">
        <v>-1397494703.5899999</v>
      </c>
      <c r="BB26" s="195">
        <v>-1046367335.28</v>
      </c>
      <c r="BC26" s="195">
        <v>-782308198.14999998</v>
      </c>
      <c r="BD26" s="195">
        <v>-313025634.93000001</v>
      </c>
      <c r="BE26" s="195">
        <v>-1246393030.8299999</v>
      </c>
      <c r="BF26" s="195">
        <v>-747158991.71000004</v>
      </c>
      <c r="BG26" s="195">
        <v>-383191860.06999999</v>
      </c>
      <c r="BH26" s="195">
        <v>-121943969.43000001</v>
      </c>
      <c r="BI26" s="195">
        <v>-327413227.32999998</v>
      </c>
      <c r="BJ26" s="195">
        <v>-195053779.46000001</v>
      </c>
      <c r="BK26" s="195">
        <v>-92332766.310000002</v>
      </c>
      <c r="BL26" s="195">
        <v>-39468860.689999998</v>
      </c>
      <c r="BM26" s="195">
        <v>-181735701.97999999</v>
      </c>
      <c r="BN26" s="195">
        <v>-48585928.770000003</v>
      </c>
      <c r="BO26" s="195">
        <v>-248314390.78</v>
      </c>
      <c r="BP26" s="195">
        <v>-168884251.93000001</v>
      </c>
      <c r="BQ26" s="195">
        <v>-107333763.25</v>
      </c>
      <c r="BR26" s="195">
        <v>-16897098.41</v>
      </c>
      <c r="BS26" s="195">
        <v>-36084096.149999999</v>
      </c>
      <c r="BT26" s="195">
        <v>0</v>
      </c>
    </row>
    <row r="27" spans="1:72" x14ac:dyDescent="0.25">
      <c r="A27" s="195" t="s">
        <v>243</v>
      </c>
    </row>
    <row r="28" spans="1:72" x14ac:dyDescent="0.25">
      <c r="A28" s="195" t="s">
        <v>244</v>
      </c>
      <c r="B28" s="195">
        <v>0</v>
      </c>
      <c r="C28" s="195">
        <v>0</v>
      </c>
      <c r="D28" s="195">
        <v>0</v>
      </c>
      <c r="E28" s="195">
        <v>2487297171.5</v>
      </c>
      <c r="F28" s="195">
        <v>2459999984</v>
      </c>
      <c r="G28" s="195">
        <v>2459999984</v>
      </c>
      <c r="H28" s="195">
        <v>2459999984</v>
      </c>
      <c r="I28" s="195">
        <v>0</v>
      </c>
      <c r="J28" s="195">
        <v>0</v>
      </c>
      <c r="K28" s="195">
        <v>0</v>
      </c>
      <c r="L28" s="195">
        <v>0</v>
      </c>
      <c r="M28" s="195">
        <v>30375000</v>
      </c>
      <c r="N28" s="195">
        <v>30375000</v>
      </c>
      <c r="O28" s="195">
        <v>0</v>
      </c>
      <c r="P28" s="195">
        <v>0</v>
      </c>
      <c r="Q28" s="195">
        <v>189125000</v>
      </c>
      <c r="R28" s="195">
        <v>189125000</v>
      </c>
      <c r="S28" s="195">
        <v>18225000</v>
      </c>
      <c r="T28" s="195">
        <v>0</v>
      </c>
      <c r="U28" s="195">
        <v>160000000</v>
      </c>
      <c r="V28" s="195">
        <v>160000000</v>
      </c>
      <c r="W28" s="195">
        <v>160000000</v>
      </c>
      <c r="X28" s="195">
        <v>160000000</v>
      </c>
      <c r="Y28" s="195">
        <v>0</v>
      </c>
      <c r="Z28" s="195">
        <v>0</v>
      </c>
      <c r="AA28" s="195">
        <v>0</v>
      </c>
      <c r="AB28" s="195">
        <v>0</v>
      </c>
      <c r="AC28" s="195">
        <v>0</v>
      </c>
      <c r="AD28" s="195">
        <v>0</v>
      </c>
      <c r="AE28" s="195">
        <v>0</v>
      </c>
      <c r="AF28" s="195">
        <v>0</v>
      </c>
      <c r="AG28" s="195">
        <v>0</v>
      </c>
      <c r="AH28" s="195">
        <v>0</v>
      </c>
      <c r="AI28" s="195">
        <v>0</v>
      </c>
      <c r="AJ28" s="195">
        <v>0</v>
      </c>
      <c r="AK28" s="195">
        <v>49000000</v>
      </c>
      <c r="AL28" s="195">
        <v>49000000</v>
      </c>
      <c r="AM28" s="195">
        <v>49000000</v>
      </c>
      <c r="AN28" s="195">
        <v>0</v>
      </c>
      <c r="AO28" s="195">
        <v>55080000</v>
      </c>
      <c r="AP28" s="195">
        <v>55080000</v>
      </c>
      <c r="AQ28" s="195">
        <v>55080000</v>
      </c>
      <c r="AR28" s="195">
        <v>0</v>
      </c>
      <c r="AS28" s="195">
        <v>0</v>
      </c>
      <c r="AT28" s="195">
        <v>0</v>
      </c>
      <c r="AU28" s="195">
        <v>0</v>
      </c>
      <c r="AV28" s="195">
        <v>0</v>
      </c>
      <c r="AW28" s="195">
        <v>165316562.55000001</v>
      </c>
      <c r="AX28" s="195">
        <v>165316562.55000001</v>
      </c>
      <c r="AY28" s="195">
        <v>165316562.55000001</v>
      </c>
      <c r="AZ28" s="195">
        <v>165316562.55000001</v>
      </c>
      <c r="BA28" s="195">
        <v>2750000</v>
      </c>
      <c r="BB28" s="195">
        <v>0</v>
      </c>
      <c r="BC28" s="195">
        <v>0</v>
      </c>
      <c r="BD28" s="195">
        <v>0</v>
      </c>
      <c r="BE28" s="195">
        <v>0</v>
      </c>
      <c r="BF28" s="195">
        <v>0</v>
      </c>
      <c r="BG28" s="195">
        <v>0</v>
      </c>
      <c r="BH28" s="195">
        <v>0</v>
      </c>
      <c r="BI28" s="195">
        <v>73750000</v>
      </c>
      <c r="BJ28" s="195">
        <v>73750000</v>
      </c>
      <c r="BK28" s="195">
        <v>0</v>
      </c>
      <c r="BL28" s="195">
        <v>0</v>
      </c>
      <c r="BM28" s="195">
        <v>0</v>
      </c>
      <c r="BN28" s="195">
        <v>0</v>
      </c>
      <c r="BO28" s="195">
        <v>0</v>
      </c>
      <c r="BP28" s="195">
        <v>0</v>
      </c>
      <c r="BQ28" s="195">
        <v>440120800</v>
      </c>
      <c r="BR28" s="195">
        <v>0</v>
      </c>
      <c r="BS28" s="195">
        <v>0</v>
      </c>
      <c r="BT28" s="195">
        <v>0</v>
      </c>
    </row>
    <row r="29" spans="1:72" x14ac:dyDescent="0.25">
      <c r="A29" s="195" t="s">
        <v>245</v>
      </c>
      <c r="B29" s="195">
        <v>0</v>
      </c>
      <c r="C29" s="195">
        <v>0</v>
      </c>
      <c r="D29" s="195">
        <v>0</v>
      </c>
      <c r="E29" s="195">
        <v>27297187.5</v>
      </c>
      <c r="F29" s="195">
        <v>0</v>
      </c>
      <c r="G29" s="195">
        <v>0</v>
      </c>
      <c r="H29" s="195">
        <v>0</v>
      </c>
      <c r="I29" s="195">
        <v>0</v>
      </c>
      <c r="J29" s="195">
        <v>0</v>
      </c>
      <c r="K29" s="195">
        <v>0</v>
      </c>
      <c r="L29" s="195">
        <v>0</v>
      </c>
      <c r="M29" s="195">
        <v>30375000</v>
      </c>
      <c r="N29" s="195">
        <v>30375000</v>
      </c>
      <c r="O29" s="195">
        <v>0</v>
      </c>
      <c r="P29" s="195">
        <v>0</v>
      </c>
      <c r="Q29" s="195">
        <v>189125000</v>
      </c>
      <c r="R29" s="195">
        <v>189125000</v>
      </c>
      <c r="S29" s="195">
        <v>18225000</v>
      </c>
      <c r="T29" s="195">
        <v>0</v>
      </c>
      <c r="U29" s="195">
        <v>160000000</v>
      </c>
      <c r="V29" s="195">
        <v>160000000</v>
      </c>
      <c r="W29" s="195">
        <v>160000000</v>
      </c>
      <c r="X29" s="195">
        <v>160000000</v>
      </c>
      <c r="Y29" s="195">
        <v>0</v>
      </c>
      <c r="Z29" s="195">
        <v>0</v>
      </c>
      <c r="AA29" s="195">
        <v>0</v>
      </c>
      <c r="AB29" s="195">
        <v>0</v>
      </c>
      <c r="AC29" s="195">
        <v>0</v>
      </c>
      <c r="AD29" s="195">
        <v>0</v>
      </c>
      <c r="AE29" s="195">
        <v>0</v>
      </c>
      <c r="AF29" s="195">
        <v>0</v>
      </c>
      <c r="AG29" s="195">
        <v>0</v>
      </c>
      <c r="AH29" s="195">
        <v>0</v>
      </c>
      <c r="AI29" s="195">
        <v>0</v>
      </c>
      <c r="AJ29" s="195">
        <v>0</v>
      </c>
      <c r="AK29" s="195">
        <v>49000000</v>
      </c>
      <c r="AL29" s="195">
        <v>49000000</v>
      </c>
      <c r="AM29" s="195">
        <v>49000000</v>
      </c>
      <c r="AN29" s="195">
        <v>0</v>
      </c>
      <c r="AO29" s="195">
        <v>55080000</v>
      </c>
      <c r="AP29" s="195">
        <v>0</v>
      </c>
      <c r="AQ29" s="195">
        <v>55080000</v>
      </c>
      <c r="AR29" s="195">
        <v>0</v>
      </c>
      <c r="AS29" s="195">
        <v>0</v>
      </c>
      <c r="AT29" s="195">
        <v>0</v>
      </c>
      <c r="AU29" s="195">
        <v>0</v>
      </c>
      <c r="AV29" s="195">
        <v>0</v>
      </c>
      <c r="AW29" s="195">
        <v>165316562.55000001</v>
      </c>
      <c r="AX29" s="195">
        <v>165316562.55000001</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row>
    <row r="30" spans="1:72" x14ac:dyDescent="0.25">
      <c r="A30" s="195" t="s">
        <v>246</v>
      </c>
      <c r="B30" s="195">
        <v>24406860428.02</v>
      </c>
      <c r="C30" s="195">
        <v>19702952200.470001</v>
      </c>
      <c r="D30" s="195">
        <v>8647801575.7900009</v>
      </c>
      <c r="E30" s="195">
        <v>24453540306.73</v>
      </c>
      <c r="F30" s="195">
        <v>18744904122.369999</v>
      </c>
      <c r="G30" s="195">
        <v>15202515189.129999</v>
      </c>
      <c r="H30" s="195">
        <v>4784207880.96</v>
      </c>
      <c r="I30" s="195">
        <v>20637077946</v>
      </c>
      <c r="J30" s="195">
        <v>16252843666.940001</v>
      </c>
      <c r="K30" s="195">
        <v>11941449125.209999</v>
      </c>
      <c r="L30" s="195">
        <v>4818776279.1400003</v>
      </c>
      <c r="M30" s="195">
        <v>27662825929.040001</v>
      </c>
      <c r="N30" s="195">
        <v>16458232060.709999</v>
      </c>
      <c r="O30" s="195">
        <v>9740256652.8500004</v>
      </c>
      <c r="P30" s="195">
        <v>4513442975.3599997</v>
      </c>
      <c r="Q30" s="195">
        <v>19145781118.619999</v>
      </c>
      <c r="R30" s="195">
        <v>15836891423.85</v>
      </c>
      <c r="S30" s="195">
        <v>11549250892.75</v>
      </c>
      <c r="T30" s="195">
        <v>5465629071.6899996</v>
      </c>
      <c r="U30" s="195">
        <v>13157399734.74</v>
      </c>
      <c r="V30" s="195">
        <v>10354887807.15</v>
      </c>
      <c r="W30" s="195">
        <v>7090236488.46</v>
      </c>
      <c r="X30" s="195">
        <v>2881392869.1599998</v>
      </c>
      <c r="Y30" s="195">
        <v>9467924089.4099998</v>
      </c>
      <c r="Z30" s="195">
        <v>6717688999.5699997</v>
      </c>
      <c r="AA30" s="195">
        <v>4608926133.1199999</v>
      </c>
      <c r="AB30" s="195">
        <v>2236350624.6599998</v>
      </c>
      <c r="AC30" s="195">
        <v>7387241147.4899998</v>
      </c>
      <c r="AD30" s="195">
        <v>4731545281.6800003</v>
      </c>
      <c r="AE30" s="195">
        <v>4355438121.4899998</v>
      </c>
      <c r="AF30" s="195">
        <v>2615231109.3400002</v>
      </c>
      <c r="AG30" s="195">
        <v>4374691112.6800003</v>
      </c>
      <c r="AH30" s="195">
        <v>2748910673.77</v>
      </c>
      <c r="AI30" s="195">
        <v>1911240165.6500001</v>
      </c>
      <c r="AJ30" s="195">
        <v>1049600645.65</v>
      </c>
      <c r="AK30" s="195">
        <v>2659453506.3600001</v>
      </c>
      <c r="AL30" s="195">
        <v>4039471635.3099999</v>
      </c>
      <c r="AM30" s="195">
        <v>2880204431.4299998</v>
      </c>
      <c r="AN30" s="195">
        <v>1455466460</v>
      </c>
      <c r="AO30" s="195">
        <v>1513007159.27</v>
      </c>
      <c r="AP30" s="195">
        <v>962505346.42999995</v>
      </c>
      <c r="AQ30" s="195">
        <v>720013546.32000005</v>
      </c>
      <c r="AR30" s="195">
        <v>483607594.76999998</v>
      </c>
      <c r="AS30" s="195">
        <v>1835706455.27</v>
      </c>
      <c r="AT30" s="195">
        <v>1740044722.22</v>
      </c>
      <c r="AU30" s="195">
        <v>972823165.26999998</v>
      </c>
      <c r="AV30" s="195">
        <v>252585665.27000001</v>
      </c>
      <c r="AW30" s="195">
        <v>1105703483</v>
      </c>
      <c r="AX30" s="195">
        <v>827509197.57000005</v>
      </c>
      <c r="AY30" s="195">
        <v>655818000</v>
      </c>
      <c r="AZ30" s="195">
        <v>322466500</v>
      </c>
      <c r="BA30" s="195">
        <v>1896061750</v>
      </c>
      <c r="BB30" s="195">
        <v>1531721000</v>
      </c>
      <c r="BC30" s="195">
        <v>1190580750</v>
      </c>
      <c r="BD30" s="195">
        <v>672285750</v>
      </c>
      <c r="BE30" s="195">
        <v>1427765000</v>
      </c>
      <c r="BF30" s="195">
        <v>630000000</v>
      </c>
      <c r="BG30" s="195">
        <v>400000000</v>
      </c>
      <c r="BH30" s="195">
        <v>50000000</v>
      </c>
      <c r="BI30" s="195">
        <v>66191558.5</v>
      </c>
      <c r="BJ30" s="195">
        <v>65681558.5</v>
      </c>
      <c r="BK30" s="195">
        <v>480000</v>
      </c>
      <c r="BL30" s="195">
        <v>690000</v>
      </c>
      <c r="BM30" s="195">
        <v>72000000</v>
      </c>
      <c r="BN30" s="195">
        <v>0</v>
      </c>
      <c r="BO30" s="195">
        <v>30000000</v>
      </c>
      <c r="BP30" s="195">
        <v>30000000</v>
      </c>
      <c r="BQ30" s="195">
        <v>184100000</v>
      </c>
      <c r="BR30" s="195">
        <v>40000000</v>
      </c>
      <c r="BS30" s="195">
        <v>64600000</v>
      </c>
      <c r="BT30" s="195">
        <v>0</v>
      </c>
    </row>
    <row r="31" spans="1:72" x14ac:dyDescent="0.25">
      <c r="A31" s="195" t="s">
        <v>247</v>
      </c>
      <c r="B31" s="195">
        <v>0</v>
      </c>
      <c r="C31" s="195">
        <v>0</v>
      </c>
      <c r="D31" s="195">
        <v>0</v>
      </c>
      <c r="E31" s="195">
        <v>0</v>
      </c>
      <c r="F31" s="195">
        <v>0</v>
      </c>
      <c r="G31" s="195">
        <v>0</v>
      </c>
      <c r="H31" s="195">
        <v>0</v>
      </c>
      <c r="I31" s="195">
        <v>1700000000</v>
      </c>
      <c r="J31" s="195">
        <v>1700000000</v>
      </c>
      <c r="K31" s="195">
        <v>300000000</v>
      </c>
      <c r="L31" s="195">
        <v>300000000</v>
      </c>
      <c r="M31" s="195">
        <v>0</v>
      </c>
      <c r="N31" s="195">
        <v>0</v>
      </c>
      <c r="O31" s="195">
        <v>0</v>
      </c>
      <c r="P31" s="195">
        <v>0</v>
      </c>
      <c r="Q31" s="195">
        <v>1000000000</v>
      </c>
      <c r="R31" s="195">
        <v>0</v>
      </c>
      <c r="S31" s="195">
        <v>0</v>
      </c>
      <c r="T31" s="195">
        <v>0</v>
      </c>
      <c r="U31" s="195">
        <v>0</v>
      </c>
      <c r="V31" s="195">
        <v>0</v>
      </c>
      <c r="W31" s="195">
        <v>0</v>
      </c>
      <c r="X31" s="195">
        <v>0</v>
      </c>
      <c r="Y31" s="195">
        <v>1000000000</v>
      </c>
      <c r="Z31" s="195">
        <v>997000000</v>
      </c>
      <c r="AA31" s="195">
        <v>997000000</v>
      </c>
      <c r="AB31" s="195">
        <v>0</v>
      </c>
      <c r="AC31" s="195">
        <v>850000000</v>
      </c>
      <c r="AD31" s="195">
        <v>0</v>
      </c>
      <c r="AE31" s="195">
        <v>0</v>
      </c>
      <c r="AF31" s="195">
        <v>0</v>
      </c>
      <c r="AG31" s="195">
        <v>0</v>
      </c>
      <c r="AH31" s="195">
        <v>0</v>
      </c>
      <c r="AI31" s="195">
        <v>0</v>
      </c>
      <c r="AJ31" s="195">
        <v>0</v>
      </c>
      <c r="AK31" s="195">
        <v>0</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row>
    <row r="32" spans="1:72" x14ac:dyDescent="0.25">
      <c r="A32" s="195" t="s">
        <v>248</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827000000</v>
      </c>
      <c r="AH32" s="195">
        <v>827000000</v>
      </c>
      <c r="AI32" s="195">
        <v>827000000</v>
      </c>
      <c r="AJ32" s="195">
        <v>617000000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12484.8</v>
      </c>
      <c r="BA32" s="195">
        <v>0</v>
      </c>
      <c r="BB32" s="195">
        <v>0</v>
      </c>
      <c r="BC32" s="195">
        <v>0</v>
      </c>
      <c r="BD32" s="195">
        <v>0</v>
      </c>
      <c r="BE32" s="195">
        <v>156530000</v>
      </c>
      <c r="BF32" s="195">
        <v>156530000</v>
      </c>
      <c r="BG32" s="195">
        <v>156530000</v>
      </c>
      <c r="BH32" s="195">
        <v>0</v>
      </c>
      <c r="BI32" s="195">
        <v>14880000</v>
      </c>
      <c r="BJ32" s="195">
        <v>14880000</v>
      </c>
      <c r="BK32" s="195">
        <v>14880000</v>
      </c>
      <c r="BL32" s="195">
        <v>14880000</v>
      </c>
      <c r="BM32" s="195">
        <v>7440000</v>
      </c>
      <c r="BN32" s="195">
        <v>0</v>
      </c>
      <c r="BO32" s="195">
        <v>0</v>
      </c>
      <c r="BP32" s="195">
        <v>0</v>
      </c>
      <c r="BQ32" s="195">
        <v>3645694.36</v>
      </c>
      <c r="BR32" s="195">
        <v>0</v>
      </c>
      <c r="BS32" s="195">
        <v>0</v>
      </c>
      <c r="BT32" s="195">
        <v>0</v>
      </c>
    </row>
    <row r="33" spans="1:72" x14ac:dyDescent="0.25">
      <c r="A33" s="195" t="s">
        <v>249</v>
      </c>
      <c r="B33" s="195">
        <v>24406860428.02</v>
      </c>
      <c r="C33" s="195">
        <v>19702952200.470001</v>
      </c>
      <c r="D33" s="195">
        <v>8647801575.7900009</v>
      </c>
      <c r="E33" s="195">
        <v>26940837478.23</v>
      </c>
      <c r="F33" s="195">
        <v>21204904106.369999</v>
      </c>
      <c r="G33" s="195">
        <v>17662515173.130001</v>
      </c>
      <c r="H33" s="195">
        <v>7244207864.96</v>
      </c>
      <c r="I33" s="195">
        <v>22337077946</v>
      </c>
      <c r="J33" s="195">
        <v>17952843666.939999</v>
      </c>
      <c r="K33" s="195">
        <v>12241449125.209999</v>
      </c>
      <c r="L33" s="195">
        <v>5118776279.1400003</v>
      </c>
      <c r="M33" s="195">
        <v>27693200929.040001</v>
      </c>
      <c r="N33" s="195">
        <v>16488607060.709999</v>
      </c>
      <c r="O33" s="195">
        <v>9740256652.8500004</v>
      </c>
      <c r="P33" s="195">
        <v>4513442975.3599997</v>
      </c>
      <c r="Q33" s="195">
        <v>20334906118.619999</v>
      </c>
      <c r="R33" s="195">
        <v>16026016423.85</v>
      </c>
      <c r="S33" s="195">
        <v>11567475892.75</v>
      </c>
      <c r="T33" s="195">
        <v>5465629071.6899996</v>
      </c>
      <c r="U33" s="195">
        <v>13317399734.74</v>
      </c>
      <c r="V33" s="195">
        <v>10514887807.15</v>
      </c>
      <c r="W33" s="195">
        <v>7250236488.46</v>
      </c>
      <c r="X33" s="195">
        <v>3041392869.1599998</v>
      </c>
      <c r="Y33" s="195">
        <v>10467924089.41</v>
      </c>
      <c r="Z33" s="195">
        <v>7714688999.5699997</v>
      </c>
      <c r="AA33" s="195">
        <v>5605926133.1199999</v>
      </c>
      <c r="AB33" s="195">
        <v>2236350624.6599998</v>
      </c>
      <c r="AC33" s="195">
        <v>8237241147.4899998</v>
      </c>
      <c r="AD33" s="195">
        <v>4731545281.6800003</v>
      </c>
      <c r="AE33" s="195">
        <v>4355438121.4899998</v>
      </c>
      <c r="AF33" s="195">
        <v>2615231109.3400002</v>
      </c>
      <c r="AG33" s="195">
        <v>5201691112.6800003</v>
      </c>
      <c r="AH33" s="195">
        <v>3575910673.77</v>
      </c>
      <c r="AI33" s="195">
        <v>2738240165.6500001</v>
      </c>
      <c r="AJ33" s="195">
        <v>1666600645.6500001</v>
      </c>
      <c r="AK33" s="195">
        <v>2708453506.3600001</v>
      </c>
      <c r="AL33" s="195">
        <v>4088471635.3099999</v>
      </c>
      <c r="AM33" s="195">
        <v>2929204431.4299998</v>
      </c>
      <c r="AN33" s="195">
        <v>1455466460</v>
      </c>
      <c r="AO33" s="195">
        <v>1568087159.27</v>
      </c>
      <c r="AP33" s="195">
        <v>1017585346.4299999</v>
      </c>
      <c r="AQ33" s="195">
        <v>775093546.32000005</v>
      </c>
      <c r="AR33" s="195">
        <v>483607594.76999998</v>
      </c>
      <c r="AS33" s="195">
        <v>1835706455.27</v>
      </c>
      <c r="AT33" s="195">
        <v>1740044722.22</v>
      </c>
      <c r="AU33" s="195">
        <v>972823165.26999998</v>
      </c>
      <c r="AV33" s="195">
        <v>252585665.27000001</v>
      </c>
      <c r="AW33" s="195">
        <v>1271020045.55</v>
      </c>
      <c r="AX33" s="195">
        <v>992825760.12</v>
      </c>
      <c r="AY33" s="195">
        <v>821134562.54999995</v>
      </c>
      <c r="AZ33" s="195">
        <v>487795547.35000002</v>
      </c>
      <c r="BA33" s="195">
        <v>1898811750</v>
      </c>
      <c r="BB33" s="195">
        <v>1531721000</v>
      </c>
      <c r="BC33" s="195">
        <v>1190580750</v>
      </c>
      <c r="BD33" s="195">
        <v>672285750</v>
      </c>
      <c r="BE33" s="195">
        <v>1584295000</v>
      </c>
      <c r="BF33" s="195">
        <v>786530000</v>
      </c>
      <c r="BG33" s="195">
        <v>556530000</v>
      </c>
      <c r="BH33" s="195">
        <v>50000000</v>
      </c>
      <c r="BI33" s="195">
        <v>154821558.5</v>
      </c>
      <c r="BJ33" s="195">
        <v>154311558.5</v>
      </c>
      <c r="BK33" s="195">
        <v>15360000</v>
      </c>
      <c r="BL33" s="195">
        <v>15570000</v>
      </c>
      <c r="BM33" s="195">
        <v>79440000</v>
      </c>
      <c r="BN33" s="195">
        <v>0</v>
      </c>
      <c r="BO33" s="195">
        <v>30000000</v>
      </c>
      <c r="BP33" s="195">
        <v>30000000</v>
      </c>
      <c r="BQ33" s="195">
        <v>627866494.36000001</v>
      </c>
      <c r="BR33" s="195">
        <v>40000000</v>
      </c>
      <c r="BS33" s="195">
        <v>64600000</v>
      </c>
      <c r="BT33" s="195">
        <v>0</v>
      </c>
    </row>
    <row r="34" spans="1:72" x14ac:dyDescent="0.25">
      <c r="A34" s="195" t="s">
        <v>250</v>
      </c>
      <c r="B34" s="195">
        <v>27340508648.77</v>
      </c>
      <c r="C34" s="195">
        <v>19245971148.5</v>
      </c>
      <c r="D34" s="195">
        <v>6568915587.96</v>
      </c>
      <c r="E34" s="195">
        <v>23289622001.529999</v>
      </c>
      <c r="F34" s="195">
        <v>18737417508.759998</v>
      </c>
      <c r="G34" s="195">
        <v>14267495214.700001</v>
      </c>
      <c r="H34" s="195">
        <v>5130038624.7399998</v>
      </c>
      <c r="I34" s="195">
        <v>23880537929.860001</v>
      </c>
      <c r="J34" s="195">
        <v>18214717211.860001</v>
      </c>
      <c r="K34" s="195">
        <v>11791745159.32</v>
      </c>
      <c r="L34" s="195">
        <v>5432628915.9700003</v>
      </c>
      <c r="M34" s="195">
        <v>24055646968.360001</v>
      </c>
      <c r="N34" s="195">
        <v>13423926140.16</v>
      </c>
      <c r="O34" s="195">
        <v>7975507746.8000002</v>
      </c>
      <c r="P34" s="195">
        <v>2638974173.46</v>
      </c>
      <c r="Q34" s="195">
        <v>12439546345.82</v>
      </c>
      <c r="R34" s="195">
        <v>9496519241.7299995</v>
      </c>
      <c r="S34" s="195">
        <v>5858761643.6800003</v>
      </c>
      <c r="T34" s="195">
        <v>2384262702.1500001</v>
      </c>
      <c r="U34" s="195">
        <v>8208858373.3699999</v>
      </c>
      <c r="V34" s="195">
        <v>6516225877.3699999</v>
      </c>
      <c r="W34" s="195">
        <v>3930641159.8699999</v>
      </c>
      <c r="X34" s="195">
        <v>1479429365.1400001</v>
      </c>
      <c r="Y34" s="195">
        <v>8775575027.1800003</v>
      </c>
      <c r="Z34" s="195">
        <v>6820693528.8100004</v>
      </c>
      <c r="AA34" s="195">
        <v>5117181836.1099997</v>
      </c>
      <c r="AB34" s="195">
        <v>2569775921.25</v>
      </c>
      <c r="AC34" s="195">
        <v>5154206396.25</v>
      </c>
      <c r="AD34" s="195">
        <v>3331468271.6199999</v>
      </c>
      <c r="AE34" s="195">
        <v>2978174169.0799999</v>
      </c>
      <c r="AF34" s="195">
        <v>1486419247.74</v>
      </c>
      <c r="AG34" s="195">
        <v>2869439452.46</v>
      </c>
      <c r="AH34" s="195">
        <v>1568950528.1099999</v>
      </c>
      <c r="AI34" s="195">
        <v>1290963292.6199999</v>
      </c>
      <c r="AJ34" s="195">
        <v>860382862.00999999</v>
      </c>
      <c r="AK34" s="195">
        <v>1469948612.23</v>
      </c>
      <c r="AL34" s="195">
        <v>2211120903.2600002</v>
      </c>
      <c r="AM34" s="195">
        <v>1091336676.54</v>
      </c>
      <c r="AN34" s="195">
        <v>436458198.22000003</v>
      </c>
      <c r="AO34" s="195">
        <v>1752908591.3499999</v>
      </c>
      <c r="AP34" s="195">
        <v>999092227.25999999</v>
      </c>
      <c r="AQ34" s="195">
        <v>701479089.67999995</v>
      </c>
      <c r="AR34" s="195">
        <v>263140098.50999999</v>
      </c>
      <c r="AS34" s="195">
        <v>1284887013.27</v>
      </c>
      <c r="AT34" s="195">
        <v>1352181454.5999999</v>
      </c>
      <c r="AU34" s="195">
        <v>765615695.08000004</v>
      </c>
      <c r="AV34" s="195">
        <v>161528725</v>
      </c>
      <c r="AW34" s="195">
        <v>1392915700</v>
      </c>
      <c r="AX34" s="195">
        <v>937457664.57000005</v>
      </c>
      <c r="AY34" s="195">
        <v>740273150</v>
      </c>
      <c r="AZ34" s="195">
        <v>298349350</v>
      </c>
      <c r="BA34" s="195">
        <v>1283963400</v>
      </c>
      <c r="BB34" s="195">
        <v>849000000</v>
      </c>
      <c r="BC34" s="195">
        <v>474000000</v>
      </c>
      <c r="BD34" s="195">
        <v>354000000</v>
      </c>
      <c r="BE34" s="195">
        <v>321501558.5</v>
      </c>
      <c r="BF34" s="195">
        <v>51501558.5</v>
      </c>
      <c r="BG34" s="195">
        <v>51501558.5</v>
      </c>
      <c r="BH34" s="195">
        <v>1501558.5</v>
      </c>
      <c r="BI34" s="195">
        <v>12690000</v>
      </c>
      <c r="BJ34" s="195">
        <v>0</v>
      </c>
      <c r="BK34" s="195">
        <v>0</v>
      </c>
      <c r="BL34" s="195">
        <v>210000</v>
      </c>
      <c r="BM34" s="195">
        <v>0</v>
      </c>
      <c r="BN34" s="195">
        <v>0</v>
      </c>
      <c r="BO34" s="195">
        <v>114100000</v>
      </c>
      <c r="BP34" s="195">
        <v>114100000</v>
      </c>
      <c r="BQ34" s="195">
        <v>176730000</v>
      </c>
      <c r="BR34" s="195">
        <v>22130000</v>
      </c>
      <c r="BS34" s="195">
        <v>59600000</v>
      </c>
      <c r="BT34" s="195">
        <v>0</v>
      </c>
    </row>
    <row r="35" spans="1:72" x14ac:dyDescent="0.25">
      <c r="A35" s="195" t="s">
        <v>551</v>
      </c>
      <c r="B35" s="195">
        <v>5118625064.6599998</v>
      </c>
      <c r="C35" s="195">
        <v>4836486626.7600002</v>
      </c>
      <c r="D35" s="195">
        <v>4336622957.3500004</v>
      </c>
      <c r="E35" s="195">
        <v>4298057355</v>
      </c>
      <c r="F35" s="195">
        <v>3776461726.5599999</v>
      </c>
      <c r="G35" s="195">
        <v>2181419177.1199999</v>
      </c>
      <c r="H35" s="195">
        <v>196770304.88</v>
      </c>
      <c r="I35" s="195">
        <v>1948913155.5999999</v>
      </c>
      <c r="J35" s="195">
        <v>1690401401.47</v>
      </c>
      <c r="K35" s="195">
        <v>1455851802.76</v>
      </c>
      <c r="L35" s="195">
        <v>249365408.72</v>
      </c>
      <c r="M35" s="195">
        <v>1866306502.9400001</v>
      </c>
      <c r="N35" s="195">
        <v>1595163704.04</v>
      </c>
      <c r="O35" s="195">
        <v>1402988095.26</v>
      </c>
      <c r="P35" s="195">
        <v>266401649.34</v>
      </c>
      <c r="Q35" s="195">
        <v>2851457275.6500001</v>
      </c>
      <c r="R35" s="195">
        <v>2547925828.2399998</v>
      </c>
      <c r="S35" s="195">
        <v>2287282359.7399998</v>
      </c>
      <c r="T35" s="195">
        <v>126593110.08</v>
      </c>
      <c r="U35" s="195">
        <v>2491121379.46</v>
      </c>
      <c r="V35" s="195">
        <v>2349411756.27</v>
      </c>
      <c r="W35" s="195">
        <v>2244237318.4099998</v>
      </c>
      <c r="X35" s="195">
        <v>447134189.91000003</v>
      </c>
      <c r="Y35" s="195">
        <v>1979651267.9400001</v>
      </c>
      <c r="Z35" s="195">
        <v>1887576245.0599999</v>
      </c>
      <c r="AA35" s="195">
        <v>1763226207.2</v>
      </c>
      <c r="AB35" s="195">
        <v>307526542.82999998</v>
      </c>
      <c r="AC35" s="195">
        <v>1323385590.5599999</v>
      </c>
      <c r="AD35" s="195">
        <v>971583017.87</v>
      </c>
      <c r="AE35" s="195">
        <v>903790120.48000002</v>
      </c>
      <c r="AF35" s="195">
        <v>44680254.979999997</v>
      </c>
      <c r="AG35" s="195">
        <v>745422957.94000006</v>
      </c>
      <c r="AH35" s="195">
        <v>707514466.27999997</v>
      </c>
      <c r="AI35" s="195">
        <v>683665650.63999999</v>
      </c>
      <c r="AJ35" s="195">
        <v>10785887.949999999</v>
      </c>
      <c r="AK35" s="195">
        <v>1021037144.66</v>
      </c>
      <c r="AL35" s="195">
        <v>999234751.97000003</v>
      </c>
      <c r="AM35" s="195">
        <v>989403279.60000002</v>
      </c>
      <c r="AN35" s="195">
        <v>13668711.560000001</v>
      </c>
      <c r="AO35" s="195">
        <v>979205767.50999999</v>
      </c>
      <c r="AP35" s="195">
        <v>928598598.08000004</v>
      </c>
      <c r="AQ35" s="195">
        <v>897886328.02999997</v>
      </c>
      <c r="AR35" s="195">
        <v>206812949.38999999</v>
      </c>
      <c r="AS35" s="195">
        <v>288516384.82999998</v>
      </c>
      <c r="AT35" s="195">
        <v>255522837.97999999</v>
      </c>
      <c r="AU35" s="195">
        <v>62525181.159999996</v>
      </c>
      <c r="AV35" s="195">
        <v>23323756.59</v>
      </c>
      <c r="AW35" s="195">
        <v>253198929.16999999</v>
      </c>
      <c r="AX35" s="195">
        <v>218033986.66</v>
      </c>
      <c r="AY35" s="195">
        <v>177175625.87</v>
      </c>
      <c r="AZ35" s="195">
        <v>29936060.73</v>
      </c>
      <c r="BA35" s="195">
        <v>227308823.63</v>
      </c>
      <c r="BB35" s="195">
        <v>200912132.88</v>
      </c>
      <c r="BC35" s="195">
        <v>174190880.00999999</v>
      </c>
      <c r="BD35" s="195">
        <v>17620613.710000001</v>
      </c>
      <c r="BE35" s="195">
        <v>98244215.260000005</v>
      </c>
      <c r="BF35" s="195">
        <v>93226885</v>
      </c>
      <c r="BG35" s="195">
        <v>81711480</v>
      </c>
      <c r="BH35" s="195">
        <v>1579760</v>
      </c>
      <c r="BI35" s="195">
        <v>81772614.340000004</v>
      </c>
      <c r="BJ35" s="195">
        <v>80471581.879999995</v>
      </c>
      <c r="BK35" s="195">
        <v>78503267.890000001</v>
      </c>
      <c r="BL35" s="195">
        <v>839216.93</v>
      </c>
      <c r="BM35" s="195">
        <v>48000000</v>
      </c>
      <c r="BN35" s="195">
        <v>48000000</v>
      </c>
      <c r="BO35" s="195">
        <v>18055502.829999998</v>
      </c>
      <c r="BP35" s="195">
        <v>12255930.5</v>
      </c>
      <c r="BQ35" s="195">
        <v>18763482.5</v>
      </c>
      <c r="BR35" s="195">
        <v>2479280.17</v>
      </c>
      <c r="BS35" s="195">
        <v>2546086.56</v>
      </c>
      <c r="BT35" s="195">
        <v>0</v>
      </c>
    </row>
    <row r="36" spans="1:72" x14ac:dyDescent="0.25">
      <c r="A36" s="195" t="s">
        <v>251</v>
      </c>
      <c r="B36" s="195">
        <v>286567500</v>
      </c>
      <c r="C36" s="195">
        <v>286567500</v>
      </c>
      <c r="D36" s="195">
        <v>0</v>
      </c>
      <c r="E36" s="195">
        <v>2239590937.5</v>
      </c>
      <c r="F36" s="195">
        <v>1907337812.5</v>
      </c>
      <c r="G36" s="195">
        <v>539226875</v>
      </c>
      <c r="H36" s="195">
        <v>7000000</v>
      </c>
      <c r="I36" s="195">
        <v>491478000</v>
      </c>
      <c r="J36" s="195">
        <v>451478000</v>
      </c>
      <c r="K36" s="195">
        <v>451478000</v>
      </c>
      <c r="L36" s="195">
        <v>0</v>
      </c>
      <c r="M36" s="195">
        <v>139057500</v>
      </c>
      <c r="N36" s="195">
        <v>139057500</v>
      </c>
      <c r="O36" s="195">
        <v>139057500</v>
      </c>
      <c r="P36" s="195">
        <v>0</v>
      </c>
      <c r="Q36" s="195">
        <v>399210000</v>
      </c>
      <c r="R36" s="195">
        <v>399210000</v>
      </c>
      <c r="S36" s="195">
        <v>399210000</v>
      </c>
      <c r="T36" s="195">
        <v>0</v>
      </c>
      <c r="U36" s="195">
        <v>469760951.57999998</v>
      </c>
      <c r="V36" s="195">
        <v>469760951.57999998</v>
      </c>
      <c r="W36" s="195">
        <v>469760951.57999998</v>
      </c>
      <c r="X36" s="195">
        <v>368802893.30000001</v>
      </c>
      <c r="Y36" s="195">
        <v>296088191.72000003</v>
      </c>
      <c r="Z36" s="195">
        <v>296088191.72000003</v>
      </c>
      <c r="AA36" s="195">
        <v>246456941.72</v>
      </c>
      <c r="AB36" s="195">
        <v>0</v>
      </c>
      <c r="AC36" s="195">
        <v>423907343.69999999</v>
      </c>
      <c r="AD36" s="195">
        <v>186796782.43000001</v>
      </c>
      <c r="AE36" s="195">
        <v>186796782.44</v>
      </c>
      <c r="AF36" s="195">
        <v>0</v>
      </c>
      <c r="AG36" s="195">
        <v>157106328.58000001</v>
      </c>
      <c r="AH36" s="195">
        <v>157106328.58000001</v>
      </c>
      <c r="AI36" s="195">
        <v>157106328.58000001</v>
      </c>
      <c r="AJ36" s="195">
        <v>0</v>
      </c>
      <c r="AK36" s="195">
        <v>120420462.48</v>
      </c>
      <c r="AL36" s="195">
        <v>120420462.48</v>
      </c>
      <c r="AM36" s="195">
        <v>119340000</v>
      </c>
      <c r="AN36" s="195">
        <v>0</v>
      </c>
      <c r="AO36" s="195">
        <v>186850000</v>
      </c>
      <c r="AP36" s="195">
        <v>0</v>
      </c>
      <c r="AQ36" s="195">
        <v>183600000</v>
      </c>
      <c r="AR36" s="195">
        <v>183600000</v>
      </c>
      <c r="AS36" s="195">
        <v>45900000</v>
      </c>
      <c r="AT36" s="195">
        <v>45900000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row>
    <row r="37" spans="1:72" x14ac:dyDescent="0.25">
      <c r="A37" s="195" t="s">
        <v>252</v>
      </c>
      <c r="B37" s="195">
        <v>569514.56999999995</v>
      </c>
      <c r="C37" s="195">
        <v>441120</v>
      </c>
      <c r="D37" s="195">
        <v>440000</v>
      </c>
      <c r="E37" s="195">
        <v>2691268.86</v>
      </c>
      <c r="F37" s="195">
        <v>1247360.1499999999</v>
      </c>
      <c r="G37" s="195">
        <v>1078745.58</v>
      </c>
      <c r="H37" s="195">
        <v>38177.5</v>
      </c>
      <c r="I37" s="195">
        <v>11897770.83</v>
      </c>
      <c r="J37" s="195">
        <v>10964829.43</v>
      </c>
      <c r="K37" s="195">
        <v>5647776.1900000004</v>
      </c>
      <c r="L37" s="195">
        <v>526080.34</v>
      </c>
      <c r="M37" s="195">
        <v>14966474.949999999</v>
      </c>
      <c r="N37" s="195">
        <v>13518847.5</v>
      </c>
      <c r="O37" s="195">
        <v>11210801.59</v>
      </c>
      <c r="P37" s="195">
        <v>1391686.4</v>
      </c>
      <c r="Q37" s="195">
        <v>42691270.280000001</v>
      </c>
      <c r="R37" s="195">
        <v>4806224.3</v>
      </c>
      <c r="S37" s="195">
        <v>3183150</v>
      </c>
      <c r="T37" s="195">
        <v>2402961.65</v>
      </c>
      <c r="U37" s="195">
        <v>9963199.5399999991</v>
      </c>
      <c r="V37" s="195">
        <v>0</v>
      </c>
      <c r="W37" s="195">
        <v>0</v>
      </c>
      <c r="X37" s="195">
        <v>0</v>
      </c>
      <c r="Y37" s="195">
        <v>5029363.47</v>
      </c>
      <c r="Z37" s="195">
        <v>0</v>
      </c>
      <c r="AA37" s="195">
        <v>0</v>
      </c>
      <c r="AB37" s="195">
        <v>0</v>
      </c>
      <c r="AC37" s="195">
        <v>8918504.5</v>
      </c>
      <c r="AD37" s="195">
        <v>0</v>
      </c>
      <c r="AE37" s="195">
        <v>0</v>
      </c>
      <c r="AF37" s="195">
        <v>0</v>
      </c>
      <c r="AG37" s="195">
        <v>0</v>
      </c>
      <c r="AH37" s="195">
        <v>0</v>
      </c>
      <c r="AI37" s="195">
        <v>0</v>
      </c>
      <c r="AJ37" s="195">
        <v>0</v>
      </c>
      <c r="AK37" s="195">
        <v>827000000</v>
      </c>
      <c r="AL37" s="195">
        <v>0</v>
      </c>
      <c r="AM37" s="195">
        <v>0</v>
      </c>
      <c r="AN37" s="195">
        <v>0</v>
      </c>
      <c r="AO37" s="195">
        <v>0</v>
      </c>
      <c r="AP37" s="195">
        <v>0</v>
      </c>
      <c r="AQ37" s="195">
        <v>0</v>
      </c>
      <c r="AR37" s="195">
        <v>336912</v>
      </c>
      <c r="AS37" s="195">
        <v>30000000</v>
      </c>
      <c r="AT37" s="195">
        <v>30000000</v>
      </c>
      <c r="AU37" s="195">
        <v>30000000</v>
      </c>
      <c r="AV37" s="195">
        <v>0</v>
      </c>
      <c r="AW37" s="195">
        <v>2000000</v>
      </c>
      <c r="AX37" s="195">
        <v>0</v>
      </c>
      <c r="AY37" s="195">
        <v>0</v>
      </c>
      <c r="AZ37" s="195">
        <v>0</v>
      </c>
      <c r="BA37" s="195">
        <v>0</v>
      </c>
      <c r="BB37" s="195">
        <v>441245.02</v>
      </c>
      <c r="BC37" s="195">
        <v>200857.51</v>
      </c>
      <c r="BD37" s="195">
        <v>130066.09</v>
      </c>
      <c r="BE37" s="195">
        <v>0</v>
      </c>
      <c r="BF37" s="195">
        <v>0</v>
      </c>
      <c r="BG37" s="195">
        <v>0</v>
      </c>
      <c r="BH37" s="195">
        <v>0</v>
      </c>
      <c r="BI37" s="195">
        <v>0</v>
      </c>
      <c r="BJ37" s="195">
        <v>0</v>
      </c>
      <c r="BK37" s="195">
        <v>63560.74</v>
      </c>
      <c r="BL37" s="195">
        <v>0</v>
      </c>
      <c r="BM37" s="195">
        <v>1041350</v>
      </c>
      <c r="BN37" s="195">
        <v>0</v>
      </c>
      <c r="BO37" s="195">
        <v>0</v>
      </c>
      <c r="BP37" s="195">
        <v>0</v>
      </c>
      <c r="BQ37" s="195">
        <v>0</v>
      </c>
      <c r="BR37" s="195">
        <v>0</v>
      </c>
      <c r="BS37" s="195">
        <v>0</v>
      </c>
      <c r="BT37" s="195">
        <v>0</v>
      </c>
    </row>
    <row r="38" spans="1:72" x14ac:dyDescent="0.25">
      <c r="A38" s="195" t="s">
        <v>253</v>
      </c>
      <c r="B38" s="195">
        <v>32459703228</v>
      </c>
      <c r="C38" s="195">
        <v>24082898895.259998</v>
      </c>
      <c r="D38" s="195">
        <v>10905978545.309999</v>
      </c>
      <c r="E38" s="195">
        <v>30600770625.389999</v>
      </c>
      <c r="F38" s="195">
        <v>22515126595.470001</v>
      </c>
      <c r="G38" s="195">
        <v>16449993137.4</v>
      </c>
      <c r="H38" s="195">
        <v>5326847107.1199999</v>
      </c>
      <c r="I38" s="195">
        <v>25841348856.290001</v>
      </c>
      <c r="J38" s="195">
        <v>19916083442.759998</v>
      </c>
      <c r="K38" s="195">
        <v>13253244738.27</v>
      </c>
      <c r="L38" s="195">
        <v>5682520405.0299997</v>
      </c>
      <c r="M38" s="195">
        <v>25936919946.25</v>
      </c>
      <c r="N38" s="195">
        <v>15032608691.700001</v>
      </c>
      <c r="O38" s="195">
        <v>9389706643.6499996</v>
      </c>
      <c r="P38" s="195">
        <v>2906767509.1999998</v>
      </c>
      <c r="Q38" s="195">
        <v>15333694891.75</v>
      </c>
      <c r="R38" s="195">
        <v>12049251294.27</v>
      </c>
      <c r="S38" s="195">
        <v>8149227153.4200001</v>
      </c>
      <c r="T38" s="195">
        <v>2513258773.8800001</v>
      </c>
      <c r="U38" s="195">
        <v>10709942952.370001</v>
      </c>
      <c r="V38" s="195">
        <v>8865637633.6399994</v>
      </c>
      <c r="W38" s="195">
        <v>6174878478.2799997</v>
      </c>
      <c r="X38" s="195">
        <v>1926563555.05</v>
      </c>
      <c r="Y38" s="195">
        <v>10760255658.59</v>
      </c>
      <c r="Z38" s="195">
        <v>8708269773.8700008</v>
      </c>
      <c r="AA38" s="195">
        <v>6880408043.3100004</v>
      </c>
      <c r="AB38" s="195">
        <v>2877302464.0799999</v>
      </c>
      <c r="AC38" s="195">
        <v>6486510491.3100004</v>
      </c>
      <c r="AD38" s="195">
        <v>4303051289.4899998</v>
      </c>
      <c r="AE38" s="195">
        <v>3881964289.5599999</v>
      </c>
      <c r="AF38" s="195">
        <v>1531099502.72</v>
      </c>
      <c r="AG38" s="195">
        <v>3614862410.4000001</v>
      </c>
      <c r="AH38" s="195">
        <v>2276464994.3899999</v>
      </c>
      <c r="AI38" s="195">
        <v>1974628943.26</v>
      </c>
      <c r="AJ38" s="195">
        <v>871168749.96000004</v>
      </c>
      <c r="AK38" s="195">
        <v>3317985756.8899999</v>
      </c>
      <c r="AL38" s="195">
        <v>3210355655.23</v>
      </c>
      <c r="AM38" s="195">
        <v>2080739956.1400001</v>
      </c>
      <c r="AN38" s="195">
        <v>450126909.77999997</v>
      </c>
      <c r="AO38" s="195">
        <v>2732114358.8600001</v>
      </c>
      <c r="AP38" s="195">
        <v>1927690825.3399999</v>
      </c>
      <c r="AQ38" s="195">
        <v>1599365417.71</v>
      </c>
      <c r="AR38" s="195">
        <v>470289959.89999998</v>
      </c>
      <c r="AS38" s="195">
        <v>1603403398.0999999</v>
      </c>
      <c r="AT38" s="195">
        <v>1637704292.5799999</v>
      </c>
      <c r="AU38" s="195">
        <v>858140876.24000001</v>
      </c>
      <c r="AV38" s="195">
        <v>184852481.59</v>
      </c>
      <c r="AW38" s="195">
        <v>1648114629.1700001</v>
      </c>
      <c r="AX38" s="195">
        <v>1155491651.23</v>
      </c>
      <c r="AY38" s="195">
        <v>917448775.87</v>
      </c>
      <c r="AZ38" s="195">
        <v>328285410.73000002</v>
      </c>
      <c r="BA38" s="195">
        <v>1511272223.6300001</v>
      </c>
      <c r="BB38" s="195">
        <v>1050353377.9</v>
      </c>
      <c r="BC38" s="195">
        <v>648391737.51999998</v>
      </c>
      <c r="BD38" s="195">
        <v>371750679.80000001</v>
      </c>
      <c r="BE38" s="195">
        <v>419745773.75999999</v>
      </c>
      <c r="BF38" s="195">
        <v>144728443.5</v>
      </c>
      <c r="BG38" s="195">
        <v>133213038.5</v>
      </c>
      <c r="BH38" s="195">
        <v>3081318.5</v>
      </c>
      <c r="BI38" s="195">
        <v>94462614.340000004</v>
      </c>
      <c r="BJ38" s="195">
        <v>80471581.879999995</v>
      </c>
      <c r="BK38" s="195">
        <v>78566828.629999995</v>
      </c>
      <c r="BL38" s="195">
        <v>1049216.93</v>
      </c>
      <c r="BM38" s="195">
        <v>49041350</v>
      </c>
      <c r="BN38" s="195">
        <v>48000000</v>
      </c>
      <c r="BO38" s="195">
        <v>132155502.83</v>
      </c>
      <c r="BP38" s="195">
        <v>126355930.5</v>
      </c>
      <c r="BQ38" s="195">
        <v>195493482.5</v>
      </c>
      <c r="BR38" s="195">
        <v>24609280.170000002</v>
      </c>
      <c r="BS38" s="195">
        <v>62146086.560000002</v>
      </c>
      <c r="BT38" s="195">
        <v>0</v>
      </c>
    </row>
    <row r="39" spans="1:72" x14ac:dyDescent="0.25">
      <c r="A39" s="195" t="s">
        <v>254</v>
      </c>
      <c r="B39" s="195">
        <v>-8052842799.9799995</v>
      </c>
      <c r="C39" s="195">
        <v>-4379946694.79</v>
      </c>
      <c r="D39" s="195">
        <v>-2258176969.52</v>
      </c>
      <c r="E39" s="195">
        <v>-3659933147.1599998</v>
      </c>
      <c r="F39" s="195">
        <v>-1310222489.0999999</v>
      </c>
      <c r="G39" s="195">
        <v>1212522035.73</v>
      </c>
      <c r="H39" s="195">
        <v>1917360757.8399999</v>
      </c>
      <c r="I39" s="195">
        <v>-3504270910.29</v>
      </c>
      <c r="J39" s="195">
        <v>-1963239775.8199999</v>
      </c>
      <c r="K39" s="195">
        <v>-1011795613.0599999</v>
      </c>
      <c r="L39" s="195">
        <v>-563744125.88999999</v>
      </c>
      <c r="M39" s="195">
        <v>1756280982.79</v>
      </c>
      <c r="N39" s="195">
        <v>1455998369.01</v>
      </c>
      <c r="O39" s="195">
        <v>350550009.19999999</v>
      </c>
      <c r="P39" s="195">
        <v>1606675466.1600001</v>
      </c>
      <c r="Q39" s="195">
        <v>5001211226.8699999</v>
      </c>
      <c r="R39" s="195">
        <v>3976765129.5799999</v>
      </c>
      <c r="S39" s="195">
        <v>3418248739.3299999</v>
      </c>
      <c r="T39" s="195">
        <v>2952370297.8099999</v>
      </c>
      <c r="U39" s="195">
        <v>2607456782.3699999</v>
      </c>
      <c r="V39" s="195">
        <v>1649250173.51</v>
      </c>
      <c r="W39" s="195">
        <v>1075358010.1800001</v>
      </c>
      <c r="X39" s="195">
        <v>1114829314.1099999</v>
      </c>
      <c r="Y39" s="195">
        <v>-292331569.18000001</v>
      </c>
      <c r="Z39" s="195">
        <v>-993580774.29999995</v>
      </c>
      <c r="AA39" s="195">
        <v>-1274481910.1900001</v>
      </c>
      <c r="AB39" s="195">
        <v>-640951839.41999996</v>
      </c>
      <c r="AC39" s="195">
        <v>1750730656.1800001</v>
      </c>
      <c r="AD39" s="195">
        <v>428493992.19</v>
      </c>
      <c r="AE39" s="195">
        <v>473473831.93000001</v>
      </c>
      <c r="AF39" s="195">
        <v>1084131606.6199999</v>
      </c>
      <c r="AG39" s="195">
        <v>1586828702.28</v>
      </c>
      <c r="AH39" s="195">
        <v>1299445679.3800001</v>
      </c>
      <c r="AI39" s="195">
        <v>763611222.38999999</v>
      </c>
      <c r="AJ39" s="195">
        <v>795431895.69000006</v>
      </c>
      <c r="AK39" s="195">
        <v>-609532250.52999997</v>
      </c>
      <c r="AL39" s="195">
        <v>878115980.08000004</v>
      </c>
      <c r="AM39" s="195">
        <v>848464475.28999996</v>
      </c>
      <c r="AN39" s="195">
        <v>1005339550.22</v>
      </c>
      <c r="AO39" s="195">
        <v>-1164027199.5899999</v>
      </c>
      <c r="AP39" s="195">
        <v>-910105478.90999997</v>
      </c>
      <c r="AQ39" s="195">
        <v>-824271871.38999999</v>
      </c>
      <c r="AR39" s="195">
        <v>13317634.869999999</v>
      </c>
      <c r="AS39" s="195">
        <v>232303057.16999999</v>
      </c>
      <c r="AT39" s="195">
        <v>102340429.64</v>
      </c>
      <c r="AU39" s="195">
        <v>114682289.03</v>
      </c>
      <c r="AV39" s="195">
        <v>67733183.680000007</v>
      </c>
      <c r="AW39" s="195">
        <v>-377094583.62</v>
      </c>
      <c r="AX39" s="195">
        <v>-162665891.11000001</v>
      </c>
      <c r="AY39" s="195">
        <v>-96314213.319999993</v>
      </c>
      <c r="AZ39" s="195">
        <v>159510136.62</v>
      </c>
      <c r="BA39" s="195">
        <v>387539526.37</v>
      </c>
      <c r="BB39" s="195">
        <v>481367622.10000002</v>
      </c>
      <c r="BC39" s="195">
        <v>542189012.48000002</v>
      </c>
      <c r="BD39" s="195">
        <v>300535070.19999999</v>
      </c>
      <c r="BE39" s="195">
        <v>1164549226.24</v>
      </c>
      <c r="BF39" s="195">
        <v>641801556.5</v>
      </c>
      <c r="BG39" s="195">
        <v>423316961.5</v>
      </c>
      <c r="BH39" s="195">
        <v>46918681.5</v>
      </c>
      <c r="BI39" s="195">
        <v>60358944.159999996</v>
      </c>
      <c r="BJ39" s="195">
        <v>73839976.620000005</v>
      </c>
      <c r="BK39" s="195">
        <v>-63206828.630000003</v>
      </c>
      <c r="BL39" s="195">
        <v>14520783.07</v>
      </c>
      <c r="BM39" s="195">
        <v>30398650</v>
      </c>
      <c r="BN39" s="195">
        <v>-48000000</v>
      </c>
      <c r="BO39" s="195">
        <v>-102155502.83</v>
      </c>
      <c r="BP39" s="195">
        <v>-96355930.5</v>
      </c>
      <c r="BQ39" s="195">
        <v>432373011.86000001</v>
      </c>
      <c r="BR39" s="195">
        <v>15390719.83</v>
      </c>
      <c r="BS39" s="195">
        <v>2453913.44</v>
      </c>
      <c r="BT39" s="195">
        <v>0</v>
      </c>
    </row>
    <row r="40" spans="1:72" x14ac:dyDescent="0.25">
      <c r="A40" s="195" t="s">
        <v>255</v>
      </c>
      <c r="B40" s="195">
        <v>34707884.689999998</v>
      </c>
      <c r="C40" s="195">
        <v>24367963.100000001</v>
      </c>
      <c r="D40" s="195">
        <v>6285635.3799999999</v>
      </c>
      <c r="E40" s="195">
        <v>-8840594.1600000001</v>
      </c>
      <c r="F40" s="195">
        <v>-4954367.84</v>
      </c>
      <c r="G40" s="195">
        <v>-1026453.8</v>
      </c>
      <c r="H40" s="195">
        <v>-1884047.15</v>
      </c>
      <c r="I40" s="195">
        <v>25562818.5</v>
      </c>
      <c r="J40" s="195">
        <v>17639139.489999998</v>
      </c>
      <c r="K40" s="195">
        <v>-6575319.0999999996</v>
      </c>
      <c r="L40" s="195">
        <v>-19788252.449999999</v>
      </c>
      <c r="M40" s="195">
        <v>-66406969.329999998</v>
      </c>
      <c r="N40" s="195">
        <v>-52016497.539999999</v>
      </c>
      <c r="O40" s="195">
        <v>-8234487.46</v>
      </c>
      <c r="P40" s="195">
        <v>-10916203.359999999</v>
      </c>
      <c r="Q40" s="195">
        <v>9812096.6699999999</v>
      </c>
      <c r="R40" s="195">
        <v>10811875.859999999</v>
      </c>
      <c r="S40" s="195">
        <v>10810576.029999999</v>
      </c>
      <c r="T40" s="195">
        <v>-29105672.920000002</v>
      </c>
      <c r="U40" s="195">
        <v>-43932835.560000002</v>
      </c>
      <c r="V40" s="195">
        <v>-36561998.899999999</v>
      </c>
      <c r="W40" s="195">
        <v>-18032591.710000001</v>
      </c>
      <c r="X40" s="195">
        <v>-9100558.7300000004</v>
      </c>
      <c r="Y40" s="195">
        <v>5371693.5099999998</v>
      </c>
      <c r="Z40" s="195">
        <v>8137914.2699999996</v>
      </c>
      <c r="AA40" s="195">
        <v>6520016.9500000002</v>
      </c>
      <c r="AB40" s="195">
        <v>-450131.89</v>
      </c>
      <c r="AC40" s="195">
        <v>-12865826.09</v>
      </c>
      <c r="AD40" s="195">
        <v>-12131381.220000001</v>
      </c>
      <c r="AE40" s="195">
        <v>-8456017.0700000003</v>
      </c>
      <c r="AF40" s="195">
        <v>-3495672.54</v>
      </c>
      <c r="AG40" s="195">
        <v>-8596345.9600000009</v>
      </c>
      <c r="AH40" s="195">
        <v>-7650290.0099999998</v>
      </c>
      <c r="AI40" s="195">
        <v>-5247058.16</v>
      </c>
      <c r="AJ40" s="195">
        <v>-739872.47</v>
      </c>
      <c r="AK40" s="195">
        <v>2222256.2799999998</v>
      </c>
      <c r="AL40" s="195">
        <v>-1425333.16</v>
      </c>
      <c r="AM40" s="195">
        <v>-2229323.69</v>
      </c>
      <c r="AN40" s="195">
        <v>-1197100.3899999999</v>
      </c>
      <c r="AO40" s="195">
        <v>-8769566.8399999999</v>
      </c>
      <c r="AP40" s="195">
        <v>-7323234.6500000004</v>
      </c>
      <c r="AQ40" s="195">
        <v>-5465118.79</v>
      </c>
      <c r="AR40" s="195">
        <v>-2861303.83</v>
      </c>
      <c r="AS40" s="195">
        <v>-6046525.6900000004</v>
      </c>
      <c r="AT40" s="195">
        <v>-3390055.72</v>
      </c>
      <c r="AU40" s="195">
        <v>-1887510.5</v>
      </c>
      <c r="AV40" s="195">
        <v>-271.37</v>
      </c>
      <c r="AW40" s="195">
        <v>-907591.75</v>
      </c>
      <c r="AX40" s="195">
        <v>-331603.65999999997</v>
      </c>
      <c r="AY40" s="195">
        <v>-300846.2</v>
      </c>
      <c r="AZ40" s="195">
        <v>-158522.76</v>
      </c>
      <c r="BA40" s="195">
        <v>-814797.61</v>
      </c>
      <c r="BB40" s="195">
        <v>-742575.57</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row>
    <row r="41" spans="1:72" x14ac:dyDescent="0.25">
      <c r="A41" s="195" t="s">
        <v>256</v>
      </c>
      <c r="B41" s="195">
        <v>321656697.91000003</v>
      </c>
      <c r="C41" s="195">
        <v>-165321783.46000001</v>
      </c>
      <c r="D41" s="195">
        <v>-362179391.63</v>
      </c>
      <c r="E41" s="195">
        <v>1083454824.51</v>
      </c>
      <c r="F41" s="195">
        <v>791948561.42999995</v>
      </c>
      <c r="G41" s="195">
        <v>381067762.13</v>
      </c>
      <c r="H41" s="195">
        <v>1035676437.09</v>
      </c>
      <c r="I41" s="195">
        <v>-99443221.959999993</v>
      </c>
      <c r="J41" s="195">
        <v>368054096.86000001</v>
      </c>
      <c r="K41" s="195">
        <v>-116521420.75</v>
      </c>
      <c r="L41" s="195">
        <v>478581391.18000001</v>
      </c>
      <c r="M41" s="195">
        <v>1067661656.33</v>
      </c>
      <c r="N41" s="195">
        <v>269209947.16000003</v>
      </c>
      <c r="O41" s="195">
        <v>-13227595.84</v>
      </c>
      <c r="P41" s="195">
        <v>76879073.870000005</v>
      </c>
      <c r="Q41" s="195">
        <v>5707724.3499999996</v>
      </c>
      <c r="R41" s="195">
        <v>50205240.670000002</v>
      </c>
      <c r="S41" s="195">
        <v>663884894.02999997</v>
      </c>
      <c r="T41" s="195">
        <v>668181342.75999999</v>
      </c>
      <c r="U41" s="195">
        <v>-383684471.19</v>
      </c>
      <c r="V41" s="195">
        <v>-317803772.64999998</v>
      </c>
      <c r="W41" s="195">
        <v>-182841883.53</v>
      </c>
      <c r="X41" s="195">
        <v>423627035.39999998</v>
      </c>
      <c r="Y41" s="195">
        <v>-403222380.73000002</v>
      </c>
      <c r="Z41" s="195">
        <v>-1265198913.3699999</v>
      </c>
      <c r="AA41" s="195">
        <v>-1073546882.8200001</v>
      </c>
      <c r="AB41" s="195">
        <v>-533410296.55000001</v>
      </c>
      <c r="AC41" s="195">
        <v>880510280.65999997</v>
      </c>
      <c r="AD41" s="195">
        <v>-250881024.80000001</v>
      </c>
      <c r="AE41" s="195">
        <v>241082798.27000001</v>
      </c>
      <c r="AF41" s="195">
        <v>601623926.61000001</v>
      </c>
      <c r="AG41" s="195">
        <v>548892958.05999994</v>
      </c>
      <c r="AH41" s="195">
        <v>321877430.43000001</v>
      </c>
      <c r="AI41" s="195">
        <v>242179974.13999999</v>
      </c>
      <c r="AJ41" s="195">
        <v>396052431.68000001</v>
      </c>
      <c r="AK41" s="195">
        <v>-925176521.54999995</v>
      </c>
      <c r="AL41" s="195">
        <v>459209884</v>
      </c>
      <c r="AM41" s="195">
        <v>984739792.67999995</v>
      </c>
      <c r="AN41" s="195">
        <v>1293814459.27</v>
      </c>
      <c r="AO41" s="195">
        <v>-98517160.780000001</v>
      </c>
      <c r="AP41" s="195">
        <v>-740883383.90999997</v>
      </c>
      <c r="AQ41" s="195">
        <v>-770823106.47000003</v>
      </c>
      <c r="AR41" s="195">
        <v>-350768220.31999999</v>
      </c>
      <c r="AS41" s="195">
        <v>1141789799.1800001</v>
      </c>
      <c r="AT41" s="195">
        <v>1073480399.61</v>
      </c>
      <c r="AU41" s="195">
        <v>544058914.53999996</v>
      </c>
      <c r="AV41" s="195">
        <v>92894164.209999993</v>
      </c>
      <c r="AW41" s="195">
        <v>35213357.210000001</v>
      </c>
      <c r="AX41" s="195">
        <v>158362369.74000001</v>
      </c>
      <c r="AY41" s="195">
        <v>65756096.909999996</v>
      </c>
      <c r="AZ41" s="195">
        <v>36571017</v>
      </c>
      <c r="BA41" s="195">
        <v>-183373688.72</v>
      </c>
      <c r="BB41" s="195">
        <v>-2603420.94</v>
      </c>
      <c r="BC41" s="195">
        <v>66927222.170000002</v>
      </c>
      <c r="BD41" s="195">
        <v>267054980.75</v>
      </c>
      <c r="BE41" s="195">
        <v>121383895.86</v>
      </c>
      <c r="BF41" s="195">
        <v>179452160.18000001</v>
      </c>
      <c r="BG41" s="195">
        <v>329512170.88999999</v>
      </c>
      <c r="BH41" s="195">
        <v>5127300.67</v>
      </c>
      <c r="BI41" s="195">
        <v>107168439.08</v>
      </c>
      <c r="BJ41" s="195">
        <v>195260383</v>
      </c>
      <c r="BK41" s="195">
        <v>-29439630.120000001</v>
      </c>
      <c r="BL41" s="195">
        <v>9977304.5600000005</v>
      </c>
      <c r="BM41" s="195">
        <v>-27357354.079999998</v>
      </c>
      <c r="BN41" s="195">
        <v>-95858171.739999995</v>
      </c>
      <c r="BO41" s="195">
        <v>-265703372.12</v>
      </c>
      <c r="BP41" s="195">
        <v>-232643059.88999999</v>
      </c>
      <c r="BQ41" s="195">
        <v>409125302.98000002</v>
      </c>
      <c r="BR41" s="195">
        <v>-13385551.300000001</v>
      </c>
      <c r="BS41" s="195">
        <v>20807387.050000001</v>
      </c>
      <c r="BT41" s="195">
        <v>0</v>
      </c>
    </row>
    <row r="42" spans="1:72" x14ac:dyDescent="0.25">
      <c r="A42" s="195" t="s">
        <v>257</v>
      </c>
      <c r="B42" s="195">
        <v>3046303365.52</v>
      </c>
      <c r="C42" s="195">
        <v>3046303365.52</v>
      </c>
      <c r="D42" s="195">
        <v>3046303365.52</v>
      </c>
      <c r="E42" s="195">
        <v>1962848541.01</v>
      </c>
      <c r="F42" s="195">
        <v>1962848541.01</v>
      </c>
      <c r="G42" s="195">
        <v>1962848541.01</v>
      </c>
      <c r="H42" s="195">
        <v>1962848541.01</v>
      </c>
      <c r="I42" s="195">
        <v>2062291762.97</v>
      </c>
      <c r="J42" s="195">
        <v>2062291762.97</v>
      </c>
      <c r="K42" s="195">
        <v>2062291762.97</v>
      </c>
      <c r="L42" s="195">
        <v>2062291762.97</v>
      </c>
      <c r="M42" s="195">
        <v>994630106.63999999</v>
      </c>
      <c r="N42" s="195">
        <v>994630106.63999999</v>
      </c>
      <c r="O42" s="195">
        <v>994630106.63999999</v>
      </c>
      <c r="P42" s="195">
        <v>1024674432.11</v>
      </c>
      <c r="Q42" s="195">
        <v>988922382.28999996</v>
      </c>
      <c r="R42" s="195">
        <v>988922382.28999996</v>
      </c>
      <c r="S42" s="195">
        <v>988922382.28999996</v>
      </c>
      <c r="T42" s="195">
        <v>988922382.28999996</v>
      </c>
      <c r="U42" s="195">
        <v>1372606853.48</v>
      </c>
      <c r="V42" s="195">
        <v>1372606853.48</v>
      </c>
      <c r="W42" s="195">
        <v>1372606853.48</v>
      </c>
      <c r="X42" s="195">
        <v>1372606853.48</v>
      </c>
      <c r="Y42" s="195">
        <v>1775829234.21</v>
      </c>
      <c r="Z42" s="195">
        <v>1775829234.21</v>
      </c>
      <c r="AA42" s="195">
        <v>1775829234.21</v>
      </c>
      <c r="AB42" s="195">
        <v>1775829234.21</v>
      </c>
      <c r="AC42" s="195">
        <v>895318953.54999995</v>
      </c>
      <c r="AD42" s="195">
        <v>895318953.54999995</v>
      </c>
      <c r="AE42" s="195">
        <v>895318953.54999995</v>
      </c>
      <c r="AF42" s="195">
        <v>895318953.54999995</v>
      </c>
      <c r="AG42" s="195">
        <v>346425995.49000001</v>
      </c>
      <c r="AH42" s="195">
        <v>346425995.49000001</v>
      </c>
      <c r="AI42" s="195">
        <v>346425995.49000001</v>
      </c>
      <c r="AJ42" s="195">
        <v>346425995.49000001</v>
      </c>
      <c r="AK42" s="195">
        <v>1271602517.04</v>
      </c>
      <c r="AL42" s="195">
        <v>1271602517.04</v>
      </c>
      <c r="AM42" s="195">
        <v>1271602517.04</v>
      </c>
      <c r="AN42" s="195">
        <v>1271101086.4400001</v>
      </c>
      <c r="AO42" s="195">
        <v>1370119677.8199999</v>
      </c>
      <c r="AP42" s="195">
        <v>1370119677.8199999</v>
      </c>
      <c r="AQ42" s="195">
        <v>1370119677.8199999</v>
      </c>
      <c r="AR42" s="195">
        <v>1370119677.8199999</v>
      </c>
      <c r="AS42" s="195">
        <v>228329878.63999999</v>
      </c>
      <c r="AT42" s="195">
        <v>228329878.63999999</v>
      </c>
      <c r="AU42" s="195">
        <v>228329878.63999999</v>
      </c>
      <c r="AV42" s="195">
        <v>228329878.63999999</v>
      </c>
      <c r="AW42" s="195">
        <v>193116521.43000001</v>
      </c>
      <c r="AX42" s="195">
        <v>193116521.43000001</v>
      </c>
      <c r="AY42" s="195">
        <v>193116521.43000001</v>
      </c>
      <c r="AZ42" s="195">
        <v>193116521.43000001</v>
      </c>
      <c r="BA42" s="195">
        <v>376490210.14999998</v>
      </c>
      <c r="BB42" s="195">
        <v>376490210.14999998</v>
      </c>
      <c r="BC42" s="195">
        <v>376490210.14999998</v>
      </c>
      <c r="BD42" s="195">
        <v>376490210.14999998</v>
      </c>
      <c r="BE42" s="195">
        <v>255106314.28999999</v>
      </c>
      <c r="BF42" s="195">
        <v>255106314.28999999</v>
      </c>
      <c r="BG42" s="195">
        <v>255106314.28999999</v>
      </c>
      <c r="BH42" s="195">
        <v>255106314.28999999</v>
      </c>
      <c r="BI42" s="195">
        <v>147937875.21000001</v>
      </c>
      <c r="BJ42" s="195">
        <v>147937875.21000001</v>
      </c>
      <c r="BK42" s="195">
        <v>147937875.21000001</v>
      </c>
      <c r="BL42" s="195">
        <v>147937875.21000001</v>
      </c>
      <c r="BM42" s="195">
        <v>175295229.28999999</v>
      </c>
      <c r="BN42" s="195">
        <v>175295229.28999999</v>
      </c>
      <c r="BO42" s="195">
        <v>440998601.41000003</v>
      </c>
      <c r="BP42" s="195">
        <v>440998601.41000003</v>
      </c>
      <c r="BQ42" s="195">
        <v>31873298.43</v>
      </c>
      <c r="BR42" s="195">
        <v>31873298.43</v>
      </c>
      <c r="BS42" s="195">
        <v>11065911.380000001</v>
      </c>
      <c r="BT42" s="195">
        <v>0</v>
      </c>
    </row>
    <row r="43" spans="1:72" x14ac:dyDescent="0.25">
      <c r="A43" s="195" t="s">
        <v>258</v>
      </c>
      <c r="B43" s="195">
        <v>3367960063.4299998</v>
      </c>
      <c r="C43" s="195">
        <v>2880981582.0599999</v>
      </c>
      <c r="D43" s="195">
        <v>2684123973.8899999</v>
      </c>
      <c r="E43" s="195">
        <v>3046303365.52</v>
      </c>
      <c r="F43" s="195">
        <v>2754797102.4400001</v>
      </c>
      <c r="G43" s="195">
        <v>2343916303.1399999</v>
      </c>
      <c r="H43" s="195">
        <v>2998524978.0999999</v>
      </c>
      <c r="I43" s="195">
        <v>1962848541.01</v>
      </c>
      <c r="J43" s="195">
        <v>2430345859.8299999</v>
      </c>
      <c r="K43" s="195">
        <v>1945770342.22</v>
      </c>
      <c r="L43" s="195">
        <v>2540873154.1500001</v>
      </c>
      <c r="M43" s="195">
        <v>2062291762.97</v>
      </c>
      <c r="N43" s="195">
        <v>1263840053.8</v>
      </c>
      <c r="O43" s="195">
        <v>981402510.79999995</v>
      </c>
      <c r="P43" s="195">
        <v>1101553505.98</v>
      </c>
      <c r="Q43" s="195">
        <v>994630106.63999999</v>
      </c>
      <c r="R43" s="195">
        <v>1039127622.96</v>
      </c>
      <c r="S43" s="195">
        <v>1652807276.3199999</v>
      </c>
      <c r="T43" s="195">
        <v>1657103725.05</v>
      </c>
      <c r="U43" s="195">
        <v>988922382.28999996</v>
      </c>
      <c r="V43" s="195">
        <v>1054803080.83</v>
      </c>
      <c r="W43" s="195">
        <v>1189764969.95</v>
      </c>
      <c r="X43" s="195">
        <v>1796233888.8800001</v>
      </c>
      <c r="Y43" s="195">
        <v>1372606853.48</v>
      </c>
      <c r="Z43" s="195">
        <v>510630320.83999997</v>
      </c>
      <c r="AA43" s="195">
        <v>702282351.38999999</v>
      </c>
      <c r="AB43" s="195">
        <v>1242418937.6600001</v>
      </c>
      <c r="AC43" s="195">
        <v>1775829234.21</v>
      </c>
      <c r="AD43" s="195">
        <v>644437928.75</v>
      </c>
      <c r="AE43" s="195">
        <v>1136401751.8199999</v>
      </c>
      <c r="AF43" s="195">
        <v>1496942880.1600001</v>
      </c>
      <c r="AG43" s="195">
        <v>895318953.54999995</v>
      </c>
      <c r="AH43" s="195">
        <v>668303425.91999996</v>
      </c>
      <c r="AI43" s="195">
        <v>588605969.63</v>
      </c>
      <c r="AJ43" s="195">
        <v>742478427.16999996</v>
      </c>
      <c r="AK43" s="195">
        <v>346425995.49000001</v>
      </c>
      <c r="AL43" s="195">
        <v>1730812401.04</v>
      </c>
      <c r="AM43" s="195">
        <v>2256342309.7199998</v>
      </c>
      <c r="AN43" s="195">
        <v>2564915545.71</v>
      </c>
      <c r="AO43" s="195">
        <v>1271602517.04</v>
      </c>
      <c r="AP43" s="195">
        <v>629236293.90999997</v>
      </c>
      <c r="AQ43" s="195">
        <v>599296571.35000002</v>
      </c>
      <c r="AR43" s="195">
        <v>1019351457.5</v>
      </c>
      <c r="AS43" s="195">
        <v>1370119677.8199999</v>
      </c>
      <c r="AT43" s="195">
        <v>1301810278.25</v>
      </c>
      <c r="AU43" s="195">
        <v>772388793.17999995</v>
      </c>
      <c r="AV43" s="195">
        <v>321224042.85000002</v>
      </c>
      <c r="AW43" s="195">
        <v>228329878.63999999</v>
      </c>
      <c r="AX43" s="195">
        <v>351478891.17000002</v>
      </c>
      <c r="AY43" s="195">
        <v>258872618.34</v>
      </c>
      <c r="AZ43" s="195">
        <v>229687538.43000001</v>
      </c>
      <c r="BA43" s="195">
        <v>193116521.43000001</v>
      </c>
      <c r="BB43" s="195">
        <v>373886789.20999998</v>
      </c>
      <c r="BC43" s="195">
        <v>443417432.31999999</v>
      </c>
      <c r="BD43" s="195">
        <v>643545190.89999998</v>
      </c>
      <c r="BE43" s="195">
        <v>376490210.14999998</v>
      </c>
      <c r="BF43" s="195">
        <v>434558474.47000003</v>
      </c>
      <c r="BG43" s="195">
        <v>584618485.17999995</v>
      </c>
      <c r="BH43" s="195">
        <v>260233614.96000001</v>
      </c>
      <c r="BI43" s="195">
        <v>255106314.28999999</v>
      </c>
      <c r="BJ43" s="195">
        <v>343198258.20999998</v>
      </c>
      <c r="BK43" s="195">
        <v>118498245.09</v>
      </c>
      <c r="BL43" s="195">
        <v>157915179.77000001</v>
      </c>
      <c r="BM43" s="195">
        <v>147937875.21000001</v>
      </c>
      <c r="BN43" s="195">
        <v>79437057.549999997</v>
      </c>
      <c r="BO43" s="195">
        <v>175295229.28999999</v>
      </c>
      <c r="BP43" s="195">
        <v>208355541.52000001</v>
      </c>
      <c r="BQ43" s="195">
        <v>440998601.41000003</v>
      </c>
      <c r="BR43" s="195">
        <v>18487747.129999999</v>
      </c>
      <c r="BS43" s="195">
        <v>31873298.43</v>
      </c>
      <c r="BT43" s="195">
        <v>0</v>
      </c>
    </row>
    <row r="44" spans="1:72" x14ac:dyDescent="0.25">
      <c r="A44" s="195" t="s">
        <v>259</v>
      </c>
    </row>
    <row r="45" spans="1:72" x14ac:dyDescent="0.25">
      <c r="A45" s="195" t="s">
        <v>260</v>
      </c>
      <c r="B45" s="195">
        <v>0</v>
      </c>
      <c r="C45" s="195">
        <v>8230179063.6800003</v>
      </c>
      <c r="D45" s="195">
        <v>0</v>
      </c>
      <c r="E45" s="195">
        <v>13309319707.98</v>
      </c>
      <c r="F45" s="195">
        <v>0</v>
      </c>
      <c r="G45" s="195">
        <v>5809561228.6300001</v>
      </c>
      <c r="H45" s="195">
        <v>0</v>
      </c>
      <c r="I45" s="195">
        <v>4548069435.6000004</v>
      </c>
      <c r="J45" s="195">
        <v>0</v>
      </c>
      <c r="K45" s="195">
        <v>1633438803.3699999</v>
      </c>
      <c r="L45" s="195">
        <v>0</v>
      </c>
      <c r="M45" s="195">
        <v>2279560788.5100002</v>
      </c>
      <c r="N45" s="195">
        <v>0</v>
      </c>
      <c r="O45" s="195">
        <v>1396348082.54</v>
      </c>
      <c r="P45" s="195">
        <v>0</v>
      </c>
      <c r="Q45" s="195">
        <v>3217547108.4099998</v>
      </c>
      <c r="R45" s="195">
        <v>0</v>
      </c>
      <c r="S45" s="195">
        <v>1796367340.78</v>
      </c>
      <c r="T45" s="195">
        <v>0</v>
      </c>
      <c r="U45" s="195">
        <v>3765784143.8299999</v>
      </c>
      <c r="V45" s="195">
        <v>0</v>
      </c>
      <c r="W45" s="195">
        <v>1977413554.4000001</v>
      </c>
      <c r="X45" s="195">
        <v>0</v>
      </c>
      <c r="Y45" s="195">
        <v>3019939965.8400002</v>
      </c>
      <c r="Z45" s="195">
        <v>0</v>
      </c>
      <c r="AA45" s="195">
        <v>1253981130.2</v>
      </c>
      <c r="AB45" s="195">
        <v>0</v>
      </c>
      <c r="AC45" s="195">
        <v>2395407360.1300001</v>
      </c>
      <c r="AD45" s="195">
        <v>0</v>
      </c>
      <c r="AE45" s="195">
        <v>1285644326.0699999</v>
      </c>
      <c r="AF45" s="195">
        <v>0</v>
      </c>
      <c r="AG45" s="195">
        <v>1720754010.4400001</v>
      </c>
      <c r="AH45" s="195">
        <v>0</v>
      </c>
      <c r="AI45" s="195">
        <v>686781418.53999996</v>
      </c>
      <c r="AJ45" s="195">
        <v>0</v>
      </c>
      <c r="AK45" s="195">
        <v>1279723368.74</v>
      </c>
      <c r="AL45" s="195">
        <v>0</v>
      </c>
      <c r="AM45" s="195">
        <v>590092429.62</v>
      </c>
      <c r="AN45" s="195">
        <v>0</v>
      </c>
      <c r="AO45" s="195">
        <v>1758096018.1600001</v>
      </c>
      <c r="AP45" s="195">
        <v>0</v>
      </c>
      <c r="AQ45" s="195">
        <v>1010477055.51</v>
      </c>
      <c r="AR45" s="195">
        <v>0</v>
      </c>
      <c r="AS45" s="195">
        <v>1481341778.1199999</v>
      </c>
      <c r="AT45" s="195">
        <v>0</v>
      </c>
      <c r="AU45" s="195">
        <v>702166245.65999997</v>
      </c>
      <c r="AV45" s="195">
        <v>0</v>
      </c>
      <c r="AW45" s="195">
        <v>825958784.41999996</v>
      </c>
      <c r="AX45" s="195">
        <v>578955170.51999998</v>
      </c>
      <c r="AY45" s="195">
        <v>318576173.89999998</v>
      </c>
      <c r="AZ45" s="195">
        <v>178056568.53999999</v>
      </c>
      <c r="BA45" s="195">
        <v>617630223.96000004</v>
      </c>
      <c r="BB45" s="195">
        <v>480242494.01999998</v>
      </c>
      <c r="BC45" s="195">
        <v>328297187.08999997</v>
      </c>
      <c r="BD45" s="195">
        <v>156643377.97999999</v>
      </c>
      <c r="BE45" s="195">
        <v>403504443.85000002</v>
      </c>
      <c r="BF45" s="195">
        <v>314864700.99000001</v>
      </c>
      <c r="BG45" s="195">
        <v>215280493.22999999</v>
      </c>
      <c r="BH45" s="195">
        <v>97285939.310000002</v>
      </c>
      <c r="BI45" s="195">
        <v>232278153.27000001</v>
      </c>
      <c r="BJ45" s="195">
        <v>186639359.16999999</v>
      </c>
      <c r="BK45" s="195">
        <v>138283193.81</v>
      </c>
      <c r="BL45" s="195">
        <v>57987815.340000004</v>
      </c>
      <c r="BM45" s="195">
        <v>154326437.19</v>
      </c>
      <c r="BN45" s="195">
        <v>93039860.540000007</v>
      </c>
      <c r="BO45" s="195">
        <v>100728393.18000001</v>
      </c>
      <c r="BP45" s="195">
        <v>62771447.700000003</v>
      </c>
      <c r="BQ45" s="195">
        <v>49803512.359999999</v>
      </c>
      <c r="BR45" s="195">
        <v>26896127.27</v>
      </c>
      <c r="BS45" s="195">
        <v>26280076.579999998</v>
      </c>
      <c r="BT45" s="195">
        <v>0</v>
      </c>
    </row>
    <row r="46" spans="1:72" x14ac:dyDescent="0.25">
      <c r="A46" s="195" t="s">
        <v>187</v>
      </c>
      <c r="B46" s="195">
        <v>0</v>
      </c>
      <c r="C46" s="195">
        <v>0</v>
      </c>
      <c r="D46" s="195">
        <v>0</v>
      </c>
      <c r="E46" s="195">
        <v>0</v>
      </c>
      <c r="F46" s="195">
        <v>0</v>
      </c>
      <c r="G46" s="195">
        <v>0</v>
      </c>
      <c r="H46" s="195">
        <v>0</v>
      </c>
      <c r="I46" s="195">
        <v>0</v>
      </c>
      <c r="J46" s="195">
        <v>0</v>
      </c>
      <c r="K46" s="195">
        <v>0</v>
      </c>
      <c r="L46" s="195">
        <v>0</v>
      </c>
      <c r="M46" s="195">
        <v>0</v>
      </c>
      <c r="N46" s="195">
        <v>0</v>
      </c>
      <c r="O46" s="195">
        <v>0</v>
      </c>
      <c r="P46" s="195">
        <v>0</v>
      </c>
      <c r="Q46" s="195">
        <v>0</v>
      </c>
      <c r="R46" s="195">
        <v>0</v>
      </c>
      <c r="S46" s="195">
        <v>0</v>
      </c>
      <c r="T46" s="195">
        <v>0</v>
      </c>
      <c r="U46" s="195">
        <v>0</v>
      </c>
      <c r="V46" s="195">
        <v>0</v>
      </c>
      <c r="W46" s="195">
        <v>0</v>
      </c>
      <c r="X46" s="195">
        <v>0</v>
      </c>
      <c r="Y46" s="195">
        <v>0</v>
      </c>
      <c r="Z46" s="195">
        <v>0</v>
      </c>
      <c r="AA46" s="195">
        <v>0</v>
      </c>
      <c r="AB46" s="195">
        <v>0</v>
      </c>
      <c r="AC46" s="195">
        <v>0</v>
      </c>
      <c r="AD46" s="195">
        <v>0</v>
      </c>
      <c r="AE46" s="195">
        <v>0</v>
      </c>
      <c r="AF46" s="195">
        <v>0</v>
      </c>
      <c r="AG46" s="195">
        <v>0</v>
      </c>
      <c r="AH46" s="195">
        <v>0</v>
      </c>
      <c r="AI46" s="195">
        <v>0</v>
      </c>
      <c r="AJ46" s="195">
        <v>0</v>
      </c>
      <c r="AK46" s="195">
        <v>0</v>
      </c>
      <c r="AL46" s="195">
        <v>0</v>
      </c>
      <c r="AM46" s="195">
        <v>0</v>
      </c>
      <c r="AN46" s="195">
        <v>0</v>
      </c>
      <c r="AO46" s="195">
        <v>0</v>
      </c>
      <c r="AP46" s="195">
        <v>0</v>
      </c>
      <c r="AQ46" s="195">
        <v>0</v>
      </c>
      <c r="AR46" s="195">
        <v>0</v>
      </c>
      <c r="AS46" s="195">
        <v>215518665.59</v>
      </c>
      <c r="AT46" s="195">
        <v>0</v>
      </c>
      <c r="AU46" s="195">
        <v>0</v>
      </c>
      <c r="AV46" s="195">
        <v>0</v>
      </c>
      <c r="AW46" s="195">
        <v>87798037.269999996</v>
      </c>
      <c r="AX46" s="195">
        <v>58470470.479999997</v>
      </c>
      <c r="AY46" s="195">
        <v>14715588.140000001</v>
      </c>
      <c r="AZ46" s="195">
        <v>6913447.29</v>
      </c>
      <c r="BA46" s="195">
        <v>366863.93</v>
      </c>
      <c r="BB46" s="195">
        <v>355012.82</v>
      </c>
      <c r="BC46" s="195">
        <v>245358.7</v>
      </c>
      <c r="BD46" s="195">
        <v>35480.53</v>
      </c>
      <c r="BE46" s="195">
        <v>86548.43</v>
      </c>
      <c r="BF46" s="195">
        <v>31139.53</v>
      </c>
      <c r="BG46" s="195">
        <v>-1874.99</v>
      </c>
      <c r="BH46" s="195">
        <v>-7645.3</v>
      </c>
      <c r="BI46" s="195">
        <v>-7839.35</v>
      </c>
      <c r="BJ46" s="195">
        <v>0</v>
      </c>
      <c r="BK46" s="195">
        <v>0</v>
      </c>
      <c r="BL46" s="195">
        <v>0</v>
      </c>
      <c r="BM46" s="195">
        <v>0</v>
      </c>
      <c r="BN46" s="195">
        <v>0</v>
      </c>
      <c r="BO46" s="195">
        <v>0</v>
      </c>
      <c r="BP46" s="195">
        <v>0</v>
      </c>
      <c r="BQ46" s="195">
        <v>0</v>
      </c>
      <c r="BR46" s="195">
        <v>0</v>
      </c>
      <c r="BS46" s="195">
        <v>0</v>
      </c>
      <c r="BT46" s="195">
        <v>0</v>
      </c>
    </row>
    <row r="47" spans="1:72" x14ac:dyDescent="0.25">
      <c r="A47" s="195" t="s">
        <v>261</v>
      </c>
      <c r="B47" s="195">
        <v>0</v>
      </c>
      <c r="C47" s="195">
        <v>0</v>
      </c>
      <c r="D47" s="195">
        <v>0</v>
      </c>
      <c r="E47" s="195">
        <v>0</v>
      </c>
      <c r="F47" s="195">
        <v>0</v>
      </c>
      <c r="G47" s="195">
        <v>0</v>
      </c>
      <c r="H47" s="195">
        <v>0</v>
      </c>
      <c r="I47" s="195">
        <v>0</v>
      </c>
      <c r="J47" s="195">
        <v>0</v>
      </c>
      <c r="K47" s="195">
        <v>0</v>
      </c>
      <c r="L47" s="195">
        <v>0</v>
      </c>
      <c r="M47" s="195">
        <v>0</v>
      </c>
      <c r="N47" s="195">
        <v>0</v>
      </c>
      <c r="O47" s="195">
        <v>0</v>
      </c>
      <c r="P47" s="195">
        <v>0</v>
      </c>
      <c r="Q47" s="195">
        <v>0</v>
      </c>
      <c r="R47" s="195">
        <v>0</v>
      </c>
      <c r="S47" s="195">
        <v>0</v>
      </c>
      <c r="T47" s="195">
        <v>0</v>
      </c>
      <c r="U47" s="195">
        <v>0</v>
      </c>
      <c r="V47" s="195">
        <v>0</v>
      </c>
      <c r="W47" s="195">
        <v>0</v>
      </c>
      <c r="X47" s="195">
        <v>0</v>
      </c>
      <c r="Y47" s="195">
        <v>0</v>
      </c>
      <c r="Z47" s="195">
        <v>0</v>
      </c>
      <c r="AA47" s="195">
        <v>0</v>
      </c>
      <c r="AB47" s="195">
        <v>0</v>
      </c>
      <c r="AC47" s="195">
        <v>0</v>
      </c>
      <c r="AD47" s="195">
        <v>0</v>
      </c>
      <c r="AE47" s="195">
        <v>0</v>
      </c>
      <c r="AF47" s="195">
        <v>0</v>
      </c>
      <c r="AG47" s="195">
        <v>0</v>
      </c>
      <c r="AH47" s="195">
        <v>0</v>
      </c>
      <c r="AI47" s="195">
        <v>0</v>
      </c>
      <c r="AJ47" s="195">
        <v>0</v>
      </c>
      <c r="AK47" s="195">
        <v>0</v>
      </c>
      <c r="AL47" s="195">
        <v>0</v>
      </c>
      <c r="AM47" s="195">
        <v>0</v>
      </c>
      <c r="AN47" s="195">
        <v>0</v>
      </c>
      <c r="AO47" s="195">
        <v>0</v>
      </c>
      <c r="AP47" s="195">
        <v>0</v>
      </c>
      <c r="AQ47" s="195">
        <v>0</v>
      </c>
      <c r="AR47" s="195">
        <v>0</v>
      </c>
      <c r="AS47" s="195">
        <v>0</v>
      </c>
      <c r="AT47" s="195">
        <v>0</v>
      </c>
      <c r="AU47" s="195">
        <v>0</v>
      </c>
      <c r="AV47" s="195">
        <v>0</v>
      </c>
      <c r="AW47" s="195">
        <v>0</v>
      </c>
      <c r="AX47" s="195">
        <v>0</v>
      </c>
      <c r="AY47" s="195">
        <v>0</v>
      </c>
      <c r="AZ47" s="195">
        <v>0</v>
      </c>
      <c r="BA47" s="195">
        <v>0</v>
      </c>
      <c r="BB47" s="195">
        <v>0</v>
      </c>
      <c r="BC47" s="195">
        <v>0</v>
      </c>
      <c r="BD47" s="195">
        <v>0</v>
      </c>
      <c r="BE47" s="195">
        <v>0</v>
      </c>
      <c r="BF47" s="195">
        <v>0</v>
      </c>
      <c r="BG47" s="195">
        <v>0</v>
      </c>
      <c r="BH47" s="195">
        <v>0</v>
      </c>
      <c r="BI47" s="195">
        <v>0</v>
      </c>
      <c r="BJ47" s="195">
        <v>0</v>
      </c>
      <c r="BK47" s="195">
        <v>0</v>
      </c>
      <c r="BL47" s="195">
        <v>0</v>
      </c>
      <c r="BM47" s="195">
        <v>0</v>
      </c>
      <c r="BN47" s="195">
        <v>0</v>
      </c>
      <c r="BO47" s="195">
        <v>0</v>
      </c>
      <c r="BP47" s="195">
        <v>0</v>
      </c>
      <c r="BQ47" s="195">
        <v>0</v>
      </c>
      <c r="BR47" s="195">
        <v>0</v>
      </c>
      <c r="BS47" s="195">
        <v>0</v>
      </c>
      <c r="BT47" s="195">
        <v>0</v>
      </c>
    </row>
    <row r="48" spans="1:72" x14ac:dyDescent="0.25">
      <c r="A48" s="195" t="s">
        <v>262</v>
      </c>
      <c r="B48" s="195">
        <v>0</v>
      </c>
      <c r="C48" s="195">
        <v>46280129.909999996</v>
      </c>
      <c r="D48" s="195">
        <v>0</v>
      </c>
      <c r="E48" s="195">
        <v>303316067.55000001</v>
      </c>
      <c r="F48" s="195">
        <v>0</v>
      </c>
      <c r="G48" s="195">
        <v>160473460.19999999</v>
      </c>
      <c r="H48" s="195">
        <v>0</v>
      </c>
      <c r="I48" s="195">
        <v>74298764.329999998</v>
      </c>
      <c r="J48" s="195">
        <v>0</v>
      </c>
      <c r="K48" s="195">
        <v>56372451.719999999</v>
      </c>
      <c r="L48" s="195">
        <v>0</v>
      </c>
      <c r="M48" s="195">
        <v>-8353337.2699999996</v>
      </c>
      <c r="N48" s="195">
        <v>0</v>
      </c>
      <c r="O48" s="195">
        <v>12302685.4</v>
      </c>
      <c r="P48" s="195">
        <v>0</v>
      </c>
      <c r="Q48" s="195">
        <v>74266280.049999997</v>
      </c>
      <c r="R48" s="195">
        <v>0</v>
      </c>
      <c r="S48" s="195">
        <v>50135872.240000002</v>
      </c>
      <c r="T48" s="195">
        <v>0</v>
      </c>
      <c r="U48" s="195">
        <v>26910586.48</v>
      </c>
      <c r="V48" s="195">
        <v>0</v>
      </c>
      <c r="W48" s="195">
        <v>38692589.719999999</v>
      </c>
      <c r="X48" s="195">
        <v>0</v>
      </c>
      <c r="Y48" s="195">
        <v>35128514.390000001</v>
      </c>
      <c r="Z48" s="195">
        <v>0</v>
      </c>
      <c r="AA48" s="195">
        <v>23438151.510000002</v>
      </c>
      <c r="AB48" s="195">
        <v>0</v>
      </c>
      <c r="AC48" s="195">
        <v>-4942440.8600000003</v>
      </c>
      <c r="AD48" s="195">
        <v>0</v>
      </c>
      <c r="AE48" s="195">
        <v>24665000.32</v>
      </c>
      <c r="AF48" s="195">
        <v>0</v>
      </c>
      <c r="AG48" s="195">
        <v>32473493.739999998</v>
      </c>
      <c r="AH48" s="195">
        <v>0</v>
      </c>
      <c r="AI48" s="195">
        <v>19810756.25</v>
      </c>
      <c r="AJ48" s="195">
        <v>0</v>
      </c>
      <c r="AK48" s="195">
        <v>9698789.8499999996</v>
      </c>
      <c r="AL48" s="195">
        <v>0</v>
      </c>
      <c r="AM48" s="195">
        <v>8787308.0199999996</v>
      </c>
      <c r="AN48" s="195">
        <v>0</v>
      </c>
      <c r="AO48" s="195">
        <v>253477.72</v>
      </c>
      <c r="AP48" s="195">
        <v>0</v>
      </c>
      <c r="AQ48" s="195">
        <v>5659589.3600000003</v>
      </c>
      <c r="AR48" s="195">
        <v>0</v>
      </c>
      <c r="AS48" s="195">
        <v>19881064.43</v>
      </c>
      <c r="AT48" s="195">
        <v>0</v>
      </c>
      <c r="AU48" s="195">
        <v>7022059.2699999996</v>
      </c>
      <c r="AV48" s="195">
        <v>0</v>
      </c>
      <c r="AW48" s="195">
        <v>12004145.630000001</v>
      </c>
      <c r="AX48" s="195">
        <v>16390136.52</v>
      </c>
      <c r="AY48" s="195">
        <v>11182006.810000001</v>
      </c>
      <c r="AZ48" s="195">
        <v>11015810.23</v>
      </c>
      <c r="BA48" s="195">
        <v>-11607305.189999999</v>
      </c>
      <c r="BB48" s="195">
        <v>-7595759.6600000001</v>
      </c>
      <c r="BC48" s="195">
        <v>-13364380.390000001</v>
      </c>
      <c r="BD48" s="195">
        <v>1843247.12</v>
      </c>
      <c r="BE48" s="195">
        <v>15048822.380000001</v>
      </c>
      <c r="BF48" s="195">
        <v>1215801.17</v>
      </c>
      <c r="BG48" s="195">
        <v>533460.5</v>
      </c>
      <c r="BH48" s="195">
        <v>1511003.03</v>
      </c>
      <c r="BI48" s="195">
        <v>235169.61</v>
      </c>
      <c r="BJ48" s="195">
        <v>2833170.68</v>
      </c>
      <c r="BK48" s="195">
        <v>1689607.27</v>
      </c>
      <c r="BL48" s="195">
        <v>2300000</v>
      </c>
      <c r="BM48" s="195">
        <v>322210.21000000002</v>
      </c>
      <c r="BN48" s="195">
        <v>2453619.0499999998</v>
      </c>
      <c r="BO48" s="195">
        <v>3370537.15</v>
      </c>
      <c r="BP48" s="195">
        <v>2020261.27</v>
      </c>
      <c r="BQ48" s="195">
        <v>873941</v>
      </c>
      <c r="BR48" s="195">
        <v>2197726.71</v>
      </c>
      <c r="BS48" s="195">
        <v>1323361.46</v>
      </c>
      <c r="BT48" s="195">
        <v>0</v>
      </c>
    </row>
    <row r="49" spans="1:72" x14ac:dyDescent="0.25">
      <c r="A49" s="195" t="s">
        <v>263</v>
      </c>
      <c r="B49" s="195">
        <v>0</v>
      </c>
      <c r="C49" s="195">
        <v>1456403451.8</v>
      </c>
      <c r="D49" s="195">
        <v>0</v>
      </c>
      <c r="E49" s="195">
        <v>3033400427.5799999</v>
      </c>
      <c r="F49" s="195">
        <v>0</v>
      </c>
      <c r="G49" s="195">
        <v>1591537667.98</v>
      </c>
      <c r="H49" s="195">
        <v>0</v>
      </c>
      <c r="I49" s="195">
        <v>2629476704.1399999</v>
      </c>
      <c r="J49" s="195">
        <v>0</v>
      </c>
      <c r="K49" s="195">
        <v>1110969225.6199999</v>
      </c>
      <c r="L49" s="195">
        <v>0</v>
      </c>
      <c r="M49" s="195">
        <v>1472835738.3699999</v>
      </c>
      <c r="N49" s="195">
        <v>0</v>
      </c>
      <c r="O49" s="195">
        <v>708002707.07000005</v>
      </c>
      <c r="P49" s="195">
        <v>0</v>
      </c>
      <c r="Q49" s="195">
        <v>934105052.57000005</v>
      </c>
      <c r="R49" s="195">
        <v>0</v>
      </c>
      <c r="S49" s="195">
        <v>458008143</v>
      </c>
      <c r="T49" s="195">
        <v>0</v>
      </c>
      <c r="U49" s="195">
        <v>846134654.05999994</v>
      </c>
      <c r="V49" s="195">
        <v>0</v>
      </c>
      <c r="W49" s="195">
        <v>415088335.75</v>
      </c>
      <c r="X49" s="195">
        <v>0</v>
      </c>
      <c r="Y49" s="195">
        <v>731446804.15999997</v>
      </c>
      <c r="Z49" s="195">
        <v>0</v>
      </c>
      <c r="AA49" s="195">
        <v>359963368.70999998</v>
      </c>
      <c r="AB49" s="195">
        <v>0</v>
      </c>
      <c r="AC49" s="195">
        <v>662030069.63999999</v>
      </c>
      <c r="AD49" s="195">
        <v>0</v>
      </c>
      <c r="AE49" s="195">
        <v>323504000.81</v>
      </c>
      <c r="AF49" s="195">
        <v>0</v>
      </c>
      <c r="AG49" s="195">
        <v>313839149.94999999</v>
      </c>
      <c r="AH49" s="195">
        <v>0</v>
      </c>
      <c r="AI49" s="195">
        <v>146021728.18000001</v>
      </c>
      <c r="AJ49" s="195">
        <v>0</v>
      </c>
      <c r="AK49" s="195">
        <v>283567330.56999999</v>
      </c>
      <c r="AL49" s="195">
        <v>0</v>
      </c>
      <c r="AM49" s="195">
        <v>137627549.5</v>
      </c>
      <c r="AN49" s="195">
        <v>0</v>
      </c>
      <c r="AO49" s="195">
        <v>253356206.83000001</v>
      </c>
      <c r="AP49" s="195">
        <v>0</v>
      </c>
      <c r="AQ49" s="195">
        <v>126646106.28</v>
      </c>
      <c r="AR49" s="195">
        <v>0</v>
      </c>
      <c r="AS49" s="195">
        <v>231322064.62</v>
      </c>
      <c r="AT49" s="195">
        <v>0</v>
      </c>
      <c r="AU49" s="195">
        <v>112562604.33</v>
      </c>
      <c r="AV49" s="195">
        <v>0</v>
      </c>
      <c r="AW49" s="195">
        <v>204380088.05000001</v>
      </c>
      <c r="AX49" s="195">
        <v>144359983.11000001</v>
      </c>
      <c r="AY49" s="195">
        <v>92374534.040000007</v>
      </c>
      <c r="AZ49" s="195">
        <v>40259859.740000002</v>
      </c>
      <c r="BA49" s="195">
        <v>56981907.670000002</v>
      </c>
      <c r="BB49" s="195">
        <v>40670080.810000002</v>
      </c>
      <c r="BC49" s="195">
        <v>26784355.449999999</v>
      </c>
      <c r="BD49" s="195">
        <v>13375256.880000001</v>
      </c>
      <c r="BE49" s="195">
        <v>53332726.270000003</v>
      </c>
      <c r="BF49" s="195">
        <v>40436268.380000003</v>
      </c>
      <c r="BG49" s="195">
        <v>27749680.379999999</v>
      </c>
      <c r="BH49" s="195">
        <v>14268373.33</v>
      </c>
      <c r="BI49" s="195">
        <v>52795125.68</v>
      </c>
      <c r="BJ49" s="195">
        <v>38902998.649999999</v>
      </c>
      <c r="BK49" s="195">
        <v>25629020.780000001</v>
      </c>
      <c r="BL49" s="195">
        <v>12750860.359999999</v>
      </c>
      <c r="BM49" s="195">
        <v>40033982.590000004</v>
      </c>
      <c r="BN49" s="195">
        <v>15010963.4</v>
      </c>
      <c r="BO49" s="195">
        <v>29063705.300000001</v>
      </c>
      <c r="BP49" s="195">
        <v>15081839.289999999</v>
      </c>
      <c r="BQ49" s="195">
        <v>26279195.079999998</v>
      </c>
      <c r="BR49" s="195">
        <v>11651699.949999999</v>
      </c>
      <c r="BS49" s="195">
        <v>25058312.66</v>
      </c>
      <c r="BT49" s="195">
        <v>0</v>
      </c>
    </row>
    <row r="50" spans="1:72" x14ac:dyDescent="0.25">
      <c r="A50" s="195" t="s">
        <v>264</v>
      </c>
      <c r="B50" s="195">
        <v>0</v>
      </c>
      <c r="C50" s="195">
        <v>72411758.840000004</v>
      </c>
      <c r="D50" s="195">
        <v>0</v>
      </c>
      <c r="E50" s="195">
        <v>144455456.00999999</v>
      </c>
      <c r="F50" s="195">
        <v>0</v>
      </c>
      <c r="G50" s="195">
        <v>71344038.620000005</v>
      </c>
      <c r="H50" s="195">
        <v>0</v>
      </c>
      <c r="I50" s="195">
        <v>129481556.45</v>
      </c>
      <c r="J50" s="195">
        <v>0</v>
      </c>
      <c r="K50" s="195">
        <v>62716876.490000002</v>
      </c>
      <c r="L50" s="195">
        <v>0</v>
      </c>
      <c r="M50" s="195">
        <v>73177887.930000007</v>
      </c>
      <c r="N50" s="195">
        <v>0</v>
      </c>
      <c r="O50" s="195">
        <v>31768133.359999999</v>
      </c>
      <c r="P50" s="195">
        <v>0</v>
      </c>
      <c r="Q50" s="195">
        <v>44525724.490000002</v>
      </c>
      <c r="R50" s="195">
        <v>0</v>
      </c>
      <c r="S50" s="195">
        <v>20666421.93</v>
      </c>
      <c r="T50" s="195">
        <v>0</v>
      </c>
      <c r="U50" s="195">
        <v>21047696.329999998</v>
      </c>
      <c r="V50" s="195">
        <v>0</v>
      </c>
      <c r="W50" s="195">
        <v>9541290.6699999999</v>
      </c>
      <c r="X50" s="195">
        <v>0</v>
      </c>
      <c r="Y50" s="195">
        <v>11856701.32</v>
      </c>
      <c r="Z50" s="195">
        <v>0</v>
      </c>
      <c r="AA50" s="195">
        <v>5247777.24</v>
      </c>
      <c r="AB50" s="195">
        <v>0</v>
      </c>
      <c r="AC50" s="195">
        <v>9095737.5399999991</v>
      </c>
      <c r="AD50" s="195">
        <v>0</v>
      </c>
      <c r="AE50" s="195">
        <v>10299595.82</v>
      </c>
      <c r="AF50" s="195">
        <v>0</v>
      </c>
      <c r="AG50" s="195">
        <v>6777988.4100000001</v>
      </c>
      <c r="AH50" s="195">
        <v>0</v>
      </c>
      <c r="AI50" s="195">
        <v>3062577.81</v>
      </c>
      <c r="AJ50" s="195">
        <v>0</v>
      </c>
      <c r="AK50" s="195">
        <v>5706797.6100000003</v>
      </c>
      <c r="AL50" s="195">
        <v>0</v>
      </c>
      <c r="AM50" s="195">
        <v>2973593.93</v>
      </c>
      <c r="AN50" s="195">
        <v>0</v>
      </c>
      <c r="AO50" s="195">
        <v>4231832.26</v>
      </c>
      <c r="AP50" s="195">
        <v>0</v>
      </c>
      <c r="AQ50" s="195">
        <v>2044918.31</v>
      </c>
      <c r="AR50" s="195">
        <v>0</v>
      </c>
      <c r="AS50" s="195">
        <v>3246986.34</v>
      </c>
      <c r="AT50" s="195">
        <v>0</v>
      </c>
      <c r="AU50" s="195">
        <v>1534655.5</v>
      </c>
      <c r="AV50" s="195">
        <v>0</v>
      </c>
      <c r="AW50" s="195">
        <v>83416.679999999993</v>
      </c>
      <c r="AX50" s="195">
        <v>55917.67</v>
      </c>
      <c r="AY50" s="195">
        <v>8550</v>
      </c>
      <c r="AZ50" s="195">
        <v>3975</v>
      </c>
      <c r="BA50" s="195">
        <v>0</v>
      </c>
      <c r="BB50" s="195">
        <v>0</v>
      </c>
      <c r="BC50" s="195">
        <v>0</v>
      </c>
      <c r="BD50" s="195">
        <v>0</v>
      </c>
      <c r="BE50" s="195">
        <v>0</v>
      </c>
      <c r="BF50" s="195">
        <v>0</v>
      </c>
      <c r="BG50" s="195">
        <v>0</v>
      </c>
      <c r="BH50" s="195">
        <v>0</v>
      </c>
      <c r="BI50" s="195">
        <v>0</v>
      </c>
      <c r="BJ50" s="195">
        <v>0</v>
      </c>
      <c r="BK50" s="195">
        <v>0</v>
      </c>
      <c r="BL50" s="195">
        <v>0</v>
      </c>
      <c r="BM50" s="195">
        <v>0</v>
      </c>
      <c r="BN50" s="195">
        <v>0</v>
      </c>
      <c r="BO50" s="195">
        <v>0</v>
      </c>
      <c r="BP50" s="195">
        <v>0</v>
      </c>
      <c r="BQ50" s="195">
        <v>0</v>
      </c>
      <c r="BR50" s="195">
        <v>0</v>
      </c>
      <c r="BS50" s="195">
        <v>0</v>
      </c>
      <c r="BT50" s="195">
        <v>0</v>
      </c>
    </row>
    <row r="51" spans="1:72" x14ac:dyDescent="0.25">
      <c r="A51" s="195" t="s">
        <v>265</v>
      </c>
      <c r="B51" s="195">
        <v>0</v>
      </c>
      <c r="C51" s="195">
        <v>3772512.4</v>
      </c>
      <c r="D51" s="195">
        <v>0</v>
      </c>
      <c r="E51" s="195">
        <v>7778750.04</v>
      </c>
      <c r="F51" s="195">
        <v>0</v>
      </c>
      <c r="G51" s="195">
        <v>3606036.42</v>
      </c>
      <c r="H51" s="195">
        <v>0</v>
      </c>
      <c r="I51" s="195">
        <v>3511454.08</v>
      </c>
      <c r="J51" s="195">
        <v>0</v>
      </c>
      <c r="K51" s="195">
        <v>0</v>
      </c>
      <c r="L51" s="195">
        <v>0</v>
      </c>
      <c r="M51" s="195">
        <v>0</v>
      </c>
      <c r="N51" s="195">
        <v>0</v>
      </c>
      <c r="O51" s="195">
        <v>9741775.0500000007</v>
      </c>
      <c r="P51" s="195">
        <v>0</v>
      </c>
      <c r="Q51" s="195">
        <v>10132085.16</v>
      </c>
      <c r="R51" s="195">
        <v>0</v>
      </c>
      <c r="S51" s="195">
        <v>4607612.63</v>
      </c>
      <c r="T51" s="195">
        <v>0</v>
      </c>
      <c r="U51" s="195">
        <v>10018624.59</v>
      </c>
      <c r="V51" s="195">
        <v>0</v>
      </c>
      <c r="W51" s="195">
        <v>4506073.7</v>
      </c>
      <c r="X51" s="195">
        <v>0</v>
      </c>
      <c r="Y51" s="195">
        <v>7665166.2300000004</v>
      </c>
      <c r="Z51" s="195">
        <v>0</v>
      </c>
      <c r="AA51" s="195">
        <v>3163278.78</v>
      </c>
      <c r="AB51" s="195">
        <v>0</v>
      </c>
      <c r="AC51" s="195">
        <v>4722874.75</v>
      </c>
      <c r="AD51" s="195">
        <v>0</v>
      </c>
      <c r="AE51" s="195">
        <v>2110244.34</v>
      </c>
      <c r="AF51" s="195">
        <v>0</v>
      </c>
      <c r="AG51" s="195">
        <v>0</v>
      </c>
      <c r="AH51" s="195">
        <v>0</v>
      </c>
      <c r="AI51" s="195">
        <v>0</v>
      </c>
      <c r="AJ51" s="195">
        <v>0</v>
      </c>
      <c r="AK51" s="195">
        <v>0</v>
      </c>
      <c r="AL51" s="195">
        <v>0</v>
      </c>
      <c r="AM51" s="195">
        <v>0</v>
      </c>
      <c r="AN51" s="195">
        <v>0</v>
      </c>
      <c r="AO51" s="195">
        <v>0</v>
      </c>
      <c r="AP51" s="195">
        <v>0</v>
      </c>
      <c r="AQ51" s="195">
        <v>0</v>
      </c>
      <c r="AR51" s="195">
        <v>0</v>
      </c>
      <c r="AS51" s="195">
        <v>0</v>
      </c>
      <c r="AT51" s="195">
        <v>0</v>
      </c>
      <c r="AU51" s="195">
        <v>0</v>
      </c>
      <c r="AV51" s="195">
        <v>0</v>
      </c>
      <c r="AW51" s="195">
        <v>1292188.47</v>
      </c>
      <c r="AX51" s="195">
        <v>1292188.47</v>
      </c>
      <c r="AY51" s="195">
        <v>1292188.47</v>
      </c>
      <c r="AZ51" s="195">
        <v>1292188.47</v>
      </c>
      <c r="BA51" s="195">
        <v>0</v>
      </c>
      <c r="BB51" s="195">
        <v>0</v>
      </c>
      <c r="BC51" s="195">
        <v>0</v>
      </c>
      <c r="BD51" s="195">
        <v>0</v>
      </c>
      <c r="BE51" s="195">
        <v>0</v>
      </c>
      <c r="BF51" s="195">
        <v>0</v>
      </c>
      <c r="BG51" s="195">
        <v>0</v>
      </c>
      <c r="BH51" s="195">
        <v>0</v>
      </c>
      <c r="BI51" s="195">
        <v>0</v>
      </c>
      <c r="BJ51" s="195">
        <v>0</v>
      </c>
      <c r="BK51" s="195">
        <v>0</v>
      </c>
      <c r="BL51" s="195">
        <v>0</v>
      </c>
      <c r="BM51" s="195">
        <v>0</v>
      </c>
      <c r="BN51" s="195">
        <v>0</v>
      </c>
      <c r="BO51" s="195">
        <v>0</v>
      </c>
      <c r="BP51" s="195">
        <v>0</v>
      </c>
      <c r="BQ51" s="195">
        <v>0</v>
      </c>
      <c r="BR51" s="195">
        <v>0</v>
      </c>
      <c r="BS51" s="195">
        <v>0</v>
      </c>
      <c r="BT51" s="195">
        <v>0</v>
      </c>
    </row>
    <row r="52" spans="1:72" x14ac:dyDescent="0.25">
      <c r="A52" s="195" t="s">
        <v>266</v>
      </c>
      <c r="B52" s="195">
        <v>0</v>
      </c>
      <c r="C52" s="195">
        <v>0</v>
      </c>
      <c r="D52" s="195">
        <v>0</v>
      </c>
      <c r="E52" s="195">
        <v>0</v>
      </c>
      <c r="F52" s="195">
        <v>0</v>
      </c>
      <c r="G52" s="195">
        <v>0</v>
      </c>
      <c r="H52" s="195">
        <v>0</v>
      </c>
      <c r="I52" s="195">
        <v>0</v>
      </c>
      <c r="J52" s="195">
        <v>0</v>
      </c>
      <c r="K52" s="195">
        <v>0</v>
      </c>
      <c r="L52" s="195">
        <v>0</v>
      </c>
      <c r="M52" s="195">
        <v>0</v>
      </c>
      <c r="N52" s="195">
        <v>0</v>
      </c>
      <c r="O52" s="195">
        <v>0</v>
      </c>
      <c r="P52" s="195">
        <v>0</v>
      </c>
      <c r="Q52" s="195">
        <v>0</v>
      </c>
      <c r="R52" s="195">
        <v>0</v>
      </c>
      <c r="S52" s="195">
        <v>0</v>
      </c>
      <c r="T52" s="195">
        <v>0</v>
      </c>
      <c r="U52" s="195">
        <v>0</v>
      </c>
      <c r="V52" s="195">
        <v>0</v>
      </c>
      <c r="W52" s="195">
        <v>0</v>
      </c>
      <c r="X52" s="195">
        <v>0</v>
      </c>
      <c r="Y52" s="195">
        <v>0</v>
      </c>
      <c r="Z52" s="195">
        <v>0</v>
      </c>
      <c r="AA52" s="195">
        <v>0</v>
      </c>
      <c r="AB52" s="195">
        <v>0</v>
      </c>
      <c r="AC52" s="195">
        <v>0</v>
      </c>
      <c r="AD52" s="195">
        <v>0</v>
      </c>
      <c r="AE52" s="195">
        <v>0</v>
      </c>
      <c r="AF52" s="195">
        <v>0</v>
      </c>
      <c r="AG52" s="195">
        <v>0</v>
      </c>
      <c r="AH52" s="195">
        <v>0</v>
      </c>
      <c r="AI52" s="195">
        <v>0</v>
      </c>
      <c r="AJ52" s="195">
        <v>0</v>
      </c>
      <c r="AK52" s="195">
        <v>0</v>
      </c>
      <c r="AL52" s="195">
        <v>0</v>
      </c>
      <c r="AM52" s="195">
        <v>0</v>
      </c>
      <c r="AN52" s="195">
        <v>0</v>
      </c>
      <c r="AO52" s="195">
        <v>0</v>
      </c>
      <c r="AP52" s="195">
        <v>0</v>
      </c>
      <c r="AQ52" s="195">
        <v>0</v>
      </c>
      <c r="AR52" s="195">
        <v>0</v>
      </c>
      <c r="AS52" s="195">
        <v>0</v>
      </c>
      <c r="AT52" s="195">
        <v>0</v>
      </c>
      <c r="AU52" s="195">
        <v>0</v>
      </c>
      <c r="AV52" s="195">
        <v>0</v>
      </c>
      <c r="AW52" s="195">
        <v>0</v>
      </c>
      <c r="AX52" s="195">
        <v>-1150354</v>
      </c>
      <c r="AY52" s="195">
        <v>-1593274.69</v>
      </c>
      <c r="AZ52" s="195">
        <v>0</v>
      </c>
      <c r="BA52" s="195">
        <v>0</v>
      </c>
      <c r="BB52" s="195">
        <v>-724219.45</v>
      </c>
      <c r="BC52" s="195">
        <v>0</v>
      </c>
      <c r="BD52" s="195">
        <v>0</v>
      </c>
      <c r="BE52" s="195">
        <v>0</v>
      </c>
      <c r="BF52" s="195">
        <v>0</v>
      </c>
      <c r="BG52" s="195">
        <v>0</v>
      </c>
      <c r="BH52" s="195">
        <v>0</v>
      </c>
      <c r="BI52" s="195">
        <v>240000</v>
      </c>
      <c r="BJ52" s="195">
        <v>180000</v>
      </c>
      <c r="BK52" s="195">
        <v>120000</v>
      </c>
      <c r="BL52" s="195">
        <v>60000</v>
      </c>
      <c r="BM52" s="195">
        <v>-240000</v>
      </c>
      <c r="BN52" s="195">
        <v>-19176.060000000001</v>
      </c>
      <c r="BO52" s="195">
        <v>0</v>
      </c>
      <c r="BP52" s="195">
        <v>0</v>
      </c>
      <c r="BQ52" s="195">
        <v>0</v>
      </c>
      <c r="BR52" s="195">
        <v>0</v>
      </c>
      <c r="BS52" s="195">
        <v>77316.399999999994</v>
      </c>
      <c r="BT52" s="195">
        <v>0</v>
      </c>
    </row>
    <row r="53" spans="1:72" x14ac:dyDescent="0.25">
      <c r="A53" s="195" t="s">
        <v>267</v>
      </c>
      <c r="B53" s="195">
        <v>0</v>
      </c>
      <c r="C53" s="195">
        <v>0</v>
      </c>
      <c r="D53" s="195">
        <v>0</v>
      </c>
      <c r="E53" s="195">
        <v>0</v>
      </c>
      <c r="F53" s="195">
        <v>0</v>
      </c>
      <c r="G53" s="195">
        <v>0</v>
      </c>
      <c r="H53" s="195">
        <v>0</v>
      </c>
      <c r="I53" s="195">
        <v>0</v>
      </c>
      <c r="J53" s="195">
        <v>0</v>
      </c>
      <c r="K53" s="195">
        <v>0</v>
      </c>
      <c r="L53" s="195">
        <v>0</v>
      </c>
      <c r="M53" s="195">
        <v>0</v>
      </c>
      <c r="N53" s="195">
        <v>0</v>
      </c>
      <c r="O53" s="195">
        <v>0</v>
      </c>
      <c r="P53" s="195">
        <v>0</v>
      </c>
      <c r="Q53" s="195">
        <v>0</v>
      </c>
      <c r="R53" s="195">
        <v>0</v>
      </c>
      <c r="S53" s="195">
        <v>0</v>
      </c>
      <c r="T53" s="195">
        <v>0</v>
      </c>
      <c r="U53" s="195">
        <v>0</v>
      </c>
      <c r="V53" s="195">
        <v>0</v>
      </c>
      <c r="W53" s="195">
        <v>0</v>
      </c>
      <c r="X53" s="195">
        <v>0</v>
      </c>
      <c r="Y53" s="195">
        <v>0</v>
      </c>
      <c r="Z53" s="195">
        <v>0</v>
      </c>
      <c r="AA53" s="195">
        <v>0</v>
      </c>
      <c r="AB53" s="195">
        <v>0</v>
      </c>
      <c r="AC53" s="195">
        <v>0</v>
      </c>
      <c r="AD53" s="195">
        <v>0</v>
      </c>
      <c r="AE53" s="195">
        <v>0</v>
      </c>
      <c r="AF53" s="195">
        <v>0</v>
      </c>
      <c r="AG53" s="195">
        <v>0</v>
      </c>
      <c r="AH53" s="195">
        <v>0</v>
      </c>
      <c r="AI53" s="195">
        <v>0</v>
      </c>
      <c r="AJ53" s="195">
        <v>0</v>
      </c>
      <c r="AK53" s="195">
        <v>0</v>
      </c>
      <c r="AL53" s="195">
        <v>0</v>
      </c>
      <c r="AM53" s="195">
        <v>0</v>
      </c>
      <c r="AN53" s="195">
        <v>0</v>
      </c>
      <c r="AO53" s="195">
        <v>0</v>
      </c>
      <c r="AP53" s="195">
        <v>0</v>
      </c>
      <c r="AQ53" s="195">
        <v>0</v>
      </c>
      <c r="AR53" s="195">
        <v>0</v>
      </c>
      <c r="AS53" s="195">
        <v>0</v>
      </c>
      <c r="AT53" s="195">
        <v>0</v>
      </c>
      <c r="AU53" s="195">
        <v>0</v>
      </c>
      <c r="AV53" s="195">
        <v>0</v>
      </c>
      <c r="AW53" s="195">
        <v>6529861.7599999998</v>
      </c>
      <c r="AX53" s="195">
        <v>6633555.9500000002</v>
      </c>
      <c r="AY53" s="195">
        <v>4728702.68</v>
      </c>
      <c r="AZ53" s="195">
        <v>963351.61</v>
      </c>
      <c r="BA53" s="195">
        <v>6413316.9800000004</v>
      </c>
      <c r="BB53" s="195">
        <v>5366306.0199999996</v>
      </c>
      <c r="BC53" s="195">
        <v>1581457.39</v>
      </c>
      <c r="BD53" s="195">
        <v>1603615.18</v>
      </c>
      <c r="BE53" s="195">
        <v>-5365155.8499999996</v>
      </c>
      <c r="BF53" s="195">
        <v>-3941905.41</v>
      </c>
      <c r="BG53" s="195">
        <v>-4647515.05</v>
      </c>
      <c r="BH53" s="195">
        <v>5264671.6900000004</v>
      </c>
      <c r="BI53" s="195">
        <v>5811855.3399999999</v>
      </c>
      <c r="BJ53" s="195">
        <v>1857333.9</v>
      </c>
      <c r="BK53" s="195">
        <v>-72037.820000000007</v>
      </c>
      <c r="BL53" s="195">
        <v>8663405.0800000001</v>
      </c>
      <c r="BM53" s="195">
        <v>-302575.19</v>
      </c>
      <c r="BN53" s="195">
        <v>4250772.22</v>
      </c>
      <c r="BO53" s="195">
        <v>604881.28</v>
      </c>
      <c r="BP53" s="195">
        <v>4722148.8099999996</v>
      </c>
      <c r="BQ53" s="195">
        <v>64678.54</v>
      </c>
      <c r="BR53" s="195">
        <v>4529943.8499999996</v>
      </c>
      <c r="BS53" s="195">
        <v>0</v>
      </c>
      <c r="BT53" s="195">
        <v>0</v>
      </c>
    </row>
    <row r="54" spans="1:72" x14ac:dyDescent="0.25">
      <c r="A54" s="195" t="s">
        <v>268</v>
      </c>
      <c r="B54" s="195">
        <v>0</v>
      </c>
      <c r="C54" s="195">
        <v>12720853.210000001</v>
      </c>
      <c r="D54" s="195">
        <v>0</v>
      </c>
      <c r="E54" s="195">
        <v>217695299.03999999</v>
      </c>
      <c r="F54" s="195">
        <v>0</v>
      </c>
      <c r="G54" s="195">
        <v>7012092.5800000001</v>
      </c>
      <c r="H54" s="195">
        <v>0</v>
      </c>
      <c r="I54" s="195">
        <v>85025534.540000007</v>
      </c>
      <c r="J54" s="195">
        <v>0</v>
      </c>
      <c r="K54" s="195">
        <v>7626238.3899999997</v>
      </c>
      <c r="L54" s="195">
        <v>0</v>
      </c>
      <c r="M54" s="195">
        <v>160020095.77000001</v>
      </c>
      <c r="N54" s="195">
        <v>0</v>
      </c>
      <c r="O54" s="195">
        <v>43234921.350000001</v>
      </c>
      <c r="P54" s="195">
        <v>0</v>
      </c>
      <c r="Q54" s="195">
        <v>222802522.16</v>
      </c>
      <c r="R54" s="195">
        <v>0</v>
      </c>
      <c r="S54" s="195">
        <v>6636947.9699999997</v>
      </c>
      <c r="T54" s="195">
        <v>0</v>
      </c>
      <c r="U54" s="195">
        <v>29437420.260000002</v>
      </c>
      <c r="V54" s="195">
        <v>0</v>
      </c>
      <c r="W54" s="195">
        <v>11004224.07</v>
      </c>
      <c r="X54" s="195">
        <v>0</v>
      </c>
      <c r="Y54" s="195">
        <v>169821788.24000001</v>
      </c>
      <c r="Z54" s="195">
        <v>0</v>
      </c>
      <c r="AA54" s="195">
        <v>3315410.2</v>
      </c>
      <c r="AB54" s="195">
        <v>0</v>
      </c>
      <c r="AC54" s="195">
        <v>13870045.960000001</v>
      </c>
      <c r="AD54" s="195">
        <v>0</v>
      </c>
      <c r="AE54" s="195">
        <v>-659460.93000000005</v>
      </c>
      <c r="AF54" s="195">
        <v>0</v>
      </c>
      <c r="AG54" s="195">
        <v>101329.63</v>
      </c>
      <c r="AH54" s="195">
        <v>0</v>
      </c>
      <c r="AI54" s="195">
        <v>-83554.84</v>
      </c>
      <c r="AJ54" s="195">
        <v>0</v>
      </c>
      <c r="AK54" s="195">
        <v>5038032.1900000004</v>
      </c>
      <c r="AL54" s="195">
        <v>0</v>
      </c>
      <c r="AM54" s="195">
        <v>-532937.68999999994</v>
      </c>
      <c r="AN54" s="195">
        <v>0</v>
      </c>
      <c r="AO54" s="195">
        <v>10026659.689999999</v>
      </c>
      <c r="AP54" s="195">
        <v>0</v>
      </c>
      <c r="AQ54" s="195">
        <v>347872.53</v>
      </c>
      <c r="AR54" s="195">
        <v>0</v>
      </c>
      <c r="AS54" s="195">
        <v>5731565.3700000001</v>
      </c>
      <c r="AT54" s="195">
        <v>0</v>
      </c>
      <c r="AU54" s="195">
        <v>879570.05</v>
      </c>
      <c r="AV54" s="195">
        <v>0</v>
      </c>
      <c r="AW54" s="195">
        <v>105935.61</v>
      </c>
      <c r="AX54" s="195">
        <v>31527.4</v>
      </c>
      <c r="AY54" s="195">
        <v>93261</v>
      </c>
      <c r="AZ54" s="195">
        <v>0</v>
      </c>
      <c r="BA54" s="195">
        <v>-89497.4</v>
      </c>
      <c r="BB54" s="195">
        <v>130232.2</v>
      </c>
      <c r="BC54" s="195">
        <v>-3657.4</v>
      </c>
      <c r="BD54" s="195">
        <v>0</v>
      </c>
      <c r="BE54" s="195">
        <v>-690882.01</v>
      </c>
      <c r="BF54" s="195">
        <v>-887841.4</v>
      </c>
      <c r="BG54" s="195">
        <v>-521396</v>
      </c>
      <c r="BH54" s="195">
        <v>-521396</v>
      </c>
      <c r="BI54" s="195">
        <v>580461.34</v>
      </c>
      <c r="BJ54" s="195">
        <v>623606.48</v>
      </c>
      <c r="BK54" s="195">
        <v>622822.48</v>
      </c>
      <c r="BL54" s="195">
        <v>-186713.60000000001</v>
      </c>
      <c r="BM54" s="195">
        <v>-493302.9</v>
      </c>
      <c r="BN54" s="195">
        <v>-376234.6</v>
      </c>
      <c r="BO54" s="195">
        <v>-71720</v>
      </c>
      <c r="BP54" s="195">
        <v>2641.32</v>
      </c>
      <c r="BQ54" s="195">
        <v>0</v>
      </c>
      <c r="BR54" s="195">
        <v>0</v>
      </c>
      <c r="BS54" s="195">
        <v>2632395.2000000002</v>
      </c>
      <c r="BT54" s="195">
        <v>0</v>
      </c>
    </row>
    <row r="55" spans="1:72" x14ac:dyDescent="0.25">
      <c r="A55" s="195" t="s">
        <v>269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123405.18</v>
      </c>
      <c r="AN55" s="195">
        <v>0</v>
      </c>
      <c r="AO55" s="195">
        <v>0</v>
      </c>
      <c r="AP55" s="195">
        <v>0</v>
      </c>
      <c r="AQ55" s="195">
        <v>107395.47</v>
      </c>
      <c r="AR55" s="195">
        <v>0</v>
      </c>
      <c r="AS55" s="195">
        <v>0</v>
      </c>
      <c r="AT55" s="195">
        <v>0</v>
      </c>
      <c r="AU55" s="195">
        <v>0</v>
      </c>
      <c r="AV55" s="195">
        <v>0</v>
      </c>
      <c r="AW55" s="195">
        <v>0</v>
      </c>
      <c r="AX55" s="195">
        <v>1028</v>
      </c>
      <c r="AY55" s="195">
        <v>18303.43</v>
      </c>
      <c r="AZ55" s="195">
        <v>93289.43</v>
      </c>
      <c r="BA55" s="195">
        <v>42947069.979999997</v>
      </c>
      <c r="BB55" s="195">
        <v>5243.43</v>
      </c>
      <c r="BC55" s="195">
        <v>5243.43</v>
      </c>
      <c r="BD55" s="195">
        <v>0</v>
      </c>
      <c r="BE55" s="195">
        <v>44229863.509999998</v>
      </c>
      <c r="BF55" s="195">
        <v>23687135.710000001</v>
      </c>
      <c r="BG55" s="195">
        <v>23687135.710000001</v>
      </c>
      <c r="BH55" s="195">
        <v>0</v>
      </c>
      <c r="BI55" s="195">
        <v>0</v>
      </c>
      <c r="BJ55" s="195">
        <v>0</v>
      </c>
      <c r="BK55" s="195">
        <v>0</v>
      </c>
      <c r="BL55" s="195">
        <v>0</v>
      </c>
      <c r="BM55" s="195">
        <v>1148086.6100000001</v>
      </c>
      <c r="BN55" s="195">
        <v>0</v>
      </c>
      <c r="BO55" s="195">
        <v>6562457.6100000003</v>
      </c>
      <c r="BP55" s="195">
        <v>0</v>
      </c>
      <c r="BQ55" s="195">
        <v>9345588.9199999999</v>
      </c>
      <c r="BR55" s="195">
        <v>0</v>
      </c>
      <c r="BS55" s="195">
        <v>0</v>
      </c>
      <c r="BT55" s="195">
        <v>0</v>
      </c>
    </row>
    <row r="56" spans="1:72" x14ac:dyDescent="0.25">
      <c r="A56" s="195" t="s">
        <v>270</v>
      </c>
      <c r="B56" s="195">
        <v>0</v>
      </c>
      <c r="C56" s="195">
        <v>0</v>
      </c>
      <c r="D56" s="195">
        <v>0</v>
      </c>
      <c r="E56" s="195">
        <v>0</v>
      </c>
      <c r="F56" s="195">
        <v>0</v>
      </c>
      <c r="G56" s="195">
        <v>0</v>
      </c>
      <c r="H56" s="195">
        <v>0</v>
      </c>
      <c r="I56" s="195">
        <v>0</v>
      </c>
      <c r="J56" s="195">
        <v>0</v>
      </c>
      <c r="K56" s="195">
        <v>0</v>
      </c>
      <c r="L56" s="195">
        <v>0</v>
      </c>
      <c r="M56" s="195">
        <v>3466833.57</v>
      </c>
      <c r="N56" s="195">
        <v>0</v>
      </c>
      <c r="O56" s="195">
        <v>-61599319.68</v>
      </c>
      <c r="P56" s="195">
        <v>0</v>
      </c>
      <c r="Q56" s="195">
        <v>-3466833.57</v>
      </c>
      <c r="R56" s="195">
        <v>0</v>
      </c>
      <c r="S56" s="195">
        <v>0</v>
      </c>
      <c r="T56" s="195">
        <v>0</v>
      </c>
      <c r="U56" s="195">
        <v>-16017988.99</v>
      </c>
      <c r="V56" s="195">
        <v>0</v>
      </c>
      <c r="W56" s="195">
        <v>-3027699.69</v>
      </c>
      <c r="X56" s="195">
        <v>0</v>
      </c>
      <c r="Y56" s="195">
        <v>-2667597.81</v>
      </c>
      <c r="Z56" s="195">
        <v>0</v>
      </c>
      <c r="AA56" s="195">
        <v>-488799.23</v>
      </c>
      <c r="AB56" s="195">
        <v>0</v>
      </c>
      <c r="AC56" s="195">
        <v>9444630.1099999994</v>
      </c>
      <c r="AD56" s="195">
        <v>0</v>
      </c>
      <c r="AE56" s="195">
        <v>-5699046.6200000001</v>
      </c>
      <c r="AF56" s="195">
        <v>0</v>
      </c>
      <c r="AG56" s="195">
        <v>14778307.92</v>
      </c>
      <c r="AH56" s="195">
        <v>0</v>
      </c>
      <c r="AI56" s="195">
        <v>21160651.789999999</v>
      </c>
      <c r="AJ56" s="195">
        <v>0</v>
      </c>
      <c r="AK56" s="195">
        <v>-5524360.5499999998</v>
      </c>
      <c r="AL56" s="195">
        <v>0</v>
      </c>
      <c r="AM56" s="195">
        <v>0</v>
      </c>
      <c r="AN56" s="195">
        <v>0</v>
      </c>
      <c r="AO56" s="195">
        <v>846202.06</v>
      </c>
      <c r="AP56" s="195">
        <v>0</v>
      </c>
      <c r="AQ56" s="195">
        <v>0</v>
      </c>
      <c r="AR56" s="195">
        <v>0</v>
      </c>
      <c r="AS56" s="195">
        <v>4365321.92</v>
      </c>
      <c r="AT56" s="195">
        <v>0</v>
      </c>
      <c r="AU56" s="195">
        <v>-8605807.5399999991</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row>
    <row r="57" spans="1:72" x14ac:dyDescent="0.25">
      <c r="A57" s="195" t="s">
        <v>271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row>
    <row r="58" spans="1:72" x14ac:dyDescent="0.25">
      <c r="A58" s="195" t="s">
        <v>272</v>
      </c>
      <c r="B58" s="195">
        <v>0</v>
      </c>
      <c r="C58" s="195">
        <v>0</v>
      </c>
      <c r="D58" s="195">
        <v>0</v>
      </c>
      <c r="E58" s="195">
        <v>0</v>
      </c>
      <c r="F58" s="195">
        <v>0</v>
      </c>
      <c r="G58" s="195">
        <v>0</v>
      </c>
      <c r="H58" s="195">
        <v>0</v>
      </c>
      <c r="I58" s="195">
        <v>0</v>
      </c>
      <c r="J58" s="195">
        <v>0</v>
      </c>
      <c r="K58" s="195">
        <v>0</v>
      </c>
      <c r="L58" s="195">
        <v>0</v>
      </c>
      <c r="M58" s="195">
        <v>0</v>
      </c>
      <c r="N58" s="195">
        <v>0</v>
      </c>
      <c r="O58" s="195">
        <v>0</v>
      </c>
      <c r="P58" s="195">
        <v>0</v>
      </c>
      <c r="Q58" s="195">
        <v>0</v>
      </c>
      <c r="R58" s="195">
        <v>0</v>
      </c>
      <c r="S58" s="195">
        <v>0</v>
      </c>
      <c r="T58" s="195">
        <v>0</v>
      </c>
      <c r="U58" s="195">
        <v>0</v>
      </c>
      <c r="V58" s="195">
        <v>0</v>
      </c>
      <c r="W58" s="195">
        <v>0</v>
      </c>
      <c r="X58" s="195">
        <v>0</v>
      </c>
      <c r="Y58" s="195">
        <v>0</v>
      </c>
      <c r="Z58" s="195">
        <v>0</v>
      </c>
      <c r="AA58" s="195">
        <v>0</v>
      </c>
      <c r="AB58" s="195">
        <v>0</v>
      </c>
      <c r="AC58" s="195">
        <v>0</v>
      </c>
      <c r="AD58" s="195">
        <v>0</v>
      </c>
      <c r="AE58" s="195">
        <v>0</v>
      </c>
      <c r="AF58" s="195">
        <v>0</v>
      </c>
      <c r="AG58" s="195">
        <v>0</v>
      </c>
      <c r="AH58" s="195">
        <v>0</v>
      </c>
      <c r="AI58" s="195">
        <v>0</v>
      </c>
      <c r="AJ58" s="195">
        <v>0</v>
      </c>
      <c r="AK58" s="195">
        <v>0</v>
      </c>
      <c r="AL58" s="195">
        <v>0</v>
      </c>
      <c r="AM58" s="195">
        <v>0</v>
      </c>
      <c r="AN58" s="195">
        <v>0</v>
      </c>
      <c r="AO58" s="195">
        <v>0</v>
      </c>
      <c r="AP58" s="195">
        <v>0</v>
      </c>
      <c r="AQ58" s="195">
        <v>0</v>
      </c>
      <c r="AR58" s="195">
        <v>0</v>
      </c>
      <c r="AS58" s="195">
        <v>0</v>
      </c>
      <c r="AT58" s="195">
        <v>0</v>
      </c>
      <c r="AU58" s="195">
        <v>0</v>
      </c>
      <c r="AV58" s="195">
        <v>0</v>
      </c>
      <c r="AW58" s="195">
        <v>0</v>
      </c>
      <c r="AX58" s="195">
        <v>0</v>
      </c>
      <c r="AY58" s="195">
        <v>0</v>
      </c>
      <c r="AZ58" s="195">
        <v>0</v>
      </c>
      <c r="BA58" s="195">
        <v>0</v>
      </c>
      <c r="BB58" s="195">
        <v>0</v>
      </c>
      <c r="BC58" s="195">
        <v>0</v>
      </c>
      <c r="BD58" s="195">
        <v>0</v>
      </c>
      <c r="BE58" s="195">
        <v>0</v>
      </c>
      <c r="BF58" s="195">
        <v>0</v>
      </c>
      <c r="BG58" s="195">
        <v>0</v>
      </c>
      <c r="BH58" s="195">
        <v>0</v>
      </c>
      <c r="BI58" s="195">
        <v>0</v>
      </c>
      <c r="BJ58" s="195">
        <v>0</v>
      </c>
      <c r="BK58" s="195">
        <v>0</v>
      </c>
      <c r="BL58" s="195">
        <v>0</v>
      </c>
      <c r="BM58" s="195">
        <v>0</v>
      </c>
      <c r="BN58" s="195">
        <v>0</v>
      </c>
      <c r="BO58" s="195">
        <v>0</v>
      </c>
      <c r="BP58" s="195">
        <v>0</v>
      </c>
      <c r="BQ58" s="195">
        <v>0</v>
      </c>
      <c r="BR58" s="195">
        <v>0</v>
      </c>
      <c r="BS58" s="195">
        <v>0</v>
      </c>
      <c r="BT58" s="195">
        <v>0</v>
      </c>
    </row>
    <row r="59" spans="1:72" x14ac:dyDescent="0.25">
      <c r="A59" s="195" t="s">
        <v>197</v>
      </c>
      <c r="B59" s="195">
        <v>0</v>
      </c>
      <c r="C59" s="195">
        <v>474659977.41000003</v>
      </c>
      <c r="D59" s="195">
        <v>0</v>
      </c>
      <c r="E59" s="195">
        <v>836246812.04999995</v>
      </c>
      <c r="F59" s="195">
        <v>0</v>
      </c>
      <c r="G59" s="195">
        <v>421182281.38999999</v>
      </c>
      <c r="H59" s="195">
        <v>0</v>
      </c>
      <c r="I59" s="195">
        <v>975448474.03999996</v>
      </c>
      <c r="J59" s="195">
        <v>0</v>
      </c>
      <c r="K59" s="195">
        <v>435555140.17000002</v>
      </c>
      <c r="L59" s="195">
        <v>0</v>
      </c>
      <c r="M59" s="195">
        <v>694307407.11000001</v>
      </c>
      <c r="N59" s="195">
        <v>0</v>
      </c>
      <c r="O59" s="195">
        <v>348106026.04000002</v>
      </c>
      <c r="P59" s="195">
        <v>0</v>
      </c>
      <c r="Q59" s="195">
        <v>598112155.33000004</v>
      </c>
      <c r="R59" s="195">
        <v>0</v>
      </c>
      <c r="S59" s="195">
        <v>218062329.24000001</v>
      </c>
      <c r="T59" s="195">
        <v>0</v>
      </c>
      <c r="U59" s="195">
        <v>209954790.99000001</v>
      </c>
      <c r="V59" s="195">
        <v>0</v>
      </c>
      <c r="W59" s="195">
        <v>121015124.64</v>
      </c>
      <c r="X59" s="195">
        <v>0</v>
      </c>
      <c r="Y59" s="195">
        <v>271990257.08999997</v>
      </c>
      <c r="Z59" s="195">
        <v>0</v>
      </c>
      <c r="AA59" s="195">
        <v>179825524.22</v>
      </c>
      <c r="AB59" s="195">
        <v>0</v>
      </c>
      <c r="AC59" s="195">
        <v>140218927.96000001</v>
      </c>
      <c r="AD59" s="195">
        <v>0</v>
      </c>
      <c r="AE59" s="195">
        <v>45571651.960000001</v>
      </c>
      <c r="AF59" s="195">
        <v>0</v>
      </c>
      <c r="AG59" s="195">
        <v>13280041.41</v>
      </c>
      <c r="AH59" s="195">
        <v>0</v>
      </c>
      <c r="AI59" s="195">
        <v>51939089</v>
      </c>
      <c r="AJ59" s="195">
        <v>0</v>
      </c>
      <c r="AK59" s="195">
        <v>54803018.520000003</v>
      </c>
      <c r="AL59" s="195">
        <v>0</v>
      </c>
      <c r="AM59" s="195">
        <v>37857713.68</v>
      </c>
      <c r="AN59" s="195">
        <v>0</v>
      </c>
      <c r="AO59" s="195">
        <v>22407645.039999999</v>
      </c>
      <c r="AP59" s="195">
        <v>0</v>
      </c>
      <c r="AQ59" s="195">
        <v>-14009913.27</v>
      </c>
      <c r="AR59" s="195">
        <v>0</v>
      </c>
      <c r="AS59" s="195">
        <v>53813518.409999996</v>
      </c>
      <c r="AT59" s="195">
        <v>0</v>
      </c>
      <c r="AU59" s="195">
        <v>59249023.960000001</v>
      </c>
      <c r="AV59" s="195">
        <v>0</v>
      </c>
      <c r="AW59" s="195">
        <v>42391953.259999998</v>
      </c>
      <c r="AX59" s="195">
        <v>35781326.159999996</v>
      </c>
      <c r="AY59" s="195">
        <v>20844457.379999999</v>
      </c>
      <c r="AZ59" s="195">
        <v>4442014.2300000004</v>
      </c>
      <c r="BA59" s="195">
        <v>8857107.1400000006</v>
      </c>
      <c r="BB59" s="195">
        <v>4710100.42</v>
      </c>
      <c r="BC59" s="195">
        <v>801400</v>
      </c>
      <c r="BD59" s="195">
        <v>801400</v>
      </c>
      <c r="BE59" s="195">
        <v>7696142.46</v>
      </c>
      <c r="BF59" s="195">
        <v>5908669.96</v>
      </c>
      <c r="BG59" s="195">
        <v>1643264.96</v>
      </c>
      <c r="BH59" s="195">
        <v>0</v>
      </c>
      <c r="BI59" s="195">
        <v>258779.38</v>
      </c>
      <c r="BJ59" s="195">
        <v>716906.92</v>
      </c>
      <c r="BK59" s="195">
        <v>130712.93</v>
      </c>
      <c r="BL59" s="195">
        <v>62216.93</v>
      </c>
      <c r="BM59" s="195">
        <v>0</v>
      </c>
      <c r="BN59" s="195">
        <v>0</v>
      </c>
      <c r="BO59" s="195">
        <v>269880.5</v>
      </c>
      <c r="BP59" s="195">
        <v>-1620000</v>
      </c>
      <c r="BQ59" s="195">
        <v>6114872.5</v>
      </c>
      <c r="BR59" s="195">
        <v>0</v>
      </c>
      <c r="BS59" s="195">
        <v>2589207.4500000002</v>
      </c>
      <c r="BT59" s="195">
        <v>0</v>
      </c>
    </row>
    <row r="60" spans="1:72" x14ac:dyDescent="0.25">
      <c r="A60" s="195" t="s">
        <v>273</v>
      </c>
      <c r="B60" s="195">
        <v>0</v>
      </c>
      <c r="C60" s="195">
        <v>-53855509.789999999</v>
      </c>
      <c r="D60" s="195">
        <v>0</v>
      </c>
      <c r="E60" s="195">
        <v>-125557555.26000001</v>
      </c>
      <c r="F60" s="195">
        <v>0</v>
      </c>
      <c r="G60" s="195">
        <v>-55661140.079999998</v>
      </c>
      <c r="H60" s="195">
        <v>0</v>
      </c>
      <c r="I60" s="195">
        <v>-52752991.719999999</v>
      </c>
      <c r="J60" s="195">
        <v>0</v>
      </c>
      <c r="K60" s="195">
        <v>-30474195.829999998</v>
      </c>
      <c r="L60" s="195">
        <v>0</v>
      </c>
      <c r="M60" s="195">
        <v>-3387514.8</v>
      </c>
      <c r="N60" s="195">
        <v>0</v>
      </c>
      <c r="O60" s="195">
        <v>-5310621.29</v>
      </c>
      <c r="P60" s="195">
        <v>0</v>
      </c>
      <c r="Q60" s="195">
        <v>1257102.1200000001</v>
      </c>
      <c r="R60" s="195">
        <v>0</v>
      </c>
      <c r="S60" s="195">
        <v>-1302253.6000000001</v>
      </c>
      <c r="T60" s="195">
        <v>0</v>
      </c>
      <c r="U60" s="195">
        <v>16521156.17</v>
      </c>
      <c r="V60" s="195">
        <v>0</v>
      </c>
      <c r="W60" s="195">
        <v>3742700.15</v>
      </c>
      <c r="X60" s="195">
        <v>0</v>
      </c>
      <c r="Y60" s="195">
        <v>-4372236.96</v>
      </c>
      <c r="Z60" s="195">
        <v>0</v>
      </c>
      <c r="AA60" s="195">
        <v>-4237929.08</v>
      </c>
      <c r="AB60" s="195">
        <v>0</v>
      </c>
      <c r="AC60" s="195">
        <v>-9946689.4299999997</v>
      </c>
      <c r="AD60" s="195">
        <v>0</v>
      </c>
      <c r="AE60" s="195">
        <v>5937068.3200000003</v>
      </c>
      <c r="AF60" s="195">
        <v>0</v>
      </c>
      <c r="AG60" s="195">
        <v>-203411497.43000001</v>
      </c>
      <c r="AH60" s="195">
        <v>0</v>
      </c>
      <c r="AI60" s="195">
        <v>-12974901.699999999</v>
      </c>
      <c r="AJ60" s="195">
        <v>0</v>
      </c>
      <c r="AK60" s="195">
        <v>-23029725.120000001</v>
      </c>
      <c r="AL60" s="195">
        <v>0</v>
      </c>
      <c r="AM60" s="195">
        <v>-9560969.9100000001</v>
      </c>
      <c r="AN60" s="195">
        <v>0</v>
      </c>
      <c r="AO60" s="195">
        <v>-4914187.7699999996</v>
      </c>
      <c r="AP60" s="195">
        <v>0</v>
      </c>
      <c r="AQ60" s="195">
        <v>7876342.54</v>
      </c>
      <c r="AR60" s="195">
        <v>0</v>
      </c>
      <c r="AS60" s="195">
        <v>-148255267.41999999</v>
      </c>
      <c r="AT60" s="195">
        <v>0</v>
      </c>
      <c r="AU60" s="195">
        <v>-7904137.3200000003</v>
      </c>
      <c r="AV60" s="195">
        <v>0</v>
      </c>
      <c r="AW60" s="195">
        <v>-14253690.4</v>
      </c>
      <c r="AX60" s="195">
        <v>-13953701.560000001</v>
      </c>
      <c r="AY60" s="195">
        <v>-13943701.560000001</v>
      </c>
      <c r="AZ60" s="195">
        <v>-6029097.2699999996</v>
      </c>
      <c r="BA60" s="195">
        <v>-3839903.92</v>
      </c>
      <c r="BB60" s="195">
        <v>-1968092.42</v>
      </c>
      <c r="BC60" s="195">
        <v>892725.16</v>
      </c>
      <c r="BD60" s="195">
        <v>162719.66</v>
      </c>
      <c r="BE60" s="195">
        <v>-3510554.85</v>
      </c>
      <c r="BF60" s="195">
        <v>255923.71</v>
      </c>
      <c r="BG60" s="195">
        <v>250667.51</v>
      </c>
      <c r="BH60" s="195">
        <v>-48919.87</v>
      </c>
      <c r="BI60" s="195">
        <v>-946914.2</v>
      </c>
      <c r="BJ60" s="195">
        <v>-98113.99</v>
      </c>
      <c r="BK60" s="195">
        <v>-604187.18999999994</v>
      </c>
      <c r="BL60" s="195">
        <v>-573275.71</v>
      </c>
      <c r="BM60" s="195">
        <v>296138.87</v>
      </c>
      <c r="BN60" s="195">
        <v>-327855.90000000002</v>
      </c>
      <c r="BO60" s="195">
        <v>-1839422.27</v>
      </c>
      <c r="BP60" s="195">
        <v>0</v>
      </c>
      <c r="BQ60" s="195">
        <v>0</v>
      </c>
      <c r="BR60" s="195">
        <v>0</v>
      </c>
      <c r="BS60" s="195">
        <v>0</v>
      </c>
      <c r="BT60" s="195">
        <v>0</v>
      </c>
    </row>
    <row r="61" spans="1:72" x14ac:dyDescent="0.25">
      <c r="A61" s="195" t="s">
        <v>274</v>
      </c>
      <c r="B61" s="195">
        <v>0</v>
      </c>
      <c r="C61" s="195">
        <v>36728648.789999999</v>
      </c>
      <c r="D61" s="195">
        <v>0</v>
      </c>
      <c r="E61" s="195">
        <v>-577733343</v>
      </c>
      <c r="F61" s="195">
        <v>0</v>
      </c>
      <c r="G61" s="195">
        <v>-196560611.36000001</v>
      </c>
      <c r="H61" s="195">
        <v>0</v>
      </c>
      <c r="I61" s="195">
        <v>-114442959.04000001</v>
      </c>
      <c r="J61" s="195">
        <v>0</v>
      </c>
      <c r="K61" s="195">
        <v>-35545613.659999996</v>
      </c>
      <c r="L61" s="195">
        <v>0</v>
      </c>
      <c r="M61" s="195">
        <v>-47978062.850000001</v>
      </c>
      <c r="N61" s="195">
        <v>0</v>
      </c>
      <c r="O61" s="195">
        <v>8716706.8000000007</v>
      </c>
      <c r="P61" s="195">
        <v>0</v>
      </c>
      <c r="Q61" s="195">
        <v>-143538922.99000001</v>
      </c>
      <c r="R61" s="195">
        <v>0</v>
      </c>
      <c r="S61" s="195">
        <v>-45016461.659999996</v>
      </c>
      <c r="T61" s="195">
        <v>0</v>
      </c>
      <c r="U61" s="195">
        <v>-41086708.810000002</v>
      </c>
      <c r="V61" s="195">
        <v>0</v>
      </c>
      <c r="W61" s="195">
        <v>-34399084.130000003</v>
      </c>
      <c r="X61" s="195">
        <v>0</v>
      </c>
      <c r="Y61" s="195">
        <v>-49233859.939999998</v>
      </c>
      <c r="Z61" s="195">
        <v>0</v>
      </c>
      <c r="AA61" s="195">
        <v>1993836.4</v>
      </c>
      <c r="AB61" s="195">
        <v>0</v>
      </c>
      <c r="AC61" s="195">
        <v>-24858892.890000001</v>
      </c>
      <c r="AD61" s="195">
        <v>0</v>
      </c>
      <c r="AE61" s="195">
        <v>-25493894.399999999</v>
      </c>
      <c r="AF61" s="195">
        <v>0</v>
      </c>
      <c r="AG61" s="195">
        <v>9077703.6899999995</v>
      </c>
      <c r="AH61" s="195">
        <v>0</v>
      </c>
      <c r="AI61" s="195">
        <v>9087629.5999999996</v>
      </c>
      <c r="AJ61" s="195">
        <v>0</v>
      </c>
      <c r="AK61" s="195">
        <v>-8719696.1099999994</v>
      </c>
      <c r="AL61" s="195">
        <v>0</v>
      </c>
      <c r="AM61" s="195">
        <v>-8421052.4800000004</v>
      </c>
      <c r="AN61" s="195">
        <v>0</v>
      </c>
      <c r="AO61" s="195">
        <v>18455368.57</v>
      </c>
      <c r="AP61" s="195">
        <v>0</v>
      </c>
      <c r="AQ61" s="195">
        <v>-19002204.710000001</v>
      </c>
      <c r="AR61" s="195">
        <v>0</v>
      </c>
      <c r="AS61" s="195">
        <v>28411334.199999999</v>
      </c>
      <c r="AT61" s="195">
        <v>0</v>
      </c>
      <c r="AU61" s="195">
        <v>-14124322.210000001</v>
      </c>
      <c r="AV61" s="195">
        <v>0</v>
      </c>
      <c r="AW61" s="195">
        <v>0</v>
      </c>
      <c r="AX61" s="195">
        <v>0</v>
      </c>
      <c r="AY61" s="195">
        <v>0</v>
      </c>
      <c r="AZ61" s="195">
        <v>0</v>
      </c>
      <c r="BA61" s="195">
        <v>0</v>
      </c>
      <c r="BB61" s="195">
        <v>0</v>
      </c>
      <c r="BC61" s="195">
        <v>0</v>
      </c>
      <c r="BD61" s="195">
        <v>0</v>
      </c>
      <c r="BE61" s="195">
        <v>0</v>
      </c>
      <c r="BF61" s="195">
        <v>0</v>
      </c>
      <c r="BG61" s="195">
        <v>0</v>
      </c>
      <c r="BH61" s="195">
        <v>0</v>
      </c>
      <c r="BI61" s="195">
        <v>0</v>
      </c>
      <c r="BJ61" s="195">
        <v>0</v>
      </c>
      <c r="BK61" s="195">
        <v>0</v>
      </c>
      <c r="BL61" s="195">
        <v>0</v>
      </c>
      <c r="BM61" s="195">
        <v>0</v>
      </c>
      <c r="BN61" s="195">
        <v>0</v>
      </c>
      <c r="BO61" s="195">
        <v>0</v>
      </c>
      <c r="BP61" s="195">
        <v>0</v>
      </c>
      <c r="BQ61" s="195">
        <v>0</v>
      </c>
      <c r="BR61" s="195">
        <v>0</v>
      </c>
      <c r="BS61" s="195">
        <v>0</v>
      </c>
      <c r="BT61" s="195">
        <v>0</v>
      </c>
    </row>
    <row r="62" spans="1:72" x14ac:dyDescent="0.25">
      <c r="A62" s="195" t="s">
        <v>275</v>
      </c>
      <c r="B62" s="195">
        <v>0</v>
      </c>
      <c r="C62" s="195">
        <v>3623022.46</v>
      </c>
      <c r="D62" s="195">
        <v>0</v>
      </c>
      <c r="E62" s="195">
        <v>-3292378.84</v>
      </c>
      <c r="F62" s="195">
        <v>0</v>
      </c>
      <c r="G62" s="195">
        <v>-1277202.57</v>
      </c>
      <c r="H62" s="195">
        <v>0</v>
      </c>
      <c r="I62" s="195">
        <v>-2514827.13</v>
      </c>
      <c r="J62" s="195">
        <v>0</v>
      </c>
      <c r="K62" s="195">
        <v>-1876501.05</v>
      </c>
      <c r="L62" s="195">
        <v>0</v>
      </c>
      <c r="M62" s="195">
        <v>1199959.9099999999</v>
      </c>
      <c r="N62" s="195">
        <v>0</v>
      </c>
      <c r="O62" s="195">
        <v>-1069078.32</v>
      </c>
      <c r="P62" s="195">
        <v>0</v>
      </c>
      <c r="Q62" s="195">
        <v>-2902030.37</v>
      </c>
      <c r="R62" s="195">
        <v>0</v>
      </c>
      <c r="S62" s="195">
        <v>2961013.19</v>
      </c>
      <c r="T62" s="195">
        <v>0</v>
      </c>
      <c r="U62" s="195">
        <v>2568870.5299999998</v>
      </c>
      <c r="V62" s="195">
        <v>0</v>
      </c>
      <c r="W62" s="195">
        <v>-220880.73</v>
      </c>
      <c r="X62" s="195">
        <v>0</v>
      </c>
      <c r="Y62" s="195">
        <v>-808342.75</v>
      </c>
      <c r="Z62" s="195">
        <v>0</v>
      </c>
      <c r="AA62" s="195">
        <v>99906.71</v>
      </c>
      <c r="AB62" s="195">
        <v>0</v>
      </c>
      <c r="AC62" s="195">
        <v>-507399.44</v>
      </c>
      <c r="AD62" s="195">
        <v>0</v>
      </c>
      <c r="AE62" s="195">
        <v>-432533.3</v>
      </c>
      <c r="AF62" s="195">
        <v>0</v>
      </c>
      <c r="AG62" s="195">
        <v>-914308.03</v>
      </c>
      <c r="AH62" s="195">
        <v>0</v>
      </c>
      <c r="AI62" s="195">
        <v>428504.04</v>
      </c>
      <c r="AJ62" s="195">
        <v>0</v>
      </c>
      <c r="AK62" s="195">
        <v>-270254</v>
      </c>
      <c r="AL62" s="195">
        <v>0</v>
      </c>
      <c r="AM62" s="195">
        <v>-66720</v>
      </c>
      <c r="AN62" s="195">
        <v>0</v>
      </c>
      <c r="AO62" s="195">
        <v>-7527126.0199999996</v>
      </c>
      <c r="AP62" s="195">
        <v>0</v>
      </c>
      <c r="AQ62" s="195">
        <v>-193650.33</v>
      </c>
      <c r="AR62" s="195">
        <v>0</v>
      </c>
      <c r="AS62" s="195">
        <v>-1894812.21</v>
      </c>
      <c r="AT62" s="195">
        <v>0</v>
      </c>
      <c r="AU62" s="195">
        <v>5804153.5599999996</v>
      </c>
      <c r="AV62" s="195">
        <v>0</v>
      </c>
      <c r="AW62" s="195">
        <v>0</v>
      </c>
      <c r="AX62" s="195">
        <v>0</v>
      </c>
      <c r="AY62" s="195">
        <v>0</v>
      </c>
      <c r="AZ62" s="195">
        <v>0</v>
      </c>
      <c r="BA62" s="195">
        <v>0</v>
      </c>
      <c r="BB62" s="195">
        <v>0</v>
      </c>
      <c r="BC62" s="195">
        <v>0</v>
      </c>
      <c r="BD62" s="195">
        <v>0</v>
      </c>
      <c r="BE62" s="195">
        <v>0</v>
      </c>
      <c r="BF62" s="195">
        <v>0</v>
      </c>
      <c r="BG62" s="195">
        <v>0</v>
      </c>
      <c r="BH62" s="195">
        <v>0</v>
      </c>
      <c r="BI62" s="195">
        <v>0</v>
      </c>
      <c r="BJ62" s="195">
        <v>0</v>
      </c>
      <c r="BK62" s="195">
        <v>0</v>
      </c>
      <c r="BL62" s="195">
        <v>0</v>
      </c>
      <c r="BM62" s="195">
        <v>0</v>
      </c>
      <c r="BN62" s="195">
        <v>860.97</v>
      </c>
      <c r="BO62" s="195">
        <v>0</v>
      </c>
      <c r="BP62" s="195">
        <v>0</v>
      </c>
      <c r="BQ62" s="195">
        <v>0</v>
      </c>
      <c r="BR62" s="195">
        <v>0</v>
      </c>
      <c r="BS62" s="195">
        <v>0</v>
      </c>
      <c r="BT62" s="195">
        <v>0</v>
      </c>
    </row>
    <row r="63" spans="1:72" x14ac:dyDescent="0.25">
      <c r="A63" s="195" t="s">
        <v>276</v>
      </c>
      <c r="B63" s="195">
        <v>0</v>
      </c>
      <c r="C63" s="195">
        <v>-412313630.18000001</v>
      </c>
      <c r="D63" s="195">
        <v>0</v>
      </c>
      <c r="E63" s="195">
        <v>-2663155302.0300002</v>
      </c>
      <c r="F63" s="195">
        <v>0</v>
      </c>
      <c r="G63" s="195">
        <v>-1987377639.1600001</v>
      </c>
      <c r="H63" s="195">
        <v>0</v>
      </c>
      <c r="I63" s="195">
        <v>-165241872.47999999</v>
      </c>
      <c r="J63" s="195">
        <v>0</v>
      </c>
      <c r="K63" s="195">
        <v>-566829218.65999997</v>
      </c>
      <c r="L63" s="195">
        <v>0</v>
      </c>
      <c r="M63" s="195">
        <v>-1188361869.1900001</v>
      </c>
      <c r="N63" s="195">
        <v>0</v>
      </c>
      <c r="O63" s="195">
        <v>-689500698.59000003</v>
      </c>
      <c r="P63" s="195">
        <v>0</v>
      </c>
      <c r="Q63" s="195">
        <v>-745905658.17999995</v>
      </c>
      <c r="R63" s="195">
        <v>0</v>
      </c>
      <c r="S63" s="195">
        <v>-698459667.96000004</v>
      </c>
      <c r="T63" s="195">
        <v>0</v>
      </c>
      <c r="U63" s="195">
        <v>-272228261.52999997</v>
      </c>
      <c r="V63" s="195">
        <v>0</v>
      </c>
      <c r="W63" s="195">
        <v>-128984239.64</v>
      </c>
      <c r="X63" s="195">
        <v>0</v>
      </c>
      <c r="Y63" s="195">
        <v>-656984559.23000002</v>
      </c>
      <c r="Z63" s="195">
        <v>0</v>
      </c>
      <c r="AA63" s="195">
        <v>-465772651.11000001</v>
      </c>
      <c r="AB63" s="195">
        <v>0</v>
      </c>
      <c r="AC63" s="195">
        <v>-169549739.94999999</v>
      </c>
      <c r="AD63" s="195">
        <v>0</v>
      </c>
      <c r="AE63" s="195">
        <v>-333578540.24000001</v>
      </c>
      <c r="AF63" s="195">
        <v>0</v>
      </c>
      <c r="AG63" s="195">
        <v>-396850442.63</v>
      </c>
      <c r="AH63" s="195">
        <v>0</v>
      </c>
      <c r="AI63" s="195">
        <v>-316211781.25999999</v>
      </c>
      <c r="AJ63" s="195">
        <v>0</v>
      </c>
      <c r="AK63" s="195">
        <v>-156234230.94</v>
      </c>
      <c r="AL63" s="195">
        <v>0</v>
      </c>
      <c r="AM63" s="195">
        <v>18340240.390000001</v>
      </c>
      <c r="AN63" s="195">
        <v>0</v>
      </c>
      <c r="AO63" s="195">
        <v>48588388.289999999</v>
      </c>
      <c r="AP63" s="195">
        <v>0</v>
      </c>
      <c r="AQ63" s="195">
        <v>-96582262.579999998</v>
      </c>
      <c r="AR63" s="195">
        <v>0</v>
      </c>
      <c r="AS63" s="195">
        <v>-167521180.34</v>
      </c>
      <c r="AT63" s="195">
        <v>0</v>
      </c>
      <c r="AU63" s="195">
        <v>-383808459.85000002</v>
      </c>
      <c r="AV63" s="195">
        <v>0</v>
      </c>
      <c r="AW63" s="195">
        <v>57212816.109999999</v>
      </c>
      <c r="AX63" s="195">
        <v>47405242.909999996</v>
      </c>
      <c r="AY63" s="195">
        <v>23373949.75</v>
      </c>
      <c r="AZ63" s="195">
        <v>-14878376.960000001</v>
      </c>
      <c r="BA63" s="195">
        <v>-189537005.66</v>
      </c>
      <c r="BB63" s="195">
        <v>-97076193.209999993</v>
      </c>
      <c r="BC63" s="195">
        <v>-114497981.01000001</v>
      </c>
      <c r="BD63" s="195">
        <v>-16026370.23</v>
      </c>
      <c r="BE63" s="195">
        <v>-157469008.66999999</v>
      </c>
      <c r="BF63" s="195">
        <v>-66284202.399999999</v>
      </c>
      <c r="BG63" s="195">
        <v>-16358103.35</v>
      </c>
      <c r="BH63" s="195">
        <v>6735851.9800000004</v>
      </c>
      <c r="BI63" s="195">
        <v>-45839141.189999998</v>
      </c>
      <c r="BJ63" s="195">
        <v>22760097.449999999</v>
      </c>
      <c r="BK63" s="195">
        <v>1170852.06</v>
      </c>
      <c r="BL63" s="195">
        <v>-16042702.58</v>
      </c>
      <c r="BM63" s="195">
        <v>-44699119.939999998</v>
      </c>
      <c r="BN63" s="195">
        <v>-57241268.780000001</v>
      </c>
      <c r="BO63" s="195">
        <v>6383536.3300000001</v>
      </c>
      <c r="BP63" s="195">
        <v>-24763756.879999999</v>
      </c>
      <c r="BQ63" s="195">
        <v>-21761071.41</v>
      </c>
      <c r="BR63" s="195">
        <v>-51109086.75</v>
      </c>
      <c r="BS63" s="195">
        <v>-7596699.71</v>
      </c>
      <c r="BT63" s="195">
        <v>0</v>
      </c>
    </row>
    <row r="64" spans="1:72" x14ac:dyDescent="0.25">
      <c r="A64" s="195" t="s">
        <v>277</v>
      </c>
      <c r="B64" s="195">
        <v>0</v>
      </c>
      <c r="C64" s="195">
        <v>275043654.20999998</v>
      </c>
      <c r="D64" s="195">
        <v>0</v>
      </c>
      <c r="E64" s="195">
        <v>-9376824722.7999992</v>
      </c>
      <c r="F64" s="195">
        <v>0</v>
      </c>
      <c r="G64" s="195">
        <v>-7021441695.9099998</v>
      </c>
      <c r="H64" s="195">
        <v>0</v>
      </c>
      <c r="I64" s="195">
        <v>-2816512528.5100002</v>
      </c>
      <c r="J64" s="195">
        <v>0</v>
      </c>
      <c r="K64" s="195">
        <v>-1433671434.6900001</v>
      </c>
      <c r="L64" s="195">
        <v>0</v>
      </c>
      <c r="M64" s="195">
        <v>1227061982.5699999</v>
      </c>
      <c r="N64" s="195">
        <v>0</v>
      </c>
      <c r="O64" s="195">
        <v>402102128.25</v>
      </c>
      <c r="P64" s="195">
        <v>0</v>
      </c>
      <c r="Q64" s="195">
        <v>531164543.25</v>
      </c>
      <c r="R64" s="195">
        <v>0</v>
      </c>
      <c r="S64" s="195">
        <v>-496063184.97000003</v>
      </c>
      <c r="T64" s="195">
        <v>0</v>
      </c>
      <c r="U64" s="195">
        <v>-21679135.530000001</v>
      </c>
      <c r="V64" s="195">
        <v>0</v>
      </c>
      <c r="W64" s="195">
        <v>-938423615.48000002</v>
      </c>
      <c r="X64" s="195">
        <v>0</v>
      </c>
      <c r="Y64" s="195">
        <v>-1467481927.1600001</v>
      </c>
      <c r="Z64" s="195">
        <v>0</v>
      </c>
      <c r="AA64" s="195">
        <v>-474422235.80000001</v>
      </c>
      <c r="AB64" s="195">
        <v>0</v>
      </c>
      <c r="AC64" s="195">
        <v>-1336695095.4200001</v>
      </c>
      <c r="AD64" s="195">
        <v>0</v>
      </c>
      <c r="AE64" s="195">
        <v>-995818184.50999999</v>
      </c>
      <c r="AF64" s="195">
        <v>0</v>
      </c>
      <c r="AG64" s="195">
        <v>-1275346734.6700001</v>
      </c>
      <c r="AH64" s="195">
        <v>0</v>
      </c>
      <c r="AI64" s="195">
        <v>-387530863.88999999</v>
      </c>
      <c r="AJ64" s="195">
        <v>0</v>
      </c>
      <c r="AK64" s="195">
        <v>96150292.599999994</v>
      </c>
      <c r="AL64" s="195">
        <v>0</v>
      </c>
      <c r="AM64" s="195">
        <v>187152314.59</v>
      </c>
      <c r="AN64" s="195">
        <v>0</v>
      </c>
      <c r="AO64" s="195">
        <v>227551903.34</v>
      </c>
      <c r="AP64" s="195">
        <v>0</v>
      </c>
      <c r="AQ64" s="195">
        <v>-493311002.25</v>
      </c>
      <c r="AR64" s="195">
        <v>0</v>
      </c>
      <c r="AS64" s="195">
        <v>-912742732.10000002</v>
      </c>
      <c r="AT64" s="195">
        <v>0</v>
      </c>
      <c r="AU64" s="195">
        <v>-276213355.33999997</v>
      </c>
      <c r="AV64" s="195">
        <v>0</v>
      </c>
      <c r="AW64" s="195">
        <v>-262418208.31999999</v>
      </c>
      <c r="AX64" s="195">
        <v>-318242978.77999997</v>
      </c>
      <c r="AY64" s="195">
        <v>-203116736.56999999</v>
      </c>
      <c r="AZ64" s="195">
        <v>-105736400.92</v>
      </c>
      <c r="BA64" s="195">
        <v>-113151324.93000001</v>
      </c>
      <c r="BB64" s="195">
        <v>-139052665.66999999</v>
      </c>
      <c r="BC64" s="195">
        <v>-96689406.230000004</v>
      </c>
      <c r="BD64" s="195">
        <v>-79722160.030000001</v>
      </c>
      <c r="BE64" s="195">
        <v>-219194279.75999999</v>
      </c>
      <c r="BF64" s="195">
        <v>-187552508</v>
      </c>
      <c r="BG64" s="195">
        <v>-118808835.69</v>
      </c>
      <c r="BH64" s="195">
        <v>-101786761.59</v>
      </c>
      <c r="BI64" s="195">
        <v>16694167.01</v>
      </c>
      <c r="BJ64" s="195">
        <v>-20317138.489999998</v>
      </c>
      <c r="BK64" s="195">
        <v>-104703253.26000001</v>
      </c>
      <c r="BL64" s="195">
        <v>-93302774.010000005</v>
      </c>
      <c r="BM64" s="195">
        <v>-42642665.520000003</v>
      </c>
      <c r="BN64" s="195">
        <v>-51435725.880000003</v>
      </c>
      <c r="BO64" s="195">
        <v>-29741149.920000002</v>
      </c>
      <c r="BP64" s="195">
        <v>-23110412.379999999</v>
      </c>
      <c r="BQ64" s="195">
        <v>-2101423.9300000002</v>
      </c>
      <c r="BR64" s="195">
        <v>-2513824.38</v>
      </c>
      <c r="BS64" s="195">
        <v>-26346871.91</v>
      </c>
      <c r="BT64" s="195">
        <v>0</v>
      </c>
    </row>
    <row r="65" spans="1:72" x14ac:dyDescent="0.25">
      <c r="A65" s="195" t="s">
        <v>278</v>
      </c>
      <c r="B65" s="195">
        <v>0</v>
      </c>
      <c r="C65" s="195">
        <v>-1700481913.25</v>
      </c>
      <c r="D65" s="195">
        <v>0</v>
      </c>
      <c r="E65" s="195">
        <v>5106497377.0799999</v>
      </c>
      <c r="F65" s="195">
        <v>0</v>
      </c>
      <c r="G65" s="195">
        <v>2646129513.96</v>
      </c>
      <c r="H65" s="195">
        <v>0</v>
      </c>
      <c r="I65" s="195">
        <v>2054997134.53</v>
      </c>
      <c r="J65" s="195">
        <v>0</v>
      </c>
      <c r="K65" s="195">
        <v>1958674191.6600001</v>
      </c>
      <c r="L65" s="195">
        <v>0</v>
      </c>
      <c r="M65" s="195">
        <v>-61156183.710000001</v>
      </c>
      <c r="N65" s="195">
        <v>0</v>
      </c>
      <c r="O65" s="195">
        <v>-264487499.94999999</v>
      </c>
      <c r="P65" s="195">
        <v>0</v>
      </c>
      <c r="Q65" s="195">
        <v>-717584265.60000002</v>
      </c>
      <c r="R65" s="195">
        <v>0</v>
      </c>
      <c r="S65" s="195">
        <v>500458105.16000003</v>
      </c>
      <c r="T65" s="195">
        <v>0</v>
      </c>
      <c r="U65" s="195">
        <v>-708102878.30999994</v>
      </c>
      <c r="V65" s="195">
        <v>0</v>
      </c>
      <c r="W65" s="195">
        <v>308108715.44</v>
      </c>
      <c r="X65" s="195">
        <v>0</v>
      </c>
      <c r="Y65" s="195">
        <v>1726848789.25</v>
      </c>
      <c r="Z65" s="195">
        <v>0</v>
      </c>
      <c r="AA65" s="195">
        <v>1008015615.77</v>
      </c>
      <c r="AB65" s="195">
        <v>0</v>
      </c>
      <c r="AC65" s="195">
        <v>334573265.66000003</v>
      </c>
      <c r="AD65" s="195">
        <v>0</v>
      </c>
      <c r="AE65" s="195">
        <v>612709380.02999997</v>
      </c>
      <c r="AF65" s="195">
        <v>0</v>
      </c>
      <c r="AG65" s="195">
        <v>177399363.78</v>
      </c>
      <c r="AH65" s="195">
        <v>0</v>
      </c>
      <c r="AI65" s="195">
        <v>-942019.56</v>
      </c>
      <c r="AJ65" s="195">
        <v>0</v>
      </c>
      <c r="AK65" s="195">
        <v>-82531334.510000005</v>
      </c>
      <c r="AL65" s="195">
        <v>0</v>
      </c>
      <c r="AM65" s="195">
        <v>73358262.489999995</v>
      </c>
      <c r="AN65" s="195">
        <v>0</v>
      </c>
      <c r="AO65" s="195">
        <v>-331167896.77999997</v>
      </c>
      <c r="AP65" s="195">
        <v>0</v>
      </c>
      <c r="AQ65" s="195">
        <v>-60579007.32</v>
      </c>
      <c r="AR65" s="195">
        <v>0</v>
      </c>
      <c r="AS65" s="195">
        <v>469158747.54000002</v>
      </c>
      <c r="AT65" s="195">
        <v>0</v>
      </c>
      <c r="AU65" s="195">
        <v>363206128.83999997</v>
      </c>
      <c r="AV65" s="195">
        <v>0</v>
      </c>
      <c r="AW65" s="195">
        <v>-28737263</v>
      </c>
      <c r="AX65" s="195">
        <v>131580923.76000001</v>
      </c>
      <c r="AY65" s="195">
        <v>106016955.06</v>
      </c>
      <c r="AZ65" s="195">
        <v>-19799019.68</v>
      </c>
      <c r="BA65" s="195">
        <v>412424833.55000001</v>
      </c>
      <c r="BB65" s="195">
        <v>278076328.5</v>
      </c>
      <c r="BC65" s="195">
        <v>172994105.65000001</v>
      </c>
      <c r="BD65" s="195">
        <v>200828978.38999999</v>
      </c>
      <c r="BE65" s="195">
        <v>65559034.689999998</v>
      </c>
      <c r="BF65" s="195">
        <v>157076413.15000001</v>
      </c>
      <c r="BG65" s="195">
        <v>160580092.25</v>
      </c>
      <c r="BH65" s="195">
        <v>57451472.020000003</v>
      </c>
      <c r="BI65" s="195">
        <v>112122905.36</v>
      </c>
      <c r="BJ65" s="195">
        <v>82635365.069999993</v>
      </c>
      <c r="BK65" s="195">
        <v>63833233.759999998</v>
      </c>
      <c r="BL65" s="195">
        <v>63266550.369999997</v>
      </c>
      <c r="BM65" s="195">
        <v>16230505.98</v>
      </c>
      <c r="BN65" s="195">
        <v>-4628057.93</v>
      </c>
      <c r="BO65" s="195">
        <v>-30564577.670000002</v>
      </c>
      <c r="BP65" s="195">
        <v>-1905681.39</v>
      </c>
      <c r="BQ65" s="195">
        <v>15466761.310000001</v>
      </c>
      <c r="BR65" s="195">
        <v>-6629893.7800000003</v>
      </c>
      <c r="BS65" s="195">
        <v>30377842.5</v>
      </c>
      <c r="BT65" s="195">
        <v>0</v>
      </c>
    </row>
    <row r="66" spans="1:72" x14ac:dyDescent="0.25">
      <c r="A66" s="195" t="s">
        <v>279</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0</v>
      </c>
      <c r="T66" s="195">
        <v>0</v>
      </c>
      <c r="U66" s="195">
        <v>0</v>
      </c>
      <c r="V66" s="195">
        <v>0</v>
      </c>
      <c r="W66" s="195">
        <v>0</v>
      </c>
      <c r="X66" s="195">
        <v>0</v>
      </c>
      <c r="Y66" s="195">
        <v>0</v>
      </c>
      <c r="Z66" s="195">
        <v>0</v>
      </c>
      <c r="AA66" s="195">
        <v>0</v>
      </c>
      <c r="AB66" s="195">
        <v>0</v>
      </c>
      <c r="AC66" s="195">
        <v>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row>
    <row r="67" spans="1:72" x14ac:dyDescent="0.25">
      <c r="A67" s="195" t="s">
        <v>280</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row>
    <row r="68" spans="1:72" x14ac:dyDescent="0.25">
      <c r="A68" s="195" t="s">
        <v>281</v>
      </c>
      <c r="B68" s="195">
        <v>0</v>
      </c>
      <c r="C68" s="195">
        <v>0</v>
      </c>
      <c r="D68" s="195">
        <v>0</v>
      </c>
      <c r="E68" s="195">
        <v>0</v>
      </c>
      <c r="F68" s="195">
        <v>0</v>
      </c>
      <c r="G68" s="195">
        <v>0</v>
      </c>
      <c r="H68" s="195">
        <v>0</v>
      </c>
      <c r="I68" s="195">
        <v>0</v>
      </c>
      <c r="J68" s="195">
        <v>0</v>
      </c>
      <c r="K68" s="195">
        <v>0</v>
      </c>
      <c r="L68" s="195">
        <v>0</v>
      </c>
      <c r="M68" s="195">
        <v>0</v>
      </c>
      <c r="N68" s="195">
        <v>0</v>
      </c>
      <c r="O68" s="195">
        <v>0</v>
      </c>
      <c r="P68" s="195">
        <v>0</v>
      </c>
      <c r="Q68" s="195">
        <v>0</v>
      </c>
      <c r="R68" s="195">
        <v>0</v>
      </c>
      <c r="S68" s="195">
        <v>0</v>
      </c>
      <c r="T68" s="195">
        <v>0</v>
      </c>
      <c r="U68" s="195">
        <v>0</v>
      </c>
      <c r="V68" s="195">
        <v>0</v>
      </c>
      <c r="W68" s="195">
        <v>0</v>
      </c>
      <c r="X68" s="195">
        <v>0</v>
      </c>
      <c r="Y68" s="195">
        <v>13029275.859999999</v>
      </c>
      <c r="Z68" s="195">
        <v>0</v>
      </c>
      <c r="AA68" s="195">
        <v>0</v>
      </c>
      <c r="AB68" s="195">
        <v>0</v>
      </c>
      <c r="AC68" s="195">
        <v>-10429275.859999999</v>
      </c>
      <c r="AD68" s="195">
        <v>0</v>
      </c>
      <c r="AE68" s="195">
        <v>-1114412.2</v>
      </c>
      <c r="AF68" s="195">
        <v>0</v>
      </c>
      <c r="AG68" s="195">
        <v>1400000</v>
      </c>
      <c r="AH68" s="195">
        <v>0</v>
      </c>
      <c r="AI68" s="195">
        <v>4000000</v>
      </c>
      <c r="AJ68" s="195">
        <v>0</v>
      </c>
      <c r="AK68" s="195">
        <v>-4000000</v>
      </c>
      <c r="AL68" s="195">
        <v>0</v>
      </c>
      <c r="AM68" s="195">
        <v>0</v>
      </c>
      <c r="AN68" s="195">
        <v>0</v>
      </c>
      <c r="AO68" s="195">
        <v>0</v>
      </c>
      <c r="AP68" s="195">
        <v>0</v>
      </c>
      <c r="AQ68" s="195">
        <v>7883253.71</v>
      </c>
      <c r="AR68" s="195">
        <v>0</v>
      </c>
      <c r="AS68" s="195">
        <v>0</v>
      </c>
      <c r="AT68" s="195">
        <v>0</v>
      </c>
      <c r="AU68" s="195">
        <v>7418791.2000000002</v>
      </c>
      <c r="AV68" s="195">
        <v>0</v>
      </c>
      <c r="AW68" s="195">
        <v>0</v>
      </c>
      <c r="AX68" s="195">
        <v>1291079.5900000001</v>
      </c>
      <c r="AY68" s="195">
        <v>318415.03999999998</v>
      </c>
      <c r="AZ68" s="195">
        <v>317415.03999999998</v>
      </c>
      <c r="BA68" s="195">
        <v>0</v>
      </c>
      <c r="BB68" s="195">
        <v>0</v>
      </c>
      <c r="BC68" s="195">
        <v>0</v>
      </c>
      <c r="BD68" s="195">
        <v>0</v>
      </c>
      <c r="BE68" s="195">
        <v>0</v>
      </c>
      <c r="BF68" s="195">
        <v>0</v>
      </c>
      <c r="BG68" s="195">
        <v>0</v>
      </c>
      <c r="BH68" s="195">
        <v>0</v>
      </c>
      <c r="BI68" s="195">
        <v>0</v>
      </c>
      <c r="BJ68" s="195">
        <v>-259400</v>
      </c>
      <c r="BK68" s="195">
        <v>0</v>
      </c>
      <c r="BL68" s="195">
        <v>-60000</v>
      </c>
      <c r="BM68" s="195">
        <v>0</v>
      </c>
      <c r="BN68" s="195">
        <v>0</v>
      </c>
      <c r="BO68" s="195">
        <v>0</v>
      </c>
      <c r="BP68" s="195">
        <v>-601365.19999999995</v>
      </c>
      <c r="BQ68" s="195">
        <v>0</v>
      </c>
      <c r="BR68" s="195">
        <v>3098134.41</v>
      </c>
      <c r="BS68" s="195">
        <v>42629.13</v>
      </c>
      <c r="BT68" s="195">
        <v>0</v>
      </c>
    </row>
    <row r="69" spans="1:72" x14ac:dyDescent="0.25">
      <c r="A69" s="195" t="s">
        <v>282</v>
      </c>
      <c r="B69" s="195">
        <v>0</v>
      </c>
      <c r="C69" s="195">
        <v>8445172019.4899998</v>
      </c>
      <c r="D69" s="195">
        <v>0</v>
      </c>
      <c r="E69" s="195">
        <v>10212146595.4</v>
      </c>
      <c r="F69" s="195">
        <v>0</v>
      </c>
      <c r="G69" s="195">
        <v>1448528030.7</v>
      </c>
      <c r="H69" s="195">
        <v>0</v>
      </c>
      <c r="I69" s="195">
        <v>7348843878.8299999</v>
      </c>
      <c r="J69" s="195">
        <v>0</v>
      </c>
      <c r="K69" s="195">
        <v>3196955963.5300002</v>
      </c>
      <c r="L69" s="195">
        <v>0</v>
      </c>
      <c r="M69" s="195">
        <v>4602393725.9200001</v>
      </c>
      <c r="N69" s="195">
        <v>0</v>
      </c>
      <c r="O69" s="195">
        <v>1938355948.03</v>
      </c>
      <c r="P69" s="195">
        <v>0</v>
      </c>
      <c r="Q69" s="195">
        <v>4020514862.8299999</v>
      </c>
      <c r="R69" s="195">
        <v>0</v>
      </c>
      <c r="S69" s="195">
        <v>1817062217.95</v>
      </c>
      <c r="T69" s="195">
        <v>0</v>
      </c>
      <c r="U69" s="195">
        <v>3869262970.0700002</v>
      </c>
      <c r="V69" s="195">
        <v>0</v>
      </c>
      <c r="W69" s="195">
        <v>1784057088.8699999</v>
      </c>
      <c r="X69" s="195">
        <v>0</v>
      </c>
      <c r="Y69" s="195">
        <v>3806178738.5300002</v>
      </c>
      <c r="Z69" s="195">
        <v>0</v>
      </c>
      <c r="AA69" s="195">
        <v>1894122384.52</v>
      </c>
      <c r="AB69" s="195">
        <v>0</v>
      </c>
      <c r="AC69" s="195">
        <v>2012433377.9000001</v>
      </c>
      <c r="AD69" s="195">
        <v>0</v>
      </c>
      <c r="AE69" s="195">
        <v>947645195.47000003</v>
      </c>
      <c r="AF69" s="195">
        <v>0</v>
      </c>
      <c r="AG69" s="195">
        <v>413358406.20999998</v>
      </c>
      <c r="AH69" s="195">
        <v>0</v>
      </c>
      <c r="AI69" s="195">
        <v>224549233.96000001</v>
      </c>
      <c r="AJ69" s="195">
        <v>0</v>
      </c>
      <c r="AK69" s="195">
        <v>1454378028.8499999</v>
      </c>
      <c r="AL69" s="195">
        <v>0</v>
      </c>
      <c r="AM69" s="195">
        <v>1037731137.3200001</v>
      </c>
      <c r="AN69" s="195">
        <v>0</v>
      </c>
      <c r="AO69" s="195">
        <v>2000204491.3900001</v>
      </c>
      <c r="AP69" s="195">
        <v>0</v>
      </c>
      <c r="AQ69" s="195">
        <v>477364493.25</v>
      </c>
      <c r="AR69" s="195">
        <v>0</v>
      </c>
      <c r="AS69" s="195">
        <v>1282377054.47</v>
      </c>
      <c r="AT69" s="195">
        <v>0</v>
      </c>
      <c r="AU69" s="195">
        <v>569187150.11000001</v>
      </c>
      <c r="AV69" s="195">
        <v>0</v>
      </c>
      <c r="AW69" s="195">
        <v>932348065.53999996</v>
      </c>
      <c r="AX69" s="195">
        <v>688901516.20000005</v>
      </c>
      <c r="AY69" s="195">
        <v>374889372.88</v>
      </c>
      <c r="AZ69" s="195">
        <v>96915024.75</v>
      </c>
      <c r="BA69" s="195">
        <v>827396286.11000001</v>
      </c>
      <c r="BB69" s="195">
        <v>563138867.80999994</v>
      </c>
      <c r="BC69" s="195">
        <v>307046407.83999997</v>
      </c>
      <c r="BD69" s="195">
        <v>279545545.48000002</v>
      </c>
      <c r="BE69" s="195">
        <v>203227700.44999999</v>
      </c>
      <c r="BF69" s="195">
        <v>284809595.38999999</v>
      </c>
      <c r="BG69" s="195">
        <v>289387069.45999998</v>
      </c>
      <c r="BH69" s="195">
        <v>80152588.599999994</v>
      </c>
      <c r="BI69" s="195">
        <v>374222722.25</v>
      </c>
      <c r="BJ69" s="195">
        <v>316474185.83999997</v>
      </c>
      <c r="BK69" s="195">
        <v>126099964.81999999</v>
      </c>
      <c r="BL69" s="195">
        <v>34925382.18</v>
      </c>
      <c r="BM69" s="195">
        <v>123979697.90000001</v>
      </c>
      <c r="BN69" s="195">
        <v>727757.03</v>
      </c>
      <c r="BO69" s="195">
        <v>84766521.489999995</v>
      </c>
      <c r="BP69" s="195">
        <v>32597122.539999999</v>
      </c>
      <c r="BQ69" s="195">
        <v>84086054.370000005</v>
      </c>
      <c r="BR69" s="195">
        <v>-11879172.720000001</v>
      </c>
      <c r="BS69" s="195">
        <v>54437569.759999998</v>
      </c>
      <c r="BT69" s="195">
        <v>0</v>
      </c>
    </row>
    <row r="70" spans="1:72" x14ac:dyDescent="0.25">
      <c r="A70" s="195" t="s">
        <v>283</v>
      </c>
      <c r="B70" s="195">
        <v>0</v>
      </c>
      <c r="C70" s="195">
        <v>0</v>
      </c>
      <c r="D70" s="195">
        <v>0</v>
      </c>
      <c r="E70" s="195">
        <v>2361084053.4400001</v>
      </c>
      <c r="F70" s="195">
        <v>0</v>
      </c>
      <c r="G70" s="195">
        <v>0</v>
      </c>
      <c r="H70" s="195">
        <v>0</v>
      </c>
      <c r="I70" s="195">
        <v>0</v>
      </c>
      <c r="J70" s="195">
        <v>0</v>
      </c>
      <c r="K70" s="195">
        <v>0</v>
      </c>
      <c r="L70" s="195">
        <v>0</v>
      </c>
      <c r="M70" s="195">
        <v>2507485277.98</v>
      </c>
      <c r="N70" s="195">
        <v>0</v>
      </c>
      <c r="O70" s="195">
        <v>0</v>
      </c>
      <c r="P70" s="195">
        <v>0</v>
      </c>
      <c r="Q70" s="195">
        <v>0</v>
      </c>
      <c r="R70" s="195">
        <v>0</v>
      </c>
      <c r="S70" s="195">
        <v>0</v>
      </c>
      <c r="T70" s="195">
        <v>0</v>
      </c>
      <c r="U70" s="195">
        <v>0</v>
      </c>
      <c r="V70" s="195">
        <v>0</v>
      </c>
      <c r="W70" s="195">
        <v>0</v>
      </c>
      <c r="X70" s="195">
        <v>0</v>
      </c>
      <c r="Y70" s="195">
        <v>0</v>
      </c>
      <c r="Z70" s="195">
        <v>0</v>
      </c>
      <c r="AA70" s="195">
        <v>0</v>
      </c>
      <c r="AB70" s="195">
        <v>0</v>
      </c>
      <c r="AC70" s="195">
        <v>0</v>
      </c>
      <c r="AD70" s="195">
        <v>0</v>
      </c>
      <c r="AE70" s="195">
        <v>0</v>
      </c>
      <c r="AF70" s="195">
        <v>0</v>
      </c>
      <c r="AG70" s="195">
        <v>0</v>
      </c>
      <c r="AH70" s="195">
        <v>0</v>
      </c>
      <c r="AI70" s="195">
        <v>0</v>
      </c>
      <c r="AJ70" s="195">
        <v>0</v>
      </c>
      <c r="AK70" s="195">
        <v>0</v>
      </c>
      <c r="AL70" s="195">
        <v>0</v>
      </c>
      <c r="AM70" s="195">
        <v>0</v>
      </c>
      <c r="AN70" s="195">
        <v>0</v>
      </c>
      <c r="AO70" s="195">
        <v>0</v>
      </c>
      <c r="AP70" s="195">
        <v>0</v>
      </c>
      <c r="AQ70" s="195">
        <v>0</v>
      </c>
      <c r="AR70" s="195">
        <v>0</v>
      </c>
      <c r="AS70" s="195">
        <v>0</v>
      </c>
      <c r="AT70" s="195">
        <v>0</v>
      </c>
      <c r="AU70" s="195">
        <v>0</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row>
    <row r="71" spans="1:72" x14ac:dyDescent="0.25">
      <c r="A71" s="195" t="s">
        <v>284</v>
      </c>
      <c r="B71" s="195">
        <v>0</v>
      </c>
      <c r="C71" s="195">
        <v>0</v>
      </c>
      <c r="D71" s="195">
        <v>0</v>
      </c>
      <c r="E71" s="195">
        <v>0</v>
      </c>
      <c r="F71" s="195">
        <v>0</v>
      </c>
      <c r="G71" s="195">
        <v>0</v>
      </c>
      <c r="H71" s="195">
        <v>0</v>
      </c>
      <c r="I71" s="195">
        <v>0</v>
      </c>
      <c r="J71" s="195">
        <v>0</v>
      </c>
      <c r="K71" s="195">
        <v>0</v>
      </c>
      <c r="L71" s="195">
        <v>0</v>
      </c>
      <c r="M71" s="195">
        <v>0</v>
      </c>
      <c r="N71" s="195">
        <v>0</v>
      </c>
      <c r="O71" s="195">
        <v>0</v>
      </c>
      <c r="P71" s="195">
        <v>0</v>
      </c>
      <c r="Q71" s="195">
        <v>0</v>
      </c>
      <c r="R71" s="195">
        <v>0</v>
      </c>
      <c r="S71" s="195">
        <v>0</v>
      </c>
      <c r="T71" s="195">
        <v>0</v>
      </c>
      <c r="U71" s="195">
        <v>0</v>
      </c>
      <c r="V71" s="195">
        <v>0</v>
      </c>
      <c r="W71" s="195">
        <v>0</v>
      </c>
      <c r="X71" s="195">
        <v>0</v>
      </c>
      <c r="Y71" s="195">
        <v>0</v>
      </c>
      <c r="Z71" s="195">
        <v>0</v>
      </c>
      <c r="AA71" s="195">
        <v>0</v>
      </c>
      <c r="AB71" s="195">
        <v>0</v>
      </c>
      <c r="AC71" s="195">
        <v>0</v>
      </c>
      <c r="AD71" s="195">
        <v>0</v>
      </c>
      <c r="AE71" s="195">
        <v>0</v>
      </c>
      <c r="AF71" s="195">
        <v>0</v>
      </c>
      <c r="AG71" s="195">
        <v>0</v>
      </c>
      <c r="AH71" s="195">
        <v>0</v>
      </c>
      <c r="AI71" s="195">
        <v>0</v>
      </c>
      <c r="AJ71" s="195">
        <v>0</v>
      </c>
      <c r="AK71" s="195">
        <v>0</v>
      </c>
      <c r="AL71" s="195">
        <v>0</v>
      </c>
      <c r="AM71" s="195">
        <v>0</v>
      </c>
      <c r="AN71" s="195">
        <v>0</v>
      </c>
      <c r="AO71" s="195">
        <v>0</v>
      </c>
      <c r="AP71" s="195">
        <v>0</v>
      </c>
      <c r="AQ71" s="195">
        <v>0</v>
      </c>
      <c r="AR71" s="195">
        <v>0</v>
      </c>
      <c r="AS71" s="195">
        <v>0</v>
      </c>
      <c r="AT71" s="195">
        <v>0</v>
      </c>
      <c r="AU71" s="195">
        <v>0</v>
      </c>
      <c r="AV71" s="195">
        <v>0</v>
      </c>
      <c r="AW71" s="195">
        <v>0</v>
      </c>
      <c r="AX71" s="195">
        <v>0</v>
      </c>
      <c r="AY71" s="195">
        <v>0</v>
      </c>
      <c r="AZ71" s="195">
        <v>0</v>
      </c>
      <c r="BA71" s="195">
        <v>0</v>
      </c>
      <c r="BB71" s="195">
        <v>0</v>
      </c>
      <c r="BC71" s="195">
        <v>0</v>
      </c>
      <c r="BD71" s="195">
        <v>0</v>
      </c>
      <c r="BE71" s="195">
        <v>0</v>
      </c>
      <c r="BF71" s="195">
        <v>0</v>
      </c>
      <c r="BG71" s="195">
        <v>0</v>
      </c>
      <c r="BH71" s="195">
        <v>0</v>
      </c>
      <c r="BI71" s="195">
        <v>0</v>
      </c>
      <c r="BJ71" s="195">
        <v>0</v>
      </c>
      <c r="BK71" s="195">
        <v>0</v>
      </c>
      <c r="BL71" s="195">
        <v>0</v>
      </c>
      <c r="BM71" s="195">
        <v>0</v>
      </c>
      <c r="BN71" s="195">
        <v>0</v>
      </c>
      <c r="BO71" s="195">
        <v>0</v>
      </c>
      <c r="BP71" s="195">
        <v>0</v>
      </c>
      <c r="BQ71" s="195">
        <v>0</v>
      </c>
      <c r="BR71" s="195">
        <v>0</v>
      </c>
      <c r="BS71" s="195">
        <v>0</v>
      </c>
      <c r="BT71" s="195">
        <v>0</v>
      </c>
    </row>
    <row r="72" spans="1:72" x14ac:dyDescent="0.25">
      <c r="A72" s="195" t="s">
        <v>285</v>
      </c>
      <c r="B72" s="195">
        <v>0</v>
      </c>
      <c r="C72" s="195">
        <v>0</v>
      </c>
      <c r="D72" s="195">
        <v>0</v>
      </c>
      <c r="E72" s="195">
        <v>0</v>
      </c>
      <c r="F72" s="195">
        <v>0</v>
      </c>
      <c r="G72" s="195">
        <v>0</v>
      </c>
      <c r="H72" s="195">
        <v>0</v>
      </c>
      <c r="I72" s="195">
        <v>0</v>
      </c>
      <c r="J72" s="195">
        <v>0</v>
      </c>
      <c r="K72" s="195">
        <v>0</v>
      </c>
      <c r="L72" s="195">
        <v>0</v>
      </c>
      <c r="M72" s="195">
        <v>0</v>
      </c>
      <c r="N72" s="195">
        <v>0</v>
      </c>
      <c r="O72" s="195">
        <v>0</v>
      </c>
      <c r="P72" s="195">
        <v>0</v>
      </c>
      <c r="Q72" s="195">
        <v>0</v>
      </c>
      <c r="R72" s="195">
        <v>0</v>
      </c>
      <c r="S72" s="195">
        <v>0</v>
      </c>
      <c r="T72" s="195">
        <v>0</v>
      </c>
      <c r="U72" s="195">
        <v>0</v>
      </c>
      <c r="V72" s="195">
        <v>0</v>
      </c>
      <c r="W72" s="195">
        <v>0</v>
      </c>
      <c r="X72" s="195">
        <v>0</v>
      </c>
      <c r="Y72" s="195">
        <v>0</v>
      </c>
      <c r="Z72" s="195">
        <v>0</v>
      </c>
      <c r="AA72" s="195">
        <v>0</v>
      </c>
      <c r="AB72" s="195">
        <v>0</v>
      </c>
      <c r="AC72" s="195">
        <v>0</v>
      </c>
      <c r="AD72" s="195">
        <v>0</v>
      </c>
      <c r="AE72" s="195">
        <v>0</v>
      </c>
      <c r="AF72" s="195">
        <v>0</v>
      </c>
      <c r="AG72" s="195">
        <v>0</v>
      </c>
      <c r="AH72" s="195">
        <v>0</v>
      </c>
      <c r="AI72" s="195">
        <v>0</v>
      </c>
      <c r="AJ72" s="195">
        <v>0</v>
      </c>
      <c r="AK72" s="195">
        <v>0</v>
      </c>
      <c r="AL72" s="195">
        <v>0</v>
      </c>
      <c r="AM72" s="195">
        <v>0</v>
      </c>
      <c r="AN72" s="195">
        <v>0</v>
      </c>
      <c r="AO72" s="195">
        <v>0</v>
      </c>
      <c r="AP72" s="195">
        <v>0</v>
      </c>
      <c r="AQ72" s="195">
        <v>0</v>
      </c>
      <c r="AR72" s="195">
        <v>0</v>
      </c>
      <c r="AS72" s="195">
        <v>0</v>
      </c>
      <c r="AT72" s="195">
        <v>0</v>
      </c>
      <c r="AU72" s="195">
        <v>0</v>
      </c>
      <c r="AV72" s="195">
        <v>0</v>
      </c>
      <c r="AW72" s="195">
        <v>0</v>
      </c>
      <c r="AX72" s="195">
        <v>0</v>
      </c>
      <c r="AY72" s="195">
        <v>0</v>
      </c>
      <c r="AZ72" s="195">
        <v>0</v>
      </c>
      <c r="BA72" s="195">
        <v>0</v>
      </c>
      <c r="BB72" s="195">
        <v>0</v>
      </c>
      <c r="BC72" s="195">
        <v>0</v>
      </c>
      <c r="BD72" s="195">
        <v>0</v>
      </c>
      <c r="BE72" s="195">
        <v>0</v>
      </c>
      <c r="BF72" s="195">
        <v>0</v>
      </c>
      <c r="BG72" s="195">
        <v>0</v>
      </c>
      <c r="BH72" s="195">
        <v>0</v>
      </c>
      <c r="BI72" s="195">
        <v>0</v>
      </c>
      <c r="BJ72" s="195">
        <v>0</v>
      </c>
      <c r="BK72" s="195">
        <v>0</v>
      </c>
      <c r="BL72" s="195">
        <v>0</v>
      </c>
      <c r="BM72" s="195">
        <v>0</v>
      </c>
      <c r="BN72" s="195">
        <v>0</v>
      </c>
      <c r="BO72" s="195">
        <v>0</v>
      </c>
      <c r="BP72" s="195">
        <v>0</v>
      </c>
      <c r="BQ72" s="195">
        <v>0</v>
      </c>
      <c r="BR72" s="195">
        <v>0</v>
      </c>
      <c r="BS72" s="195">
        <v>0</v>
      </c>
      <c r="BT72" s="195">
        <v>0</v>
      </c>
    </row>
    <row r="73" spans="1:72" x14ac:dyDescent="0.25">
      <c r="A73" s="195" t="s">
        <v>286</v>
      </c>
      <c r="B73" s="195">
        <v>0</v>
      </c>
      <c r="C73" s="195">
        <v>2880981582.0599999</v>
      </c>
      <c r="D73" s="195">
        <v>0</v>
      </c>
      <c r="E73" s="195">
        <v>3046303365.52</v>
      </c>
      <c r="F73" s="195">
        <v>0</v>
      </c>
      <c r="G73" s="195">
        <v>2343916303.1399999</v>
      </c>
      <c r="H73" s="195">
        <v>0</v>
      </c>
      <c r="I73" s="195">
        <v>1962848541.01</v>
      </c>
      <c r="J73" s="195">
        <v>0</v>
      </c>
      <c r="K73" s="195">
        <v>1945770342.22</v>
      </c>
      <c r="L73" s="195">
        <v>0</v>
      </c>
      <c r="M73" s="195">
        <v>2062291762.97</v>
      </c>
      <c r="N73" s="195">
        <v>0</v>
      </c>
      <c r="O73" s="195">
        <v>981402510.79999995</v>
      </c>
      <c r="P73" s="195">
        <v>0</v>
      </c>
      <c r="Q73" s="195">
        <v>994630106.63999999</v>
      </c>
      <c r="R73" s="195">
        <v>0</v>
      </c>
      <c r="S73" s="195">
        <v>1652807276.3199999</v>
      </c>
      <c r="T73" s="195">
        <v>0</v>
      </c>
      <c r="U73" s="195">
        <v>988922382.28999996</v>
      </c>
      <c r="V73" s="195">
        <v>0</v>
      </c>
      <c r="W73" s="195">
        <v>1189764969.95</v>
      </c>
      <c r="X73" s="195">
        <v>0</v>
      </c>
      <c r="Y73" s="195">
        <v>1372606853.48</v>
      </c>
      <c r="Z73" s="195">
        <v>0</v>
      </c>
      <c r="AA73" s="195">
        <v>702282351.38999999</v>
      </c>
      <c r="AB73" s="195">
        <v>0</v>
      </c>
      <c r="AC73" s="195">
        <v>1775829234.21</v>
      </c>
      <c r="AD73" s="195">
        <v>0</v>
      </c>
      <c r="AE73" s="195">
        <v>1136401751.8199999</v>
      </c>
      <c r="AF73" s="195">
        <v>1496942880.1600001</v>
      </c>
      <c r="AG73" s="195">
        <v>895318953.54999995</v>
      </c>
      <c r="AH73" s="195">
        <v>668303425.91999996</v>
      </c>
      <c r="AI73" s="195">
        <v>588605969.63</v>
      </c>
      <c r="AJ73" s="195">
        <v>742478427.16999996</v>
      </c>
      <c r="AK73" s="195">
        <v>346425995.49000001</v>
      </c>
      <c r="AL73" s="195">
        <v>1730812401.04</v>
      </c>
      <c r="AM73" s="195">
        <v>2256342309.7199998</v>
      </c>
      <c r="AN73" s="195">
        <v>2564915545.71</v>
      </c>
      <c r="AO73" s="195">
        <v>1271602517.04</v>
      </c>
      <c r="AP73" s="195">
        <v>629236293.90999997</v>
      </c>
      <c r="AQ73" s="195">
        <v>599296571.35000002</v>
      </c>
      <c r="AR73" s="195">
        <v>1019351457.5</v>
      </c>
      <c r="AS73" s="195">
        <v>1370119677.8199999</v>
      </c>
      <c r="AT73" s="195">
        <v>1301810278.25</v>
      </c>
      <c r="AU73" s="195">
        <v>772388793.17999995</v>
      </c>
      <c r="AV73" s="195">
        <v>321224042.85000002</v>
      </c>
      <c r="AW73" s="195">
        <v>228329878.63999999</v>
      </c>
      <c r="AX73" s="195">
        <v>351478891.17000002</v>
      </c>
      <c r="AY73" s="195">
        <v>258872618.34</v>
      </c>
      <c r="AZ73" s="195">
        <v>229687538.43000001</v>
      </c>
      <c r="BA73" s="195">
        <v>193116521.43000001</v>
      </c>
      <c r="BB73" s="195">
        <v>373886789.20999998</v>
      </c>
      <c r="BC73" s="195">
        <v>443417432.31999999</v>
      </c>
      <c r="BD73" s="195">
        <v>643545190.89999998</v>
      </c>
      <c r="BE73" s="195">
        <v>376490210.14999998</v>
      </c>
      <c r="BF73" s="195">
        <v>434558474.47000003</v>
      </c>
      <c r="BG73" s="195">
        <v>584618485.17999995</v>
      </c>
      <c r="BH73" s="195">
        <v>260233614.96000001</v>
      </c>
      <c r="BI73" s="195">
        <v>255106314.28999999</v>
      </c>
      <c r="BJ73" s="195">
        <v>343198258.20999998</v>
      </c>
      <c r="BK73" s="195">
        <v>118498245.09</v>
      </c>
      <c r="BL73" s="195">
        <v>157915179.77000001</v>
      </c>
      <c r="BM73" s="195">
        <v>147937875.21000001</v>
      </c>
      <c r="BN73" s="195">
        <v>79437057.549999997</v>
      </c>
      <c r="BO73" s="195">
        <v>175295229.28999999</v>
      </c>
      <c r="BP73" s="195">
        <v>208355541.52000001</v>
      </c>
      <c r="BQ73" s="195">
        <v>440998601.41000003</v>
      </c>
      <c r="BR73" s="195">
        <v>18487747.129999999</v>
      </c>
      <c r="BS73" s="195">
        <v>31873298.43</v>
      </c>
      <c r="BT73" s="195">
        <v>0</v>
      </c>
    </row>
    <row r="74" spans="1:72" x14ac:dyDescent="0.25">
      <c r="A74" s="195" t="s">
        <v>287</v>
      </c>
      <c r="B74" s="195">
        <v>0</v>
      </c>
      <c r="C74" s="195">
        <v>3046303365.52</v>
      </c>
      <c r="D74" s="195">
        <v>0</v>
      </c>
      <c r="E74" s="195">
        <v>1962848541.01</v>
      </c>
      <c r="F74" s="195">
        <v>0</v>
      </c>
      <c r="G74" s="195">
        <v>1962848541.01</v>
      </c>
      <c r="H74" s="195">
        <v>0</v>
      </c>
      <c r="I74" s="195">
        <v>2062291762.97</v>
      </c>
      <c r="J74" s="195">
        <v>0</v>
      </c>
      <c r="K74" s="195">
        <v>2062291762.97</v>
      </c>
      <c r="L74" s="195">
        <v>0</v>
      </c>
      <c r="M74" s="195">
        <v>994630106.63999999</v>
      </c>
      <c r="N74" s="195">
        <v>0</v>
      </c>
      <c r="O74" s="195">
        <v>994630106.63999999</v>
      </c>
      <c r="P74" s="195">
        <v>0</v>
      </c>
      <c r="Q74" s="195">
        <v>988922382.28999996</v>
      </c>
      <c r="R74" s="195">
        <v>0</v>
      </c>
      <c r="S74" s="195">
        <v>988922382.28999996</v>
      </c>
      <c r="T74" s="195">
        <v>0</v>
      </c>
      <c r="U74" s="195">
        <v>1372606853.48</v>
      </c>
      <c r="V74" s="195">
        <v>0</v>
      </c>
      <c r="W74" s="195">
        <v>1372606853.48</v>
      </c>
      <c r="X74" s="195">
        <v>0</v>
      </c>
      <c r="Y74" s="195">
        <v>1775829234.21</v>
      </c>
      <c r="Z74" s="195">
        <v>0</v>
      </c>
      <c r="AA74" s="195">
        <v>1775829234.21</v>
      </c>
      <c r="AB74" s="195">
        <v>0</v>
      </c>
      <c r="AC74" s="195">
        <v>895318953.54999995</v>
      </c>
      <c r="AD74" s="195">
        <v>0</v>
      </c>
      <c r="AE74" s="195">
        <v>895318953.54999995</v>
      </c>
      <c r="AF74" s="195">
        <v>895318953.54999995</v>
      </c>
      <c r="AG74" s="195">
        <v>346425995.49000001</v>
      </c>
      <c r="AH74" s="195">
        <v>346425995.49000001</v>
      </c>
      <c r="AI74" s="195">
        <v>346425995.49000001</v>
      </c>
      <c r="AJ74" s="195">
        <v>346425995.49000001</v>
      </c>
      <c r="AK74" s="195">
        <v>1271602517.04</v>
      </c>
      <c r="AL74" s="195">
        <v>1271602517.04</v>
      </c>
      <c r="AM74" s="195">
        <v>1271602517.04</v>
      </c>
      <c r="AN74" s="195">
        <v>1271101086.4400001</v>
      </c>
      <c r="AO74" s="195">
        <v>1370119677.8199999</v>
      </c>
      <c r="AP74" s="195">
        <v>1370119677.8199999</v>
      </c>
      <c r="AQ74" s="195">
        <v>1370119677.8199999</v>
      </c>
      <c r="AR74" s="195">
        <v>1370119677.8199999</v>
      </c>
      <c r="AS74" s="195">
        <v>228329878.63999999</v>
      </c>
      <c r="AT74" s="195">
        <v>228329878.63999999</v>
      </c>
      <c r="AU74" s="195">
        <v>228329878.63999999</v>
      </c>
      <c r="AV74" s="195">
        <v>228329878.63999999</v>
      </c>
      <c r="AW74" s="195">
        <v>193116521.43000001</v>
      </c>
      <c r="AX74" s="195">
        <v>193116521.43000001</v>
      </c>
      <c r="AY74" s="195">
        <v>193116521.43000001</v>
      </c>
      <c r="AZ74" s="195">
        <v>193116521.43000001</v>
      </c>
      <c r="BA74" s="195">
        <v>376490210.14999998</v>
      </c>
      <c r="BB74" s="195">
        <v>376490210.14999998</v>
      </c>
      <c r="BC74" s="195">
        <v>376490210.14999998</v>
      </c>
      <c r="BD74" s="195">
        <v>376490210.14999998</v>
      </c>
      <c r="BE74" s="195">
        <v>255106314.28999999</v>
      </c>
      <c r="BF74" s="195">
        <v>255106314.28999999</v>
      </c>
      <c r="BG74" s="195">
        <v>255106314.28999999</v>
      </c>
      <c r="BH74" s="195">
        <v>255106314.28999999</v>
      </c>
      <c r="BI74" s="195">
        <v>147937875.21000001</v>
      </c>
      <c r="BJ74" s="195">
        <v>147937875.21000001</v>
      </c>
      <c r="BK74" s="195">
        <v>147937875.21000001</v>
      </c>
      <c r="BL74" s="195">
        <v>147937875.21000001</v>
      </c>
      <c r="BM74" s="195">
        <v>175295229.28999999</v>
      </c>
      <c r="BN74" s="195">
        <v>175295229.28999999</v>
      </c>
      <c r="BO74" s="195">
        <v>440998601.41000003</v>
      </c>
      <c r="BP74" s="195">
        <v>440998601.41000003</v>
      </c>
      <c r="BQ74" s="195">
        <v>31873298.43</v>
      </c>
      <c r="BR74" s="195">
        <v>31873298.43</v>
      </c>
      <c r="BS74" s="195">
        <v>11065911.380000001</v>
      </c>
      <c r="BT74" s="195">
        <v>0</v>
      </c>
    </row>
    <row r="75" spans="1:72" x14ac:dyDescent="0.25">
      <c r="A75" s="195" t="s">
        <v>288</v>
      </c>
      <c r="B75" s="195">
        <v>0</v>
      </c>
      <c r="C75" s="195">
        <v>0</v>
      </c>
      <c r="D75" s="195">
        <v>0</v>
      </c>
      <c r="E75" s="195">
        <v>0</v>
      </c>
      <c r="F75" s="195">
        <v>0</v>
      </c>
      <c r="G75" s="195">
        <v>0</v>
      </c>
      <c r="H75" s="195">
        <v>0</v>
      </c>
      <c r="I75" s="195">
        <v>0</v>
      </c>
      <c r="J75" s="195">
        <v>0</v>
      </c>
      <c r="K75" s="195">
        <v>0</v>
      </c>
      <c r="L75" s="195">
        <v>0</v>
      </c>
      <c r="M75" s="195">
        <v>0</v>
      </c>
      <c r="N75" s="195">
        <v>0</v>
      </c>
      <c r="O75" s="195">
        <v>0</v>
      </c>
      <c r="P75" s="195">
        <v>0</v>
      </c>
      <c r="Q75" s="195">
        <v>0</v>
      </c>
      <c r="R75" s="195">
        <v>0</v>
      </c>
      <c r="S75" s="195">
        <v>0</v>
      </c>
      <c r="T75" s="195">
        <v>0</v>
      </c>
      <c r="U75" s="195">
        <v>0</v>
      </c>
      <c r="V75" s="195">
        <v>0</v>
      </c>
      <c r="W75" s="195">
        <v>0</v>
      </c>
      <c r="X75" s="195">
        <v>0</v>
      </c>
      <c r="Y75" s="195">
        <v>0</v>
      </c>
      <c r="Z75" s="195">
        <v>0</v>
      </c>
      <c r="AA75" s="195">
        <v>0</v>
      </c>
      <c r="AB75" s="195">
        <v>0</v>
      </c>
      <c r="AC75" s="195">
        <v>0</v>
      </c>
      <c r="AD75" s="195">
        <v>0</v>
      </c>
      <c r="AE75" s="195">
        <v>0</v>
      </c>
      <c r="AF75" s="195">
        <v>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row>
    <row r="76" spans="1:72" x14ac:dyDescent="0.25">
      <c r="A76" s="195" t="s">
        <v>289</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row>
    <row r="77" spans="1:72" x14ac:dyDescent="0.25">
      <c r="A77" s="195" t="s">
        <v>290</v>
      </c>
      <c r="B77" s="195">
        <v>0</v>
      </c>
      <c r="C77" s="195">
        <v>-165321783.46000001</v>
      </c>
      <c r="D77" s="195">
        <v>0</v>
      </c>
      <c r="E77" s="195">
        <v>1083454824.51</v>
      </c>
      <c r="F77" s="195">
        <v>0</v>
      </c>
      <c r="G77" s="195">
        <v>381067762.13</v>
      </c>
      <c r="H77" s="195">
        <v>0</v>
      </c>
      <c r="I77" s="195">
        <v>-99443221.959999993</v>
      </c>
      <c r="J77" s="195">
        <v>0</v>
      </c>
      <c r="K77" s="195">
        <v>-116521420.75</v>
      </c>
      <c r="L77" s="195">
        <v>0</v>
      </c>
      <c r="M77" s="195">
        <v>1067661656.33</v>
      </c>
      <c r="N77" s="195">
        <v>0</v>
      </c>
      <c r="O77" s="195">
        <v>-13227595.84</v>
      </c>
      <c r="P77" s="195">
        <v>0</v>
      </c>
      <c r="Q77" s="195">
        <v>5707724.3499999996</v>
      </c>
      <c r="R77" s="195">
        <v>0</v>
      </c>
      <c r="S77" s="195">
        <v>663884894.02999997</v>
      </c>
      <c r="T77" s="195">
        <v>0</v>
      </c>
      <c r="U77" s="195">
        <v>-383684471.19</v>
      </c>
      <c r="V77" s="195">
        <v>0</v>
      </c>
      <c r="W77" s="195">
        <v>-182841883.53</v>
      </c>
      <c r="X77" s="195">
        <v>0</v>
      </c>
      <c r="Y77" s="195">
        <v>-403222380.73000002</v>
      </c>
      <c r="Z77" s="195">
        <v>0</v>
      </c>
      <c r="AA77" s="195">
        <v>-1073546882.8200001</v>
      </c>
      <c r="AB77" s="195">
        <v>0</v>
      </c>
      <c r="AC77" s="195">
        <v>880510280.65999997</v>
      </c>
      <c r="AD77" s="195">
        <v>0</v>
      </c>
      <c r="AE77" s="195">
        <v>241082798.27000001</v>
      </c>
      <c r="AF77" s="195">
        <v>601623926.61000001</v>
      </c>
      <c r="AG77" s="195">
        <v>548892958.05999994</v>
      </c>
      <c r="AH77" s="195">
        <v>321877430.43000001</v>
      </c>
      <c r="AI77" s="195">
        <v>242179974.13999999</v>
      </c>
      <c r="AJ77" s="195">
        <v>396052431.68000001</v>
      </c>
      <c r="AK77" s="195">
        <v>-925176521.54999995</v>
      </c>
      <c r="AL77" s="195">
        <v>459209884</v>
      </c>
      <c r="AM77" s="195">
        <v>984739792.67999995</v>
      </c>
      <c r="AN77" s="195">
        <v>1293814459.27</v>
      </c>
      <c r="AO77" s="195">
        <v>-98517160.780000001</v>
      </c>
      <c r="AP77" s="195">
        <v>-740883383.90999997</v>
      </c>
      <c r="AQ77" s="195">
        <v>-770823106.47000003</v>
      </c>
      <c r="AR77" s="195">
        <v>-350768220.31999999</v>
      </c>
      <c r="AS77" s="195">
        <v>1141789799.1800001</v>
      </c>
      <c r="AT77" s="195">
        <v>1073480399.61</v>
      </c>
      <c r="AU77" s="195">
        <v>544058914.53999996</v>
      </c>
      <c r="AV77" s="195">
        <v>92894164.209999993</v>
      </c>
      <c r="AW77" s="195">
        <v>35213357.210000001</v>
      </c>
      <c r="AX77" s="195">
        <v>158362369.74000001</v>
      </c>
      <c r="AY77" s="195">
        <v>65756096.909999996</v>
      </c>
      <c r="AZ77" s="195">
        <v>36571017</v>
      </c>
      <c r="BA77" s="195">
        <v>-183373688.72</v>
      </c>
      <c r="BB77" s="195">
        <v>-2603420.94</v>
      </c>
      <c r="BC77" s="195">
        <v>66927222.170000002</v>
      </c>
      <c r="BD77" s="195">
        <v>267054980.75</v>
      </c>
      <c r="BE77" s="195">
        <v>121383895.86</v>
      </c>
      <c r="BF77" s="195">
        <v>179452160.18000001</v>
      </c>
      <c r="BG77" s="195">
        <v>329512170.88999999</v>
      </c>
      <c r="BH77" s="195">
        <v>5127300.67</v>
      </c>
      <c r="BI77" s="195">
        <v>107168439.08</v>
      </c>
      <c r="BJ77" s="195">
        <v>195260383</v>
      </c>
      <c r="BK77" s="195">
        <v>-29439630.120000001</v>
      </c>
      <c r="BL77" s="195">
        <v>9977304.5600000005</v>
      </c>
      <c r="BM77" s="195">
        <v>-27357354.079999998</v>
      </c>
      <c r="BN77" s="195">
        <v>-95858171.739999995</v>
      </c>
      <c r="BO77" s="195">
        <v>-265703372.12</v>
      </c>
      <c r="BP77" s="195">
        <v>-232643059.88999999</v>
      </c>
      <c r="BQ77" s="195">
        <v>409125302.98000002</v>
      </c>
      <c r="BR77" s="195">
        <v>-13385551.300000001</v>
      </c>
      <c r="BS77" s="195">
        <v>20807387.050000001</v>
      </c>
      <c r="BT77" s="195">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21.44140625" hidden="1" customWidth="1"/>
    <col min="53" max="53" width="21.44140625" bestFit="1" customWidth="1"/>
    <col min="54" max="56" width="21.44140625" hidden="1" customWidth="1"/>
    <col min="57" max="57" width="21.44140625" bestFit="1" customWidth="1"/>
    <col min="58" max="60" width="19.33203125" hidden="1" customWidth="1"/>
    <col min="61" max="61" width="19.33203125" bestFit="1" customWidth="1"/>
    <col min="62" max="62" width="19.33203125" hidden="1" customWidth="1"/>
    <col min="63" max="64" width="17.77734375" hidden="1" customWidth="1"/>
    <col min="65" max="65" width="17.77734375" bestFit="1" customWidth="1"/>
    <col min="66" max="66" width="17.77734375" hidden="1" customWidth="1"/>
    <col min="67" max="68" width="17.21875" hidden="1" customWidth="1"/>
    <col min="69" max="69" width="17.21875" bestFit="1" customWidth="1"/>
    <col min="70" max="71" width="17.21875" hidden="1" customWidth="1"/>
    <col min="72" max="72" width="17.77734375" bestFit="1" customWidth="1"/>
    <col min="73" max="73" width="17.77734375" hidden="1" customWidth="1"/>
    <col min="74" max="76" width="17.77734375" bestFit="1" customWidth="1"/>
    <col min="77" max="77" width="9.5546875" hidden="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c r="BZ4" s="40"/>
      <c r="CA4" s="40"/>
      <c r="CB4" s="40"/>
      <c r="CC4" s="40"/>
      <c r="CD4" s="40"/>
      <c r="CE4" s="40"/>
      <c r="CF4" s="40"/>
      <c r="CG4" s="40"/>
      <c r="CH4" s="40"/>
      <c r="CI4" s="40"/>
      <c r="CJ4" s="40"/>
      <c r="CK4" s="40"/>
      <c r="CL4" s="40"/>
    </row>
    <row r="5" spans="1:90" x14ac:dyDescent="0.25">
      <c r="A5" s="17" t="s">
        <v>2</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c r="BZ5" s="40"/>
      <c r="CA5" s="40"/>
      <c r="CB5" s="40"/>
      <c r="CC5" s="40"/>
      <c r="CD5" s="40"/>
      <c r="CE5" s="40"/>
      <c r="CF5" s="40"/>
      <c r="CG5" s="40"/>
      <c r="CH5" s="40"/>
      <c r="CI5" s="40"/>
      <c r="CJ5" s="40"/>
      <c r="CK5" s="40"/>
      <c r="CL5" s="40"/>
    </row>
    <row r="6" spans="1:90" x14ac:dyDescent="0.25">
      <c r="A6" s="17" t="s">
        <v>13</v>
      </c>
      <c r="B6" s="195">
        <v>15127273.560000001</v>
      </c>
      <c r="C6" s="195">
        <v>15127273.560000001</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c r="BZ6" s="40"/>
      <c r="CA6" s="40"/>
      <c r="CB6" s="40"/>
      <c r="CC6" s="40"/>
      <c r="CD6" s="40"/>
      <c r="CE6" s="40"/>
      <c r="CF6" s="40"/>
      <c r="CG6" s="40"/>
      <c r="CH6" s="40"/>
      <c r="CI6" s="40"/>
      <c r="CJ6" s="40"/>
      <c r="CK6" s="40"/>
      <c r="CL6" s="40"/>
    </row>
    <row r="7" spans="1:90" x14ac:dyDescent="0.25">
      <c r="A7" s="17" t="s">
        <v>4</v>
      </c>
      <c r="B7" s="195">
        <v>0</v>
      </c>
      <c r="C7" s="195">
        <v>0</v>
      </c>
      <c r="D7" s="195">
        <v>0</v>
      </c>
      <c r="E7" s="195">
        <v>0</v>
      </c>
      <c r="F7" s="195">
        <v>0</v>
      </c>
      <c r="G7" s="195">
        <v>0</v>
      </c>
      <c r="H7" s="195">
        <v>0</v>
      </c>
      <c r="I7" s="195">
        <v>0</v>
      </c>
      <c r="J7" s="195">
        <v>0</v>
      </c>
      <c r="K7" s="195">
        <v>0</v>
      </c>
      <c r="L7" s="195">
        <v>0</v>
      </c>
      <c r="M7" s="195">
        <v>0</v>
      </c>
      <c r="N7" s="195">
        <v>0</v>
      </c>
      <c r="O7" s="195">
        <v>0</v>
      </c>
      <c r="P7" s="195">
        <v>0</v>
      </c>
      <c r="Q7" s="195">
        <v>0</v>
      </c>
      <c r="R7" s="195">
        <v>0</v>
      </c>
      <c r="S7" s="195">
        <v>0</v>
      </c>
      <c r="T7" s="195">
        <v>0</v>
      </c>
      <c r="U7" s="195">
        <v>0</v>
      </c>
      <c r="V7" s="195">
        <v>0</v>
      </c>
      <c r="W7" s="195">
        <v>0</v>
      </c>
      <c r="X7" s="195">
        <v>0</v>
      </c>
      <c r="Y7" s="195">
        <v>0</v>
      </c>
      <c r="Z7" s="195">
        <v>0</v>
      </c>
      <c r="AA7" s="195">
        <v>0</v>
      </c>
      <c r="AB7" s="195">
        <v>0</v>
      </c>
      <c r="AC7" s="195">
        <v>0</v>
      </c>
      <c r="AD7" s="195">
        <v>0</v>
      </c>
      <c r="AE7" s="195">
        <v>0</v>
      </c>
      <c r="AF7" s="195">
        <v>0</v>
      </c>
      <c r="AG7" s="195">
        <v>0</v>
      </c>
      <c r="AH7" s="195">
        <v>0</v>
      </c>
      <c r="AI7" s="195">
        <v>0</v>
      </c>
      <c r="AJ7" s="195">
        <v>0</v>
      </c>
      <c r="AK7" s="195">
        <v>0</v>
      </c>
      <c r="AL7" s="195">
        <v>0</v>
      </c>
      <c r="AM7" s="195">
        <v>0</v>
      </c>
      <c r="AN7" s="195">
        <v>0</v>
      </c>
      <c r="AO7" s="195">
        <v>0</v>
      </c>
      <c r="AP7" s="195">
        <v>0</v>
      </c>
      <c r="AQ7" s="195">
        <v>0</v>
      </c>
      <c r="AR7" s="195">
        <v>0</v>
      </c>
      <c r="AS7" s="195">
        <v>0</v>
      </c>
      <c r="AT7" s="195">
        <v>0</v>
      </c>
      <c r="AU7" s="195">
        <v>0</v>
      </c>
      <c r="AV7" s="195">
        <v>0</v>
      </c>
      <c r="AW7" s="195">
        <v>0</v>
      </c>
      <c r="AX7" s="195">
        <v>0</v>
      </c>
      <c r="AY7" s="195">
        <v>0</v>
      </c>
      <c r="AZ7" s="195">
        <v>0</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c r="BU7" s="195">
        <v>0</v>
      </c>
      <c r="BV7" s="195">
        <v>0</v>
      </c>
      <c r="BW7" s="195">
        <v>0</v>
      </c>
      <c r="BX7" s="195">
        <v>0</v>
      </c>
      <c r="BY7" s="195">
        <v>0</v>
      </c>
      <c r="BZ7" s="40"/>
      <c r="CA7" s="40"/>
      <c r="CB7" s="40"/>
      <c r="CC7" s="40"/>
      <c r="CD7" s="40"/>
      <c r="CE7" s="40"/>
      <c r="CF7" s="40"/>
      <c r="CG7" s="40"/>
      <c r="CH7" s="40"/>
      <c r="CI7" s="40"/>
      <c r="CJ7" s="40"/>
      <c r="CK7" s="40"/>
      <c r="CL7" s="40"/>
    </row>
    <row r="8" spans="1:90" x14ac:dyDescent="0.25">
      <c r="A8" s="17" t="s">
        <v>5</v>
      </c>
      <c r="B8" s="195">
        <v>20000000</v>
      </c>
      <c r="C8" s="195">
        <v>20000000</v>
      </c>
      <c r="D8" s="195">
        <v>20000000</v>
      </c>
      <c r="E8" s="195">
        <v>20000000</v>
      </c>
      <c r="F8" s="195">
        <v>20000000</v>
      </c>
      <c r="G8" s="195">
        <v>20000000</v>
      </c>
      <c r="H8" s="195">
        <v>20000000</v>
      </c>
      <c r="I8" s="195">
        <v>20000000</v>
      </c>
      <c r="J8" s="195">
        <v>20000000</v>
      </c>
      <c r="K8" s="195">
        <v>20000000</v>
      </c>
      <c r="L8" s="195">
        <v>20000000</v>
      </c>
      <c r="M8" s="195">
        <v>20000000</v>
      </c>
      <c r="N8" s="195">
        <v>20000000</v>
      </c>
      <c r="O8" s="195">
        <v>20000000</v>
      </c>
      <c r="P8" s="195">
        <v>20000000</v>
      </c>
      <c r="Q8" s="195">
        <v>20000000</v>
      </c>
      <c r="R8" s="195">
        <v>73350314</v>
      </c>
      <c r="S8" s="195">
        <v>85808000</v>
      </c>
      <c r="T8" s="195">
        <v>76136000</v>
      </c>
      <c r="U8" s="195">
        <v>76260000</v>
      </c>
      <c r="V8" s="195">
        <v>80362400</v>
      </c>
      <c r="W8" s="195">
        <v>75759600</v>
      </c>
      <c r="X8" s="195">
        <v>87950800</v>
      </c>
      <c r="Y8" s="195">
        <v>80735600</v>
      </c>
      <c r="Z8" s="195">
        <v>83472400</v>
      </c>
      <c r="AA8" s="195">
        <v>95166000</v>
      </c>
      <c r="AB8" s="195">
        <v>101012800</v>
      </c>
      <c r="AC8" s="195">
        <v>98151600</v>
      </c>
      <c r="AD8" s="195">
        <v>111213600</v>
      </c>
      <c r="AE8" s="195">
        <v>137586400</v>
      </c>
      <c r="AF8" s="195">
        <v>156614200</v>
      </c>
      <c r="AG8" s="195">
        <v>173550000</v>
      </c>
      <c r="AH8" s="195">
        <v>154180000</v>
      </c>
      <c r="AI8" s="195">
        <v>115050000</v>
      </c>
      <c r="AJ8" s="195">
        <v>137700000</v>
      </c>
      <c r="AK8" s="195">
        <v>0</v>
      </c>
      <c r="AL8" s="195">
        <v>0</v>
      </c>
      <c r="AM8" s="195">
        <v>0</v>
      </c>
      <c r="AN8" s="195">
        <v>0</v>
      </c>
      <c r="AO8" s="195">
        <v>0</v>
      </c>
      <c r="AP8" s="195">
        <v>0</v>
      </c>
      <c r="AQ8" s="195">
        <v>0</v>
      </c>
      <c r="AR8" s="195">
        <v>0</v>
      </c>
      <c r="AS8" s="195">
        <v>0</v>
      </c>
      <c r="AT8" s="195">
        <v>0</v>
      </c>
      <c r="AU8" s="195">
        <v>0</v>
      </c>
      <c r="AV8" s="195">
        <v>0</v>
      </c>
      <c r="AW8" s="195">
        <v>0</v>
      </c>
      <c r="AX8" s="195">
        <v>0</v>
      </c>
      <c r="AY8" s="195">
        <v>0</v>
      </c>
      <c r="AZ8" s="195">
        <v>0</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c r="BU8" s="195">
        <v>0</v>
      </c>
      <c r="BV8" s="195">
        <v>0</v>
      </c>
      <c r="BW8" s="195">
        <v>0</v>
      </c>
      <c r="BX8" s="195">
        <v>0</v>
      </c>
      <c r="BY8" s="195">
        <v>0</v>
      </c>
      <c r="BZ8" s="40"/>
      <c r="CA8" s="40"/>
      <c r="CB8" s="40"/>
      <c r="CC8" s="40"/>
      <c r="CD8" s="40"/>
      <c r="CE8" s="40"/>
      <c r="CF8" s="40"/>
      <c r="CG8" s="40"/>
      <c r="CH8" s="40"/>
      <c r="CI8" s="40"/>
      <c r="CJ8" s="40"/>
      <c r="CK8" s="40"/>
      <c r="CL8" s="40"/>
    </row>
    <row r="9" spans="1:90" x14ac:dyDescent="0.25">
      <c r="A9" s="17" t="s">
        <v>6</v>
      </c>
      <c r="B9" s="195">
        <v>0</v>
      </c>
      <c r="C9" s="195">
        <v>0</v>
      </c>
      <c r="D9" s="195">
        <v>0</v>
      </c>
      <c r="E9" s="195">
        <v>0</v>
      </c>
      <c r="F9" s="195">
        <v>0</v>
      </c>
      <c r="G9" s="195">
        <v>0</v>
      </c>
      <c r="H9" s="195">
        <v>0</v>
      </c>
      <c r="I9" s="195">
        <v>0</v>
      </c>
      <c r="J9" s="195">
        <v>0</v>
      </c>
      <c r="K9" s="195">
        <v>0</v>
      </c>
      <c r="L9" s="195">
        <v>0</v>
      </c>
      <c r="M9" s="195">
        <v>0</v>
      </c>
      <c r="N9" s="195">
        <v>0</v>
      </c>
      <c r="O9" s="195">
        <v>0</v>
      </c>
      <c r="P9" s="195">
        <v>0</v>
      </c>
      <c r="Q9" s="195">
        <v>0</v>
      </c>
      <c r="R9" s="195">
        <v>0</v>
      </c>
      <c r="S9" s="195">
        <v>0</v>
      </c>
      <c r="T9" s="195">
        <v>0</v>
      </c>
      <c r="U9" s="195">
        <v>0</v>
      </c>
      <c r="V9" s="195">
        <v>0</v>
      </c>
      <c r="W9" s="195">
        <v>0</v>
      </c>
      <c r="X9" s="195">
        <v>0</v>
      </c>
      <c r="Y9" s="195">
        <v>0</v>
      </c>
      <c r="Z9" s="195">
        <v>0</v>
      </c>
      <c r="AA9" s="195">
        <v>0</v>
      </c>
      <c r="AB9" s="195">
        <v>0</v>
      </c>
      <c r="AC9" s="195">
        <v>0</v>
      </c>
      <c r="AD9" s="195">
        <v>0</v>
      </c>
      <c r="AE9" s="195">
        <v>0</v>
      </c>
      <c r="AF9" s="195">
        <v>0</v>
      </c>
      <c r="AG9" s="195">
        <v>0</v>
      </c>
      <c r="AH9" s="195">
        <v>0</v>
      </c>
      <c r="AI9" s="195">
        <v>0</v>
      </c>
      <c r="AJ9" s="195">
        <v>0</v>
      </c>
      <c r="AK9" s="195">
        <v>0</v>
      </c>
      <c r="AL9" s="195">
        <v>0</v>
      </c>
      <c r="AM9" s="195">
        <v>0</v>
      </c>
      <c r="AN9" s="195">
        <v>0</v>
      </c>
      <c r="AO9" s="195">
        <v>0</v>
      </c>
      <c r="AP9" s="195">
        <v>0</v>
      </c>
      <c r="AQ9" s="195">
        <v>0</v>
      </c>
      <c r="AR9" s="195">
        <v>0</v>
      </c>
      <c r="AS9" s="195">
        <v>0</v>
      </c>
      <c r="AT9" s="195">
        <v>0</v>
      </c>
      <c r="AU9" s="195">
        <v>0</v>
      </c>
      <c r="AV9" s="195">
        <v>0</v>
      </c>
      <c r="AW9" s="195">
        <v>0</v>
      </c>
      <c r="AX9" s="195">
        <v>0</v>
      </c>
      <c r="AY9" s="195">
        <v>0</v>
      </c>
      <c r="AZ9" s="195">
        <v>0</v>
      </c>
      <c r="BA9" s="195">
        <v>0</v>
      </c>
      <c r="BB9" s="195">
        <v>0</v>
      </c>
      <c r="BC9" s="195">
        <v>0</v>
      </c>
      <c r="BD9" s="195">
        <v>0</v>
      </c>
      <c r="BE9" s="195">
        <v>0</v>
      </c>
      <c r="BF9" s="195">
        <v>0</v>
      </c>
      <c r="BG9" s="195">
        <v>0</v>
      </c>
      <c r="BH9" s="195">
        <v>0</v>
      </c>
      <c r="BI9" s="195">
        <v>0</v>
      </c>
      <c r="BJ9" s="195">
        <v>0</v>
      </c>
      <c r="BK9" s="195">
        <v>0</v>
      </c>
      <c r="BL9" s="195">
        <v>0</v>
      </c>
      <c r="BM9" s="195">
        <v>0</v>
      </c>
      <c r="BN9" s="195">
        <v>0</v>
      </c>
      <c r="BO9" s="195">
        <v>0</v>
      </c>
      <c r="BP9" s="195">
        <v>0</v>
      </c>
      <c r="BQ9" s="195">
        <v>0</v>
      </c>
      <c r="BR9" s="195">
        <v>0</v>
      </c>
      <c r="BS9" s="195">
        <v>0</v>
      </c>
      <c r="BT9" s="195">
        <v>0</v>
      </c>
      <c r="BU9" s="195">
        <v>0</v>
      </c>
      <c r="BV9" s="195">
        <v>0</v>
      </c>
      <c r="BW9" s="195">
        <v>0</v>
      </c>
      <c r="BX9" s="195">
        <v>0</v>
      </c>
      <c r="BY9" s="195">
        <v>0</v>
      </c>
      <c r="BZ9" s="40"/>
      <c r="CA9" s="40"/>
      <c r="CB9" s="40"/>
      <c r="CC9" s="40"/>
      <c r="CD9" s="40"/>
      <c r="CE9" s="40"/>
      <c r="CF9" s="40"/>
      <c r="CG9" s="40"/>
      <c r="CH9" s="40"/>
      <c r="CI9" s="40"/>
      <c r="CJ9" s="40"/>
      <c r="CK9" s="40"/>
      <c r="CL9" s="40"/>
    </row>
    <row r="10" spans="1:90" x14ac:dyDescent="0.25">
      <c r="A10" s="19" t="s">
        <v>7</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c r="BZ10" s="40"/>
      <c r="CA10" s="40"/>
      <c r="CB10" s="40"/>
      <c r="CC10" s="40"/>
      <c r="CD10" s="40"/>
      <c r="CE10" s="40"/>
      <c r="CF10" s="40"/>
      <c r="CG10" s="40"/>
      <c r="CH10" s="40"/>
      <c r="CI10" s="40"/>
      <c r="CJ10" s="40"/>
      <c r="CK10" s="40"/>
      <c r="CL10" s="40"/>
    </row>
    <row r="11" spans="1:90" x14ac:dyDescent="0.25">
      <c r="A11" s="17" t="s">
        <v>8</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c r="BZ11" s="40"/>
      <c r="CA11" s="40"/>
      <c r="CB11" s="40"/>
      <c r="CC11" s="40"/>
      <c r="CD11" s="40"/>
      <c r="CE11" s="40"/>
      <c r="CF11" s="40"/>
      <c r="CG11" s="40"/>
      <c r="CH11" s="40"/>
      <c r="CI11" s="40"/>
      <c r="CJ11" s="40"/>
      <c r="CK11" s="40"/>
      <c r="CL11" s="40"/>
    </row>
    <row r="12" spans="1:90" x14ac:dyDescent="0.25">
      <c r="A12" s="17" t="s">
        <v>9</v>
      </c>
      <c r="B12" s="195">
        <v>0</v>
      </c>
      <c r="C12" s="195">
        <v>0</v>
      </c>
      <c r="D12" s="195">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5">
        <v>0</v>
      </c>
      <c r="W12" s="195">
        <v>0</v>
      </c>
      <c r="X12" s="195">
        <v>0</v>
      </c>
      <c r="Y12" s="195">
        <v>0</v>
      </c>
      <c r="Z12" s="195">
        <v>0</v>
      </c>
      <c r="AA12" s="195">
        <v>0</v>
      </c>
      <c r="AB12" s="195">
        <v>0</v>
      </c>
      <c r="AC12" s="195">
        <v>0</v>
      </c>
      <c r="AD12" s="195">
        <v>0</v>
      </c>
      <c r="AE12" s="195">
        <v>0</v>
      </c>
      <c r="AF12" s="195">
        <v>0</v>
      </c>
      <c r="AG12" s="195">
        <v>0</v>
      </c>
      <c r="AH12" s="195">
        <v>0</v>
      </c>
      <c r="AI12" s="195">
        <v>0</v>
      </c>
      <c r="AJ12" s="195">
        <v>0</v>
      </c>
      <c r="AK12" s="195">
        <v>0</v>
      </c>
      <c r="AL12" s="195">
        <v>0</v>
      </c>
      <c r="AM12" s="195">
        <v>0</v>
      </c>
      <c r="AN12" s="195">
        <v>0</v>
      </c>
      <c r="AO12" s="195">
        <v>0</v>
      </c>
      <c r="AP12" s="195">
        <v>0</v>
      </c>
      <c r="AQ12" s="195">
        <v>0</v>
      </c>
      <c r="AR12" s="195">
        <v>0</v>
      </c>
      <c r="AS12" s="195">
        <v>0</v>
      </c>
      <c r="AT12" s="195">
        <v>0</v>
      </c>
      <c r="AU12" s="195">
        <v>0</v>
      </c>
      <c r="AV12" s="195">
        <v>0</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c r="BZ12" s="40"/>
      <c r="CA12" s="40"/>
      <c r="CB12" s="40"/>
      <c r="CC12" s="40"/>
      <c r="CD12" s="40"/>
      <c r="CE12" s="40"/>
      <c r="CF12" s="40"/>
      <c r="CG12" s="40"/>
      <c r="CH12" s="40"/>
      <c r="CI12" s="40"/>
      <c r="CJ12" s="40"/>
      <c r="CK12" s="40"/>
      <c r="CL12" s="40"/>
    </row>
    <row r="13" spans="1:90" x14ac:dyDescent="0.25">
      <c r="A13" s="17" t="s">
        <v>10</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4406307109.3500004</v>
      </c>
      <c r="C17" s="33">
        <f t="shared" ref="C17:BN17" si="0">SUM(C4:C13)</f>
        <v>2930861525.96</v>
      </c>
      <c r="D17" s="33">
        <f t="shared" si="0"/>
        <v>2732698058.0500002</v>
      </c>
      <c r="E17" s="33">
        <f t="shared" si="0"/>
        <v>3082974654.1799998</v>
      </c>
      <c r="F17" s="33">
        <f t="shared" si="0"/>
        <v>2774797102.4400001</v>
      </c>
      <c r="G17" s="33">
        <f t="shared" si="0"/>
        <v>2413037124.25</v>
      </c>
      <c r="H17" s="33">
        <f t="shared" si="0"/>
        <v>3018524978.0999999</v>
      </c>
      <c r="I17" s="33">
        <f t="shared" si="0"/>
        <v>2006803439.1900001</v>
      </c>
      <c r="J17" s="33">
        <f t="shared" si="0"/>
        <v>2450345859.8299999</v>
      </c>
      <c r="K17" s="33">
        <f t="shared" si="0"/>
        <v>1980750668.1900001</v>
      </c>
      <c r="L17" s="33">
        <f t="shared" si="0"/>
        <v>2560873154.1500001</v>
      </c>
      <c r="M17" s="33">
        <f t="shared" si="0"/>
        <v>2086361762.97</v>
      </c>
      <c r="N17" s="33">
        <f t="shared" si="0"/>
        <v>1295053147.9300001</v>
      </c>
      <c r="O17" s="33">
        <f t="shared" si="0"/>
        <v>1077010529.8699999</v>
      </c>
      <c r="P17" s="33">
        <f t="shared" si="0"/>
        <v>1193649598.96</v>
      </c>
      <c r="Q17" s="33">
        <f t="shared" si="0"/>
        <v>1052235238.01</v>
      </c>
      <c r="R17" s="33">
        <f t="shared" si="0"/>
        <v>1112477936.96</v>
      </c>
      <c r="S17" s="33">
        <f t="shared" si="0"/>
        <v>1738615276.3199999</v>
      </c>
      <c r="T17" s="33">
        <f t="shared" si="0"/>
        <v>1733239725.05</v>
      </c>
      <c r="U17" s="33">
        <f t="shared" si="0"/>
        <v>1065182382.29</v>
      </c>
      <c r="V17" s="33">
        <f t="shared" si="0"/>
        <v>1147001980.8299999</v>
      </c>
      <c r="W17" s="33">
        <f t="shared" si="0"/>
        <v>1476191069.95</v>
      </c>
      <c r="X17" s="33">
        <f t="shared" si="0"/>
        <v>1912137275.99</v>
      </c>
      <c r="Y17" s="33">
        <f t="shared" si="0"/>
        <v>1481246941.1800001</v>
      </c>
      <c r="Z17" s="33">
        <f t="shared" si="0"/>
        <v>618164410.21000004</v>
      </c>
      <c r="AA17" s="33">
        <f t="shared" si="0"/>
        <v>825454040.50999999</v>
      </c>
      <c r="AB17" s="33">
        <f t="shared" si="0"/>
        <v>1379366488.8800001</v>
      </c>
      <c r="AC17" s="33">
        <f t="shared" si="0"/>
        <v>1912246999.96</v>
      </c>
      <c r="AD17" s="33">
        <f t="shared" si="0"/>
        <v>789220917.44000006</v>
      </c>
      <c r="AE17" s="33">
        <f t="shared" si="0"/>
        <v>1313623838.04</v>
      </c>
      <c r="AF17" s="33">
        <f t="shared" si="0"/>
        <v>1694630766.6800001</v>
      </c>
      <c r="AG17" s="33">
        <f t="shared" si="0"/>
        <v>1111080540.1500001</v>
      </c>
      <c r="AH17" s="33">
        <f t="shared" si="0"/>
        <v>864133411.05999994</v>
      </c>
      <c r="AI17" s="33">
        <f t="shared" si="0"/>
        <v>739865397.36000001</v>
      </c>
      <c r="AJ17" s="33">
        <f t="shared" si="0"/>
        <v>1146944429.9400001</v>
      </c>
      <c r="AK17" s="33">
        <f t="shared" si="0"/>
        <v>1234629727.6500001</v>
      </c>
      <c r="AL17" s="33">
        <f t="shared" si="0"/>
        <v>1748838379.75</v>
      </c>
      <c r="AM17" s="33">
        <f t="shared" si="0"/>
        <v>2256342309.7199998</v>
      </c>
      <c r="AN17" s="33">
        <f t="shared" si="0"/>
        <v>2572933186.6399999</v>
      </c>
      <c r="AO17" s="33">
        <f t="shared" si="0"/>
        <v>1276618727.3699999</v>
      </c>
      <c r="AP17" s="33">
        <f t="shared" si="0"/>
        <v>629236293.90999997</v>
      </c>
      <c r="AQ17" s="33">
        <f t="shared" si="0"/>
        <v>599296571.35000002</v>
      </c>
      <c r="AR17" s="33">
        <f t="shared" si="0"/>
        <v>1067880744.47</v>
      </c>
      <c r="AS17" s="33">
        <f t="shared" si="0"/>
        <v>1429453629.1199999</v>
      </c>
      <c r="AT17" s="33">
        <f t="shared" si="0"/>
        <v>1413103676.4000001</v>
      </c>
      <c r="AU17" s="33">
        <f t="shared" si="0"/>
        <v>850706200.61999989</v>
      </c>
      <c r="AV17" s="33">
        <f t="shared" si="0"/>
        <v>389709284.85000002</v>
      </c>
      <c r="AW17" s="33">
        <f t="shared" si="0"/>
        <v>288932115.06</v>
      </c>
      <c r="AX17" s="33">
        <f t="shared" si="0"/>
        <v>411777255.02000004</v>
      </c>
      <c r="AY17" s="33">
        <f t="shared" si="0"/>
        <v>319700643.26999998</v>
      </c>
      <c r="AZ17" s="33">
        <f t="shared" si="0"/>
        <v>293064125.69999999</v>
      </c>
      <c r="BA17" s="33">
        <f t="shared" si="0"/>
        <v>251540912.70000002</v>
      </c>
      <c r="BB17" s="33">
        <f t="shared" si="0"/>
        <v>431045267.72999996</v>
      </c>
      <c r="BC17" s="33">
        <f t="shared" si="0"/>
        <v>499065860.57999998</v>
      </c>
      <c r="BD17" s="33">
        <f t="shared" si="0"/>
        <v>666105084.45999992</v>
      </c>
      <c r="BE17" s="33">
        <f t="shared" si="0"/>
        <v>434663772.16999996</v>
      </c>
      <c r="BF17" s="33">
        <f t="shared" si="0"/>
        <v>490894508.71000004</v>
      </c>
      <c r="BG17" s="33">
        <f t="shared" si="0"/>
        <v>636959775.61999989</v>
      </c>
      <c r="BH17" s="33">
        <f t="shared" si="0"/>
        <v>313761458.63999999</v>
      </c>
      <c r="BI17" s="33">
        <f t="shared" si="0"/>
        <v>308489187.57999998</v>
      </c>
      <c r="BJ17" s="33">
        <f t="shared" si="0"/>
        <v>355729931.28999996</v>
      </c>
      <c r="BK17" s="33">
        <f t="shared" si="0"/>
        <v>131810060.37</v>
      </c>
      <c r="BL17" s="33">
        <f t="shared" si="0"/>
        <v>167272296.07000002</v>
      </c>
      <c r="BM17" s="33">
        <f t="shared" si="0"/>
        <v>101170759.5</v>
      </c>
      <c r="BN17" s="33">
        <f t="shared" si="0"/>
        <v>147230532.29000002</v>
      </c>
      <c r="BO17" s="33">
        <f t="shared" ref="BO17:CK17" si="1">SUM(BO4:BO13)</f>
        <v>89244892.909999996</v>
      </c>
      <c r="BP17" s="33">
        <f t="shared" si="1"/>
        <v>155303334.25999999</v>
      </c>
      <c r="BQ17" s="33">
        <f t="shared" si="1"/>
        <v>188487236.29999998</v>
      </c>
      <c r="BR17" s="33">
        <f t="shared" si="1"/>
        <v>0</v>
      </c>
      <c r="BS17" s="33">
        <f t="shared" si="1"/>
        <v>264300102.33000001</v>
      </c>
      <c r="BT17" s="33">
        <f t="shared" si="1"/>
        <v>440998601.41000003</v>
      </c>
      <c r="BU17" s="33">
        <f t="shared" si="1"/>
        <v>18487747.129999999</v>
      </c>
      <c r="BV17" s="33">
        <f t="shared" si="1"/>
        <v>31873298.43</v>
      </c>
      <c r="BW17" s="33">
        <f t="shared" si="1"/>
        <v>11065911.380000001</v>
      </c>
      <c r="BX17" s="33">
        <f t="shared" si="1"/>
        <v>5415168.2800000003</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5">
        <v>627787416.82000005</v>
      </c>
      <c r="C19" s="195">
        <v>658990960.12</v>
      </c>
      <c r="D19" s="195">
        <v>701222267.13</v>
      </c>
      <c r="E19" s="195">
        <v>525628774</v>
      </c>
      <c r="F19" s="195">
        <v>439010990.86000001</v>
      </c>
      <c r="G19" s="195">
        <v>423076239.13999999</v>
      </c>
      <c r="H19" s="195">
        <v>396232805.06</v>
      </c>
      <c r="I19" s="195">
        <v>363304422.54000002</v>
      </c>
      <c r="J19" s="195">
        <v>347165066.92000002</v>
      </c>
      <c r="K19" s="195">
        <v>201712355.12</v>
      </c>
      <c r="L19" s="195">
        <v>199866279.61000001</v>
      </c>
      <c r="M19" s="195">
        <v>186128063.15000001</v>
      </c>
      <c r="N19" s="195">
        <v>183238489.38999999</v>
      </c>
      <c r="O19" s="195">
        <v>88134046.409999996</v>
      </c>
      <c r="P19" s="195">
        <v>87541640.599999994</v>
      </c>
      <c r="Q19" s="195">
        <v>88740045.579999998</v>
      </c>
      <c r="R19" s="195">
        <v>89817551.180000007</v>
      </c>
      <c r="S19" s="195">
        <v>110355302.09999999</v>
      </c>
      <c r="T19" s="195">
        <v>111075030.09</v>
      </c>
      <c r="U19" s="195">
        <v>112053048.5</v>
      </c>
      <c r="V19" s="195">
        <v>104246705.63</v>
      </c>
      <c r="W19" s="195">
        <v>104731368.75</v>
      </c>
      <c r="X19" s="195">
        <v>104890278.81</v>
      </c>
      <c r="Y19" s="195">
        <v>45173453.939999998</v>
      </c>
      <c r="Z19" s="195">
        <v>39587265.560000002</v>
      </c>
      <c r="AA19" s="195">
        <v>39578345.979999997</v>
      </c>
      <c r="AB19" s="195">
        <v>25083465.170000002</v>
      </c>
      <c r="AC19" s="195">
        <v>25094416.899999999</v>
      </c>
      <c r="AD19" s="195">
        <v>20000000</v>
      </c>
      <c r="AE19" s="195">
        <v>20000000</v>
      </c>
      <c r="AF19" s="195">
        <v>20000000</v>
      </c>
      <c r="AG19" s="195">
        <v>20000000</v>
      </c>
      <c r="AH19" s="195">
        <v>185003873.38999999</v>
      </c>
      <c r="AI19" s="195">
        <v>182955373.99000001</v>
      </c>
      <c r="AJ19" s="195">
        <v>177840883.44</v>
      </c>
      <c r="AK19" s="195">
        <v>198825804.06</v>
      </c>
      <c r="AL19" s="195">
        <v>194442897.80000001</v>
      </c>
      <c r="AM19" s="195">
        <v>190877112.00999999</v>
      </c>
      <c r="AN19" s="195">
        <v>185825567.81999999</v>
      </c>
      <c r="AO19" s="195">
        <v>185339348.78999999</v>
      </c>
      <c r="AP19" s="195">
        <v>185205086.97</v>
      </c>
      <c r="AQ19" s="195">
        <v>34700000</v>
      </c>
      <c r="AR19" s="195">
        <v>97100000</v>
      </c>
      <c r="AS19" s="195">
        <v>34700000</v>
      </c>
      <c r="AT19" s="195">
        <v>34700000</v>
      </c>
      <c r="AU19" s="195">
        <v>54700000</v>
      </c>
      <c r="AV19" s="195">
        <v>54700000</v>
      </c>
      <c r="AW19" s="195">
        <v>54700000</v>
      </c>
      <c r="AX19" s="195">
        <v>34700000</v>
      </c>
      <c r="AY19" s="195">
        <v>34700000</v>
      </c>
      <c r="AZ19" s="195">
        <v>34700000</v>
      </c>
      <c r="BA19" s="195">
        <v>34700000</v>
      </c>
      <c r="BB19" s="195">
        <v>34700000</v>
      </c>
      <c r="BC19" s="195">
        <v>34700000</v>
      </c>
      <c r="BD19" s="195">
        <v>20000000</v>
      </c>
      <c r="BE19" s="195">
        <v>20000000</v>
      </c>
      <c r="BF19" s="195">
        <v>20000000</v>
      </c>
      <c r="BG19" s="195">
        <v>20000000</v>
      </c>
      <c r="BH19" s="195">
        <v>20000000</v>
      </c>
      <c r="BI19" s="195">
        <v>20000000</v>
      </c>
      <c r="BJ19" s="195">
        <v>20000000</v>
      </c>
      <c r="BK19" s="195">
        <v>20000000</v>
      </c>
      <c r="BL19" s="195">
        <v>20000000</v>
      </c>
      <c r="BM19" s="195">
        <v>20000000</v>
      </c>
      <c r="BN19" s="195">
        <v>20000000</v>
      </c>
      <c r="BO19" s="195">
        <v>20000000</v>
      </c>
      <c r="BP19" s="195">
        <v>20000000</v>
      </c>
      <c r="BQ19" s="195">
        <v>20000000</v>
      </c>
      <c r="BR19" s="195">
        <v>0</v>
      </c>
      <c r="BS19" s="195">
        <v>20000000</v>
      </c>
      <c r="BT19" s="195">
        <v>10000000</v>
      </c>
      <c r="BU19" s="195">
        <v>10000000</v>
      </c>
      <c r="BV19" s="195">
        <v>0</v>
      </c>
      <c r="BW19" s="195">
        <v>0</v>
      </c>
      <c r="BX19" s="195">
        <v>0</v>
      </c>
      <c r="BY19" s="195">
        <v>0</v>
      </c>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5">
        <v>9536269503.2600002</v>
      </c>
      <c r="C22" s="195">
        <v>10565298030.299999</v>
      </c>
      <c r="D22" s="195">
        <v>10360197671.540001</v>
      </c>
      <c r="E22" s="195">
        <v>11308297066.370001</v>
      </c>
      <c r="F22" s="195">
        <v>10299447286.719999</v>
      </c>
      <c r="G22" s="195">
        <v>8682323239.8600006</v>
      </c>
      <c r="H22" s="195">
        <v>6022457191.7399998</v>
      </c>
      <c r="I22" s="195">
        <v>3608297836.6700001</v>
      </c>
      <c r="J22" s="195">
        <v>3175992726.8400002</v>
      </c>
      <c r="K22" s="195">
        <v>2053679267.8900001</v>
      </c>
      <c r="L22" s="195">
        <v>1412461461.9100001</v>
      </c>
      <c r="M22" s="195">
        <v>1224034501.1400001</v>
      </c>
      <c r="N22" s="195">
        <v>1322909170.5</v>
      </c>
      <c r="O22" s="195">
        <v>1810563535.5599999</v>
      </c>
      <c r="P22" s="195">
        <v>2598775328.6100001</v>
      </c>
      <c r="Q22" s="195">
        <v>2347646327.25</v>
      </c>
      <c r="R22" s="195">
        <v>2355837445.3099999</v>
      </c>
      <c r="S22" s="195">
        <v>3401724691.98</v>
      </c>
      <c r="T22" s="195">
        <v>3148490189.3000002</v>
      </c>
      <c r="U22" s="195">
        <v>3309830463.9299998</v>
      </c>
      <c r="V22" s="195">
        <v>4051486678.52</v>
      </c>
      <c r="W22" s="195">
        <v>3891244127.2199998</v>
      </c>
      <c r="X22" s="195">
        <v>3715237440.1599998</v>
      </c>
      <c r="Y22" s="195">
        <v>3527111960.79</v>
      </c>
      <c r="Z22" s="195">
        <v>3482258579.9299998</v>
      </c>
      <c r="AA22" s="195">
        <v>2801085698.4200001</v>
      </c>
      <c r="AB22" s="195">
        <v>2397951205.0300002</v>
      </c>
      <c r="AC22" s="195">
        <v>2579040561.4699998</v>
      </c>
      <c r="AD22" s="195">
        <v>2250000163.6500001</v>
      </c>
      <c r="AE22" s="195">
        <v>2093343788.8900001</v>
      </c>
      <c r="AF22" s="195">
        <v>1788792245.29</v>
      </c>
      <c r="AG22" s="195">
        <v>1523862077.74</v>
      </c>
      <c r="AH22" s="195">
        <v>1253700578.25</v>
      </c>
      <c r="AI22" s="195">
        <v>909050118.49000001</v>
      </c>
      <c r="AJ22" s="195">
        <v>894649713.13</v>
      </c>
      <c r="AK22" s="195">
        <v>769211815.10000002</v>
      </c>
      <c r="AL22" s="195">
        <v>763176506.29999995</v>
      </c>
      <c r="AM22" s="195">
        <v>569843820.91999996</v>
      </c>
      <c r="AN22" s="195">
        <v>667553230.92999995</v>
      </c>
      <c r="AO22" s="195">
        <v>946223504.48000002</v>
      </c>
      <c r="AP22" s="195">
        <v>960861570.99000001</v>
      </c>
      <c r="AQ22" s="195">
        <v>1466682973.75</v>
      </c>
      <c r="AR22" s="195">
        <v>1548473514.46</v>
      </c>
      <c r="AS22" s="195">
        <v>1072120685.48</v>
      </c>
      <c r="AT22" s="195">
        <v>508367389.54000002</v>
      </c>
      <c r="AU22" s="195">
        <v>310392643.42000002</v>
      </c>
      <c r="AV22" s="195">
        <v>251289554.28</v>
      </c>
      <c r="AW22" s="195">
        <v>289074847.55000001</v>
      </c>
      <c r="AX22" s="195">
        <v>306310991.17000002</v>
      </c>
      <c r="AY22" s="195">
        <v>229148923</v>
      </c>
      <c r="AZ22" s="195">
        <v>187832959.94999999</v>
      </c>
      <c r="BA22" s="195">
        <v>271791878.43000001</v>
      </c>
      <c r="BB22" s="195">
        <v>167930329.28999999</v>
      </c>
      <c r="BC22" s="195">
        <v>188721207.91999999</v>
      </c>
      <c r="BD22" s="195">
        <v>264390716.46000001</v>
      </c>
      <c r="BE22" s="195">
        <v>233817438.38999999</v>
      </c>
      <c r="BF22" s="195">
        <v>173642433.25999999</v>
      </c>
      <c r="BG22" s="195">
        <v>125548353</v>
      </c>
      <c r="BH22" s="195">
        <v>98271380.079999998</v>
      </c>
      <c r="BI22" s="195">
        <v>40001259</v>
      </c>
      <c r="BJ22" s="195">
        <v>13539706.17</v>
      </c>
      <c r="BK22" s="195">
        <v>132146024.5</v>
      </c>
      <c r="BL22" s="195">
        <v>102345612.62</v>
      </c>
      <c r="BM22" s="195">
        <v>0</v>
      </c>
      <c r="BN22" s="195">
        <v>59985343</v>
      </c>
      <c r="BO22" s="195">
        <v>19143052.25</v>
      </c>
      <c r="BP22" s="195">
        <v>55427700.479999997</v>
      </c>
      <c r="BQ22" s="195">
        <v>5122036.0999999996</v>
      </c>
      <c r="BR22" s="195">
        <v>0</v>
      </c>
      <c r="BS22" s="195">
        <v>7766118.7999999998</v>
      </c>
      <c r="BT22" s="195">
        <v>3532320</v>
      </c>
      <c r="BU22" s="195">
        <v>3073725</v>
      </c>
      <c r="BV22" s="195">
        <v>10886745.4</v>
      </c>
      <c r="BW22" s="195">
        <v>0</v>
      </c>
      <c r="BX22" s="195">
        <v>0</v>
      </c>
      <c r="BY22" s="195">
        <v>0</v>
      </c>
      <c r="BZ22" s="40"/>
      <c r="CA22" s="40"/>
      <c r="CB22" s="40"/>
      <c r="CC22" s="40"/>
      <c r="CD22" s="40"/>
      <c r="CE22" s="40"/>
      <c r="CF22" s="40"/>
      <c r="CG22" s="40"/>
      <c r="CH22" s="40"/>
      <c r="CI22" s="40"/>
      <c r="CJ22" s="40"/>
      <c r="CK22" s="40"/>
      <c r="CL22" s="40"/>
    </row>
    <row r="23" spans="1:90" x14ac:dyDescent="0.25">
      <c r="A23" s="17" t="s">
        <v>15</v>
      </c>
      <c r="B23" s="195">
        <v>3091664568.0700002</v>
      </c>
      <c r="C23" s="195">
        <v>3287381488.1700001</v>
      </c>
      <c r="D23" s="195">
        <v>3257748490.52</v>
      </c>
      <c r="E23" s="195">
        <v>2832792897.0799999</v>
      </c>
      <c r="F23" s="195">
        <v>3281025591.4299998</v>
      </c>
      <c r="G23" s="195">
        <v>3177102782.5300002</v>
      </c>
      <c r="H23" s="195">
        <v>2769860214.3299999</v>
      </c>
      <c r="I23" s="195">
        <v>1714873634.3900001</v>
      </c>
      <c r="J23" s="195">
        <v>1772975709.9100001</v>
      </c>
      <c r="K23" s="195">
        <v>1736184253.8699999</v>
      </c>
      <c r="L23" s="195">
        <v>1714832350.5699999</v>
      </c>
      <c r="M23" s="195">
        <v>1213878016.1199999</v>
      </c>
      <c r="N23" s="195">
        <v>1547876387.4400001</v>
      </c>
      <c r="O23" s="195">
        <v>1464155714.4400001</v>
      </c>
      <c r="P23" s="195">
        <v>1608880120.75</v>
      </c>
      <c r="Q23" s="195">
        <v>1341579522.3499999</v>
      </c>
      <c r="R23" s="195">
        <v>1397804891.2</v>
      </c>
      <c r="S23" s="195">
        <v>1547603005.0599999</v>
      </c>
      <c r="T23" s="195">
        <v>1381054448.77</v>
      </c>
      <c r="U23" s="195">
        <v>1062550311.78</v>
      </c>
      <c r="V23" s="195">
        <v>1135567962.51</v>
      </c>
      <c r="W23" s="195">
        <v>1370682857.8199999</v>
      </c>
      <c r="X23" s="195">
        <v>1214518755.6800001</v>
      </c>
      <c r="Y23" s="195">
        <v>948362671.84000003</v>
      </c>
      <c r="Z23" s="195">
        <v>934408220.53999996</v>
      </c>
      <c r="AA23" s="195">
        <v>747228028.10000002</v>
      </c>
      <c r="AB23" s="195">
        <v>1041627505.02</v>
      </c>
      <c r="AC23" s="195">
        <v>610677247.50999999</v>
      </c>
      <c r="AD23" s="195">
        <v>836859608.54999995</v>
      </c>
      <c r="AE23" s="195">
        <v>804761567</v>
      </c>
      <c r="AF23" s="195">
        <v>810779120.53999996</v>
      </c>
      <c r="AG23" s="195">
        <v>608208608.33000004</v>
      </c>
      <c r="AH23" s="195">
        <v>561818024.5</v>
      </c>
      <c r="AI23" s="195">
        <v>513604069.42000002</v>
      </c>
      <c r="AJ23" s="195">
        <v>456761554.25999999</v>
      </c>
      <c r="AK23" s="195">
        <v>323316364</v>
      </c>
      <c r="AL23" s="195">
        <v>416047295.22000003</v>
      </c>
      <c r="AM23" s="195">
        <v>386582792.69</v>
      </c>
      <c r="AN23" s="195">
        <v>312110543.02999997</v>
      </c>
      <c r="AO23" s="195">
        <v>273026189.10000002</v>
      </c>
      <c r="AP23" s="195">
        <v>459637781.75999999</v>
      </c>
      <c r="AQ23" s="195">
        <v>430243096.38</v>
      </c>
      <c r="AR23" s="195">
        <v>436899237.77999997</v>
      </c>
      <c r="AS23" s="195">
        <v>335997130.75</v>
      </c>
      <c r="AT23" s="195">
        <v>581749705.17999995</v>
      </c>
      <c r="AU23" s="195">
        <v>477082702.16000003</v>
      </c>
      <c r="AV23" s="195">
        <v>607124296.28999996</v>
      </c>
      <c r="AW23" s="195">
        <v>293590233.38</v>
      </c>
      <c r="AX23" s="195">
        <v>348300178.98000002</v>
      </c>
      <c r="AY23" s="195">
        <v>254940502.55000001</v>
      </c>
      <c r="AZ23" s="195">
        <v>258471215.49000001</v>
      </c>
      <c r="BA23" s="195">
        <v>58088774.259999998</v>
      </c>
      <c r="BB23" s="195">
        <v>153879713.94999999</v>
      </c>
      <c r="BC23" s="195">
        <v>42405915.960000001</v>
      </c>
      <c r="BD23" s="195">
        <v>35506554.32</v>
      </c>
      <c r="BE23" s="195">
        <v>7251302.96</v>
      </c>
      <c r="BF23" s="195">
        <v>40813528.729999997</v>
      </c>
      <c r="BG23" s="195">
        <v>30561144.219999999</v>
      </c>
      <c r="BH23" s="195">
        <v>52412063.030000001</v>
      </c>
      <c r="BI23" s="195">
        <v>21489816.41</v>
      </c>
      <c r="BJ23" s="195">
        <v>65034738.509999998</v>
      </c>
      <c r="BK23" s="195">
        <v>45665558.579999998</v>
      </c>
      <c r="BL23" s="195">
        <v>58567103.689999998</v>
      </c>
      <c r="BM23" s="195">
        <v>14868936.050000001</v>
      </c>
      <c r="BN23" s="195">
        <v>48707416.649999999</v>
      </c>
      <c r="BO23" s="195">
        <v>67133578.420000002</v>
      </c>
      <c r="BP23" s="195">
        <v>54807686.280000001</v>
      </c>
      <c r="BQ23" s="195">
        <v>22445517.02</v>
      </c>
      <c r="BR23" s="195">
        <v>0</v>
      </c>
      <c r="BS23" s="195">
        <v>18274622.300000001</v>
      </c>
      <c r="BT23" s="195">
        <v>10872066.15</v>
      </c>
      <c r="BU23" s="195">
        <v>20870776.84</v>
      </c>
      <c r="BV23" s="195">
        <v>9817181.3300000001</v>
      </c>
      <c r="BW23" s="195">
        <v>8254619</v>
      </c>
      <c r="BX23" s="195">
        <v>12678121.76</v>
      </c>
      <c r="BY23" s="195">
        <v>0</v>
      </c>
      <c r="BZ23" s="40"/>
      <c r="CA23" s="40"/>
      <c r="CB23" s="40"/>
      <c r="CC23" s="40"/>
      <c r="CD23" s="40"/>
      <c r="CE23" s="40"/>
      <c r="CF23" s="40"/>
      <c r="CG23" s="40"/>
      <c r="CH23" s="40"/>
      <c r="CI23" s="40"/>
      <c r="CJ23" s="40"/>
      <c r="CK23" s="40"/>
      <c r="CL23" s="40"/>
    </row>
    <row r="24" spans="1:90" x14ac:dyDescent="0.25">
      <c r="A24" s="17" t="s">
        <v>16</v>
      </c>
      <c r="B24" s="195">
        <v>520303092.91000003</v>
      </c>
      <c r="C24" s="195">
        <v>493973985.74000001</v>
      </c>
      <c r="D24" s="195">
        <v>497132314.32999998</v>
      </c>
      <c r="E24" s="195">
        <v>481975826.76999998</v>
      </c>
      <c r="F24" s="195">
        <v>521915236.77999997</v>
      </c>
      <c r="G24" s="195">
        <v>515464691.87</v>
      </c>
      <c r="H24" s="195">
        <v>534825769.20999998</v>
      </c>
      <c r="I24" s="195">
        <v>239227748.59</v>
      </c>
      <c r="J24" s="195">
        <v>340550132.10000002</v>
      </c>
      <c r="K24" s="195">
        <v>438613308.45999998</v>
      </c>
      <c r="L24" s="195">
        <v>354898339.69</v>
      </c>
      <c r="M24" s="195">
        <v>370990681.75</v>
      </c>
      <c r="N24" s="195">
        <v>513908513.01999998</v>
      </c>
      <c r="O24" s="195">
        <v>321265013.01999998</v>
      </c>
      <c r="P24" s="195">
        <v>478613041.36000001</v>
      </c>
      <c r="Q24" s="195">
        <v>347847267.73000002</v>
      </c>
      <c r="R24" s="195">
        <v>598351775.41999996</v>
      </c>
      <c r="S24" s="195">
        <v>222364595.78</v>
      </c>
      <c r="T24" s="195">
        <v>462217521.02999997</v>
      </c>
      <c r="U24" s="195">
        <v>476796342.74000001</v>
      </c>
      <c r="V24" s="195">
        <v>681499873.88</v>
      </c>
      <c r="W24" s="195">
        <v>447797864.92000002</v>
      </c>
      <c r="X24" s="195">
        <v>477472747.61000001</v>
      </c>
      <c r="Y24" s="195">
        <v>422575766.52999997</v>
      </c>
      <c r="Z24" s="195">
        <v>2277821047.23</v>
      </c>
      <c r="AA24" s="195">
        <v>1565859863.74</v>
      </c>
      <c r="AB24" s="195">
        <v>1218067041.75</v>
      </c>
      <c r="AC24" s="195">
        <v>1240204425.8699999</v>
      </c>
      <c r="AD24" s="195">
        <v>977356341.88999999</v>
      </c>
      <c r="AE24" s="195">
        <v>703553070.37</v>
      </c>
      <c r="AF24" s="195">
        <v>594172262.59000003</v>
      </c>
      <c r="AG24" s="195">
        <v>520374434.17000002</v>
      </c>
      <c r="AH24" s="195">
        <v>562936270.46000004</v>
      </c>
      <c r="AI24" s="195">
        <v>427216061.5</v>
      </c>
      <c r="AJ24" s="195">
        <v>463583833.99000001</v>
      </c>
      <c r="AK24" s="195">
        <v>654618624.87</v>
      </c>
      <c r="AL24" s="195">
        <v>1011474065.76</v>
      </c>
      <c r="AM24" s="195">
        <v>990143266.50999999</v>
      </c>
      <c r="AN24" s="195">
        <v>809672160.53999996</v>
      </c>
      <c r="AO24" s="195">
        <v>703051686.71000004</v>
      </c>
      <c r="AP24" s="195">
        <v>662027395.45000005</v>
      </c>
      <c r="AQ24" s="195">
        <v>753505204.49000001</v>
      </c>
      <c r="AR24" s="195">
        <v>721566248.60000002</v>
      </c>
      <c r="AS24" s="195">
        <v>543309211.26999998</v>
      </c>
      <c r="AT24" s="195">
        <v>449138351.73000002</v>
      </c>
      <c r="AU24" s="195">
        <v>463289479.56</v>
      </c>
      <c r="AV24" s="195">
        <v>441471092.05000001</v>
      </c>
      <c r="AW24" s="195">
        <v>55529799.979999997</v>
      </c>
      <c r="AX24" s="195">
        <v>73616609.780000001</v>
      </c>
      <c r="AY24" s="195">
        <v>101120358.77</v>
      </c>
      <c r="AZ24" s="195">
        <v>103946521.86</v>
      </c>
      <c r="BA24" s="195">
        <v>80310538.329999998</v>
      </c>
      <c r="BB24" s="195">
        <v>109951571.84999999</v>
      </c>
      <c r="BC24" s="195">
        <v>156626012.37</v>
      </c>
      <c r="BD24" s="195">
        <v>75421052.959999993</v>
      </c>
      <c r="BE24" s="195">
        <v>62409442.009999998</v>
      </c>
      <c r="BF24" s="195">
        <v>49962760.229999997</v>
      </c>
      <c r="BG24" s="195">
        <v>41297110.200000003</v>
      </c>
      <c r="BH24" s="195">
        <v>30165951.68</v>
      </c>
      <c r="BI24" s="195">
        <v>18890324.030000001</v>
      </c>
      <c r="BJ24" s="195">
        <v>35533061.740000002</v>
      </c>
      <c r="BK24" s="195">
        <v>20911572.649999999</v>
      </c>
      <c r="BL24" s="195">
        <v>28246313.25</v>
      </c>
      <c r="BM24" s="195">
        <v>27056147.57</v>
      </c>
      <c r="BN24" s="195">
        <v>33537048.940000001</v>
      </c>
      <c r="BO24" s="195">
        <v>17145170.469999999</v>
      </c>
      <c r="BP24" s="195">
        <v>46340451.899999999</v>
      </c>
      <c r="BQ24" s="195">
        <v>28927870.52</v>
      </c>
      <c r="BR24" s="195">
        <v>0</v>
      </c>
      <c r="BS24" s="195">
        <v>28354814.620000001</v>
      </c>
      <c r="BT24" s="195">
        <v>14437415.300000001</v>
      </c>
      <c r="BU24" s="195">
        <v>26504562.18</v>
      </c>
      <c r="BV24" s="195">
        <v>6795947.3200000003</v>
      </c>
      <c r="BW24" s="195">
        <v>0</v>
      </c>
      <c r="BX24" s="195">
        <v>1017434.69</v>
      </c>
      <c r="BY24" s="195">
        <v>0</v>
      </c>
      <c r="BZ24" s="40"/>
      <c r="CA24" s="40"/>
      <c r="CB24" s="40"/>
      <c r="CC24" s="40"/>
      <c r="CD24" s="40"/>
      <c r="CE24" s="40"/>
      <c r="CF24" s="40"/>
      <c r="CG24" s="40"/>
      <c r="CH24" s="40"/>
      <c r="CI24" s="40"/>
      <c r="CJ24" s="40"/>
      <c r="CK24" s="40"/>
      <c r="CL24" s="40"/>
    </row>
    <row r="25" spans="1:90" x14ac:dyDescent="0.25">
      <c r="A25" s="17" t="s">
        <v>17</v>
      </c>
      <c r="B25" s="195">
        <v>156419658.50999999</v>
      </c>
      <c r="C25" s="195">
        <v>171478824.56</v>
      </c>
      <c r="D25" s="195">
        <v>174348904.87</v>
      </c>
      <c r="E25" s="195">
        <v>246322725.81</v>
      </c>
      <c r="F25" s="195">
        <v>182003027.02000001</v>
      </c>
      <c r="G25" s="195">
        <v>268545128.75999999</v>
      </c>
      <c r="H25" s="195">
        <v>142217118.91999999</v>
      </c>
      <c r="I25" s="195">
        <v>126061504.73</v>
      </c>
      <c r="J25" s="195">
        <v>93055296.560000002</v>
      </c>
      <c r="K25" s="195">
        <v>96574215.680000007</v>
      </c>
      <c r="L25" s="195">
        <v>95011983.469999999</v>
      </c>
      <c r="M25" s="195">
        <v>142154888.49000001</v>
      </c>
      <c r="N25" s="195">
        <v>170374504.77000001</v>
      </c>
      <c r="O25" s="195">
        <v>128466195.39</v>
      </c>
      <c r="P25" s="195">
        <v>113134033.94</v>
      </c>
      <c r="Q25" s="195">
        <v>128461907.03</v>
      </c>
      <c r="R25" s="195">
        <v>177629829.97999999</v>
      </c>
      <c r="S25" s="195">
        <v>184684770.75999999</v>
      </c>
      <c r="T25" s="195">
        <v>179164662.38</v>
      </c>
      <c r="U25" s="195">
        <v>86228118.790000007</v>
      </c>
      <c r="V25" s="195">
        <v>127929353.54000001</v>
      </c>
      <c r="W25" s="195">
        <v>112454044.33</v>
      </c>
      <c r="X25" s="195">
        <v>109262177.06999999</v>
      </c>
      <c r="Y25" s="195">
        <v>69293096.290000007</v>
      </c>
      <c r="Z25" s="195">
        <v>118446140.23999999</v>
      </c>
      <c r="AA25" s="195">
        <v>91234410.420000002</v>
      </c>
      <c r="AB25" s="195">
        <v>82551306.489999995</v>
      </c>
      <c r="AC25" s="195">
        <v>56050173.340000004</v>
      </c>
      <c r="AD25" s="195">
        <v>99434097.799999997</v>
      </c>
      <c r="AE25" s="195">
        <v>90927244.980000004</v>
      </c>
      <c r="AF25" s="195">
        <v>67181525.450000003</v>
      </c>
      <c r="AG25" s="195">
        <v>42360395.950000003</v>
      </c>
      <c r="AH25" s="195">
        <v>179796317.59</v>
      </c>
      <c r="AI25" s="195">
        <v>22675079.02</v>
      </c>
      <c r="AJ25" s="195">
        <v>22939299.030000001</v>
      </c>
      <c r="AK25" s="195">
        <v>23577529.050000001</v>
      </c>
      <c r="AL25" s="195">
        <v>29678031.510000002</v>
      </c>
      <c r="AM25" s="195">
        <v>29214867.780000001</v>
      </c>
      <c r="AN25" s="195">
        <v>32357100.300000001</v>
      </c>
      <c r="AO25" s="195">
        <v>35310553.270000003</v>
      </c>
      <c r="AP25" s="195">
        <v>83610525.040000007</v>
      </c>
      <c r="AQ25" s="195">
        <v>94449012.879999995</v>
      </c>
      <c r="AR25" s="195">
        <v>33706363.82</v>
      </c>
      <c r="AS25" s="195">
        <v>30545774.579999998</v>
      </c>
      <c r="AT25" s="195">
        <v>50313030.270000003</v>
      </c>
      <c r="AU25" s="195">
        <v>39403869.710000001</v>
      </c>
      <c r="AV25" s="195">
        <v>30005210.370000001</v>
      </c>
      <c r="AW25" s="195">
        <v>44108475.100000001</v>
      </c>
      <c r="AX25" s="195">
        <v>53007644.609999999</v>
      </c>
      <c r="AY25" s="195">
        <v>49699959.700000003</v>
      </c>
      <c r="AZ25" s="195">
        <v>36317766.369999997</v>
      </c>
      <c r="BA25" s="195">
        <v>22239213.02</v>
      </c>
      <c r="BB25" s="195">
        <v>25804882.960000001</v>
      </c>
      <c r="BC25" s="195">
        <v>17412177.760000002</v>
      </c>
      <c r="BD25" s="195">
        <v>13414950.27</v>
      </c>
      <c r="BE25" s="195">
        <v>7376177.7400000002</v>
      </c>
      <c r="BF25" s="195">
        <v>7622176.8499999996</v>
      </c>
      <c r="BG25" s="195">
        <v>6577570.7000000002</v>
      </c>
      <c r="BH25" s="195">
        <v>5139980.8600000003</v>
      </c>
      <c r="BI25" s="195">
        <v>5322792.8</v>
      </c>
      <c r="BJ25" s="195">
        <v>6217255.71</v>
      </c>
      <c r="BK25" s="195">
        <v>6913738.7300000004</v>
      </c>
      <c r="BL25" s="195">
        <v>4458676.92</v>
      </c>
      <c r="BM25" s="195">
        <v>5138892.55</v>
      </c>
      <c r="BN25" s="195">
        <v>5137905.8499999996</v>
      </c>
      <c r="BO25" s="195">
        <v>5214554.5599999996</v>
      </c>
      <c r="BP25" s="195">
        <v>4436992.3499999996</v>
      </c>
      <c r="BQ25" s="195">
        <v>3158825.23</v>
      </c>
      <c r="BR25" s="195">
        <v>0</v>
      </c>
      <c r="BS25" s="195">
        <v>2273208.98</v>
      </c>
      <c r="BT25" s="195">
        <v>1820252.08</v>
      </c>
      <c r="BU25" s="195">
        <v>5398265.46</v>
      </c>
      <c r="BV25" s="195">
        <v>7851829.4000000004</v>
      </c>
      <c r="BW25" s="195">
        <v>1335425.49</v>
      </c>
      <c r="BX25" s="195">
        <v>976659.53</v>
      </c>
      <c r="BY25" s="195">
        <v>0</v>
      </c>
      <c r="BZ25" s="40"/>
      <c r="CA25" s="40"/>
      <c r="CB25" s="40"/>
      <c r="CC25" s="40"/>
      <c r="CD25" s="40"/>
      <c r="CE25" s="40"/>
      <c r="CF25" s="40"/>
      <c r="CG25" s="40"/>
      <c r="CH25" s="40"/>
      <c r="CI25" s="40"/>
      <c r="CJ25" s="40"/>
      <c r="CK25" s="40"/>
      <c r="CL25" s="40"/>
    </row>
    <row r="26" spans="1:90" x14ac:dyDescent="0.25">
      <c r="A26" s="17" t="s">
        <v>18</v>
      </c>
      <c r="B26" s="195">
        <v>8413543412.25</v>
      </c>
      <c r="C26" s="195">
        <v>7410616495.0600004</v>
      </c>
      <c r="D26" s="195">
        <v>7898344150.1499996</v>
      </c>
      <c r="E26" s="195">
        <v>6999627326.7399998</v>
      </c>
      <c r="F26" s="195">
        <v>6321078779.4700003</v>
      </c>
      <c r="G26" s="195">
        <v>6322000146.6300001</v>
      </c>
      <c r="H26" s="195">
        <v>5670195142.4700003</v>
      </c>
      <c r="I26" s="195">
        <v>4337350786.5600004</v>
      </c>
      <c r="J26" s="195">
        <v>5092984949.7799997</v>
      </c>
      <c r="K26" s="195">
        <v>4758766253.9399996</v>
      </c>
      <c r="L26" s="195">
        <v>3900858069.79</v>
      </c>
      <c r="M26" s="195">
        <v>4193853062.9400001</v>
      </c>
      <c r="N26" s="195">
        <v>4509449643.25</v>
      </c>
      <c r="O26" s="195">
        <v>3700649237.1399999</v>
      </c>
      <c r="P26" s="195">
        <v>3108855567.0500002</v>
      </c>
      <c r="Q26" s="195">
        <v>3009992528.5799999</v>
      </c>
      <c r="R26" s="195">
        <v>3223628632.25</v>
      </c>
      <c r="S26" s="195">
        <v>2965551203.3099999</v>
      </c>
      <c r="T26" s="195">
        <v>3147369926.3099999</v>
      </c>
      <c r="U26" s="195">
        <v>2265001877.4200001</v>
      </c>
      <c r="V26" s="195">
        <v>2100504580.3800001</v>
      </c>
      <c r="W26" s="195">
        <v>2123847513.46</v>
      </c>
      <c r="X26" s="195">
        <v>2332381125.75</v>
      </c>
      <c r="Y26" s="195">
        <v>1994863273.8199999</v>
      </c>
      <c r="Z26" s="195">
        <v>1533361212.1099999</v>
      </c>
      <c r="AA26" s="195">
        <v>1803651365.7</v>
      </c>
      <c r="AB26" s="195">
        <v>1846576379.25</v>
      </c>
      <c r="AC26" s="195">
        <v>1337878714.5899999</v>
      </c>
      <c r="AD26" s="195">
        <v>1544732794.0699999</v>
      </c>
      <c r="AE26" s="195">
        <v>1501907514.8800001</v>
      </c>
      <c r="AF26" s="195">
        <v>1544141137.4300001</v>
      </c>
      <c r="AG26" s="195">
        <v>1168328974.6400001</v>
      </c>
      <c r="AH26" s="195">
        <v>1056549179.8200001</v>
      </c>
      <c r="AI26" s="195">
        <v>1071845447.54</v>
      </c>
      <c r="AJ26" s="195">
        <v>854309612.65999997</v>
      </c>
      <c r="AK26" s="195">
        <v>755633666.27999997</v>
      </c>
      <c r="AL26" s="195">
        <v>787356714.60000002</v>
      </c>
      <c r="AM26" s="195">
        <v>582097046.21000004</v>
      </c>
      <c r="AN26" s="195">
        <v>502390011.13</v>
      </c>
      <c r="AO26" s="195">
        <v>600437286.60000002</v>
      </c>
      <c r="AP26" s="195">
        <v>1053594015.15</v>
      </c>
      <c r="AQ26" s="195">
        <v>747438909.23000002</v>
      </c>
      <c r="AR26" s="195">
        <v>753701314.21000004</v>
      </c>
      <c r="AS26" s="195">
        <v>650856646.64999998</v>
      </c>
      <c r="AT26" s="195">
        <v>655852463.64999998</v>
      </c>
      <c r="AU26" s="195">
        <v>847578880.75</v>
      </c>
      <c r="AV26" s="195">
        <v>646016908.86000001</v>
      </c>
      <c r="AW26" s="195">
        <v>463770420.89999998</v>
      </c>
      <c r="AX26" s="195">
        <v>466866450.95999998</v>
      </c>
      <c r="AY26" s="195">
        <v>451418078.76999998</v>
      </c>
      <c r="AZ26" s="195">
        <v>560739203.50999999</v>
      </c>
      <c r="BA26" s="195">
        <v>474792028.51999998</v>
      </c>
      <c r="BB26" s="195">
        <v>391055453.54000002</v>
      </c>
      <c r="BC26" s="195">
        <v>406930969.38</v>
      </c>
      <c r="BD26" s="195">
        <v>292760453.91000003</v>
      </c>
      <c r="BE26" s="195">
        <v>276734083.68000001</v>
      </c>
      <c r="BF26" s="195">
        <v>201248182.09999999</v>
      </c>
      <c r="BG26" s="195">
        <v>151322083.05000001</v>
      </c>
      <c r="BH26" s="195">
        <v>128228127.72</v>
      </c>
      <c r="BI26" s="195">
        <v>134963979.69999999</v>
      </c>
      <c r="BJ26" s="195">
        <v>66364741.060000002</v>
      </c>
      <c r="BK26" s="195">
        <v>87953986.450000003</v>
      </c>
      <c r="BL26" s="195">
        <v>105167541.09</v>
      </c>
      <c r="BM26" s="195">
        <v>89124838.510000005</v>
      </c>
      <c r="BN26" s="195">
        <v>63810429.280000001</v>
      </c>
      <c r="BO26" s="195">
        <v>101666987.34999999</v>
      </c>
      <c r="BP26" s="195">
        <v>62748646.630000003</v>
      </c>
      <c r="BQ26" s="195">
        <v>44425718.57</v>
      </c>
      <c r="BR26" s="195">
        <v>0</v>
      </c>
      <c r="BS26" s="195">
        <v>76038317.769999996</v>
      </c>
      <c r="BT26" s="195">
        <v>51274560.890000001</v>
      </c>
      <c r="BU26" s="195">
        <v>80346101.359999999</v>
      </c>
      <c r="BV26" s="195">
        <v>29237014.609999999</v>
      </c>
      <c r="BW26" s="195">
        <v>21916789.77</v>
      </c>
      <c r="BX26" s="195">
        <v>54198832.219999999</v>
      </c>
      <c r="BY26" s="195">
        <v>0</v>
      </c>
      <c r="BZ26" s="40"/>
      <c r="CA26" s="40"/>
      <c r="CB26" s="40"/>
      <c r="CC26" s="40"/>
      <c r="CD26" s="40"/>
      <c r="CE26" s="40"/>
      <c r="CF26" s="40"/>
      <c r="CG26" s="40"/>
      <c r="CH26" s="40"/>
      <c r="CI26" s="40"/>
      <c r="CJ26" s="40"/>
      <c r="CK26" s="40"/>
      <c r="CL26" s="40"/>
    </row>
    <row r="27" spans="1:90" x14ac:dyDescent="0.25">
      <c r="A27" s="17" t="s">
        <v>19</v>
      </c>
      <c r="B27" s="195">
        <v>244930753.65000001</v>
      </c>
      <c r="C27" s="195">
        <v>294919792.42000002</v>
      </c>
      <c r="D27" s="195">
        <v>265462832.34</v>
      </c>
      <c r="E27" s="195">
        <v>268224126.74000001</v>
      </c>
      <c r="F27" s="195">
        <v>336034582.64999998</v>
      </c>
      <c r="G27" s="195">
        <v>333629160.11000001</v>
      </c>
      <c r="H27" s="195">
        <v>900311744.94000006</v>
      </c>
      <c r="I27" s="195">
        <v>1223181558.97</v>
      </c>
      <c r="J27" s="195">
        <v>1315971006.3699999</v>
      </c>
      <c r="K27" s="195">
        <v>1475442148.21</v>
      </c>
      <c r="L27" s="195">
        <v>1698539993.22</v>
      </c>
      <c r="M27" s="195">
        <v>1815314119.3099999</v>
      </c>
      <c r="N27" s="195">
        <v>1790528637.8099999</v>
      </c>
      <c r="O27" s="195">
        <v>1642401155.71</v>
      </c>
      <c r="P27" s="195">
        <v>1580900564.1600001</v>
      </c>
      <c r="Q27" s="195">
        <v>1548767821.4100001</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c r="BZ27" s="40"/>
      <c r="CA27" s="40"/>
      <c r="CB27" s="40"/>
      <c r="CC27" s="40"/>
      <c r="CD27" s="40"/>
      <c r="CE27" s="40"/>
      <c r="CF27" s="40"/>
      <c r="CG27" s="40"/>
      <c r="CH27" s="40"/>
      <c r="CI27" s="40"/>
      <c r="CJ27" s="40"/>
      <c r="CK27" s="40"/>
      <c r="CL27" s="40"/>
    </row>
    <row r="28" spans="1:90" x14ac:dyDescent="0.25">
      <c r="A28" s="17" t="s">
        <v>76</v>
      </c>
      <c r="B28" s="195">
        <v>437950560.75999999</v>
      </c>
      <c r="C28" s="195">
        <v>350050363.75999999</v>
      </c>
      <c r="D28" s="195">
        <v>328655127.75999999</v>
      </c>
      <c r="E28" s="195">
        <v>318793498.75999999</v>
      </c>
      <c r="F28" s="195">
        <v>315120170.16000003</v>
      </c>
      <c r="G28" s="195">
        <v>292765929.16000003</v>
      </c>
      <c r="H28" s="195">
        <v>279242582.16000003</v>
      </c>
      <c r="I28" s="195">
        <v>276851198.00999999</v>
      </c>
      <c r="J28" s="195">
        <v>270924227.02999997</v>
      </c>
      <c r="K28" s="195">
        <v>257978907.22</v>
      </c>
      <c r="L28" s="195">
        <v>251855046.22</v>
      </c>
      <c r="M28" s="195">
        <v>247862406.50999999</v>
      </c>
      <c r="N28" s="195">
        <v>236741849.46000001</v>
      </c>
      <c r="O28" s="195">
        <v>216655854.53999999</v>
      </c>
      <c r="P28" s="195">
        <v>200031238</v>
      </c>
      <c r="Q28" s="195">
        <v>194405040.63</v>
      </c>
      <c r="R28" s="195">
        <v>183617475.40000001</v>
      </c>
      <c r="S28" s="195">
        <v>158916404.88999999</v>
      </c>
      <c r="T28" s="195">
        <v>145077500.09</v>
      </c>
      <c r="U28" s="195">
        <v>132800000</v>
      </c>
      <c r="V28" s="195">
        <v>111127195.59999999</v>
      </c>
      <c r="W28" s="195">
        <v>74586241.799999997</v>
      </c>
      <c r="X28" s="195">
        <v>59515956.299999997</v>
      </c>
      <c r="Y28" s="195">
        <v>49782958.600000001</v>
      </c>
      <c r="Z28" s="195">
        <v>41414933.5</v>
      </c>
      <c r="AA28" s="195">
        <v>28148935.699999999</v>
      </c>
      <c r="AB28" s="195">
        <v>3936000</v>
      </c>
      <c r="AC28" s="195">
        <v>1536000</v>
      </c>
      <c r="AD28" s="195">
        <v>0</v>
      </c>
      <c r="AE28" s="195">
        <v>0</v>
      </c>
      <c r="AF28" s="195">
        <v>0</v>
      </c>
      <c r="AG28" s="195">
        <v>0</v>
      </c>
      <c r="AH28" s="195">
        <v>0</v>
      </c>
      <c r="AI28" s="195">
        <v>0</v>
      </c>
      <c r="AJ28" s="195">
        <v>0</v>
      </c>
      <c r="AK28" s="195">
        <v>0</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c r="BZ28" s="40"/>
      <c r="CA28" s="40"/>
      <c r="CB28" s="40"/>
      <c r="CC28" s="40"/>
      <c r="CD28" s="40"/>
      <c r="CE28" s="40"/>
      <c r="CF28" s="40"/>
      <c r="CG28" s="40"/>
      <c r="CH28" s="40"/>
      <c r="CI28" s="40"/>
      <c r="CJ28" s="40"/>
      <c r="CK28" s="40"/>
      <c r="CL28" s="40"/>
    </row>
    <row r="29" spans="1:90" x14ac:dyDescent="0.25">
      <c r="A29" s="17" t="s">
        <v>3</v>
      </c>
      <c r="B29" s="195">
        <v>0</v>
      </c>
      <c r="C29" s="195">
        <v>0</v>
      </c>
      <c r="D29" s="195">
        <v>0</v>
      </c>
      <c r="E29" s="195">
        <v>0</v>
      </c>
      <c r="F29" s="195">
        <v>0</v>
      </c>
      <c r="G29" s="195">
        <v>0</v>
      </c>
      <c r="H29" s="195">
        <v>0</v>
      </c>
      <c r="I29" s="195">
        <v>0</v>
      </c>
      <c r="J29" s="195">
        <v>0</v>
      </c>
      <c r="K29" s="195">
        <v>0</v>
      </c>
      <c r="L29" s="195">
        <v>0</v>
      </c>
      <c r="M29" s="195">
        <v>0</v>
      </c>
      <c r="N29" s="195">
        <v>0</v>
      </c>
      <c r="O29" s="195">
        <v>0</v>
      </c>
      <c r="P29" s="195">
        <v>0</v>
      </c>
      <c r="Q29" s="195">
        <v>0</v>
      </c>
      <c r="R29" s="195">
        <v>0</v>
      </c>
      <c r="S29" s="195">
        <v>0</v>
      </c>
      <c r="T29" s="195">
        <v>0</v>
      </c>
      <c r="U29" s="195">
        <v>0</v>
      </c>
      <c r="V29" s="195">
        <v>0</v>
      </c>
      <c r="W29" s="195">
        <v>0</v>
      </c>
      <c r="X29" s="195">
        <v>0</v>
      </c>
      <c r="Y29" s="195">
        <v>0</v>
      </c>
      <c r="Z29" s="195">
        <v>0</v>
      </c>
      <c r="AA29" s="195">
        <v>0</v>
      </c>
      <c r="AB29" s="195">
        <v>0</v>
      </c>
      <c r="AC29" s="195">
        <v>0</v>
      </c>
      <c r="AD29" s="195">
        <v>0</v>
      </c>
      <c r="AE29" s="195">
        <v>0</v>
      </c>
      <c r="AF29" s="195">
        <v>0</v>
      </c>
      <c r="AG29" s="195">
        <v>0</v>
      </c>
      <c r="AH29" s="195">
        <v>0</v>
      </c>
      <c r="AI29" s="195">
        <v>0</v>
      </c>
      <c r="AJ29" s="195">
        <v>0</v>
      </c>
      <c r="AK29" s="195">
        <v>0</v>
      </c>
      <c r="AL29" s="195">
        <v>300000000</v>
      </c>
      <c r="AM29" s="195">
        <v>300000000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22401081549.41</v>
      </c>
      <c r="C33" s="35">
        <f t="shared" ref="C33:BN33" si="2">SUM(C22:C29)</f>
        <v>22573718980.009995</v>
      </c>
      <c r="D33" s="35">
        <f t="shared" si="2"/>
        <v>22781889491.510002</v>
      </c>
      <c r="E33" s="35">
        <f t="shared" si="2"/>
        <v>22456033468.27</v>
      </c>
      <c r="F33" s="35">
        <f t="shared" si="2"/>
        <v>21256624674.230003</v>
      </c>
      <c r="G33" s="35">
        <f t="shared" si="2"/>
        <v>19591831078.920002</v>
      </c>
      <c r="H33" s="35">
        <f t="shared" si="2"/>
        <v>16319109763.769999</v>
      </c>
      <c r="I33" s="35">
        <f t="shared" si="2"/>
        <v>11525844267.92</v>
      </c>
      <c r="J33" s="35">
        <f t="shared" si="2"/>
        <v>12062454048.590002</v>
      </c>
      <c r="K33" s="35">
        <f t="shared" si="2"/>
        <v>10817238355.269999</v>
      </c>
      <c r="L33" s="35">
        <f t="shared" si="2"/>
        <v>9428457244.8699989</v>
      </c>
      <c r="M33" s="35">
        <f t="shared" si="2"/>
        <v>9208087676.2600002</v>
      </c>
      <c r="N33" s="35">
        <f t="shared" si="2"/>
        <v>10091788706.249998</v>
      </c>
      <c r="O33" s="35">
        <f t="shared" si="2"/>
        <v>9284156705.7999992</v>
      </c>
      <c r="P33" s="35">
        <f t="shared" si="2"/>
        <v>9689189893.8700008</v>
      </c>
      <c r="Q33" s="35">
        <f t="shared" si="2"/>
        <v>8918700414.9799995</v>
      </c>
      <c r="R33" s="35">
        <f t="shared" si="2"/>
        <v>7936870049.5599995</v>
      </c>
      <c r="S33" s="35">
        <f t="shared" si="2"/>
        <v>8480844671.7799997</v>
      </c>
      <c r="T33" s="35">
        <f t="shared" si="2"/>
        <v>8463374247.8799992</v>
      </c>
      <c r="U33" s="35">
        <f t="shared" si="2"/>
        <v>7333207114.6599998</v>
      </c>
      <c r="V33" s="35">
        <f t="shared" si="2"/>
        <v>8208115644.4300003</v>
      </c>
      <c r="W33" s="35">
        <f t="shared" si="2"/>
        <v>8020612649.5500002</v>
      </c>
      <c r="X33" s="35">
        <f t="shared" si="2"/>
        <v>7908388202.5699997</v>
      </c>
      <c r="Y33" s="35">
        <f t="shared" si="2"/>
        <v>7011989727.8699999</v>
      </c>
      <c r="Z33" s="35">
        <f t="shared" si="2"/>
        <v>8387710133.5499983</v>
      </c>
      <c r="AA33" s="35">
        <f t="shared" si="2"/>
        <v>7037208302.0799999</v>
      </c>
      <c r="AB33" s="35">
        <f t="shared" si="2"/>
        <v>6590709437.54</v>
      </c>
      <c r="AC33" s="35">
        <f t="shared" si="2"/>
        <v>5825387122.7799997</v>
      </c>
      <c r="AD33" s="35">
        <f t="shared" si="2"/>
        <v>5708383005.96</v>
      </c>
      <c r="AE33" s="35">
        <f t="shared" si="2"/>
        <v>5194493186.1200008</v>
      </c>
      <c r="AF33" s="35">
        <f t="shared" si="2"/>
        <v>4805066291.3000002</v>
      </c>
      <c r="AG33" s="35">
        <f t="shared" si="2"/>
        <v>3863134490.8299999</v>
      </c>
      <c r="AH33" s="35">
        <f t="shared" si="2"/>
        <v>3614800370.6200004</v>
      </c>
      <c r="AI33" s="35">
        <f t="shared" si="2"/>
        <v>2944390775.9700003</v>
      </c>
      <c r="AJ33" s="35">
        <f t="shared" si="2"/>
        <v>2692244013.0699997</v>
      </c>
      <c r="AK33" s="35">
        <f t="shared" si="2"/>
        <v>2526357999.2999997</v>
      </c>
      <c r="AL33" s="35">
        <f t="shared" si="2"/>
        <v>3307732613.3899999</v>
      </c>
      <c r="AM33" s="35">
        <f t="shared" si="2"/>
        <v>2857881794.1099997</v>
      </c>
      <c r="AN33" s="35">
        <f t="shared" si="2"/>
        <v>2324083045.9299998</v>
      </c>
      <c r="AO33" s="35">
        <f t="shared" si="2"/>
        <v>2558049220.1599998</v>
      </c>
      <c r="AP33" s="35">
        <f t="shared" si="2"/>
        <v>3219731288.3900003</v>
      </c>
      <c r="AQ33" s="35">
        <f t="shared" si="2"/>
        <v>3492319196.73</v>
      </c>
      <c r="AR33" s="35">
        <f t="shared" si="2"/>
        <v>3494346678.8700004</v>
      </c>
      <c r="AS33" s="35">
        <f t="shared" si="2"/>
        <v>2632829448.73</v>
      </c>
      <c r="AT33" s="35">
        <f t="shared" si="2"/>
        <v>2245420940.3699999</v>
      </c>
      <c r="AU33" s="35">
        <f t="shared" si="2"/>
        <v>2137747575.6000001</v>
      </c>
      <c r="AV33" s="35">
        <f t="shared" si="2"/>
        <v>1975907061.8499999</v>
      </c>
      <c r="AW33" s="35">
        <f t="shared" si="2"/>
        <v>1146073776.9100001</v>
      </c>
      <c r="AX33" s="35">
        <f t="shared" si="2"/>
        <v>1248101875.5</v>
      </c>
      <c r="AY33" s="35">
        <f t="shared" si="2"/>
        <v>1086327822.79</v>
      </c>
      <c r="AZ33" s="35">
        <f t="shared" si="2"/>
        <v>1147307667.1799998</v>
      </c>
      <c r="BA33" s="35">
        <f t="shared" si="2"/>
        <v>907222432.55999994</v>
      </c>
      <c r="BB33" s="35">
        <f t="shared" si="2"/>
        <v>848621951.59000003</v>
      </c>
      <c r="BC33" s="35">
        <f t="shared" si="2"/>
        <v>812096283.38999999</v>
      </c>
      <c r="BD33" s="35">
        <f t="shared" si="2"/>
        <v>681493727.92000008</v>
      </c>
      <c r="BE33" s="35">
        <f t="shared" si="2"/>
        <v>587588444.77999997</v>
      </c>
      <c r="BF33" s="35">
        <f t="shared" si="2"/>
        <v>473289081.16999996</v>
      </c>
      <c r="BG33" s="35">
        <f t="shared" si="2"/>
        <v>355306261.17000002</v>
      </c>
      <c r="BH33" s="35">
        <f t="shared" si="2"/>
        <v>314217503.37</v>
      </c>
      <c r="BI33" s="35">
        <f t="shared" si="2"/>
        <v>220668171.94</v>
      </c>
      <c r="BJ33" s="35">
        <f t="shared" si="2"/>
        <v>186689503.19</v>
      </c>
      <c r="BK33" s="35">
        <f t="shared" si="2"/>
        <v>293590880.90999997</v>
      </c>
      <c r="BL33" s="35">
        <f t="shared" si="2"/>
        <v>298785247.56999999</v>
      </c>
      <c r="BM33" s="35">
        <f t="shared" si="2"/>
        <v>136188814.68000001</v>
      </c>
      <c r="BN33" s="35">
        <f t="shared" si="2"/>
        <v>211178143.72</v>
      </c>
      <c r="BO33" s="35">
        <f t="shared" ref="BO33:CK33" si="3">SUM(BO22:BO29)</f>
        <v>210303343.05000001</v>
      </c>
      <c r="BP33" s="35">
        <f t="shared" si="3"/>
        <v>223761477.63999999</v>
      </c>
      <c r="BQ33" s="35">
        <f t="shared" si="3"/>
        <v>104079967.44</v>
      </c>
      <c r="BR33" s="35">
        <f t="shared" si="3"/>
        <v>0</v>
      </c>
      <c r="BS33" s="35">
        <f t="shared" si="3"/>
        <v>132707082.47</v>
      </c>
      <c r="BT33" s="35">
        <f t="shared" si="3"/>
        <v>81936614.420000002</v>
      </c>
      <c r="BU33" s="35">
        <f t="shared" si="3"/>
        <v>136193430.84</v>
      </c>
      <c r="BV33" s="35">
        <f t="shared" si="3"/>
        <v>64588718.060000002</v>
      </c>
      <c r="BW33" s="35">
        <f t="shared" si="3"/>
        <v>31506834.259999998</v>
      </c>
      <c r="BX33" s="35">
        <f t="shared" si="3"/>
        <v>68871048.200000003</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5">
        <v>0</v>
      </c>
      <c r="C35" s="195">
        <v>2277674547.0100002</v>
      </c>
      <c r="D35" s="195">
        <v>2339815651.7399998</v>
      </c>
      <c r="E35" s="195">
        <v>1851643240.3900001</v>
      </c>
      <c r="F35" s="195">
        <v>1866425719.97</v>
      </c>
      <c r="G35" s="195">
        <v>1738887054.7</v>
      </c>
      <c r="H35" s="195">
        <v>1660243202.8399999</v>
      </c>
      <c r="I35" s="195">
        <v>1860820056.3099999</v>
      </c>
      <c r="J35" s="195">
        <v>2457496537.9000001</v>
      </c>
      <c r="K35" s="195">
        <v>2437270091.6999998</v>
      </c>
      <c r="L35" s="195">
        <v>2586047780.0100002</v>
      </c>
      <c r="M35" s="195">
        <v>2221250502</v>
      </c>
      <c r="N35" s="195">
        <v>2177385741.1999998</v>
      </c>
      <c r="O35" s="195">
        <v>2355075786.04</v>
      </c>
      <c r="P35" s="195">
        <v>1898606320.1300001</v>
      </c>
      <c r="Q35" s="195">
        <v>2044515908.77</v>
      </c>
      <c r="R35" s="195">
        <v>2729683065.48</v>
      </c>
      <c r="S35" s="195">
        <v>2802007206.9699998</v>
      </c>
      <c r="T35" s="195">
        <v>2060678360.97</v>
      </c>
      <c r="U35" s="195">
        <v>1993630640.49</v>
      </c>
      <c r="V35" s="195">
        <v>1649786430.54</v>
      </c>
      <c r="W35" s="195">
        <v>1722933922.21</v>
      </c>
      <c r="X35" s="195">
        <v>1846527267.9300001</v>
      </c>
      <c r="Y35" s="195">
        <v>1454150526.27</v>
      </c>
      <c r="Z35" s="195">
        <v>1275419215.72</v>
      </c>
      <c r="AA35" s="195">
        <v>1098989513.0899999</v>
      </c>
      <c r="AB35" s="195">
        <v>914764180.96000004</v>
      </c>
      <c r="AC35" s="195">
        <v>341475932.63</v>
      </c>
      <c r="AD35" s="195">
        <v>77402256.329999998</v>
      </c>
      <c r="AE35" s="195">
        <v>333132454.43000001</v>
      </c>
      <c r="AF35" s="195">
        <v>513287187.81999999</v>
      </c>
      <c r="AG35" s="195">
        <v>422130549.80000001</v>
      </c>
      <c r="AH35" s="195">
        <v>217891292.97</v>
      </c>
      <c r="AI35" s="195">
        <v>188733213.27000001</v>
      </c>
      <c r="AJ35" s="195">
        <v>195651263.16999999</v>
      </c>
      <c r="AK35" s="195">
        <v>136502366.90000001</v>
      </c>
      <c r="AL35" s="195">
        <v>95652161.670000002</v>
      </c>
      <c r="AM35" s="195">
        <v>70405851.829999998</v>
      </c>
      <c r="AN35" s="195">
        <v>34800000</v>
      </c>
      <c r="AO35" s="195">
        <v>7675232.0800000001</v>
      </c>
      <c r="AP35" s="195">
        <v>14875232.08</v>
      </c>
      <c r="AQ35" s="195">
        <v>22700000</v>
      </c>
      <c r="AR35" s="195">
        <v>20824972</v>
      </c>
      <c r="AS35" s="195">
        <v>42965016.25</v>
      </c>
      <c r="AT35" s="195">
        <v>37842509.25</v>
      </c>
      <c r="AU35" s="195">
        <v>35442081</v>
      </c>
      <c r="AV35" s="195">
        <v>22592081</v>
      </c>
      <c r="AW35" s="195">
        <v>37280000</v>
      </c>
      <c r="AX35" s="195">
        <v>18170000</v>
      </c>
      <c r="AY35" s="195">
        <v>0</v>
      </c>
      <c r="AZ35" s="195">
        <v>0</v>
      </c>
      <c r="BA35" s="195">
        <v>0</v>
      </c>
      <c r="BB35" s="195">
        <v>0</v>
      </c>
      <c r="BC35" s="195">
        <v>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3200000</v>
      </c>
      <c r="BU35" s="195">
        <v>3500000</v>
      </c>
      <c r="BV35" s="195">
        <v>5007148</v>
      </c>
      <c r="BW35" s="195">
        <v>0</v>
      </c>
      <c r="BX35" s="195">
        <v>0</v>
      </c>
      <c r="BY35" s="195">
        <v>0</v>
      </c>
      <c r="BZ35" s="40"/>
      <c r="CA35" s="40"/>
      <c r="CB35" s="40"/>
      <c r="CC35" s="40"/>
      <c r="CD35" s="40"/>
      <c r="CE35" s="40"/>
      <c r="CF35" s="40"/>
      <c r="CG35" s="40"/>
      <c r="CH35" s="40"/>
      <c r="CI35" s="40"/>
      <c r="CJ35" s="40"/>
      <c r="CK35" s="40"/>
      <c r="CL35" s="40"/>
    </row>
    <row r="36" spans="1:90" x14ac:dyDescent="0.25">
      <c r="A36" s="17" t="s">
        <v>22</v>
      </c>
      <c r="B36" s="195">
        <v>0</v>
      </c>
      <c r="C36" s="195">
        <v>3671114571.6900001</v>
      </c>
      <c r="D36" s="195">
        <v>4257035569.23</v>
      </c>
      <c r="E36" s="195">
        <v>4388212374.0799999</v>
      </c>
      <c r="F36" s="195">
        <v>3929789776.8400002</v>
      </c>
      <c r="G36" s="195">
        <v>4035620313.3800001</v>
      </c>
      <c r="H36" s="195">
        <v>3930147822.71</v>
      </c>
      <c r="I36" s="195">
        <v>3467152841.25</v>
      </c>
      <c r="J36" s="195">
        <v>3849004921.27</v>
      </c>
      <c r="K36" s="195">
        <v>3615499574.5700002</v>
      </c>
      <c r="L36" s="195">
        <v>3816774816.3299999</v>
      </c>
      <c r="M36" s="195">
        <v>3400457107.7800002</v>
      </c>
      <c r="N36" s="195">
        <v>2859779729.25</v>
      </c>
      <c r="O36" s="195">
        <v>2936172480.7399998</v>
      </c>
      <c r="P36" s="195">
        <v>2597653899.6799998</v>
      </c>
      <c r="Q36" s="195">
        <v>2615128907.3299999</v>
      </c>
      <c r="R36" s="195">
        <v>2089861020.72</v>
      </c>
      <c r="S36" s="195">
        <v>941431490.17999995</v>
      </c>
      <c r="T36" s="195">
        <v>2319793687.3000002</v>
      </c>
      <c r="U36" s="195">
        <v>2298938599.1399999</v>
      </c>
      <c r="V36" s="195">
        <v>1652070228.6700001</v>
      </c>
      <c r="W36" s="195">
        <v>1181045454.52</v>
      </c>
      <c r="X36" s="195">
        <v>1006436285.51</v>
      </c>
      <c r="Y36" s="195">
        <v>881271918.51999998</v>
      </c>
      <c r="Z36" s="195">
        <v>784217493.30999994</v>
      </c>
      <c r="AA36" s="195">
        <v>657751115.29999995</v>
      </c>
      <c r="AB36" s="195">
        <v>717958065.19000006</v>
      </c>
      <c r="AC36" s="195">
        <v>494188630.70999998</v>
      </c>
      <c r="AD36" s="195">
        <v>670080166.05999994</v>
      </c>
      <c r="AE36" s="195">
        <v>840562292.48000002</v>
      </c>
      <c r="AF36" s="195">
        <v>620394096.03999996</v>
      </c>
      <c r="AG36" s="195">
        <v>576958453.07000005</v>
      </c>
      <c r="AH36" s="195">
        <v>605843856.48000002</v>
      </c>
      <c r="AI36" s="195">
        <v>614992116.36000001</v>
      </c>
      <c r="AJ36" s="195">
        <v>572803755.87</v>
      </c>
      <c r="AK36" s="195">
        <v>482952779.39999998</v>
      </c>
      <c r="AL36" s="195">
        <v>473895877.70999998</v>
      </c>
      <c r="AM36" s="195">
        <v>212293200.69</v>
      </c>
      <c r="AN36" s="195">
        <v>196518959.37</v>
      </c>
      <c r="AO36" s="195">
        <v>179368983.05000001</v>
      </c>
      <c r="AP36" s="195">
        <v>280867286.05000001</v>
      </c>
      <c r="AQ36" s="195">
        <v>214605140.78</v>
      </c>
      <c r="AR36" s="195">
        <v>203497197.71000001</v>
      </c>
      <c r="AS36" s="195">
        <v>252622974.91999999</v>
      </c>
      <c r="AT36" s="195">
        <v>342492737.16000003</v>
      </c>
      <c r="AU36" s="195">
        <v>353981937.35000002</v>
      </c>
      <c r="AV36" s="195">
        <v>375074506.62</v>
      </c>
      <c r="AW36" s="195">
        <v>364140199.36000001</v>
      </c>
      <c r="AX36" s="195">
        <v>416811236.88</v>
      </c>
      <c r="AY36" s="195">
        <v>437953884.44999999</v>
      </c>
      <c r="AZ36" s="195">
        <v>412577848.19999999</v>
      </c>
      <c r="BA36" s="195">
        <v>425706195.58999997</v>
      </c>
      <c r="BB36" s="195">
        <v>245377386.09999999</v>
      </c>
      <c r="BC36" s="195">
        <v>232231397.38</v>
      </c>
      <c r="BD36" s="195">
        <v>187254675.75</v>
      </c>
      <c r="BE36" s="195">
        <v>173252218.69999999</v>
      </c>
      <c r="BF36" s="195">
        <v>126137453.97</v>
      </c>
      <c r="BG36" s="195">
        <v>146045005.59999999</v>
      </c>
      <c r="BH36" s="195">
        <v>146100995.12</v>
      </c>
      <c r="BI36" s="195">
        <v>144287181.91999999</v>
      </c>
      <c r="BJ36" s="195">
        <v>24644503.280000001</v>
      </c>
      <c r="BK36" s="195">
        <v>27301669.98</v>
      </c>
      <c r="BL36" s="195">
        <v>35781662.710000001</v>
      </c>
      <c r="BM36" s="195">
        <v>21565833.359999999</v>
      </c>
      <c r="BN36" s="195">
        <v>18047361.02</v>
      </c>
      <c r="BO36" s="195">
        <v>10163819.41</v>
      </c>
      <c r="BP36" s="195">
        <v>33266429.73</v>
      </c>
      <c r="BQ36" s="195">
        <v>10369072.91</v>
      </c>
      <c r="BR36" s="195">
        <v>0</v>
      </c>
      <c r="BS36" s="195">
        <v>37850090.369999997</v>
      </c>
      <c r="BT36" s="195">
        <v>24058913</v>
      </c>
      <c r="BU36" s="195">
        <v>21896776.379999999</v>
      </c>
      <c r="BV36" s="195">
        <v>15744723.050000001</v>
      </c>
      <c r="BW36" s="195">
        <v>4935488.41</v>
      </c>
      <c r="BX36" s="195">
        <v>5114112.0999999996</v>
      </c>
      <c r="BY36" s="195">
        <v>0</v>
      </c>
      <c r="BZ36" s="40"/>
      <c r="CA36" s="40"/>
      <c r="CB36" s="40"/>
      <c r="CC36" s="40"/>
      <c r="CD36" s="40"/>
      <c r="CE36" s="40"/>
      <c r="CF36" s="40"/>
      <c r="CG36" s="40"/>
      <c r="CH36" s="40"/>
      <c r="CI36" s="40"/>
      <c r="CJ36" s="40"/>
      <c r="CK36" s="40"/>
      <c r="CL36" s="40"/>
    </row>
    <row r="37" spans="1:90" x14ac:dyDescent="0.25">
      <c r="A37" s="17" t="s">
        <v>23</v>
      </c>
      <c r="B37" s="195">
        <v>3082485890.8000002</v>
      </c>
      <c r="C37" s="195">
        <v>2283771725.5300002</v>
      </c>
      <c r="D37" s="195">
        <v>2312550715.27</v>
      </c>
      <c r="E37" s="195">
        <v>2679648525.8800001</v>
      </c>
      <c r="F37" s="195">
        <v>2764102446.6500001</v>
      </c>
      <c r="G37" s="195">
        <v>1555060828.9200001</v>
      </c>
      <c r="H37" s="195">
        <v>2039889670.0699999</v>
      </c>
      <c r="I37" s="195">
        <v>1496702136.79</v>
      </c>
      <c r="J37" s="195">
        <v>1724995994.73</v>
      </c>
      <c r="K37" s="195">
        <v>954610794.64999998</v>
      </c>
      <c r="L37" s="195">
        <v>913643848.41999996</v>
      </c>
      <c r="M37" s="195">
        <v>711215589.42999995</v>
      </c>
      <c r="N37" s="195">
        <v>763298991.78999996</v>
      </c>
      <c r="O37" s="195">
        <v>576880409.25999999</v>
      </c>
      <c r="P37" s="195">
        <v>663372021.92999995</v>
      </c>
      <c r="Q37" s="195">
        <v>763746175.63999999</v>
      </c>
      <c r="R37" s="195">
        <v>521148169.36000001</v>
      </c>
      <c r="S37" s="195">
        <v>568476655.70000005</v>
      </c>
      <c r="T37" s="195">
        <v>616783526.87</v>
      </c>
      <c r="U37" s="195">
        <v>727903857.02999997</v>
      </c>
      <c r="V37" s="195">
        <v>381257263.35000002</v>
      </c>
      <c r="W37" s="195">
        <v>300982136.23000002</v>
      </c>
      <c r="X37" s="195">
        <v>390363403.58999997</v>
      </c>
      <c r="Y37" s="195">
        <v>464378849.62</v>
      </c>
      <c r="Z37" s="195">
        <v>560367838.48000002</v>
      </c>
      <c r="AA37" s="195">
        <v>278512255.56999999</v>
      </c>
      <c r="AB37" s="195">
        <v>342402442.01999998</v>
      </c>
      <c r="AC37" s="195">
        <v>410821734.32999998</v>
      </c>
      <c r="AD37" s="195">
        <v>240940298.94999999</v>
      </c>
      <c r="AE37" s="195">
        <v>186285708.40000001</v>
      </c>
      <c r="AF37" s="195">
        <v>306766579.04000002</v>
      </c>
      <c r="AG37" s="195">
        <v>175853710.05000001</v>
      </c>
      <c r="AH37" s="195">
        <v>135430317.25</v>
      </c>
      <c r="AI37" s="195">
        <v>146258428.31999999</v>
      </c>
      <c r="AJ37" s="195">
        <v>131249177.67</v>
      </c>
      <c r="AK37" s="195">
        <v>139546942.46000001</v>
      </c>
      <c r="AL37" s="195">
        <v>97842105.170000002</v>
      </c>
      <c r="AM37" s="195">
        <v>112409373.5</v>
      </c>
      <c r="AN37" s="195">
        <v>96906793.719999999</v>
      </c>
      <c r="AO37" s="195">
        <v>66595377.229999997</v>
      </c>
      <c r="AP37" s="195">
        <v>62501231.439999998</v>
      </c>
      <c r="AQ37" s="195">
        <v>106160086.37</v>
      </c>
      <c r="AR37" s="195">
        <v>133327446.53</v>
      </c>
      <c r="AS37" s="195">
        <v>139193566.69</v>
      </c>
      <c r="AT37" s="195">
        <v>121776626</v>
      </c>
      <c r="AU37" s="195">
        <v>245877080.19999999</v>
      </c>
      <c r="AV37" s="195">
        <v>72392310.040000007</v>
      </c>
      <c r="AW37" s="195">
        <v>52175178.369999997</v>
      </c>
      <c r="AX37" s="195">
        <v>84087122.049999997</v>
      </c>
      <c r="AY37" s="195">
        <v>112467947.51000001</v>
      </c>
      <c r="AZ37" s="195">
        <v>83384939.620000005</v>
      </c>
      <c r="BA37" s="195">
        <v>108923909.91</v>
      </c>
      <c r="BB37" s="195">
        <v>55892522.189999998</v>
      </c>
      <c r="BC37" s="195">
        <v>19191532.030000001</v>
      </c>
      <c r="BD37" s="195">
        <v>119112927.65000001</v>
      </c>
      <c r="BE37" s="195">
        <v>56838502.810000002</v>
      </c>
      <c r="BF37" s="195">
        <v>65841034.82</v>
      </c>
      <c r="BG37" s="195">
        <v>60068164.189999998</v>
      </c>
      <c r="BH37" s="195">
        <v>30193448.800000001</v>
      </c>
      <c r="BI37" s="195">
        <v>48087475.079999998</v>
      </c>
      <c r="BJ37" s="195">
        <v>6683654.4199999999</v>
      </c>
      <c r="BK37" s="195">
        <v>5887226.1900000004</v>
      </c>
      <c r="BL37" s="195">
        <v>15345519.49</v>
      </c>
      <c r="BM37" s="195">
        <v>12111386.09</v>
      </c>
      <c r="BN37" s="195">
        <v>10931952.560000001</v>
      </c>
      <c r="BO37" s="195">
        <v>4060743.35</v>
      </c>
      <c r="BP37" s="195">
        <v>11360590.26</v>
      </c>
      <c r="BQ37" s="195">
        <v>4295723.7699999996</v>
      </c>
      <c r="BR37" s="195">
        <v>0</v>
      </c>
      <c r="BS37" s="195">
        <v>6037319.3499999996</v>
      </c>
      <c r="BT37" s="195">
        <v>17087442.91</v>
      </c>
      <c r="BU37" s="195">
        <v>3999362.54</v>
      </c>
      <c r="BV37" s="195">
        <v>2440649.42</v>
      </c>
      <c r="BW37" s="195">
        <v>585212.94999999995</v>
      </c>
      <c r="BX37" s="195">
        <v>866891.48</v>
      </c>
      <c r="BY37" s="195">
        <v>0</v>
      </c>
      <c r="BZ37" s="40"/>
      <c r="CA37" s="40"/>
      <c r="CB37" s="40"/>
      <c r="CC37" s="40"/>
      <c r="CD37" s="40"/>
      <c r="CE37" s="40"/>
      <c r="CF37" s="40"/>
      <c r="CG37" s="40"/>
      <c r="CH37" s="40"/>
      <c r="CI37" s="40"/>
      <c r="CJ37" s="40"/>
      <c r="CK37" s="40"/>
      <c r="CL37" s="40"/>
    </row>
    <row r="38" spans="1:90" x14ac:dyDescent="0.25">
      <c r="A38" s="17" t="s">
        <v>24</v>
      </c>
      <c r="B38" s="195">
        <v>0</v>
      </c>
      <c r="C38" s="195">
        <v>0</v>
      </c>
      <c r="D38" s="195">
        <v>0</v>
      </c>
      <c r="E38" s="195">
        <v>0</v>
      </c>
      <c r="F38" s="195">
        <v>0</v>
      </c>
      <c r="G38" s="195">
        <v>0</v>
      </c>
      <c r="H38" s="195">
        <v>0</v>
      </c>
      <c r="I38" s="195">
        <v>0</v>
      </c>
      <c r="J38" s="195">
        <v>0</v>
      </c>
      <c r="K38" s="195">
        <v>0</v>
      </c>
      <c r="L38" s="195">
        <v>0</v>
      </c>
      <c r="M38" s="195">
        <v>0</v>
      </c>
      <c r="N38" s="195">
        <v>0</v>
      </c>
      <c r="O38" s="195">
        <v>0</v>
      </c>
      <c r="P38" s="195">
        <v>0</v>
      </c>
      <c r="Q38" s="195">
        <v>0</v>
      </c>
      <c r="R38" s="195">
        <v>0</v>
      </c>
      <c r="S38" s="195">
        <v>0</v>
      </c>
      <c r="T38" s="195">
        <v>0</v>
      </c>
      <c r="U38" s="195">
        <v>0</v>
      </c>
      <c r="V38" s="195">
        <v>0</v>
      </c>
      <c r="W38" s="195">
        <v>0</v>
      </c>
      <c r="X38" s="195">
        <v>0</v>
      </c>
      <c r="Y38" s="195">
        <v>0</v>
      </c>
      <c r="Z38" s="195">
        <v>0</v>
      </c>
      <c r="AA38" s="195">
        <v>0</v>
      </c>
      <c r="AB38" s="195">
        <v>0</v>
      </c>
      <c r="AC38" s="195">
        <v>0</v>
      </c>
      <c r="AD38" s="195">
        <v>0</v>
      </c>
      <c r="AE38" s="195">
        <v>0</v>
      </c>
      <c r="AF38" s="195">
        <v>0</v>
      </c>
      <c r="AG38" s="195">
        <v>0</v>
      </c>
      <c r="AH38" s="195">
        <v>0</v>
      </c>
      <c r="AI38" s="195">
        <v>0</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0</v>
      </c>
      <c r="BB38" s="195">
        <v>0</v>
      </c>
      <c r="BC38" s="195">
        <v>0</v>
      </c>
      <c r="BD38" s="195">
        <v>0</v>
      </c>
      <c r="BE38" s="195">
        <v>0</v>
      </c>
      <c r="BF38" s="195">
        <v>0</v>
      </c>
      <c r="BG38" s="195">
        <v>0</v>
      </c>
      <c r="BH38" s="195">
        <v>0</v>
      </c>
      <c r="BI38" s="195">
        <v>0</v>
      </c>
      <c r="BJ38" s="195">
        <v>0</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c r="BZ38" s="40"/>
      <c r="CA38" s="40"/>
      <c r="CB38" s="40"/>
      <c r="CC38" s="40"/>
      <c r="CD38" s="40"/>
      <c r="CE38" s="40"/>
      <c r="CF38" s="40"/>
      <c r="CG38" s="40"/>
      <c r="CH38" s="40"/>
      <c r="CI38" s="40"/>
      <c r="CJ38" s="40"/>
      <c r="CK38" s="40"/>
      <c r="CL38" s="40"/>
    </row>
    <row r="39" spans="1:90" x14ac:dyDescent="0.25">
      <c r="A39" s="17" t="s">
        <v>25</v>
      </c>
      <c r="B39" s="195">
        <v>731903456.91999996</v>
      </c>
      <c r="C39" s="195">
        <v>471722857.38</v>
      </c>
      <c r="D39" s="195">
        <v>279415049.63999999</v>
      </c>
      <c r="E39" s="195">
        <v>730321421.23000002</v>
      </c>
      <c r="F39" s="195">
        <v>509465253.44999999</v>
      </c>
      <c r="G39" s="195">
        <v>338367546.86000001</v>
      </c>
      <c r="H39" s="195">
        <v>128330277.72</v>
      </c>
      <c r="I39" s="195">
        <v>362941027.16000003</v>
      </c>
      <c r="J39" s="195">
        <v>193512470.66</v>
      </c>
      <c r="K39" s="195">
        <v>216347040.75</v>
      </c>
      <c r="L39" s="195">
        <v>106095795.56999999</v>
      </c>
      <c r="M39" s="195">
        <v>205970794.96000001</v>
      </c>
      <c r="N39" s="195">
        <v>140754450.24000001</v>
      </c>
      <c r="O39" s="195">
        <v>116099524.65000001</v>
      </c>
      <c r="P39" s="195">
        <v>107030735.48</v>
      </c>
      <c r="Q39" s="195">
        <v>225411626.19</v>
      </c>
      <c r="R39" s="195">
        <v>183181646.40000001</v>
      </c>
      <c r="S39" s="195">
        <v>190080336.25999999</v>
      </c>
      <c r="T39" s="195">
        <v>119227526.5</v>
      </c>
      <c r="U39" s="195">
        <v>256148236.09999999</v>
      </c>
      <c r="V39" s="195">
        <v>237953895.88999999</v>
      </c>
      <c r="W39" s="195">
        <v>174570996.33000001</v>
      </c>
      <c r="X39" s="195">
        <v>63240059.259999998</v>
      </c>
      <c r="Y39" s="195">
        <v>146984682.71000001</v>
      </c>
      <c r="Z39" s="195">
        <v>65471003.840000004</v>
      </c>
      <c r="AA39" s="195">
        <v>66484136.420000002</v>
      </c>
      <c r="AB39" s="195">
        <v>25141435.359999999</v>
      </c>
      <c r="AC39" s="195">
        <v>56386811.509999998</v>
      </c>
      <c r="AD39" s="195">
        <v>84192229.219999999</v>
      </c>
      <c r="AE39" s="195">
        <v>64587193.130000003</v>
      </c>
      <c r="AF39" s="195">
        <v>39989543.439999998</v>
      </c>
      <c r="AG39" s="195">
        <v>46448176.630000003</v>
      </c>
      <c r="AH39" s="195">
        <v>24956162.57</v>
      </c>
      <c r="AI39" s="195">
        <v>34448951.960000001</v>
      </c>
      <c r="AJ39" s="195">
        <v>31781820.600000001</v>
      </c>
      <c r="AK39" s="195">
        <v>57982286.140000001</v>
      </c>
      <c r="AL39" s="195">
        <v>69034689.650000006</v>
      </c>
      <c r="AM39" s="195">
        <v>19111442.93</v>
      </c>
      <c r="AN39" s="195">
        <v>19609862.98</v>
      </c>
      <c r="AO39" s="195">
        <v>52081569.979999997</v>
      </c>
      <c r="AP39" s="195">
        <v>60738690.149999999</v>
      </c>
      <c r="AQ39" s="195">
        <v>70046600.459999993</v>
      </c>
      <c r="AR39" s="195">
        <v>90030307.170000002</v>
      </c>
      <c r="AS39" s="195">
        <v>98536987.950000003</v>
      </c>
      <c r="AT39" s="195">
        <v>61330089.490000002</v>
      </c>
      <c r="AU39" s="195">
        <v>85716936.959999993</v>
      </c>
      <c r="AV39" s="195">
        <v>88240811.170000002</v>
      </c>
      <c r="AW39" s="195">
        <v>85119031.129999995</v>
      </c>
      <c r="AX39" s="195">
        <v>92604367.939999998</v>
      </c>
      <c r="AY39" s="195">
        <v>103623429.89</v>
      </c>
      <c r="AZ39" s="195">
        <v>84464852.709999993</v>
      </c>
      <c r="BA39" s="195">
        <v>109560033.91</v>
      </c>
      <c r="BB39" s="195">
        <v>151355411.86000001</v>
      </c>
      <c r="BC39" s="195">
        <v>155573082.88</v>
      </c>
      <c r="BD39" s="195">
        <v>119976522.12</v>
      </c>
      <c r="BE39" s="195">
        <v>62967425.520000003</v>
      </c>
      <c r="BF39" s="195">
        <v>72471528.079999998</v>
      </c>
      <c r="BG39" s="195">
        <v>75284613.340000004</v>
      </c>
      <c r="BH39" s="195">
        <v>63095682.770000003</v>
      </c>
      <c r="BI39" s="195">
        <v>25753549.809999999</v>
      </c>
      <c r="BJ39" s="195">
        <v>23010701.760000002</v>
      </c>
      <c r="BK39" s="195">
        <v>16546565.48</v>
      </c>
      <c r="BL39" s="195">
        <v>29177049.77</v>
      </c>
      <c r="BM39" s="195">
        <v>14811027.93</v>
      </c>
      <c r="BN39" s="195">
        <v>24515963.710000001</v>
      </c>
      <c r="BO39" s="195">
        <v>6903254.2300000004</v>
      </c>
      <c r="BP39" s="195">
        <v>9941354.8300000001</v>
      </c>
      <c r="BQ39" s="195">
        <v>8408448.8399999999</v>
      </c>
      <c r="BR39" s="195">
        <v>0</v>
      </c>
      <c r="BS39" s="195">
        <v>4617153.33</v>
      </c>
      <c r="BT39" s="195">
        <v>2011175.5</v>
      </c>
      <c r="BU39" s="195">
        <v>1945612.4</v>
      </c>
      <c r="BV39" s="195">
        <v>1295184.69</v>
      </c>
      <c r="BW39" s="195">
        <v>654110.81000000006</v>
      </c>
      <c r="BX39" s="195">
        <v>1251323.05</v>
      </c>
      <c r="BY39" s="195">
        <v>0</v>
      </c>
      <c r="BZ39" s="40"/>
      <c r="CA39" s="40"/>
      <c r="CB39" s="40"/>
      <c r="CC39" s="40"/>
      <c r="CD39" s="40"/>
      <c r="CE39" s="40"/>
      <c r="CF39" s="40"/>
      <c r="CG39" s="40"/>
      <c r="CH39" s="40"/>
      <c r="CI39" s="40"/>
      <c r="CJ39" s="40"/>
      <c r="CK39" s="40"/>
      <c r="CL39" s="40"/>
    </row>
    <row r="40" spans="1:90" x14ac:dyDescent="0.25">
      <c r="A40" s="17" t="s">
        <v>26</v>
      </c>
      <c r="B40" s="195">
        <v>1672254046.6600001</v>
      </c>
      <c r="C40" s="195">
        <v>1157472626</v>
      </c>
      <c r="D40" s="195">
        <v>1206494470.9400001</v>
      </c>
      <c r="E40" s="195">
        <v>2245188240.7600002</v>
      </c>
      <c r="F40" s="195">
        <v>1336921067.28</v>
      </c>
      <c r="G40" s="195">
        <v>924185080.58000004</v>
      </c>
      <c r="H40" s="195">
        <v>689619592.89999998</v>
      </c>
      <c r="I40" s="195">
        <v>556392301.67999995</v>
      </c>
      <c r="J40" s="195">
        <v>425408104.05000001</v>
      </c>
      <c r="K40" s="195">
        <v>441203563.17000002</v>
      </c>
      <c r="L40" s="195">
        <v>180246237.74000001</v>
      </c>
      <c r="M40" s="195">
        <v>232772820.34999999</v>
      </c>
      <c r="N40" s="195">
        <v>276374909.76999998</v>
      </c>
      <c r="O40" s="195">
        <v>356114538.75999999</v>
      </c>
      <c r="P40" s="195">
        <v>290013593.06</v>
      </c>
      <c r="Q40" s="195">
        <v>270541464.25999999</v>
      </c>
      <c r="R40" s="195">
        <v>-792191418.14999998</v>
      </c>
      <c r="S40" s="195">
        <v>-476542607.41000003</v>
      </c>
      <c r="T40" s="195">
        <v>-462098866.67000002</v>
      </c>
      <c r="U40" s="195">
        <v>-275247634.38</v>
      </c>
      <c r="V40" s="195">
        <v>38032922.450000003</v>
      </c>
      <c r="W40" s="195">
        <v>204692885.38999999</v>
      </c>
      <c r="X40" s="195">
        <v>203808678.93000001</v>
      </c>
      <c r="Y40" s="195">
        <v>164107020.72</v>
      </c>
      <c r="Z40" s="195">
        <v>237855578.56999999</v>
      </c>
      <c r="AA40" s="195">
        <v>139312708.87</v>
      </c>
      <c r="AB40" s="195">
        <v>88158127.25</v>
      </c>
      <c r="AC40" s="195">
        <v>9882985.6400000006</v>
      </c>
      <c r="AD40" s="195">
        <v>133845923.08</v>
      </c>
      <c r="AE40" s="195">
        <v>179312697.38</v>
      </c>
      <c r="AF40" s="195">
        <v>-24442615.050000001</v>
      </c>
      <c r="AG40" s="195">
        <v>-117964228.73999999</v>
      </c>
      <c r="AH40" s="195">
        <v>-123823357.48999999</v>
      </c>
      <c r="AI40" s="195">
        <v>-141228094.44</v>
      </c>
      <c r="AJ40" s="195">
        <v>-146670554.63</v>
      </c>
      <c r="AK40" s="195">
        <v>-70512878.569999993</v>
      </c>
      <c r="AL40" s="195">
        <v>22488515.32</v>
      </c>
      <c r="AM40" s="195">
        <v>83862946.469999999</v>
      </c>
      <c r="AN40" s="195">
        <v>-1401923.37</v>
      </c>
      <c r="AO40" s="195">
        <v>19851605.219999999</v>
      </c>
      <c r="AP40" s="195">
        <v>196052187.75</v>
      </c>
      <c r="AQ40" s="195">
        <v>243620329</v>
      </c>
      <c r="AR40" s="195">
        <v>296382541.76999998</v>
      </c>
      <c r="AS40" s="195">
        <v>333870612.11000001</v>
      </c>
      <c r="AT40" s="195">
        <v>236876102.88</v>
      </c>
      <c r="AU40" s="195">
        <v>143791661.19999999</v>
      </c>
      <c r="AV40" s="195">
        <v>256885472.87</v>
      </c>
      <c r="AW40" s="195">
        <v>159064164.52000001</v>
      </c>
      <c r="AX40" s="195">
        <v>173776327.03</v>
      </c>
      <c r="AY40" s="195">
        <v>134913274.31999999</v>
      </c>
      <c r="AZ40" s="195">
        <v>144339115.41999999</v>
      </c>
      <c r="BA40" s="195">
        <v>116135338.97</v>
      </c>
      <c r="BB40" s="195">
        <v>160796610.33000001</v>
      </c>
      <c r="BC40" s="195">
        <v>107545822.66</v>
      </c>
      <c r="BD40" s="195">
        <v>81512165.719999999</v>
      </c>
      <c r="BE40" s="195">
        <v>26396481.16</v>
      </c>
      <c r="BF40" s="195">
        <v>113564597.72</v>
      </c>
      <c r="BG40" s="195">
        <v>117420469.54000001</v>
      </c>
      <c r="BH40" s="195">
        <v>53470496.619999997</v>
      </c>
      <c r="BI40" s="195">
        <v>19586258.379999999</v>
      </c>
      <c r="BJ40" s="195">
        <v>55440167.890000001</v>
      </c>
      <c r="BK40" s="195">
        <v>39152376.520000003</v>
      </c>
      <c r="BL40" s="195">
        <v>17433681.27</v>
      </c>
      <c r="BM40" s="195">
        <v>-12113216.949999999</v>
      </c>
      <c r="BN40" s="195">
        <v>-4937456.3099999996</v>
      </c>
      <c r="BO40" s="195">
        <v>-5394438.6500000004</v>
      </c>
      <c r="BP40" s="195">
        <v>29657288.780000001</v>
      </c>
      <c r="BQ40" s="195">
        <v>-2591667.61</v>
      </c>
      <c r="BR40" s="195">
        <v>0</v>
      </c>
      <c r="BS40" s="195">
        <v>2407259.7999999998</v>
      </c>
      <c r="BT40" s="195">
        <v>3850083.97</v>
      </c>
      <c r="BU40" s="195">
        <v>2541502.73</v>
      </c>
      <c r="BV40" s="195">
        <v>-5266459.25</v>
      </c>
      <c r="BW40" s="195">
        <v>-3731885.57</v>
      </c>
      <c r="BX40" s="195">
        <v>0</v>
      </c>
      <c r="BY40" s="195">
        <v>0</v>
      </c>
      <c r="BZ40" s="40"/>
      <c r="CA40" s="40"/>
      <c r="CB40" s="40"/>
      <c r="CC40" s="40"/>
      <c r="CD40" s="40"/>
      <c r="CE40" s="40"/>
      <c r="CF40" s="40"/>
      <c r="CG40" s="40"/>
      <c r="CH40" s="40"/>
      <c r="CI40" s="40"/>
      <c r="CJ40" s="40"/>
      <c r="CK40" s="40"/>
      <c r="CL40" s="40"/>
    </row>
    <row r="41" spans="1:90" x14ac:dyDescent="0.25">
      <c r="A41" s="17" t="s">
        <v>27</v>
      </c>
      <c r="B41" s="195">
        <v>472936106.41000003</v>
      </c>
      <c r="C41" s="195">
        <v>335019834.39999998</v>
      </c>
      <c r="D41" s="195">
        <v>399039125.05000001</v>
      </c>
      <c r="E41" s="195">
        <v>508025236.50999999</v>
      </c>
      <c r="F41" s="195">
        <v>560264921.30999994</v>
      </c>
      <c r="G41" s="195">
        <v>553895950.91999996</v>
      </c>
      <c r="H41" s="195">
        <v>573152217.65999997</v>
      </c>
      <c r="I41" s="195">
        <v>511581101.38999999</v>
      </c>
      <c r="J41" s="195">
        <v>629693319.84000003</v>
      </c>
      <c r="K41" s="195">
        <v>510112796.55000001</v>
      </c>
      <c r="L41" s="195">
        <v>245157912.88999999</v>
      </c>
      <c r="M41" s="195">
        <v>275697231.42000002</v>
      </c>
      <c r="N41" s="195">
        <v>389233904.93000001</v>
      </c>
      <c r="O41" s="195">
        <v>213899319.40000001</v>
      </c>
      <c r="P41" s="195">
        <v>179487221.81999999</v>
      </c>
      <c r="Q41" s="195">
        <v>225128335.91999999</v>
      </c>
      <c r="R41" s="195">
        <v>408495637.19999999</v>
      </c>
      <c r="S41" s="195">
        <v>537526350.62</v>
      </c>
      <c r="T41" s="195">
        <v>422641105.54000002</v>
      </c>
      <c r="U41" s="195">
        <v>183584785.22</v>
      </c>
      <c r="V41" s="195">
        <v>226000552.91</v>
      </c>
      <c r="W41" s="195">
        <v>218478334.11000001</v>
      </c>
      <c r="X41" s="195">
        <v>131026208.90000001</v>
      </c>
      <c r="Y41" s="195">
        <v>110413508.79000001</v>
      </c>
      <c r="Z41" s="195">
        <v>129779473.93000001</v>
      </c>
      <c r="AA41" s="195">
        <v>119365342.41</v>
      </c>
      <c r="AB41" s="195">
        <v>79315030.319999993</v>
      </c>
      <c r="AC41" s="195">
        <v>47870959.799999997</v>
      </c>
      <c r="AD41" s="195">
        <v>89319344.900000006</v>
      </c>
      <c r="AE41" s="195">
        <v>89832358.430000007</v>
      </c>
      <c r="AF41" s="195">
        <v>44417095.649999999</v>
      </c>
      <c r="AG41" s="195">
        <v>34300278.68</v>
      </c>
      <c r="AH41" s="195">
        <v>32007795.760000002</v>
      </c>
      <c r="AI41" s="195">
        <v>30100124.52</v>
      </c>
      <c r="AJ41" s="195">
        <v>48879990.649999999</v>
      </c>
      <c r="AK41" s="195">
        <v>36071023.18</v>
      </c>
      <c r="AL41" s="195">
        <v>31350811.030000001</v>
      </c>
      <c r="AM41" s="195">
        <v>27535799.329999998</v>
      </c>
      <c r="AN41" s="195">
        <v>23707126.649999999</v>
      </c>
      <c r="AO41" s="195">
        <v>22567304.190000001</v>
      </c>
      <c r="AP41" s="195">
        <v>38584401.200000003</v>
      </c>
      <c r="AQ41" s="195">
        <v>39928569.259999998</v>
      </c>
      <c r="AR41" s="195">
        <v>105694884.72</v>
      </c>
      <c r="AS41" s="195">
        <v>33528597.59</v>
      </c>
      <c r="AT41" s="195">
        <v>275436026.02999997</v>
      </c>
      <c r="AU41" s="195">
        <v>119825294.77</v>
      </c>
      <c r="AV41" s="195">
        <v>50538891.920000002</v>
      </c>
      <c r="AW41" s="195">
        <v>61739955.950000003</v>
      </c>
      <c r="AX41" s="195">
        <v>97848288.569999993</v>
      </c>
      <c r="AY41" s="195">
        <v>92560025.859999999</v>
      </c>
      <c r="AZ41" s="195">
        <v>92089197.939999998</v>
      </c>
      <c r="BA41" s="195">
        <v>76718194.200000003</v>
      </c>
      <c r="BB41" s="195">
        <v>62666130.850000001</v>
      </c>
      <c r="BC41" s="195">
        <v>48620780.719999999</v>
      </c>
      <c r="BD41" s="195">
        <v>39913514.82</v>
      </c>
      <c r="BE41" s="195">
        <v>28237624.539999999</v>
      </c>
      <c r="BF41" s="195">
        <v>26682112.629999999</v>
      </c>
      <c r="BG41" s="195">
        <v>7222127.5899999999</v>
      </c>
      <c r="BH41" s="195">
        <v>9235457.0399999991</v>
      </c>
      <c r="BI41" s="195">
        <v>7799440.4000000004</v>
      </c>
      <c r="BJ41" s="195">
        <v>12798049.779999999</v>
      </c>
      <c r="BK41" s="195">
        <v>15003580.91</v>
      </c>
      <c r="BL41" s="195">
        <v>5904639.5800000001</v>
      </c>
      <c r="BM41" s="195">
        <v>4093161.15</v>
      </c>
      <c r="BN41" s="195">
        <v>9489827.6899999995</v>
      </c>
      <c r="BO41" s="195">
        <v>3876376.06</v>
      </c>
      <c r="BP41" s="195">
        <v>5142650.55</v>
      </c>
      <c r="BQ41" s="195">
        <v>3640374</v>
      </c>
      <c r="BR41" s="195">
        <v>0</v>
      </c>
      <c r="BS41" s="195">
        <v>2452524.11</v>
      </c>
      <c r="BT41" s="195">
        <v>4555785.21</v>
      </c>
      <c r="BU41" s="195">
        <v>16093186.789999999</v>
      </c>
      <c r="BV41" s="195">
        <v>14109602.07</v>
      </c>
      <c r="BW41" s="195">
        <v>765448.77</v>
      </c>
      <c r="BX41" s="195">
        <v>812965.5</v>
      </c>
      <c r="BY41" s="195">
        <v>0</v>
      </c>
      <c r="BZ41" s="40"/>
      <c r="CA41" s="40"/>
      <c r="CB41" s="40"/>
      <c r="CC41" s="40"/>
      <c r="CD41" s="40"/>
      <c r="CE41" s="40"/>
      <c r="CF41" s="40"/>
      <c r="CG41" s="40"/>
      <c r="CH41" s="40"/>
      <c r="CI41" s="40"/>
      <c r="CJ41" s="40"/>
      <c r="CK41" s="40"/>
      <c r="CL41" s="40"/>
    </row>
    <row r="42" spans="1:90" s="39" customFormat="1" x14ac:dyDescent="0.25">
      <c r="A42" s="125" t="s">
        <v>28</v>
      </c>
      <c r="B42" s="195">
        <v>0</v>
      </c>
      <c r="C42" s="195">
        <v>0</v>
      </c>
      <c r="D42" s="195">
        <v>0</v>
      </c>
      <c r="E42" s="195">
        <v>0</v>
      </c>
      <c r="F42" s="195">
        <v>0</v>
      </c>
      <c r="G42" s="195">
        <v>0</v>
      </c>
      <c r="H42" s="195">
        <v>0</v>
      </c>
      <c r="I42" s="195">
        <v>0</v>
      </c>
      <c r="J42" s="195">
        <v>0</v>
      </c>
      <c r="K42" s="195">
        <v>0</v>
      </c>
      <c r="L42" s="195">
        <v>0</v>
      </c>
      <c r="M42" s="195">
        <v>0</v>
      </c>
      <c r="N42" s="195">
        <v>0</v>
      </c>
      <c r="O42" s="195">
        <v>0</v>
      </c>
      <c r="P42" s="195">
        <v>0</v>
      </c>
      <c r="Q42" s="195">
        <v>0</v>
      </c>
      <c r="R42" s="195">
        <v>0</v>
      </c>
      <c r="S42" s="195">
        <v>0</v>
      </c>
      <c r="T42" s="195">
        <v>0</v>
      </c>
      <c r="U42" s="195">
        <v>0</v>
      </c>
      <c r="V42" s="195">
        <v>0</v>
      </c>
      <c r="W42" s="195">
        <v>0</v>
      </c>
      <c r="X42" s="195">
        <v>0</v>
      </c>
      <c r="Y42" s="195">
        <v>0</v>
      </c>
      <c r="Z42" s="195">
        <v>0</v>
      </c>
      <c r="AA42" s="195">
        <v>0</v>
      </c>
      <c r="AB42" s="195">
        <v>0</v>
      </c>
      <c r="AC42" s="195">
        <v>0</v>
      </c>
      <c r="AD42" s="195">
        <v>0</v>
      </c>
      <c r="AE42" s="195">
        <v>0</v>
      </c>
      <c r="AF42" s="195">
        <v>0</v>
      </c>
      <c r="AG42" s="195">
        <v>0</v>
      </c>
      <c r="AH42" s="195">
        <v>0</v>
      </c>
      <c r="AI42" s="195">
        <v>0</v>
      </c>
      <c r="AJ42" s="195">
        <v>0</v>
      </c>
      <c r="AK42" s="195">
        <v>0</v>
      </c>
      <c r="AL42" s="195">
        <v>0</v>
      </c>
      <c r="AM42" s="195">
        <v>0</v>
      </c>
      <c r="AN42" s="195">
        <v>0</v>
      </c>
      <c r="AO42" s="195">
        <v>0</v>
      </c>
      <c r="AP42" s="195">
        <v>0</v>
      </c>
      <c r="AQ42" s="195">
        <v>0</v>
      </c>
      <c r="AR42" s="195">
        <v>0</v>
      </c>
      <c r="AS42" s="195">
        <v>0</v>
      </c>
      <c r="AT42" s="195">
        <v>0</v>
      </c>
      <c r="AU42" s="195">
        <v>0</v>
      </c>
      <c r="AV42" s="195">
        <v>0</v>
      </c>
      <c r="AW42" s="195">
        <v>0</v>
      </c>
      <c r="AX42" s="195">
        <v>0</v>
      </c>
      <c r="AY42" s="195">
        <v>0</v>
      </c>
      <c r="AZ42" s="195">
        <v>0</v>
      </c>
      <c r="BA42" s="195">
        <v>0</v>
      </c>
      <c r="BB42" s="195">
        <v>0</v>
      </c>
      <c r="BC42" s="195">
        <v>0</v>
      </c>
      <c r="BD42" s="195">
        <v>0</v>
      </c>
      <c r="BE42" s="195">
        <v>0</v>
      </c>
      <c r="BF42" s="195">
        <v>0</v>
      </c>
      <c r="BG42" s="195">
        <v>0</v>
      </c>
      <c r="BH42" s="195">
        <v>0</v>
      </c>
      <c r="BI42" s="195">
        <v>0</v>
      </c>
      <c r="BJ42" s="195">
        <v>0</v>
      </c>
      <c r="BK42" s="195">
        <v>0</v>
      </c>
      <c r="BL42" s="195">
        <v>0</v>
      </c>
      <c r="BM42" s="195">
        <v>0</v>
      </c>
      <c r="BN42" s="195">
        <v>0</v>
      </c>
      <c r="BO42" s="195">
        <v>0</v>
      </c>
      <c r="BP42" s="195">
        <v>0</v>
      </c>
      <c r="BQ42" s="195">
        <v>0</v>
      </c>
      <c r="BR42" s="195">
        <v>0</v>
      </c>
      <c r="BS42" s="195">
        <v>0</v>
      </c>
      <c r="BT42" s="195">
        <v>0</v>
      </c>
      <c r="BU42" s="195">
        <v>0</v>
      </c>
      <c r="BV42" s="195">
        <v>0</v>
      </c>
      <c r="BW42" s="195">
        <v>0</v>
      </c>
      <c r="BX42" s="195">
        <v>0</v>
      </c>
      <c r="BY42" s="195">
        <v>0</v>
      </c>
      <c r="BZ42" s="40"/>
      <c r="CA42" s="40"/>
      <c r="CB42" s="40"/>
      <c r="CC42" s="40"/>
      <c r="CD42" s="40"/>
      <c r="CE42" s="40"/>
      <c r="CF42" s="40"/>
      <c r="CG42" s="40"/>
      <c r="CH42" s="40"/>
      <c r="CI42" s="40"/>
      <c r="CJ42" s="40"/>
      <c r="CK42" s="40"/>
      <c r="CL42" s="40"/>
    </row>
    <row r="43" spans="1:90" x14ac:dyDescent="0.25">
      <c r="A43" s="17" t="s">
        <v>29</v>
      </c>
      <c r="B43" s="195">
        <v>859127916.87</v>
      </c>
      <c r="C43" s="195">
        <v>877055598.30999994</v>
      </c>
      <c r="D43" s="195">
        <v>896420779.75</v>
      </c>
      <c r="E43" s="195">
        <v>915610203.01999998</v>
      </c>
      <c r="F43" s="195">
        <v>1126006734.99</v>
      </c>
      <c r="G43" s="195">
        <v>1347648401.9400001</v>
      </c>
      <c r="H43" s="195">
        <v>1149324094.8900001</v>
      </c>
      <c r="I43" s="195">
        <v>475428079.02999997</v>
      </c>
      <c r="J43" s="195">
        <v>655231685.78999996</v>
      </c>
      <c r="K43" s="195">
        <v>569323274.11000001</v>
      </c>
      <c r="L43" s="195">
        <v>425414862.43000001</v>
      </c>
      <c r="M43" s="195">
        <v>262906450.75</v>
      </c>
      <c r="N43" s="195">
        <v>199238039.06999999</v>
      </c>
      <c r="O43" s="195">
        <v>218502983.38999999</v>
      </c>
      <c r="P43" s="195">
        <v>215894571.71000001</v>
      </c>
      <c r="Q43" s="195">
        <v>206173356</v>
      </c>
      <c r="R43" s="195">
        <v>0</v>
      </c>
      <c r="S43" s="195">
        <v>0</v>
      </c>
      <c r="T43" s="195">
        <v>0</v>
      </c>
      <c r="U43" s="195">
        <v>0</v>
      </c>
      <c r="V43" s="195">
        <v>0</v>
      </c>
      <c r="W43" s="195">
        <v>0</v>
      </c>
      <c r="X43" s="195">
        <v>0</v>
      </c>
      <c r="Y43" s="195">
        <v>0</v>
      </c>
      <c r="Z43" s="195">
        <v>0</v>
      </c>
      <c r="AA43" s="195">
        <v>0</v>
      </c>
      <c r="AB43" s="195">
        <v>0</v>
      </c>
      <c r="AC43" s="195">
        <v>0</v>
      </c>
      <c r="AD43" s="195">
        <v>0</v>
      </c>
      <c r="AE43" s="195">
        <v>0</v>
      </c>
      <c r="AF43" s="195">
        <v>0</v>
      </c>
      <c r="AG43" s="195">
        <v>0</v>
      </c>
      <c r="AH43" s="195">
        <v>0</v>
      </c>
      <c r="AI43" s="195">
        <v>0</v>
      </c>
      <c r="AJ43" s="195">
        <v>0</v>
      </c>
      <c r="AK43" s="195">
        <v>0</v>
      </c>
      <c r="AL43" s="195">
        <v>0</v>
      </c>
      <c r="AM43" s="195">
        <v>0</v>
      </c>
      <c r="AN43" s="195">
        <v>0</v>
      </c>
      <c r="AO43" s="195">
        <v>0</v>
      </c>
      <c r="AP43" s="195">
        <v>0</v>
      </c>
      <c r="AQ43" s="195">
        <v>0</v>
      </c>
      <c r="AR43" s="195">
        <v>0</v>
      </c>
      <c r="AS43" s="195">
        <v>0</v>
      </c>
      <c r="AT43" s="195">
        <v>0</v>
      </c>
      <c r="AU43" s="195">
        <v>0</v>
      </c>
      <c r="AV43" s="195">
        <v>0</v>
      </c>
      <c r="AW43" s="195">
        <v>0</v>
      </c>
      <c r="AX43" s="195">
        <v>0</v>
      </c>
      <c r="AY43" s="195">
        <v>0</v>
      </c>
      <c r="AZ43" s="195">
        <v>0</v>
      </c>
      <c r="BA43" s="195">
        <v>0</v>
      </c>
      <c r="BB43" s="195">
        <v>0</v>
      </c>
      <c r="BC43" s="195">
        <v>0</v>
      </c>
      <c r="BD43" s="195">
        <v>0</v>
      </c>
      <c r="BE43" s="195">
        <v>0</v>
      </c>
      <c r="BF43" s="195">
        <v>0</v>
      </c>
      <c r="BG43" s="195">
        <v>0</v>
      </c>
      <c r="BH43" s="195">
        <v>0</v>
      </c>
      <c r="BI43" s="195">
        <v>0</v>
      </c>
      <c r="BJ43" s="195">
        <v>0</v>
      </c>
      <c r="BK43" s="195">
        <v>0</v>
      </c>
      <c r="BL43" s="195">
        <v>0</v>
      </c>
      <c r="BM43" s="195">
        <v>0</v>
      </c>
      <c r="BN43" s="195">
        <v>0</v>
      </c>
      <c r="BO43" s="195">
        <v>0</v>
      </c>
      <c r="BP43" s="195">
        <v>0</v>
      </c>
      <c r="BQ43" s="195">
        <v>0</v>
      </c>
      <c r="BR43" s="195">
        <v>0</v>
      </c>
      <c r="BS43" s="195">
        <v>0</v>
      </c>
      <c r="BT43" s="195">
        <v>0</v>
      </c>
      <c r="BU43" s="195">
        <v>0</v>
      </c>
      <c r="BV43" s="195">
        <v>0</v>
      </c>
      <c r="BW43" s="195">
        <v>0</v>
      </c>
      <c r="BX43" s="195">
        <v>0</v>
      </c>
      <c r="BY43" s="195">
        <v>0</v>
      </c>
      <c r="BZ43" s="40"/>
      <c r="CA43" s="40"/>
      <c r="CB43" s="40"/>
      <c r="CC43" s="40"/>
      <c r="CD43" s="40"/>
      <c r="CE43" s="40"/>
      <c r="CF43" s="40"/>
      <c r="CG43" s="40"/>
      <c r="CH43" s="40"/>
      <c r="CI43" s="40"/>
      <c r="CJ43" s="40"/>
      <c r="CK43" s="40"/>
      <c r="CL43" s="40"/>
    </row>
    <row r="44" spans="1:90" x14ac:dyDescent="0.25">
      <c r="A44" s="17" t="s">
        <v>30</v>
      </c>
      <c r="B44" s="195">
        <v>0</v>
      </c>
      <c r="C44" s="195">
        <v>0</v>
      </c>
      <c r="D44" s="195">
        <v>0</v>
      </c>
      <c r="E44" s="195">
        <v>0</v>
      </c>
      <c r="F44" s="195">
        <v>0</v>
      </c>
      <c r="G44" s="195">
        <v>0</v>
      </c>
      <c r="H44" s="195">
        <v>0</v>
      </c>
      <c r="I44" s="195">
        <v>0</v>
      </c>
      <c r="J44" s="195">
        <v>0</v>
      </c>
      <c r="K44" s="195">
        <v>0</v>
      </c>
      <c r="L44" s="195">
        <v>0</v>
      </c>
      <c r="M44" s="195">
        <v>0</v>
      </c>
      <c r="N44" s="195">
        <v>0</v>
      </c>
      <c r="O44" s="195">
        <v>0</v>
      </c>
      <c r="P44" s="195">
        <v>0</v>
      </c>
      <c r="Q44" s="195">
        <v>0</v>
      </c>
      <c r="R44" s="195">
        <v>0</v>
      </c>
      <c r="S44" s="195">
        <v>20000</v>
      </c>
      <c r="T44" s="195">
        <v>20000</v>
      </c>
      <c r="U44" s="195">
        <v>370642.07</v>
      </c>
      <c r="V44" s="195">
        <v>684600</v>
      </c>
      <c r="W44" s="195">
        <v>998000</v>
      </c>
      <c r="X44" s="195">
        <v>998000</v>
      </c>
      <c r="Y44" s="195">
        <v>0</v>
      </c>
      <c r="Z44" s="195">
        <v>140000</v>
      </c>
      <c r="AA44" s="195">
        <v>140000</v>
      </c>
      <c r="AB44" s="195">
        <v>350000</v>
      </c>
      <c r="AC44" s="195">
        <v>350000</v>
      </c>
      <c r="AD44" s="195">
        <v>0</v>
      </c>
      <c r="AE44" s="195">
        <v>0</v>
      </c>
      <c r="AF44" s="195">
        <v>0</v>
      </c>
      <c r="AG44" s="195">
        <v>0</v>
      </c>
      <c r="AH44" s="195">
        <v>0</v>
      </c>
      <c r="AI44" s="195">
        <v>0</v>
      </c>
      <c r="AJ44" s="195">
        <v>0</v>
      </c>
      <c r="AK44" s="195">
        <v>0</v>
      </c>
      <c r="AL44" s="195">
        <v>0</v>
      </c>
      <c r="AM44" s="195">
        <v>0</v>
      </c>
      <c r="AN44" s="195">
        <v>0</v>
      </c>
      <c r="AO44" s="195">
        <v>0</v>
      </c>
      <c r="AP44" s="195">
        <v>0</v>
      </c>
      <c r="AQ44" s="195">
        <v>0</v>
      </c>
      <c r="AR44" s="195">
        <v>0</v>
      </c>
      <c r="AS44" s="195">
        <v>0</v>
      </c>
      <c r="AT44" s="195">
        <v>0</v>
      </c>
      <c r="AU44" s="195">
        <v>0</v>
      </c>
      <c r="AV44" s="195">
        <v>0</v>
      </c>
      <c r="AW44" s="195">
        <v>19520000</v>
      </c>
      <c r="AX44" s="195">
        <v>45617052.68</v>
      </c>
      <c r="AY44" s="195">
        <v>61820356.850000001</v>
      </c>
      <c r="AZ44" s="195">
        <v>83604297.829999998</v>
      </c>
      <c r="BA44" s="195">
        <v>103220824.3</v>
      </c>
      <c r="BB44" s="195">
        <v>117327681.63</v>
      </c>
      <c r="BC44" s="195">
        <v>137721398.38999999</v>
      </c>
      <c r="BD44" s="195">
        <v>154464914.69</v>
      </c>
      <c r="BE44" s="195">
        <v>167292178.40000001</v>
      </c>
      <c r="BF44" s="195">
        <v>170129136.16</v>
      </c>
      <c r="BG44" s="195">
        <v>177379136.16</v>
      </c>
      <c r="BH44" s="195">
        <v>22393591.199999999</v>
      </c>
      <c r="BI44" s="195">
        <v>23473351.199999999</v>
      </c>
      <c r="BJ44" s="195">
        <v>18383975.039999999</v>
      </c>
      <c r="BK44" s="195">
        <v>19826095.039999999</v>
      </c>
      <c r="BL44" s="195">
        <v>20681650</v>
      </c>
      <c r="BM44" s="195">
        <v>6638650</v>
      </c>
      <c r="BN44" s="195">
        <v>0</v>
      </c>
      <c r="BO44" s="195">
        <v>0</v>
      </c>
      <c r="BP44" s="195">
        <v>0</v>
      </c>
      <c r="BQ44" s="195">
        <v>0</v>
      </c>
      <c r="BR44" s="195">
        <v>0</v>
      </c>
      <c r="BS44" s="195">
        <v>0</v>
      </c>
      <c r="BT44" s="195">
        <v>0</v>
      </c>
      <c r="BU44" s="195">
        <v>0</v>
      </c>
      <c r="BV44" s="195">
        <v>0</v>
      </c>
      <c r="BW44" s="195">
        <v>0</v>
      </c>
      <c r="BX44" s="195">
        <v>0</v>
      </c>
      <c r="BY44" s="195">
        <v>0</v>
      </c>
      <c r="BZ44" s="40"/>
      <c r="CA44" s="40"/>
      <c r="CB44" s="40"/>
      <c r="CC44" s="40"/>
      <c r="CD44" s="40"/>
      <c r="CE44" s="40"/>
      <c r="CF44" s="40"/>
      <c r="CG44" s="40"/>
      <c r="CH44" s="40"/>
      <c r="CI44" s="40"/>
      <c r="CJ44" s="40"/>
      <c r="CK44" s="40"/>
      <c r="CL44" s="40"/>
    </row>
    <row r="45" spans="1:90" x14ac:dyDescent="0.25">
      <c r="A45" s="17" t="s">
        <v>31</v>
      </c>
      <c r="B45" s="195">
        <v>0</v>
      </c>
      <c r="C45" s="195">
        <v>0</v>
      </c>
      <c r="D45" s="195">
        <v>0</v>
      </c>
      <c r="E45" s="195">
        <v>0</v>
      </c>
      <c r="F45" s="195">
        <v>0</v>
      </c>
      <c r="G45" s="195">
        <v>0</v>
      </c>
      <c r="H45" s="195">
        <v>1400000000</v>
      </c>
      <c r="I45" s="195">
        <v>1700000000</v>
      </c>
      <c r="J45" s="195">
        <v>1700000000</v>
      </c>
      <c r="K45" s="195">
        <v>300000000</v>
      </c>
      <c r="L45" s="195">
        <v>300000000</v>
      </c>
      <c r="M45" s="195">
        <v>0</v>
      </c>
      <c r="N45" s="195">
        <v>0</v>
      </c>
      <c r="O45" s="195">
        <v>0</v>
      </c>
      <c r="P45" s="195">
        <v>0</v>
      </c>
      <c r="Q45" s="195">
        <v>0</v>
      </c>
      <c r="R45" s="195">
        <v>201173356</v>
      </c>
      <c r="S45" s="195">
        <v>153500000</v>
      </c>
      <c r="T45" s="195">
        <v>152970000</v>
      </c>
      <c r="U45" s="195">
        <v>155800000</v>
      </c>
      <c r="V45" s="195">
        <v>153400000</v>
      </c>
      <c r="W45" s="195">
        <v>155400000</v>
      </c>
      <c r="X45" s="195">
        <v>153600000</v>
      </c>
      <c r="Y45" s="195">
        <v>153000000</v>
      </c>
      <c r="Z45" s="195">
        <v>2000000</v>
      </c>
      <c r="AA45" s="195">
        <v>0</v>
      </c>
      <c r="AB45" s="195">
        <v>0</v>
      </c>
      <c r="AC45" s="195">
        <v>850000000</v>
      </c>
      <c r="AD45" s="195">
        <v>854630000</v>
      </c>
      <c r="AE45" s="195">
        <v>4630000</v>
      </c>
      <c r="AF45" s="195">
        <v>0</v>
      </c>
      <c r="AG45" s="195">
        <v>0</v>
      </c>
      <c r="AH45" s="195">
        <v>58853644.840000004</v>
      </c>
      <c r="AI45" s="195">
        <v>85453644.840000004</v>
      </c>
      <c r="AJ45" s="195">
        <v>143876644.84</v>
      </c>
      <c r="AK45" s="195">
        <v>163734583.99000001</v>
      </c>
      <c r="AL45" s="195">
        <v>135903644.84</v>
      </c>
      <c r="AM45" s="195">
        <v>257110757.21000001</v>
      </c>
      <c r="AN45" s="195">
        <v>240790107.41</v>
      </c>
      <c r="AO45" s="195">
        <v>361466191.70999998</v>
      </c>
      <c r="AP45" s="195">
        <v>0</v>
      </c>
      <c r="AQ45" s="195">
        <v>150261135.88</v>
      </c>
      <c r="AR45" s="195">
        <v>217111795.66999999</v>
      </c>
      <c r="AS45" s="195">
        <v>131007809.98999999</v>
      </c>
      <c r="AT45" s="195">
        <v>5800000</v>
      </c>
      <c r="AU45" s="195">
        <v>5800000</v>
      </c>
      <c r="AV45" s="195">
        <v>1684000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6818707417.6599998</v>
      </c>
      <c r="C49" s="35">
        <f>SUM(C35:C41)+SUM(C43:C45)</f>
        <v>11073831760.32</v>
      </c>
      <c r="D49" s="35">
        <f>SUM(D35:D41)+SUM(D43:D45)</f>
        <v>11690771361.619999</v>
      </c>
      <c r="E49" s="35">
        <f>SUM(E35:E45)</f>
        <v>13318649241.870001</v>
      </c>
      <c r="F49" s="35">
        <f t="shared" ref="F49:BQ49" si="4">SUM(F35:F45)</f>
        <v>12092975920.490002</v>
      </c>
      <c r="G49" s="35">
        <f t="shared" si="4"/>
        <v>10493665177.300001</v>
      </c>
      <c r="H49" s="35">
        <f t="shared" si="4"/>
        <v>11570706878.789999</v>
      </c>
      <c r="I49" s="35">
        <f t="shared" si="4"/>
        <v>10431017543.610001</v>
      </c>
      <c r="J49" s="35">
        <f t="shared" si="4"/>
        <v>11635343034.239998</v>
      </c>
      <c r="K49" s="35">
        <f t="shared" si="4"/>
        <v>9044367135.5</v>
      </c>
      <c r="L49" s="35">
        <f t="shared" si="4"/>
        <v>8573381253.3900003</v>
      </c>
      <c r="M49" s="35">
        <f t="shared" si="4"/>
        <v>7310270496.6900015</v>
      </c>
      <c r="N49" s="35">
        <f t="shared" si="4"/>
        <v>6806065766.25</v>
      </c>
      <c r="O49" s="35">
        <f t="shared" si="4"/>
        <v>6772745042.2399998</v>
      </c>
      <c r="P49" s="35">
        <f t="shared" si="4"/>
        <v>5952058363.8099995</v>
      </c>
      <c r="Q49" s="35">
        <f t="shared" si="4"/>
        <v>6350645774.1100006</v>
      </c>
      <c r="R49" s="35">
        <f t="shared" si="4"/>
        <v>5341351477.0099993</v>
      </c>
      <c r="S49" s="35">
        <f t="shared" si="4"/>
        <v>4716499432.3199997</v>
      </c>
      <c r="T49" s="35">
        <f t="shared" si="4"/>
        <v>5230015340.5100002</v>
      </c>
      <c r="U49" s="35">
        <f t="shared" si="4"/>
        <v>5341129125.6700001</v>
      </c>
      <c r="V49" s="35">
        <f t="shared" si="4"/>
        <v>4339185893.8099995</v>
      </c>
      <c r="W49" s="35">
        <f t="shared" si="4"/>
        <v>3959101728.79</v>
      </c>
      <c r="X49" s="35">
        <f t="shared" si="4"/>
        <v>3795999904.1200004</v>
      </c>
      <c r="Y49" s="35">
        <f t="shared" si="4"/>
        <v>3374306506.6299996</v>
      </c>
      <c r="Z49" s="35">
        <f t="shared" si="4"/>
        <v>3055250603.8500004</v>
      </c>
      <c r="AA49" s="35">
        <f t="shared" si="4"/>
        <v>2360555071.6599998</v>
      </c>
      <c r="AB49" s="35">
        <f t="shared" si="4"/>
        <v>2168089281.0999999</v>
      </c>
      <c r="AC49" s="35">
        <f t="shared" si="4"/>
        <v>2210977054.6199999</v>
      </c>
      <c r="AD49" s="35">
        <f t="shared" si="4"/>
        <v>2150410218.54</v>
      </c>
      <c r="AE49" s="35">
        <f t="shared" si="4"/>
        <v>1698342704.2500002</v>
      </c>
      <c r="AF49" s="35">
        <f t="shared" si="4"/>
        <v>1500411886.9400001</v>
      </c>
      <c r="AG49" s="35">
        <f t="shared" si="4"/>
        <v>1137726939.4900002</v>
      </c>
      <c r="AH49" s="35">
        <f t="shared" si="4"/>
        <v>951159712.38000011</v>
      </c>
      <c r="AI49" s="35">
        <f t="shared" si="4"/>
        <v>958758384.83000004</v>
      </c>
      <c r="AJ49" s="35">
        <f t="shared" si="4"/>
        <v>977572098.16999996</v>
      </c>
      <c r="AK49" s="35">
        <f t="shared" si="4"/>
        <v>946277103.49999988</v>
      </c>
      <c r="AL49" s="35">
        <f t="shared" si="4"/>
        <v>926167805.38999999</v>
      </c>
      <c r="AM49" s="35">
        <f t="shared" si="4"/>
        <v>782729371.95999992</v>
      </c>
      <c r="AN49" s="35">
        <f t="shared" si="4"/>
        <v>610930926.75999999</v>
      </c>
      <c r="AO49" s="35">
        <f t="shared" si="4"/>
        <v>709606263.46000004</v>
      </c>
      <c r="AP49" s="35">
        <f t="shared" si="4"/>
        <v>653619028.67000008</v>
      </c>
      <c r="AQ49" s="35">
        <f t="shared" si="4"/>
        <v>847321861.74999988</v>
      </c>
      <c r="AR49" s="35">
        <f t="shared" si="4"/>
        <v>1066869145.5700001</v>
      </c>
      <c r="AS49" s="35">
        <f t="shared" si="4"/>
        <v>1031725565.5</v>
      </c>
      <c r="AT49" s="35">
        <f t="shared" si="4"/>
        <v>1081554090.8099999</v>
      </c>
      <c r="AU49" s="35">
        <f t="shared" si="4"/>
        <v>990434991.48000002</v>
      </c>
      <c r="AV49" s="35">
        <f t="shared" si="4"/>
        <v>867408073.62</v>
      </c>
      <c r="AW49" s="35">
        <f t="shared" si="4"/>
        <v>779038529.33000004</v>
      </c>
      <c r="AX49" s="35">
        <f t="shared" si="4"/>
        <v>928914395.14999998</v>
      </c>
      <c r="AY49" s="35">
        <f t="shared" si="4"/>
        <v>943338918.88000011</v>
      </c>
      <c r="AZ49" s="35">
        <f t="shared" si="4"/>
        <v>900460251.71999991</v>
      </c>
      <c r="BA49" s="35">
        <f t="shared" si="4"/>
        <v>940264496.88</v>
      </c>
      <c r="BB49" s="35">
        <f t="shared" si="4"/>
        <v>793415742.96000004</v>
      </c>
      <c r="BC49" s="35">
        <f t="shared" si="4"/>
        <v>700884014.05999994</v>
      </c>
      <c r="BD49" s="35">
        <f t="shared" si="4"/>
        <v>702234720.75</v>
      </c>
      <c r="BE49" s="35">
        <f t="shared" si="4"/>
        <v>514984431.13</v>
      </c>
      <c r="BF49" s="35">
        <f t="shared" si="4"/>
        <v>574825863.38</v>
      </c>
      <c r="BG49" s="35">
        <f t="shared" si="4"/>
        <v>583419516.41999996</v>
      </c>
      <c r="BH49" s="35">
        <f t="shared" si="4"/>
        <v>324489671.55000001</v>
      </c>
      <c r="BI49" s="35">
        <f t="shared" si="4"/>
        <v>268987256.79000002</v>
      </c>
      <c r="BJ49" s="35">
        <f t="shared" si="4"/>
        <v>140961052.17000002</v>
      </c>
      <c r="BK49" s="35">
        <f t="shared" si="4"/>
        <v>123717514.12</v>
      </c>
      <c r="BL49" s="35">
        <f t="shared" si="4"/>
        <v>124324202.81999999</v>
      </c>
      <c r="BM49" s="35">
        <f t="shared" si="4"/>
        <v>47106841.580000006</v>
      </c>
      <c r="BN49" s="35">
        <f t="shared" si="4"/>
        <v>58047648.669999994</v>
      </c>
      <c r="BO49" s="35">
        <f t="shared" si="4"/>
        <v>19609754.400000002</v>
      </c>
      <c r="BP49" s="35">
        <f t="shared" si="4"/>
        <v>89368314.149999991</v>
      </c>
      <c r="BQ49" s="35">
        <f t="shared" si="4"/>
        <v>24121951.91</v>
      </c>
      <c r="BR49" s="35">
        <f t="shared" ref="BR49:CK49" si="5">SUM(BR35:BR45)</f>
        <v>0</v>
      </c>
      <c r="BS49" s="35">
        <f t="shared" si="5"/>
        <v>53364346.959999993</v>
      </c>
      <c r="BT49" s="35">
        <f t="shared" si="5"/>
        <v>54763400.589999996</v>
      </c>
      <c r="BU49" s="35">
        <f t="shared" si="5"/>
        <v>49976440.839999996</v>
      </c>
      <c r="BV49" s="35">
        <f t="shared" si="5"/>
        <v>33330847.98</v>
      </c>
      <c r="BW49" s="35">
        <f t="shared" si="5"/>
        <v>3208375.37</v>
      </c>
      <c r="BX49" s="35">
        <f t="shared" si="5"/>
        <v>8045292.1299999999</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15582374131.75</v>
      </c>
      <c r="C50" s="36">
        <f t="shared" ref="C50:BN50" si="6">C33-C49</f>
        <v>11499887219.689995</v>
      </c>
      <c r="D50" s="36">
        <f t="shared" si="6"/>
        <v>11091118129.890003</v>
      </c>
      <c r="E50" s="36">
        <f t="shared" si="6"/>
        <v>9137384226.3999996</v>
      </c>
      <c r="F50" s="36">
        <f t="shared" si="6"/>
        <v>9163648753.7400017</v>
      </c>
      <c r="G50" s="36">
        <f t="shared" si="6"/>
        <v>9098165901.6200008</v>
      </c>
      <c r="H50" s="36">
        <f t="shared" si="6"/>
        <v>4748402884.9799995</v>
      </c>
      <c r="I50" s="36">
        <f t="shared" si="6"/>
        <v>1094826724.3099995</v>
      </c>
      <c r="J50" s="36">
        <f t="shared" si="6"/>
        <v>427111014.3500042</v>
      </c>
      <c r="K50" s="36">
        <f t="shared" si="6"/>
        <v>1772871219.7699986</v>
      </c>
      <c r="L50" s="36">
        <f t="shared" si="6"/>
        <v>855075991.47999859</v>
      </c>
      <c r="M50" s="36">
        <f t="shared" si="6"/>
        <v>1897817179.5699987</v>
      </c>
      <c r="N50" s="36">
        <f t="shared" si="6"/>
        <v>3285722939.9999981</v>
      </c>
      <c r="O50" s="36">
        <f t="shared" si="6"/>
        <v>2511411663.5599995</v>
      </c>
      <c r="P50" s="36">
        <f t="shared" si="6"/>
        <v>3737131530.0600014</v>
      </c>
      <c r="Q50" s="36">
        <f t="shared" si="6"/>
        <v>2568054640.8699989</v>
      </c>
      <c r="R50" s="36">
        <f t="shared" si="6"/>
        <v>2595518572.5500002</v>
      </c>
      <c r="S50" s="36">
        <f t="shared" si="6"/>
        <v>3764345239.46</v>
      </c>
      <c r="T50" s="36">
        <f t="shared" si="6"/>
        <v>3233358907.3699989</v>
      </c>
      <c r="U50" s="36">
        <f t="shared" si="6"/>
        <v>1992077988.9899998</v>
      </c>
      <c r="V50" s="36">
        <f t="shared" si="6"/>
        <v>3868929750.6200008</v>
      </c>
      <c r="W50" s="36">
        <f t="shared" si="6"/>
        <v>4061510920.7600002</v>
      </c>
      <c r="X50" s="36">
        <f t="shared" si="6"/>
        <v>4112388298.4499993</v>
      </c>
      <c r="Y50" s="36">
        <f t="shared" si="6"/>
        <v>3637683221.2400002</v>
      </c>
      <c r="Z50" s="36">
        <f t="shared" si="6"/>
        <v>5332459529.6999979</v>
      </c>
      <c r="AA50" s="36">
        <f t="shared" si="6"/>
        <v>4676653230.4200001</v>
      </c>
      <c r="AB50" s="36">
        <f t="shared" si="6"/>
        <v>4422620156.4400005</v>
      </c>
      <c r="AC50" s="36">
        <f t="shared" si="6"/>
        <v>3614410068.1599998</v>
      </c>
      <c r="AD50" s="36">
        <f t="shared" si="6"/>
        <v>3557972787.4200001</v>
      </c>
      <c r="AE50" s="36">
        <f t="shared" si="6"/>
        <v>3496150481.8700008</v>
      </c>
      <c r="AF50" s="36">
        <f t="shared" si="6"/>
        <v>3304654404.3600001</v>
      </c>
      <c r="AG50" s="36">
        <f t="shared" si="6"/>
        <v>2725407551.3399997</v>
      </c>
      <c r="AH50" s="36">
        <f t="shared" si="6"/>
        <v>2663640658.2400002</v>
      </c>
      <c r="AI50" s="36">
        <f t="shared" si="6"/>
        <v>1985632391.1400003</v>
      </c>
      <c r="AJ50" s="36">
        <f t="shared" si="6"/>
        <v>1714671914.8999996</v>
      </c>
      <c r="AK50" s="36">
        <f t="shared" si="6"/>
        <v>1580080895.7999997</v>
      </c>
      <c r="AL50" s="36">
        <f t="shared" si="6"/>
        <v>2381564808</v>
      </c>
      <c r="AM50" s="36">
        <f t="shared" si="6"/>
        <v>2075152422.1499996</v>
      </c>
      <c r="AN50" s="36">
        <f t="shared" si="6"/>
        <v>1713152119.1699998</v>
      </c>
      <c r="AO50" s="36">
        <f t="shared" si="6"/>
        <v>1848442956.6999998</v>
      </c>
      <c r="AP50" s="36">
        <f t="shared" si="6"/>
        <v>2566112259.7200003</v>
      </c>
      <c r="AQ50" s="36">
        <f t="shared" si="6"/>
        <v>2644997334.98</v>
      </c>
      <c r="AR50" s="36">
        <f t="shared" si="6"/>
        <v>2427477533.3000002</v>
      </c>
      <c r="AS50" s="36">
        <f t="shared" si="6"/>
        <v>1601103883.23</v>
      </c>
      <c r="AT50" s="36">
        <f t="shared" si="6"/>
        <v>1163866849.5599999</v>
      </c>
      <c r="AU50" s="36">
        <f t="shared" si="6"/>
        <v>1147312584.1200001</v>
      </c>
      <c r="AV50" s="36">
        <f t="shared" si="6"/>
        <v>1108498988.23</v>
      </c>
      <c r="AW50" s="36">
        <f t="shared" si="6"/>
        <v>367035247.58000004</v>
      </c>
      <c r="AX50" s="36">
        <f t="shared" si="6"/>
        <v>319187480.35000002</v>
      </c>
      <c r="AY50" s="36">
        <f t="shared" si="6"/>
        <v>142988903.90999985</v>
      </c>
      <c r="AZ50" s="36">
        <f t="shared" si="6"/>
        <v>246847415.45999992</v>
      </c>
      <c r="BA50" s="36">
        <f t="shared" si="6"/>
        <v>-33042064.320000052</v>
      </c>
      <c r="BB50" s="36">
        <f t="shared" si="6"/>
        <v>55206208.629999995</v>
      </c>
      <c r="BC50" s="36">
        <f t="shared" si="6"/>
        <v>111212269.33000004</v>
      </c>
      <c r="BD50" s="36">
        <f t="shared" si="6"/>
        <v>-20740992.829999924</v>
      </c>
      <c r="BE50" s="36">
        <f t="shared" si="6"/>
        <v>72604013.649999976</v>
      </c>
      <c r="BF50" s="36">
        <f t="shared" si="6"/>
        <v>-101536782.21000004</v>
      </c>
      <c r="BG50" s="36">
        <f t="shared" si="6"/>
        <v>-228113255.24999994</v>
      </c>
      <c r="BH50" s="36">
        <f t="shared" si="6"/>
        <v>-10272168.180000007</v>
      </c>
      <c r="BI50" s="36">
        <f t="shared" si="6"/>
        <v>-48319084.850000024</v>
      </c>
      <c r="BJ50" s="36">
        <f t="shared" si="6"/>
        <v>45728451.019999981</v>
      </c>
      <c r="BK50" s="36">
        <f t="shared" si="6"/>
        <v>169873366.78999996</v>
      </c>
      <c r="BL50" s="36">
        <f t="shared" si="6"/>
        <v>174461044.75</v>
      </c>
      <c r="BM50" s="36">
        <f t="shared" si="6"/>
        <v>89081973.099999994</v>
      </c>
      <c r="BN50" s="36">
        <f t="shared" si="6"/>
        <v>153130495.05000001</v>
      </c>
      <c r="BO50" s="36">
        <f t="shared" ref="BO50:CK50" si="7">BO33-BO49</f>
        <v>190693588.65000001</v>
      </c>
      <c r="BP50" s="36">
        <f t="shared" si="7"/>
        <v>134393163.49000001</v>
      </c>
      <c r="BQ50" s="36">
        <f t="shared" si="7"/>
        <v>79958015.530000001</v>
      </c>
      <c r="BR50" s="36">
        <f t="shared" si="7"/>
        <v>0</v>
      </c>
      <c r="BS50" s="36">
        <f t="shared" si="7"/>
        <v>79342735.510000005</v>
      </c>
      <c r="BT50" s="36">
        <f t="shared" si="7"/>
        <v>27173213.830000006</v>
      </c>
      <c r="BU50" s="36">
        <f t="shared" si="7"/>
        <v>86216990</v>
      </c>
      <c r="BV50" s="36">
        <f t="shared" si="7"/>
        <v>31257870.080000002</v>
      </c>
      <c r="BW50" s="36">
        <f t="shared" si="7"/>
        <v>28298458.889999997</v>
      </c>
      <c r="BX50" s="36">
        <f t="shared" si="7"/>
        <v>60825756.07</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8" customFormat="1" x14ac:dyDescent="0.25">
      <c r="A51" s="198" t="s">
        <v>33</v>
      </c>
    </row>
    <row r="52" spans="1:89" s="198" customFormat="1" x14ac:dyDescent="0.25">
      <c r="A52" s="198" t="s">
        <v>34</v>
      </c>
      <c r="B52" s="198">
        <v>27464792548.049999</v>
      </c>
      <c r="C52" s="198">
        <v>27270488991.490002</v>
      </c>
      <c r="D52" s="198">
        <v>27737713996.049999</v>
      </c>
      <c r="E52" s="198">
        <v>27610330297.200001</v>
      </c>
      <c r="F52" s="198">
        <v>26875745942.34</v>
      </c>
      <c r="G52" s="198">
        <v>27854423659.349998</v>
      </c>
      <c r="H52" s="198">
        <v>28324221866.419998</v>
      </c>
      <c r="I52" s="198">
        <v>28467944952.560001</v>
      </c>
      <c r="J52" s="198">
        <v>28156264803.41</v>
      </c>
      <c r="K52" s="198">
        <v>26260546040.91</v>
      </c>
      <c r="L52" s="198">
        <v>25639838997.040001</v>
      </c>
      <c r="M52" s="198">
        <v>20046292042.669998</v>
      </c>
      <c r="N52" s="198">
        <v>15541120179.26</v>
      </c>
      <c r="O52" s="198">
        <v>14940845999.92</v>
      </c>
      <c r="P52" s="198">
        <v>15202737894.35</v>
      </c>
      <c r="Q52" s="198">
        <v>15194706091.809999</v>
      </c>
      <c r="R52" s="198">
        <v>8282893921.8699999</v>
      </c>
      <c r="S52" s="198">
        <v>8468538152.9799995</v>
      </c>
      <c r="T52" s="198">
        <v>8403429056.3900003</v>
      </c>
      <c r="U52" s="198">
        <v>8581742525.6999998</v>
      </c>
      <c r="V52" s="198">
        <v>8213154455.4200001</v>
      </c>
      <c r="W52" s="198">
        <v>8385445702.21</v>
      </c>
      <c r="X52" s="198">
        <v>8506811642.6899996</v>
      </c>
      <c r="Y52" s="198">
        <v>7331466385.9200001</v>
      </c>
      <c r="Z52" s="198">
        <v>7315834420.8900003</v>
      </c>
      <c r="AA52" s="198">
        <v>7021878815.4799995</v>
      </c>
      <c r="AB52" s="198">
        <v>6973039747.8199997</v>
      </c>
      <c r="AC52" s="198">
        <v>6904926388.5</v>
      </c>
      <c r="AD52" s="198">
        <v>6940526824.6899996</v>
      </c>
      <c r="AE52" s="198">
        <v>6878914363.9200001</v>
      </c>
      <c r="AF52" s="198">
        <v>7028201259.4200001</v>
      </c>
      <c r="AG52" s="198">
        <v>6930473425.6899996</v>
      </c>
      <c r="AH52" s="198">
        <v>3007103038.6199999</v>
      </c>
      <c r="AI52" s="198">
        <v>3044359199.9499998</v>
      </c>
      <c r="AJ52" s="198">
        <v>3113034019.25</v>
      </c>
      <c r="AK52" s="198">
        <v>3171488252.02</v>
      </c>
      <c r="AL52" s="198">
        <v>3140094282.9400001</v>
      </c>
      <c r="AM52" s="198">
        <v>3138735615.9899998</v>
      </c>
      <c r="AN52" s="198">
        <v>3209359193.23</v>
      </c>
      <c r="AO52" s="198">
        <v>3270794999.4699998</v>
      </c>
      <c r="AP52" s="198">
        <v>3053570234.6500001</v>
      </c>
      <c r="AQ52" s="198">
        <v>3048236597.2199998</v>
      </c>
      <c r="AR52" s="198">
        <v>3108392153.2199998</v>
      </c>
      <c r="AS52" s="198">
        <v>3168269562.73</v>
      </c>
      <c r="AT52" s="198">
        <v>3013851800.8699999</v>
      </c>
      <c r="AU52" s="198">
        <v>3002774814.4400001</v>
      </c>
      <c r="AV52" s="198">
        <v>3046470440.8200002</v>
      </c>
      <c r="AW52" s="198">
        <v>3211140565.3099999</v>
      </c>
      <c r="AX52" s="198">
        <v>3011158795.48</v>
      </c>
      <c r="AY52" s="198">
        <v>3052357459.6500001</v>
      </c>
      <c r="AZ52" s="198">
        <v>3100906126.9299998</v>
      </c>
      <c r="BA52" s="198">
        <v>1200821161.1800001</v>
      </c>
      <c r="BB52" s="198">
        <v>514718415.57999998</v>
      </c>
      <c r="BC52" s="198">
        <v>518805666.5</v>
      </c>
      <c r="BD52" s="198">
        <v>530706397.14999998</v>
      </c>
      <c r="BE52" s="198">
        <v>542282212.54999995</v>
      </c>
      <c r="BF52" s="198">
        <v>501338322.23000002</v>
      </c>
      <c r="BG52" s="198">
        <v>511067697.66000003</v>
      </c>
      <c r="BH52" s="198">
        <v>547753811.85000002</v>
      </c>
      <c r="BI52" s="198">
        <v>553857998.78999996</v>
      </c>
      <c r="BJ52" s="198">
        <v>540911117.13999999</v>
      </c>
      <c r="BK52" s="198">
        <v>542975646.75</v>
      </c>
      <c r="BL52" s="198">
        <v>530908025.23000002</v>
      </c>
      <c r="BM52" s="198">
        <v>454547167.70999998</v>
      </c>
      <c r="BN52" s="198">
        <v>407784922.23000002</v>
      </c>
      <c r="BO52" s="198">
        <v>292207357.57999998</v>
      </c>
      <c r="BP52" s="198">
        <v>295216991.61000001</v>
      </c>
      <c r="BQ52" s="198">
        <v>301676687.98000002</v>
      </c>
      <c r="BR52" s="198">
        <v>0</v>
      </c>
      <c r="BS52" s="198">
        <v>272725792.60000002</v>
      </c>
      <c r="BT52" s="198">
        <v>224672437.96000001</v>
      </c>
      <c r="BU52" s="198">
        <v>150440787.72999999</v>
      </c>
      <c r="BV52" s="198">
        <v>161324164.68000001</v>
      </c>
      <c r="BW52" s="198">
        <v>127608573</v>
      </c>
      <c r="BX52" s="198">
        <v>32463099.34</v>
      </c>
      <c r="BY52" s="198">
        <v>0</v>
      </c>
    </row>
    <row r="53" spans="1:89" s="198" customFormat="1" x14ac:dyDescent="0.25">
      <c r="A53" s="198" t="s">
        <v>35</v>
      </c>
      <c r="B53" s="198">
        <v>10423807208.24</v>
      </c>
      <c r="C53" s="198">
        <v>8084724528.9200001</v>
      </c>
      <c r="D53" s="198">
        <v>6872457661.6599998</v>
      </c>
      <c r="E53" s="198">
        <v>6419934249.79</v>
      </c>
      <c r="F53" s="198">
        <v>6031416257</v>
      </c>
      <c r="G53" s="198">
        <v>4696787548.8599997</v>
      </c>
      <c r="H53" s="198">
        <v>4457048042.8999996</v>
      </c>
      <c r="I53" s="198">
        <v>4244587397.6399999</v>
      </c>
      <c r="J53" s="198">
        <v>4278312350.96</v>
      </c>
      <c r="K53" s="198">
        <v>6820872393.9200001</v>
      </c>
      <c r="L53" s="198">
        <v>7177772668.6300001</v>
      </c>
      <c r="M53" s="198">
        <v>12409182506.280001</v>
      </c>
      <c r="N53" s="198">
        <v>15743094148.309999</v>
      </c>
      <c r="O53" s="198">
        <v>14745305134.66</v>
      </c>
      <c r="P53" s="198">
        <v>13177217443.719999</v>
      </c>
      <c r="Q53" s="198">
        <v>11724952148.09</v>
      </c>
      <c r="R53" s="198">
        <v>14404264121.92</v>
      </c>
      <c r="S53" s="198">
        <v>11690892067.59</v>
      </c>
      <c r="T53" s="198">
        <v>9688718650.8400002</v>
      </c>
      <c r="U53" s="198">
        <v>8111173521.5600004</v>
      </c>
      <c r="V53" s="198">
        <v>5909174119.3299999</v>
      </c>
      <c r="W53" s="198">
        <v>3916253578.0300002</v>
      </c>
      <c r="X53" s="198">
        <v>2859189104.6399999</v>
      </c>
      <c r="Y53" s="198">
        <v>3630499456.2199998</v>
      </c>
      <c r="Z53" s="198">
        <v>2962583503.6999998</v>
      </c>
      <c r="AA53" s="198">
        <v>2391706422.9000001</v>
      </c>
      <c r="AB53" s="198">
        <v>2011894322.96</v>
      </c>
      <c r="AC53" s="198">
        <v>1509477073.0799999</v>
      </c>
      <c r="AD53" s="198">
        <v>633642795.73000002</v>
      </c>
      <c r="AE53" s="198">
        <v>493980592.55000001</v>
      </c>
      <c r="AF53" s="198">
        <v>347731443.24000001</v>
      </c>
      <c r="AG53" s="198">
        <v>424423195.69999999</v>
      </c>
      <c r="AH53" s="198">
        <v>3446348374</v>
      </c>
      <c r="AI53" s="198">
        <v>3200818545.5500002</v>
      </c>
      <c r="AJ53" s="198">
        <v>2838804091.79</v>
      </c>
      <c r="AK53" s="198">
        <v>2284635605.25</v>
      </c>
      <c r="AL53" s="198">
        <v>1083575141.46</v>
      </c>
      <c r="AM53" s="198">
        <v>638819980.21000004</v>
      </c>
      <c r="AN53" s="198">
        <v>491770818.95999998</v>
      </c>
      <c r="AO53" s="198">
        <v>376540145.83999997</v>
      </c>
      <c r="AP53" s="198">
        <v>381557856.75</v>
      </c>
      <c r="AQ53" s="198">
        <v>229158773.31</v>
      </c>
      <c r="AR53" s="198">
        <v>137702688.37</v>
      </c>
      <c r="AS53" s="198">
        <v>137950009.86000001</v>
      </c>
      <c r="AT53" s="198">
        <v>232921459.44999999</v>
      </c>
      <c r="AU53" s="198">
        <v>216472303.81999999</v>
      </c>
      <c r="AV53" s="198">
        <v>175417523.03999999</v>
      </c>
      <c r="AW53" s="198">
        <v>456411720.36000001</v>
      </c>
      <c r="AX53" s="198">
        <v>447891022.47000003</v>
      </c>
      <c r="AY53" s="198">
        <v>443145140.56999999</v>
      </c>
      <c r="AZ53" s="198">
        <v>401111011.37</v>
      </c>
      <c r="BA53" s="198">
        <v>2182697956.2800002</v>
      </c>
      <c r="BB53" s="198">
        <v>2430417924.8699999</v>
      </c>
      <c r="BC53" s="198">
        <v>2128825869.75</v>
      </c>
      <c r="BD53" s="198">
        <v>1567646215.22</v>
      </c>
      <c r="BE53" s="198">
        <v>1448062021.6099999</v>
      </c>
      <c r="BF53" s="198">
        <v>1005064705.1900001</v>
      </c>
      <c r="BG53" s="198">
        <v>711595799.20000005</v>
      </c>
      <c r="BH53" s="198">
        <v>449154961.02999997</v>
      </c>
      <c r="BI53" s="198">
        <v>335369597.91000003</v>
      </c>
      <c r="BJ53" s="198">
        <v>169955328.56999999</v>
      </c>
      <c r="BK53" s="198">
        <v>78548382.790000007</v>
      </c>
      <c r="BL53" s="198">
        <v>55428337.950000003</v>
      </c>
      <c r="BM53" s="198">
        <v>104884481.54000001</v>
      </c>
      <c r="BN53" s="198">
        <v>87543208.420000002</v>
      </c>
      <c r="BO53" s="198">
        <v>159596408.74000001</v>
      </c>
      <c r="BP53" s="198">
        <v>137773801.31999999</v>
      </c>
      <c r="BQ53" s="198">
        <v>112462102.79000001</v>
      </c>
      <c r="BR53" s="198">
        <v>0</v>
      </c>
      <c r="BS53" s="198">
        <v>38609867.270000003</v>
      </c>
      <c r="BT53" s="198">
        <v>0</v>
      </c>
      <c r="BU53" s="198">
        <v>5815857.7999999998</v>
      </c>
      <c r="BV53" s="198">
        <v>1922036.73</v>
      </c>
      <c r="BW53" s="198">
        <v>27771852.27</v>
      </c>
      <c r="BX53" s="198">
        <v>57895730.579999998</v>
      </c>
      <c r="BY53" s="198">
        <v>0</v>
      </c>
    </row>
    <row r="54" spans="1:89" s="198" customFormat="1" x14ac:dyDescent="0.25">
      <c r="A54" s="198" t="s">
        <v>36</v>
      </c>
      <c r="B54" s="198">
        <v>0</v>
      </c>
      <c r="C54" s="198">
        <v>886582836.88999999</v>
      </c>
      <c r="D54" s="198">
        <v>861655425.39999998</v>
      </c>
      <c r="E54" s="198">
        <v>885595169.94000006</v>
      </c>
      <c r="F54" s="198">
        <v>882519929.28999996</v>
      </c>
      <c r="G54" s="198">
        <v>798436360.15999997</v>
      </c>
      <c r="H54" s="198">
        <v>509536802.60000002</v>
      </c>
      <c r="I54" s="198">
        <v>454182921.75</v>
      </c>
      <c r="J54" s="198">
        <v>491469411.33999997</v>
      </c>
      <c r="K54" s="198">
        <v>380271692.55000001</v>
      </c>
      <c r="L54" s="198">
        <v>302191437.08999997</v>
      </c>
      <c r="M54" s="198">
        <v>288918624.81999999</v>
      </c>
      <c r="N54" s="198">
        <v>547389482.40999997</v>
      </c>
      <c r="O54" s="198">
        <v>1205567516.71</v>
      </c>
      <c r="P54" s="198">
        <v>1427800115.96</v>
      </c>
      <c r="Q54" s="198">
        <v>1651540601.04</v>
      </c>
      <c r="R54" s="198">
        <v>1863114042.3699999</v>
      </c>
      <c r="S54" s="198">
        <v>1803505858.0699999</v>
      </c>
      <c r="T54" s="198">
        <v>1849226197.3099999</v>
      </c>
      <c r="U54" s="198">
        <v>1552221234.21</v>
      </c>
      <c r="V54" s="198">
        <v>829460453.76999998</v>
      </c>
      <c r="W54" s="198">
        <v>521719015.51999998</v>
      </c>
      <c r="X54" s="198">
        <v>123543631.48</v>
      </c>
      <c r="Y54" s="198">
        <v>74954357.370000005</v>
      </c>
      <c r="Z54" s="198">
        <v>50784079.869999997</v>
      </c>
      <c r="AA54" s="198">
        <v>149599659.69</v>
      </c>
      <c r="AB54" s="198">
        <v>107423564.48</v>
      </c>
      <c r="AC54" s="198">
        <v>90320650.329999998</v>
      </c>
      <c r="AD54" s="198">
        <v>169707539.15000001</v>
      </c>
      <c r="AE54" s="198">
        <v>98203090.900000006</v>
      </c>
      <c r="AF54" s="198">
        <v>87688597.280000001</v>
      </c>
      <c r="AG54" s="198">
        <v>47176215.990000002</v>
      </c>
      <c r="AH54" s="198">
        <v>38781152.18</v>
      </c>
      <c r="AI54" s="198">
        <v>62456250.670000002</v>
      </c>
      <c r="AJ54" s="198">
        <v>60619543.990000002</v>
      </c>
      <c r="AK54" s="198">
        <v>68479219.390000001</v>
      </c>
      <c r="AL54" s="198">
        <v>342783774.69</v>
      </c>
      <c r="AM54" s="198">
        <v>109587347.72</v>
      </c>
      <c r="AN54" s="198">
        <v>23007901.109999999</v>
      </c>
      <c r="AO54" s="198">
        <v>20337394.030000001</v>
      </c>
      <c r="AP54" s="198">
        <v>37609033.420000002</v>
      </c>
      <c r="AQ54" s="198">
        <v>36792191.539999999</v>
      </c>
      <c r="AR54" s="198">
        <v>14026281.85</v>
      </c>
      <c r="AS54" s="198">
        <v>10714561.92</v>
      </c>
      <c r="AT54" s="198">
        <v>28452837.210000001</v>
      </c>
      <c r="AU54" s="198">
        <v>16626422.9</v>
      </c>
      <c r="AV54" s="198">
        <v>9072492.3200000003</v>
      </c>
      <c r="AW54" s="198">
        <v>11944548.27</v>
      </c>
      <c r="AX54" s="198">
        <v>64029206.469999999</v>
      </c>
      <c r="AY54" s="198">
        <v>23944836.23</v>
      </c>
      <c r="AZ54" s="198">
        <v>24216537.629999999</v>
      </c>
      <c r="BA54" s="198">
        <v>69390655.019999996</v>
      </c>
      <c r="BB54" s="198">
        <v>164022357.93000001</v>
      </c>
      <c r="BC54" s="198">
        <v>216680985.99000001</v>
      </c>
      <c r="BD54" s="198">
        <v>309795637.45999998</v>
      </c>
      <c r="BE54" s="198">
        <v>79060026.879999995</v>
      </c>
      <c r="BF54" s="198">
        <v>66192681.979999997</v>
      </c>
      <c r="BG54" s="198">
        <v>236307.9</v>
      </c>
      <c r="BH54" s="198">
        <v>74485.2</v>
      </c>
      <c r="BI54" s="198">
        <v>0</v>
      </c>
      <c r="BJ54" s="198">
        <v>0</v>
      </c>
      <c r="BK54" s="198">
        <v>0</v>
      </c>
      <c r="BL54" s="198">
        <v>0</v>
      </c>
      <c r="BM54" s="198">
        <v>0</v>
      </c>
      <c r="BN54" s="198">
        <v>0</v>
      </c>
      <c r="BO54" s="198">
        <v>0</v>
      </c>
      <c r="BP54" s="198">
        <v>0</v>
      </c>
      <c r="BQ54" s="198">
        <v>0</v>
      </c>
      <c r="BR54" s="198">
        <v>0</v>
      </c>
      <c r="BS54" s="198">
        <v>0</v>
      </c>
      <c r="BT54" s="198">
        <v>0</v>
      </c>
      <c r="BU54" s="198">
        <v>0</v>
      </c>
      <c r="BV54" s="198">
        <v>0</v>
      </c>
      <c r="BW54" s="198">
        <v>0</v>
      </c>
      <c r="BX54" s="198">
        <v>0</v>
      </c>
      <c r="BY54" s="198">
        <v>0</v>
      </c>
    </row>
    <row r="55" spans="1:89" s="198" customFormat="1" x14ac:dyDescent="0.25">
      <c r="A55" s="198" t="s">
        <v>37</v>
      </c>
      <c r="B55" s="198">
        <v>0</v>
      </c>
      <c r="C55" s="198">
        <v>0</v>
      </c>
      <c r="D55" s="198">
        <v>0</v>
      </c>
      <c r="E55" s="198">
        <v>0</v>
      </c>
      <c r="F55" s="198">
        <v>0</v>
      </c>
      <c r="G55" s="198">
        <v>0</v>
      </c>
      <c r="H55" s="198">
        <v>0</v>
      </c>
      <c r="I55" s="198">
        <v>0</v>
      </c>
      <c r="J55" s="198">
        <v>0</v>
      </c>
      <c r="K55" s="198">
        <v>0</v>
      </c>
      <c r="L55" s="198">
        <v>0</v>
      </c>
      <c r="M55" s="198">
        <v>0</v>
      </c>
      <c r="N55" s="198">
        <v>0</v>
      </c>
      <c r="O55" s="198">
        <v>0</v>
      </c>
      <c r="P55" s="198">
        <v>0</v>
      </c>
      <c r="Q55" s="198">
        <v>0</v>
      </c>
      <c r="R55" s="198">
        <v>0</v>
      </c>
      <c r="S55" s="198">
        <v>0</v>
      </c>
      <c r="T55" s="198">
        <v>0</v>
      </c>
      <c r="U55" s="198">
        <v>0</v>
      </c>
      <c r="V55" s="198">
        <v>0</v>
      </c>
      <c r="W55" s="198">
        <v>0</v>
      </c>
      <c r="X55" s="198">
        <v>0</v>
      </c>
      <c r="Y55" s="198">
        <v>0</v>
      </c>
      <c r="Z55" s="198">
        <v>0</v>
      </c>
      <c r="AA55" s="198">
        <v>0</v>
      </c>
      <c r="AB55" s="198">
        <v>0</v>
      </c>
      <c r="AC55" s="198">
        <v>0</v>
      </c>
      <c r="AD55" s="198">
        <v>0</v>
      </c>
      <c r="AE55" s="198">
        <v>0</v>
      </c>
      <c r="AF55" s="198">
        <v>0</v>
      </c>
      <c r="AG55" s="198">
        <v>0</v>
      </c>
      <c r="AH55" s="198">
        <v>-4275</v>
      </c>
      <c r="AI55" s="198">
        <v>0</v>
      </c>
      <c r="AJ55" s="198">
        <v>0</v>
      </c>
      <c r="AK55" s="198">
        <v>0</v>
      </c>
      <c r="AL55" s="198">
        <v>0</v>
      </c>
      <c r="AM55" s="198">
        <v>0</v>
      </c>
      <c r="AN55" s="198">
        <v>20717.84</v>
      </c>
      <c r="AO55" s="198">
        <v>0</v>
      </c>
      <c r="AP55" s="198">
        <v>0</v>
      </c>
      <c r="AQ55" s="198">
        <v>0</v>
      </c>
      <c r="AR55" s="198">
        <v>0</v>
      </c>
      <c r="AS55" s="198">
        <v>0</v>
      </c>
      <c r="AT55" s="198">
        <v>0</v>
      </c>
      <c r="AU55" s="198">
        <v>0</v>
      </c>
      <c r="AV55" s="198">
        <v>0</v>
      </c>
      <c r="AW55" s="198">
        <v>0</v>
      </c>
      <c r="AX55" s="198">
        <v>0</v>
      </c>
      <c r="AY55" s="198">
        <v>0</v>
      </c>
      <c r="AZ55" s="198">
        <v>0</v>
      </c>
      <c r="BA55" s="198">
        <v>0</v>
      </c>
      <c r="BB55" s="198">
        <v>0</v>
      </c>
      <c r="BC55" s="198">
        <v>0</v>
      </c>
      <c r="BD55" s="198">
        <v>0</v>
      </c>
      <c r="BE55" s="198">
        <v>0</v>
      </c>
      <c r="BF55" s="198">
        <v>0</v>
      </c>
      <c r="BG55" s="198">
        <v>0</v>
      </c>
      <c r="BH55" s="198">
        <v>0</v>
      </c>
      <c r="BI55" s="198">
        <v>0</v>
      </c>
      <c r="BJ55" s="198">
        <v>0</v>
      </c>
      <c r="BK55" s="198">
        <v>0</v>
      </c>
      <c r="BL55" s="198">
        <v>0</v>
      </c>
      <c r="BM55" s="198">
        <v>0</v>
      </c>
      <c r="BN55" s="198">
        <v>0</v>
      </c>
      <c r="BO55" s="198">
        <v>0</v>
      </c>
      <c r="BP55" s="198">
        <v>0</v>
      </c>
      <c r="BQ55" s="198">
        <v>0</v>
      </c>
      <c r="BR55" s="198">
        <v>0</v>
      </c>
      <c r="BS55" s="198">
        <v>0</v>
      </c>
      <c r="BT55" s="198">
        <v>0</v>
      </c>
      <c r="BU55" s="198">
        <v>0</v>
      </c>
      <c r="BV55" s="198">
        <v>0</v>
      </c>
      <c r="BW55" s="198">
        <v>0</v>
      </c>
      <c r="BX55" s="198">
        <v>0</v>
      </c>
      <c r="BY55" s="198">
        <v>0</v>
      </c>
    </row>
    <row r="56" spans="1:89" s="198" customFormat="1" x14ac:dyDescent="0.25">
      <c r="A56" s="198" t="s">
        <v>38</v>
      </c>
      <c r="B56" s="198">
        <v>0</v>
      </c>
      <c r="C56" s="198">
        <v>0</v>
      </c>
      <c r="D56" s="198">
        <v>0</v>
      </c>
      <c r="E56" s="198">
        <v>0</v>
      </c>
      <c r="F56" s="198">
        <v>0</v>
      </c>
      <c r="G56" s="198">
        <v>0</v>
      </c>
      <c r="H56" s="198">
        <v>0</v>
      </c>
      <c r="I56" s="198">
        <v>0</v>
      </c>
      <c r="J56" s="198">
        <v>0</v>
      </c>
      <c r="K56" s="198">
        <v>0</v>
      </c>
      <c r="L56" s="198">
        <v>0</v>
      </c>
      <c r="M56" s="198">
        <v>0</v>
      </c>
      <c r="N56" s="198">
        <v>0</v>
      </c>
      <c r="O56" s="198">
        <v>0</v>
      </c>
      <c r="P56" s="198">
        <v>0</v>
      </c>
      <c r="Q56" s="198">
        <v>0</v>
      </c>
      <c r="R56" s="198">
        <v>0</v>
      </c>
      <c r="S56" s="198">
        <v>0</v>
      </c>
      <c r="T56" s="198">
        <v>0</v>
      </c>
      <c r="U56" s="198">
        <v>0</v>
      </c>
      <c r="V56" s="198">
        <v>0</v>
      </c>
      <c r="W56" s="198">
        <v>0</v>
      </c>
      <c r="X56" s="198">
        <v>0</v>
      </c>
      <c r="Y56" s="198">
        <v>0</v>
      </c>
      <c r="Z56" s="198">
        <v>0</v>
      </c>
      <c r="AA56" s="198">
        <v>0</v>
      </c>
      <c r="AB56" s="198">
        <v>0</v>
      </c>
      <c r="AC56" s="198">
        <v>0</v>
      </c>
      <c r="AD56" s="198">
        <v>0</v>
      </c>
      <c r="AE56" s="198">
        <v>0</v>
      </c>
      <c r="AF56" s="198">
        <v>0</v>
      </c>
      <c r="AG56" s="198">
        <v>0</v>
      </c>
      <c r="AH56" s="198">
        <v>0</v>
      </c>
      <c r="AI56" s="198">
        <v>0</v>
      </c>
      <c r="AJ56" s="198">
        <v>0</v>
      </c>
      <c r="AK56" s="198">
        <v>0</v>
      </c>
      <c r="AL56" s="198">
        <v>0</v>
      </c>
      <c r="AM56" s="198">
        <v>0</v>
      </c>
      <c r="AN56" s="198">
        <v>0</v>
      </c>
      <c r="AO56" s="198">
        <v>0</v>
      </c>
      <c r="AP56" s="198">
        <v>0</v>
      </c>
      <c r="AQ56" s="198">
        <v>0</v>
      </c>
      <c r="AR56" s="198">
        <v>0</v>
      </c>
      <c r="AS56" s="198">
        <v>0</v>
      </c>
      <c r="AT56" s="198">
        <v>0</v>
      </c>
      <c r="AU56" s="198">
        <v>0</v>
      </c>
      <c r="AV56" s="198">
        <v>0</v>
      </c>
      <c r="AW56" s="198">
        <v>0</v>
      </c>
      <c r="AX56" s="198">
        <v>0</v>
      </c>
      <c r="AY56" s="198">
        <v>0</v>
      </c>
      <c r="AZ56" s="198">
        <v>0</v>
      </c>
      <c r="BA56" s="198">
        <v>0</v>
      </c>
      <c r="BB56" s="198">
        <v>0</v>
      </c>
      <c r="BC56" s="198">
        <v>0</v>
      </c>
      <c r="BD56" s="198">
        <v>0</v>
      </c>
      <c r="BE56" s="198">
        <v>0</v>
      </c>
      <c r="BF56" s="198">
        <v>0</v>
      </c>
      <c r="BG56" s="198">
        <v>0</v>
      </c>
      <c r="BH56" s="198">
        <v>0</v>
      </c>
      <c r="BI56" s="198">
        <v>0</v>
      </c>
      <c r="BJ56" s="198">
        <v>0</v>
      </c>
      <c r="BK56" s="198">
        <v>0</v>
      </c>
      <c r="BL56" s="198">
        <v>0</v>
      </c>
      <c r="BM56" s="198">
        <v>0</v>
      </c>
      <c r="BN56" s="198">
        <v>0</v>
      </c>
      <c r="BO56" s="198">
        <v>0</v>
      </c>
      <c r="BP56" s="198">
        <v>0</v>
      </c>
      <c r="BQ56" s="198">
        <v>0</v>
      </c>
      <c r="BR56" s="198">
        <v>0</v>
      </c>
      <c r="BS56" s="198">
        <v>0</v>
      </c>
      <c r="BT56" s="198">
        <v>0</v>
      </c>
      <c r="BU56" s="198">
        <v>0</v>
      </c>
      <c r="BV56" s="198">
        <v>0</v>
      </c>
      <c r="BW56" s="198">
        <v>0</v>
      </c>
      <c r="BX56" s="198">
        <v>0</v>
      </c>
      <c r="BY56" s="198">
        <v>0</v>
      </c>
    </row>
    <row r="57" spans="1:89" s="198" customFormat="1" x14ac:dyDescent="0.25">
      <c r="A57" s="198" t="s">
        <v>39</v>
      </c>
      <c r="B57" s="198">
        <v>0</v>
      </c>
      <c r="C57" s="198">
        <v>0</v>
      </c>
      <c r="D57" s="198">
        <v>0</v>
      </c>
      <c r="E57" s="198">
        <v>0</v>
      </c>
      <c r="F57" s="198">
        <v>0</v>
      </c>
      <c r="G57" s="198">
        <v>0</v>
      </c>
      <c r="H57" s="198">
        <v>0</v>
      </c>
      <c r="I57" s="198">
        <v>0</v>
      </c>
      <c r="J57" s="198">
        <v>0</v>
      </c>
      <c r="K57" s="198">
        <v>0</v>
      </c>
      <c r="L57" s="198">
        <v>0</v>
      </c>
      <c r="M57" s="198">
        <v>0</v>
      </c>
      <c r="N57" s="198">
        <v>0</v>
      </c>
      <c r="O57" s="198">
        <v>0</v>
      </c>
      <c r="P57" s="198">
        <v>0</v>
      </c>
      <c r="Q57" s="198">
        <v>0</v>
      </c>
      <c r="R57" s="198">
        <v>0</v>
      </c>
      <c r="S57" s="198">
        <v>0</v>
      </c>
      <c r="T57" s="198">
        <v>0</v>
      </c>
      <c r="U57" s="198">
        <v>0</v>
      </c>
      <c r="V57" s="198">
        <v>0</v>
      </c>
      <c r="W57" s="198">
        <v>0</v>
      </c>
      <c r="X57" s="198">
        <v>0</v>
      </c>
      <c r="Y57" s="198">
        <v>0</v>
      </c>
      <c r="Z57" s="198">
        <v>0</v>
      </c>
      <c r="AA57" s="198">
        <v>0</v>
      </c>
      <c r="AB57" s="198">
        <v>0</v>
      </c>
      <c r="AC57" s="198">
        <v>0</v>
      </c>
      <c r="AD57" s="198">
        <v>0</v>
      </c>
      <c r="AE57" s="198">
        <v>0</v>
      </c>
      <c r="AF57" s="198">
        <v>0</v>
      </c>
      <c r="AG57" s="198">
        <v>0</v>
      </c>
      <c r="AH57" s="198">
        <v>0</v>
      </c>
      <c r="AI57" s="198">
        <v>0</v>
      </c>
      <c r="AJ57" s="198">
        <v>0</v>
      </c>
      <c r="AK57" s="198">
        <v>0</v>
      </c>
      <c r="AL57" s="198">
        <v>0</v>
      </c>
      <c r="AM57" s="198">
        <v>0</v>
      </c>
      <c r="AN57" s="198">
        <v>0</v>
      </c>
      <c r="AO57" s="198">
        <v>0</v>
      </c>
      <c r="AP57" s="198">
        <v>0</v>
      </c>
      <c r="AQ57" s="198">
        <v>0</v>
      </c>
      <c r="AR57" s="198">
        <v>0</v>
      </c>
      <c r="AS57" s="198">
        <v>0</v>
      </c>
      <c r="AT57" s="198">
        <v>0</v>
      </c>
      <c r="AU57" s="198">
        <v>0</v>
      </c>
      <c r="AV57" s="198">
        <v>0</v>
      </c>
      <c r="AW57" s="198">
        <v>0</v>
      </c>
      <c r="AX57" s="198">
        <v>0</v>
      </c>
      <c r="AY57" s="198">
        <v>0</v>
      </c>
      <c r="AZ57" s="198">
        <v>0</v>
      </c>
      <c r="BA57" s="198">
        <v>0</v>
      </c>
      <c r="BB57" s="198">
        <v>0</v>
      </c>
      <c r="BC57" s="198">
        <v>0</v>
      </c>
      <c r="BD57" s="198">
        <v>0</v>
      </c>
      <c r="BE57" s="198">
        <v>0</v>
      </c>
      <c r="BF57" s="198">
        <v>0</v>
      </c>
      <c r="BG57" s="198">
        <v>0</v>
      </c>
      <c r="BH57" s="198">
        <v>0</v>
      </c>
      <c r="BI57" s="198">
        <v>0</v>
      </c>
      <c r="BJ57" s="198">
        <v>0</v>
      </c>
      <c r="BK57" s="198">
        <v>0</v>
      </c>
      <c r="BL57" s="198">
        <v>0</v>
      </c>
      <c r="BM57" s="198">
        <v>0</v>
      </c>
      <c r="BN57" s="198">
        <v>0</v>
      </c>
      <c r="BO57" s="198">
        <v>0</v>
      </c>
      <c r="BP57" s="198">
        <v>0</v>
      </c>
      <c r="BQ57" s="198">
        <v>0</v>
      </c>
      <c r="BR57" s="198">
        <v>0</v>
      </c>
      <c r="BS57" s="198">
        <v>0</v>
      </c>
      <c r="BT57" s="198">
        <v>0</v>
      </c>
      <c r="BU57" s="198">
        <v>0</v>
      </c>
      <c r="BV57" s="198">
        <v>0</v>
      </c>
      <c r="BW57" s="198">
        <v>0</v>
      </c>
      <c r="BX57" s="198">
        <v>0</v>
      </c>
      <c r="BY57" s="198">
        <v>0</v>
      </c>
    </row>
    <row r="58" spans="1:89" s="198" customFormat="1" x14ac:dyDescent="0.25">
      <c r="A58" s="198" t="s">
        <v>40</v>
      </c>
      <c r="B58" s="198">
        <v>3099914565.2600002</v>
      </c>
      <c r="C58" s="198">
        <v>2473919642.7199998</v>
      </c>
      <c r="D58" s="198">
        <v>2486784167.23</v>
      </c>
      <c r="E58" s="198">
        <v>2521052340.8299999</v>
      </c>
      <c r="F58" s="198">
        <v>2515787026.27</v>
      </c>
      <c r="G58" s="198">
        <v>2540428030.3800001</v>
      </c>
      <c r="H58" s="198">
        <v>2575537098.3000002</v>
      </c>
      <c r="I58" s="198">
        <v>2611559168.7399998</v>
      </c>
      <c r="J58" s="198">
        <v>2633621929.3600001</v>
      </c>
      <c r="K58" s="198">
        <v>2468350588.0799999</v>
      </c>
      <c r="L58" s="198">
        <v>2353185070.5500002</v>
      </c>
      <c r="M58" s="198">
        <v>2252000441.8899999</v>
      </c>
      <c r="N58" s="198">
        <v>1829545293.73</v>
      </c>
      <c r="O58" s="198">
        <v>1621388446.21</v>
      </c>
      <c r="P58" s="198">
        <v>1594428526.8399999</v>
      </c>
      <c r="Q58" s="198">
        <v>1611644411.28</v>
      </c>
      <c r="R58" s="198">
        <v>1578873505.55</v>
      </c>
      <c r="S58" s="198">
        <v>1586145945.1199999</v>
      </c>
      <c r="T58" s="198">
        <v>1528729050.28</v>
      </c>
      <c r="U58" s="198">
        <v>1435194979.3</v>
      </c>
      <c r="V58" s="198">
        <v>1285790446.0599999</v>
      </c>
      <c r="W58" s="198">
        <v>1296214029.1600001</v>
      </c>
      <c r="X58" s="198">
        <v>1302363684.6900001</v>
      </c>
      <c r="Y58" s="198">
        <v>1200726989.6900001</v>
      </c>
      <c r="Z58" s="198">
        <v>807676004.94000006</v>
      </c>
      <c r="AA58" s="198">
        <v>801715135.16999996</v>
      </c>
      <c r="AB58" s="198">
        <v>801725008.40999997</v>
      </c>
      <c r="AC58" s="198">
        <v>807053366.02999997</v>
      </c>
      <c r="AD58" s="198">
        <v>892022868.63999999</v>
      </c>
      <c r="AE58" s="198">
        <v>891762689.20000005</v>
      </c>
      <c r="AF58" s="198">
        <v>749525786.65999997</v>
      </c>
      <c r="AG58" s="198">
        <v>229348714.94999999</v>
      </c>
      <c r="AH58" s="198">
        <v>147563241.53</v>
      </c>
      <c r="AI58" s="198">
        <v>139155294</v>
      </c>
      <c r="AJ58" s="198">
        <v>139500745.62</v>
      </c>
      <c r="AK58" s="198">
        <v>136840125.19999999</v>
      </c>
      <c r="AL58" s="198">
        <v>137774764.36000001</v>
      </c>
      <c r="AM58" s="198">
        <v>139201486.81999999</v>
      </c>
      <c r="AN58" s="198">
        <v>142555459.21000001</v>
      </c>
      <c r="AO58" s="198">
        <v>143840660.94999999</v>
      </c>
      <c r="AP58" s="198">
        <v>130642293.51000001</v>
      </c>
      <c r="AQ58" s="198">
        <v>131699029.61</v>
      </c>
      <c r="AR58" s="198">
        <v>134651300.81</v>
      </c>
      <c r="AS58" s="198">
        <v>130794538.09</v>
      </c>
      <c r="AT58" s="198">
        <v>131844781.08</v>
      </c>
      <c r="AU58" s="198">
        <v>132776290.97</v>
      </c>
      <c r="AV58" s="198">
        <v>124557800.87</v>
      </c>
      <c r="AW58" s="198">
        <v>1344033.32</v>
      </c>
      <c r="AX58" s="198">
        <v>9077495.0299999993</v>
      </c>
      <c r="AY58" s="198">
        <v>17100</v>
      </c>
      <c r="AZ58" s="198">
        <v>21375</v>
      </c>
      <c r="BA58" s="198">
        <v>25650</v>
      </c>
      <c r="BB58" s="198">
        <v>29925</v>
      </c>
      <c r="BC58" s="198">
        <v>34200</v>
      </c>
      <c r="BD58" s="198">
        <v>0</v>
      </c>
      <c r="BE58" s="198">
        <v>0</v>
      </c>
      <c r="BF58" s="198">
        <v>0</v>
      </c>
      <c r="BG58" s="198">
        <v>0</v>
      </c>
      <c r="BH58" s="198">
        <v>0</v>
      </c>
      <c r="BI58" s="198">
        <v>0</v>
      </c>
      <c r="BJ58" s="198">
        <v>0</v>
      </c>
      <c r="BK58" s="198">
        <v>0</v>
      </c>
      <c r="BL58" s="198">
        <v>0</v>
      </c>
      <c r="BM58" s="198">
        <v>0</v>
      </c>
      <c r="BN58" s="198">
        <v>0</v>
      </c>
      <c r="BO58" s="198">
        <v>0</v>
      </c>
      <c r="BP58" s="198">
        <v>0</v>
      </c>
      <c r="BQ58" s="198">
        <v>0</v>
      </c>
      <c r="BR58" s="198">
        <v>0</v>
      </c>
      <c r="BS58" s="198">
        <v>0</v>
      </c>
      <c r="BT58" s="198">
        <v>0</v>
      </c>
      <c r="BU58" s="198">
        <v>0</v>
      </c>
      <c r="BV58" s="198">
        <v>0</v>
      </c>
      <c r="BW58" s="198">
        <v>0</v>
      </c>
      <c r="BX58" s="198">
        <v>0</v>
      </c>
      <c r="BY58" s="198">
        <v>0</v>
      </c>
    </row>
    <row r="59" spans="1:89" s="198" customFormat="1" x14ac:dyDescent="0.25">
      <c r="A59" s="198" t="s">
        <v>41</v>
      </c>
      <c r="B59" s="198">
        <v>0</v>
      </c>
      <c r="C59" s="198">
        <v>0</v>
      </c>
      <c r="D59" s="198">
        <v>0</v>
      </c>
      <c r="E59" s="198">
        <v>0</v>
      </c>
      <c r="F59" s="198">
        <v>0</v>
      </c>
      <c r="G59" s="198">
        <v>0</v>
      </c>
      <c r="H59" s="198">
        <v>0</v>
      </c>
      <c r="I59" s="198">
        <v>0</v>
      </c>
      <c r="J59" s="198">
        <v>0</v>
      </c>
      <c r="K59" s="198">
        <v>0</v>
      </c>
      <c r="L59" s="198">
        <v>0</v>
      </c>
      <c r="M59" s="198">
        <v>0</v>
      </c>
      <c r="N59" s="198">
        <v>0</v>
      </c>
      <c r="O59" s="198">
        <v>0</v>
      </c>
      <c r="P59" s="198">
        <v>0</v>
      </c>
      <c r="Q59" s="198">
        <v>0</v>
      </c>
      <c r="R59" s="198">
        <v>0</v>
      </c>
      <c r="S59" s="198">
        <v>0</v>
      </c>
      <c r="T59" s="198">
        <v>0</v>
      </c>
      <c r="U59" s="198">
        <v>0</v>
      </c>
      <c r="V59" s="198">
        <v>0</v>
      </c>
      <c r="W59" s="198">
        <v>0</v>
      </c>
      <c r="X59" s="198">
        <v>0</v>
      </c>
      <c r="Y59" s="198">
        <v>0</v>
      </c>
      <c r="Z59" s="198">
        <v>0</v>
      </c>
      <c r="AA59" s="198">
        <v>0</v>
      </c>
      <c r="AB59" s="198">
        <v>0</v>
      </c>
      <c r="AC59" s="198">
        <v>0</v>
      </c>
      <c r="AD59" s="198">
        <v>0</v>
      </c>
      <c r="AE59" s="198">
        <v>0</v>
      </c>
      <c r="AF59" s="198">
        <v>0</v>
      </c>
      <c r="AG59" s="198">
        <v>0</v>
      </c>
      <c r="AH59" s="198">
        <v>0</v>
      </c>
      <c r="AI59" s="198">
        <v>0</v>
      </c>
      <c r="AJ59" s="198">
        <v>0</v>
      </c>
      <c r="AK59" s="198">
        <v>0</v>
      </c>
      <c r="AL59" s="198">
        <v>0</v>
      </c>
      <c r="AM59" s="198">
        <v>0</v>
      </c>
      <c r="AN59" s="198">
        <v>0</v>
      </c>
      <c r="AO59" s="198">
        <v>0</v>
      </c>
      <c r="AP59" s="198">
        <v>0</v>
      </c>
      <c r="AQ59" s="198">
        <v>0</v>
      </c>
      <c r="AR59" s="198">
        <v>0</v>
      </c>
      <c r="AS59" s="198">
        <v>0</v>
      </c>
      <c r="AT59" s="198">
        <v>0</v>
      </c>
      <c r="AU59" s="198">
        <v>0</v>
      </c>
      <c r="AV59" s="198">
        <v>0</v>
      </c>
      <c r="AW59" s="198">
        <v>0</v>
      </c>
      <c r="AX59" s="198">
        <v>0</v>
      </c>
      <c r="AY59" s="198">
        <v>0</v>
      </c>
      <c r="AZ59" s="198">
        <v>0</v>
      </c>
      <c r="BA59" s="198">
        <v>0</v>
      </c>
      <c r="BB59" s="198">
        <v>0</v>
      </c>
      <c r="BC59" s="198">
        <v>0</v>
      </c>
      <c r="BD59" s="198">
        <v>0</v>
      </c>
      <c r="BE59" s="198">
        <v>0</v>
      </c>
      <c r="BF59" s="198">
        <v>0</v>
      </c>
      <c r="BG59" s="198">
        <v>0</v>
      </c>
      <c r="BH59" s="198">
        <v>0</v>
      </c>
      <c r="BI59" s="198">
        <v>0</v>
      </c>
      <c r="BJ59" s="198">
        <v>0</v>
      </c>
      <c r="BK59" s="198">
        <v>0</v>
      </c>
      <c r="BL59" s="198">
        <v>0</v>
      </c>
      <c r="BM59" s="198">
        <v>0</v>
      </c>
      <c r="BN59" s="198">
        <v>0</v>
      </c>
      <c r="BO59" s="198">
        <v>0</v>
      </c>
      <c r="BP59" s="198">
        <v>0</v>
      </c>
      <c r="BQ59" s="198">
        <v>0</v>
      </c>
      <c r="BR59" s="198">
        <v>0</v>
      </c>
      <c r="BS59" s="198">
        <v>0</v>
      </c>
      <c r="BT59" s="198">
        <v>0</v>
      </c>
      <c r="BU59" s="198">
        <v>0</v>
      </c>
      <c r="BV59" s="198">
        <v>0</v>
      </c>
      <c r="BW59" s="198">
        <v>0</v>
      </c>
      <c r="BX59" s="198">
        <v>0</v>
      </c>
      <c r="BY59" s="198">
        <v>0</v>
      </c>
    </row>
    <row r="60" spans="1:89" s="198" customFormat="1" x14ac:dyDescent="0.25">
      <c r="A60" s="198" t="s">
        <v>42</v>
      </c>
      <c r="B60" s="198">
        <v>277518585.35000002</v>
      </c>
      <c r="C60" s="198">
        <v>277518585.35000002</v>
      </c>
      <c r="D60" s="198">
        <v>277518585.35000002</v>
      </c>
      <c r="E60" s="198">
        <v>277518585.35000002</v>
      </c>
      <c r="F60" s="198">
        <v>277518585.35000002</v>
      </c>
      <c r="G60" s="198">
        <v>277518585.35000002</v>
      </c>
      <c r="H60" s="198">
        <v>277518585.35000002</v>
      </c>
      <c r="I60" s="198">
        <v>277518585.35000002</v>
      </c>
      <c r="J60" s="198">
        <v>277518585.35000002</v>
      </c>
      <c r="K60" s="198">
        <v>277518585.35000002</v>
      </c>
      <c r="L60" s="198">
        <v>277518585.35000002</v>
      </c>
      <c r="M60" s="198">
        <v>277518585.35000002</v>
      </c>
      <c r="N60" s="198">
        <v>277518585.35000002</v>
      </c>
      <c r="O60" s="198">
        <v>277518585.35000002</v>
      </c>
      <c r="P60" s="198">
        <v>277518585.35000002</v>
      </c>
      <c r="Q60" s="198">
        <v>277518585.35000002</v>
      </c>
      <c r="R60" s="198">
        <v>277518585.35000002</v>
      </c>
      <c r="S60" s="198">
        <v>277518585.35000002</v>
      </c>
      <c r="T60" s="198">
        <v>277518585.35000002</v>
      </c>
      <c r="U60" s="198">
        <v>277518585.35000002</v>
      </c>
      <c r="V60" s="198">
        <v>277518585.35000002</v>
      </c>
      <c r="W60" s="198">
        <v>277518585.35000002</v>
      </c>
      <c r="X60" s="198">
        <v>277518585.35000002</v>
      </c>
      <c r="Y60" s="198">
        <v>277518585.35000002</v>
      </c>
      <c r="Z60" s="198">
        <v>277518585.35000002</v>
      </c>
      <c r="AA60" s="198">
        <v>277518585.35000002</v>
      </c>
      <c r="AB60" s="198">
        <v>277518585.35000002</v>
      </c>
      <c r="AC60" s="198">
        <v>277518585.35000002</v>
      </c>
      <c r="AD60" s="198">
        <v>277518585.35000002</v>
      </c>
      <c r="AE60" s="198">
        <v>277518585.35000002</v>
      </c>
      <c r="AF60" s="198">
        <v>277518585.35000002</v>
      </c>
      <c r="AG60" s="198">
        <v>277518585.35000002</v>
      </c>
      <c r="AH60" s="198">
        <v>0</v>
      </c>
      <c r="AI60" s="198">
        <v>0</v>
      </c>
      <c r="AJ60" s="198">
        <v>0</v>
      </c>
      <c r="AK60" s="198">
        <v>0</v>
      </c>
      <c r="AL60" s="198">
        <v>0</v>
      </c>
      <c r="AM60" s="198">
        <v>0</v>
      </c>
      <c r="AN60" s="198">
        <v>0</v>
      </c>
      <c r="AO60" s="198">
        <v>0</v>
      </c>
      <c r="AP60" s="198">
        <v>0</v>
      </c>
      <c r="AQ60" s="198">
        <v>0</v>
      </c>
      <c r="AR60" s="198">
        <v>0</v>
      </c>
      <c r="AS60" s="198">
        <v>0</v>
      </c>
      <c r="AT60" s="198">
        <v>0</v>
      </c>
      <c r="AU60" s="198">
        <v>0</v>
      </c>
      <c r="AV60" s="198">
        <v>0</v>
      </c>
      <c r="AW60" s="198">
        <v>0</v>
      </c>
      <c r="AX60" s="198">
        <v>0</v>
      </c>
      <c r="AY60" s="198">
        <v>0</v>
      </c>
      <c r="AZ60" s="198">
        <v>0</v>
      </c>
      <c r="BA60" s="198">
        <v>0</v>
      </c>
      <c r="BB60" s="198">
        <v>0</v>
      </c>
      <c r="BC60" s="198">
        <v>0</v>
      </c>
      <c r="BD60" s="198">
        <v>0</v>
      </c>
      <c r="BE60" s="198">
        <v>0</v>
      </c>
      <c r="BF60" s="198">
        <v>0</v>
      </c>
      <c r="BG60" s="198">
        <v>0</v>
      </c>
      <c r="BH60" s="198">
        <v>0</v>
      </c>
      <c r="BI60" s="198">
        <v>0</v>
      </c>
      <c r="BJ60" s="198">
        <v>0</v>
      </c>
      <c r="BK60" s="198">
        <v>0</v>
      </c>
      <c r="BL60" s="198">
        <v>0</v>
      </c>
      <c r="BM60" s="198">
        <v>0</v>
      </c>
      <c r="BN60" s="198">
        <v>0</v>
      </c>
      <c r="BO60" s="198">
        <v>0</v>
      </c>
      <c r="BP60" s="198">
        <v>0</v>
      </c>
      <c r="BQ60" s="198">
        <v>0</v>
      </c>
      <c r="BR60" s="198">
        <v>0</v>
      </c>
      <c r="BS60" s="198">
        <v>0</v>
      </c>
      <c r="BT60" s="198">
        <v>0</v>
      </c>
      <c r="BU60" s="198">
        <v>0</v>
      </c>
      <c r="BV60" s="198">
        <v>0</v>
      </c>
      <c r="BW60" s="198">
        <v>0</v>
      </c>
      <c r="BX60" s="198">
        <v>0</v>
      </c>
      <c r="BY60" s="198">
        <v>0</v>
      </c>
    </row>
    <row r="61" spans="1:89" s="198" customFormat="1" x14ac:dyDescent="0.25">
      <c r="A61" s="198" t="s">
        <v>43</v>
      </c>
      <c r="B61" s="198">
        <v>10896719.52</v>
      </c>
      <c r="C61" s="198">
        <v>12468105.83</v>
      </c>
      <c r="D61" s="198">
        <v>13302887.24</v>
      </c>
      <c r="E61" s="198">
        <v>15473499.25</v>
      </c>
      <c r="F61" s="198">
        <v>17622282.879999999</v>
      </c>
      <c r="G61" s="198">
        <v>19681876.82</v>
      </c>
      <c r="H61" s="198">
        <v>15810421.939999999</v>
      </c>
      <c r="I61" s="198">
        <v>17564859.399999999</v>
      </c>
      <c r="J61" s="198">
        <v>19323199.719999999</v>
      </c>
      <c r="K61" s="198">
        <v>21046248.030000001</v>
      </c>
      <c r="L61" s="198">
        <v>0</v>
      </c>
      <c r="M61" s="198">
        <v>0</v>
      </c>
      <c r="N61" s="198">
        <v>46660538.18</v>
      </c>
      <c r="O61" s="198">
        <v>50374363.799999997</v>
      </c>
      <c r="P61" s="198">
        <v>51803672.229999997</v>
      </c>
      <c r="Q61" s="198">
        <v>33355660.239999998</v>
      </c>
      <c r="R61" s="198">
        <v>25996932.469999999</v>
      </c>
      <c r="S61" s="198">
        <v>21984196.449999999</v>
      </c>
      <c r="T61" s="198">
        <v>14765244.619999999</v>
      </c>
      <c r="U61" s="198">
        <v>13723209.26</v>
      </c>
      <c r="V61" s="198">
        <v>16599815.57</v>
      </c>
      <c r="W61" s="198">
        <v>14238429.369999999</v>
      </c>
      <c r="X61" s="198">
        <v>14869651.33</v>
      </c>
      <c r="Y61" s="198">
        <v>15252834.609999999</v>
      </c>
      <c r="Z61" s="198">
        <v>15580998.27</v>
      </c>
      <c r="AA61" s="198">
        <v>14217698.58</v>
      </c>
      <c r="AB61" s="198">
        <v>9641738.0899999999</v>
      </c>
      <c r="AC61" s="198">
        <v>10955655.74</v>
      </c>
      <c r="AD61" s="198">
        <v>11909469.25</v>
      </c>
      <c r="AE61" s="198">
        <v>12686718.390000001</v>
      </c>
      <c r="AF61" s="198">
        <v>8045069.8899999997</v>
      </c>
      <c r="AG61" s="198">
        <v>8922775.6600000001</v>
      </c>
      <c r="AH61" s="198">
        <v>581627.39</v>
      </c>
      <c r="AI61" s="198">
        <v>98285.06</v>
      </c>
      <c r="AJ61" s="198">
        <v>0</v>
      </c>
      <c r="AK61" s="198">
        <v>0</v>
      </c>
      <c r="AL61" s="198">
        <v>0</v>
      </c>
      <c r="AM61" s="198">
        <v>0</v>
      </c>
      <c r="AN61" s="198">
        <v>0</v>
      </c>
      <c r="AO61" s="198">
        <v>0</v>
      </c>
      <c r="AP61" s="198">
        <v>0</v>
      </c>
      <c r="AQ61" s="198">
        <v>0</v>
      </c>
      <c r="AR61" s="198">
        <v>0</v>
      </c>
      <c r="AS61" s="198">
        <v>0</v>
      </c>
      <c r="AT61" s="198">
        <v>0</v>
      </c>
      <c r="AU61" s="198">
        <v>0</v>
      </c>
      <c r="AV61" s="198">
        <v>0</v>
      </c>
      <c r="AW61" s="198">
        <v>0</v>
      </c>
      <c r="AX61" s="198">
        <v>0</v>
      </c>
      <c r="AY61" s="198">
        <v>0</v>
      </c>
      <c r="AZ61" s="198">
        <v>0</v>
      </c>
      <c r="BA61" s="198">
        <v>1292188.47</v>
      </c>
      <c r="BB61" s="198">
        <v>6829440.0199999996</v>
      </c>
      <c r="BC61" s="198">
        <v>4985131.4400000004</v>
      </c>
      <c r="BD61" s="198">
        <v>727557.32</v>
      </c>
      <c r="BE61" s="198">
        <v>727557.32</v>
      </c>
      <c r="BF61" s="198">
        <v>485419.63</v>
      </c>
      <c r="BG61" s="198">
        <v>485419.63</v>
      </c>
      <c r="BH61" s="198">
        <v>485419.63</v>
      </c>
      <c r="BI61" s="198">
        <v>485419.63</v>
      </c>
      <c r="BJ61" s="198">
        <v>354664.93</v>
      </c>
      <c r="BK61" s="198">
        <v>0</v>
      </c>
      <c r="BL61" s="198">
        <v>0</v>
      </c>
      <c r="BM61" s="198">
        <v>0</v>
      </c>
      <c r="BN61" s="198">
        <v>0</v>
      </c>
      <c r="BO61" s="198">
        <v>0</v>
      </c>
      <c r="BP61" s="198">
        <v>0</v>
      </c>
      <c r="BQ61" s="198">
        <v>0</v>
      </c>
      <c r="BR61" s="198">
        <v>0</v>
      </c>
      <c r="BS61" s="198">
        <v>0</v>
      </c>
      <c r="BT61" s="198">
        <v>0</v>
      </c>
      <c r="BU61" s="198">
        <v>0</v>
      </c>
      <c r="BV61" s="198">
        <v>0</v>
      </c>
      <c r="BW61" s="198">
        <v>0</v>
      </c>
      <c r="BX61" s="198">
        <v>0</v>
      </c>
      <c r="BY61" s="198">
        <v>0</v>
      </c>
    </row>
    <row r="62" spans="1:89" s="198" customFormat="1" x14ac:dyDescent="0.25">
      <c r="A62" s="198" t="s">
        <v>44</v>
      </c>
      <c r="B62" s="198">
        <v>1093651228.55</v>
      </c>
      <c r="C62" s="198">
        <v>988608457.95000005</v>
      </c>
      <c r="D62" s="198">
        <v>965237825.39999998</v>
      </c>
      <c r="E62" s="198">
        <v>1025337106.74</v>
      </c>
      <c r="F62" s="198">
        <v>971554072.52999997</v>
      </c>
      <c r="G62" s="198">
        <v>644164375.10000002</v>
      </c>
      <c r="H62" s="198">
        <v>558368491.55999994</v>
      </c>
      <c r="I62" s="198">
        <v>447603763.74000001</v>
      </c>
      <c r="J62" s="198">
        <v>454082024.14999998</v>
      </c>
      <c r="K62" s="198">
        <v>373086228.72000003</v>
      </c>
      <c r="L62" s="198">
        <v>315625167.63</v>
      </c>
      <c r="M62" s="198">
        <v>337540615.06</v>
      </c>
      <c r="N62" s="198">
        <v>216515599.40000001</v>
      </c>
      <c r="O62" s="198">
        <v>280845845.41000003</v>
      </c>
      <c r="P62" s="198">
        <v>282041155.38</v>
      </c>
      <c r="Q62" s="198">
        <v>289562552.20999998</v>
      </c>
      <c r="R62" s="198">
        <v>210972416.61000001</v>
      </c>
      <c r="S62" s="198">
        <v>192834275.5</v>
      </c>
      <c r="T62" s="198">
        <v>125926363.09999999</v>
      </c>
      <c r="U62" s="198">
        <v>149250013.84</v>
      </c>
      <c r="V62" s="198">
        <v>154210525.69</v>
      </c>
      <c r="W62" s="198">
        <v>142684756.84999999</v>
      </c>
      <c r="X62" s="198">
        <v>101120229.31999999</v>
      </c>
      <c r="Y62" s="198">
        <v>107539272.72</v>
      </c>
      <c r="Z62" s="198">
        <v>64545609.07</v>
      </c>
      <c r="AA62" s="198">
        <v>53709224.07</v>
      </c>
      <c r="AB62" s="198">
        <v>37324547.960000001</v>
      </c>
      <c r="AC62" s="198">
        <v>55703060.469999999</v>
      </c>
      <c r="AD62" s="198">
        <v>62120528.719999999</v>
      </c>
      <c r="AE62" s="198">
        <v>56338061.979999997</v>
      </c>
      <c r="AF62" s="198">
        <v>25665860.079999998</v>
      </c>
      <c r="AG62" s="198">
        <v>30844167.579999998</v>
      </c>
      <c r="AH62" s="198">
        <v>27140803.390000001</v>
      </c>
      <c r="AI62" s="198">
        <v>30834241.670000002</v>
      </c>
      <c r="AJ62" s="198">
        <v>34144766.299999997</v>
      </c>
      <c r="AK62" s="198">
        <v>39921871.270000003</v>
      </c>
      <c r="AL62" s="198">
        <v>38241626.659999996</v>
      </c>
      <c r="AM62" s="198">
        <v>39623227.640000001</v>
      </c>
      <c r="AN62" s="198">
        <v>27137390.010000002</v>
      </c>
      <c r="AO62" s="198">
        <v>31202175.16</v>
      </c>
      <c r="AP62" s="198">
        <v>62262437.82</v>
      </c>
      <c r="AQ62" s="198">
        <v>68659748.439999998</v>
      </c>
      <c r="AR62" s="198">
        <v>81759656.409999996</v>
      </c>
      <c r="AS62" s="198">
        <v>49657543.729999997</v>
      </c>
      <c r="AT62" s="198">
        <v>39542329.969999999</v>
      </c>
      <c r="AU62" s="198">
        <v>50741697.509999998</v>
      </c>
      <c r="AV62" s="198">
        <v>45632219.380000003</v>
      </c>
      <c r="AW62" s="198">
        <v>0</v>
      </c>
      <c r="AX62" s="198">
        <v>0</v>
      </c>
      <c r="AY62" s="198">
        <v>0</v>
      </c>
      <c r="AZ62" s="198">
        <v>0</v>
      </c>
      <c r="BA62" s="198">
        <v>0</v>
      </c>
      <c r="BB62" s="198">
        <v>0</v>
      </c>
      <c r="BC62" s="198">
        <v>0</v>
      </c>
      <c r="BD62" s="198">
        <v>0</v>
      </c>
      <c r="BE62" s="198">
        <v>0</v>
      </c>
      <c r="BF62" s="198">
        <v>0</v>
      </c>
      <c r="BG62" s="198">
        <v>0</v>
      </c>
      <c r="BH62" s="198">
        <v>0</v>
      </c>
      <c r="BI62" s="198">
        <v>0</v>
      </c>
      <c r="BJ62" s="198">
        <v>0</v>
      </c>
      <c r="BK62" s="198">
        <v>0</v>
      </c>
      <c r="BL62" s="198">
        <v>0</v>
      </c>
      <c r="BM62" s="198">
        <v>0</v>
      </c>
      <c r="BN62" s="198">
        <v>0</v>
      </c>
      <c r="BO62" s="198">
        <v>0</v>
      </c>
      <c r="BP62" s="198">
        <v>0</v>
      </c>
      <c r="BQ62" s="198">
        <v>0</v>
      </c>
      <c r="BR62" s="198">
        <v>0</v>
      </c>
      <c r="BS62" s="198">
        <v>0</v>
      </c>
      <c r="BT62" s="198">
        <v>0</v>
      </c>
      <c r="BU62" s="198">
        <v>0</v>
      </c>
      <c r="BV62" s="198">
        <v>0</v>
      </c>
      <c r="BW62" s="198">
        <v>0</v>
      </c>
      <c r="BX62" s="198">
        <v>0</v>
      </c>
      <c r="BY62" s="198">
        <v>0</v>
      </c>
    </row>
    <row r="63" spans="1:89" s="198" customFormat="1" x14ac:dyDescent="0.25">
      <c r="A63" s="198" t="s">
        <v>45</v>
      </c>
      <c r="B63" s="198">
        <v>19232566.82</v>
      </c>
      <c r="C63" s="198">
        <v>18523973.809999999</v>
      </c>
      <c r="D63" s="198">
        <v>14792793.27</v>
      </c>
      <c r="E63" s="198">
        <v>14900951.35</v>
      </c>
      <c r="F63" s="198">
        <v>15979392.9</v>
      </c>
      <c r="G63" s="198">
        <v>16916127.620000001</v>
      </c>
      <c r="H63" s="198">
        <v>17573045.18</v>
      </c>
      <c r="I63" s="198">
        <v>18193330.190000001</v>
      </c>
      <c r="J63" s="198">
        <v>18677347.32</v>
      </c>
      <c r="K63" s="198">
        <v>18831656.27</v>
      </c>
      <c r="L63" s="198">
        <v>19918664.640000001</v>
      </c>
      <c r="M63" s="198">
        <v>20708157.32</v>
      </c>
      <c r="N63" s="198">
        <v>18382599.41</v>
      </c>
      <c r="O63" s="198">
        <v>18439119.09</v>
      </c>
      <c r="P63" s="198">
        <v>19155061.34</v>
      </c>
      <c r="Q63" s="198">
        <v>19508197.41</v>
      </c>
      <c r="R63" s="198">
        <v>22068733.440000001</v>
      </c>
      <c r="S63" s="198">
        <v>22168127.440000001</v>
      </c>
      <c r="T63" s="198">
        <v>22292117.579999998</v>
      </c>
      <c r="U63" s="198">
        <v>19207114.25</v>
      </c>
      <c r="V63" s="198">
        <v>16305603.300000001</v>
      </c>
      <c r="W63" s="198">
        <v>16417362.99</v>
      </c>
      <c r="X63" s="198">
        <v>16536832.92</v>
      </c>
      <c r="Y63" s="198">
        <v>16638243.720000001</v>
      </c>
      <c r="Z63" s="198">
        <v>16965239.440000001</v>
      </c>
      <c r="AA63" s="198">
        <v>17108700.870000001</v>
      </c>
      <c r="AB63" s="198">
        <v>17759027.440000001</v>
      </c>
      <c r="AC63" s="198">
        <v>17456634.16</v>
      </c>
      <c r="AD63" s="198">
        <v>19555305.460000001</v>
      </c>
      <c r="AE63" s="198">
        <v>24156555.149999999</v>
      </c>
      <c r="AF63" s="198">
        <v>26397827.010000002</v>
      </c>
      <c r="AG63" s="198">
        <v>28611485.91</v>
      </c>
      <c r="AH63" s="198">
        <v>10025150.890000001</v>
      </c>
      <c r="AI63" s="198">
        <v>2799399.03</v>
      </c>
      <c r="AJ63" s="198">
        <v>1521588.71</v>
      </c>
      <c r="AK63" s="198">
        <v>2370894.9900000002</v>
      </c>
      <c r="AL63" s="198">
        <v>2541068.9900000002</v>
      </c>
      <c r="AM63" s="198">
        <v>2574428.9900000002</v>
      </c>
      <c r="AN63" s="198">
        <v>2607788.9900000002</v>
      </c>
      <c r="AO63" s="198">
        <v>2641148.9900000002</v>
      </c>
      <c r="AP63" s="198">
        <v>2674508.9900000002</v>
      </c>
      <c r="AQ63" s="198">
        <v>2707868.99</v>
      </c>
      <c r="AR63" s="198">
        <v>2741229.01</v>
      </c>
      <c r="AS63" s="198">
        <v>2901519.32</v>
      </c>
      <c r="AT63" s="198">
        <v>5200304.88</v>
      </c>
      <c r="AU63" s="198">
        <v>7625736.0499999998</v>
      </c>
      <c r="AV63" s="198">
        <v>6376661.4199999999</v>
      </c>
      <c r="AW63" s="198">
        <v>0</v>
      </c>
      <c r="AX63" s="198">
        <v>0</v>
      </c>
      <c r="AY63" s="198">
        <v>0</v>
      </c>
      <c r="AZ63" s="198">
        <v>0</v>
      </c>
      <c r="BA63" s="198">
        <v>0</v>
      </c>
      <c r="BB63" s="198">
        <v>0</v>
      </c>
      <c r="BC63" s="198">
        <v>0</v>
      </c>
      <c r="BD63" s="198">
        <v>0</v>
      </c>
      <c r="BE63" s="198">
        <v>0</v>
      </c>
      <c r="BF63" s="198">
        <v>0</v>
      </c>
      <c r="BG63" s="198">
        <v>0</v>
      </c>
      <c r="BH63" s="198">
        <v>0</v>
      </c>
      <c r="BI63" s="198">
        <v>0</v>
      </c>
      <c r="BJ63" s="198">
        <v>0</v>
      </c>
      <c r="BK63" s="198">
        <v>0</v>
      </c>
      <c r="BL63" s="198">
        <v>0</v>
      </c>
      <c r="BM63" s="198">
        <v>0</v>
      </c>
      <c r="BN63" s="198">
        <v>860.97</v>
      </c>
      <c r="BO63" s="198">
        <v>860.97</v>
      </c>
      <c r="BP63" s="198">
        <v>0</v>
      </c>
      <c r="BQ63" s="198">
        <v>0</v>
      </c>
      <c r="BR63" s="198">
        <v>0</v>
      </c>
      <c r="BS63" s="198">
        <v>0</v>
      </c>
      <c r="BT63" s="198">
        <v>0</v>
      </c>
      <c r="BU63" s="198">
        <v>0</v>
      </c>
      <c r="BV63" s="198">
        <v>0</v>
      </c>
      <c r="BW63" s="198">
        <v>0</v>
      </c>
      <c r="BX63" s="198">
        <v>0</v>
      </c>
      <c r="BY63" s="198">
        <v>0</v>
      </c>
    </row>
    <row r="64" spans="1:89" s="198" customFormat="1" x14ac:dyDescent="0.25">
      <c r="A64" s="198" t="s">
        <v>46</v>
      </c>
      <c r="B64" s="198">
        <v>2187795747.3000002</v>
      </c>
      <c r="C64" s="198">
        <v>1934883139.3</v>
      </c>
      <c r="D64" s="198">
        <v>992857821.76999998</v>
      </c>
      <c r="E64" s="198">
        <v>1007854102.6900001</v>
      </c>
      <c r="F64" s="198">
        <v>710400732.04999995</v>
      </c>
      <c r="G64" s="198">
        <v>728698168.87</v>
      </c>
      <c r="H64" s="198">
        <v>466184681.16000003</v>
      </c>
      <c r="I64" s="198">
        <v>348101676.32999998</v>
      </c>
      <c r="J64" s="198">
        <v>414508336.43000001</v>
      </c>
      <c r="K64" s="198">
        <v>739278348.42999995</v>
      </c>
      <c r="L64" s="198">
        <v>764127972.64999998</v>
      </c>
      <c r="M64" s="198">
        <v>712386763.47000003</v>
      </c>
      <c r="N64" s="198">
        <v>667276525.61000001</v>
      </c>
      <c r="O64" s="198">
        <v>755152218.79999995</v>
      </c>
      <c r="P64" s="198">
        <v>685233000.96000004</v>
      </c>
      <c r="Q64" s="198">
        <v>749129880.13999999</v>
      </c>
      <c r="R64" s="198">
        <v>2579980643.6900001</v>
      </c>
      <c r="S64" s="198">
        <v>1628771546.0999999</v>
      </c>
      <c r="T64" s="198">
        <v>2759771965.9699998</v>
      </c>
      <c r="U64" s="198">
        <v>2512412145.6300001</v>
      </c>
      <c r="V64" s="198">
        <v>2259884835.3899999</v>
      </c>
      <c r="W64" s="198">
        <v>2349975353.48</v>
      </c>
      <c r="X64" s="198">
        <v>2019380842.8800001</v>
      </c>
      <c r="Y64" s="198">
        <v>1365093320.1900001</v>
      </c>
      <c r="Z64" s="198">
        <v>0</v>
      </c>
      <c r="AA64" s="198">
        <v>0</v>
      </c>
      <c r="AB64" s="198">
        <v>0</v>
      </c>
      <c r="AC64" s="198">
        <v>0</v>
      </c>
      <c r="AD64" s="198">
        <v>0</v>
      </c>
      <c r="AE64" s="198">
        <v>0</v>
      </c>
      <c r="AF64" s="198">
        <v>0</v>
      </c>
      <c r="AG64" s="198">
        <v>0</v>
      </c>
      <c r="AH64" s="198">
        <v>0</v>
      </c>
      <c r="AI64" s="198">
        <v>0</v>
      </c>
      <c r="AJ64" s="198">
        <v>0</v>
      </c>
      <c r="AK64" s="198">
        <v>0</v>
      </c>
      <c r="AL64" s="198">
        <v>0</v>
      </c>
      <c r="AM64" s="198">
        <v>0</v>
      </c>
      <c r="AN64" s="198">
        <v>0</v>
      </c>
      <c r="AO64" s="198">
        <v>0</v>
      </c>
      <c r="AP64" s="198">
        <v>0</v>
      </c>
      <c r="AQ64" s="198">
        <v>0</v>
      </c>
      <c r="AR64" s="198">
        <v>0</v>
      </c>
      <c r="AS64" s="198">
        <v>0</v>
      </c>
      <c r="AT64" s="198">
        <v>0</v>
      </c>
      <c r="AU64" s="198">
        <v>0</v>
      </c>
      <c r="AV64" s="198">
        <v>0</v>
      </c>
      <c r="AW64" s="198">
        <v>0</v>
      </c>
      <c r="AX64" s="198">
        <v>0</v>
      </c>
      <c r="AY64" s="198">
        <v>0</v>
      </c>
      <c r="AZ64" s="198">
        <v>0</v>
      </c>
      <c r="BA64" s="198">
        <v>0</v>
      </c>
      <c r="BB64" s="198">
        <v>0</v>
      </c>
      <c r="BC64" s="198">
        <v>0</v>
      </c>
      <c r="BD64" s="198">
        <v>0</v>
      </c>
      <c r="BE64" s="198">
        <v>0</v>
      </c>
      <c r="BF64" s="198">
        <v>0</v>
      </c>
      <c r="BG64" s="198">
        <v>0</v>
      </c>
      <c r="BH64" s="198">
        <v>0</v>
      </c>
      <c r="BI64" s="198">
        <v>0</v>
      </c>
      <c r="BJ64" s="198">
        <v>0</v>
      </c>
      <c r="BK64" s="198">
        <v>0</v>
      </c>
      <c r="BL64" s="198">
        <v>0</v>
      </c>
      <c r="BM64" s="198">
        <v>0</v>
      </c>
      <c r="BN64" s="198">
        <v>0</v>
      </c>
      <c r="BO64" s="198">
        <v>0</v>
      </c>
      <c r="BP64" s="198">
        <v>0</v>
      </c>
      <c r="BQ64" s="198">
        <v>0</v>
      </c>
      <c r="BR64" s="198">
        <v>0</v>
      </c>
      <c r="BS64" s="198">
        <v>0</v>
      </c>
      <c r="BT64" s="198">
        <v>0</v>
      </c>
      <c r="BU64" s="198">
        <v>0</v>
      </c>
      <c r="BV64" s="198">
        <v>0</v>
      </c>
      <c r="BW64" s="198">
        <v>0</v>
      </c>
      <c r="BX64" s="198">
        <v>0</v>
      </c>
      <c r="BY64" s="198">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44539144035.450005</v>
      </c>
      <c r="C68" s="36">
        <f t="shared" ref="C68:BN68" si="8">SUM(C52:C64)-2*C63</f>
        <v>41910670314.639999</v>
      </c>
      <c r="D68" s="36">
        <f t="shared" si="8"/>
        <v>40192735576.829994</v>
      </c>
      <c r="E68" s="36">
        <f t="shared" si="8"/>
        <v>39748194400.440002</v>
      </c>
      <c r="F68" s="36">
        <f t="shared" si="8"/>
        <v>38266585434.809998</v>
      </c>
      <c r="G68" s="36">
        <f t="shared" si="8"/>
        <v>37543222477.270004</v>
      </c>
      <c r="H68" s="36">
        <f t="shared" si="8"/>
        <v>37166652945.050003</v>
      </c>
      <c r="I68" s="36">
        <f t="shared" si="8"/>
        <v>36850869995.320007</v>
      </c>
      <c r="J68" s="36">
        <f t="shared" si="8"/>
        <v>36706423293.400002</v>
      </c>
      <c r="K68" s="36">
        <f t="shared" si="8"/>
        <v>37322138469.719994</v>
      </c>
      <c r="L68" s="36">
        <f t="shared" si="8"/>
        <v>36810341234.300003</v>
      </c>
      <c r="M68" s="36">
        <f t="shared" si="8"/>
        <v>36303131422.219994</v>
      </c>
      <c r="N68" s="36">
        <f t="shared" si="8"/>
        <v>34850737752.839996</v>
      </c>
      <c r="O68" s="36">
        <f t="shared" si="8"/>
        <v>33858558991.769997</v>
      </c>
      <c r="P68" s="36">
        <f t="shared" si="8"/>
        <v>32679625333.449997</v>
      </c>
      <c r="Q68" s="36">
        <f t="shared" si="8"/>
        <v>31512901732.75</v>
      </c>
      <c r="R68" s="36">
        <f t="shared" si="8"/>
        <v>29201545436.389996</v>
      </c>
      <c r="S68" s="36">
        <f t="shared" si="8"/>
        <v>25648022499.719994</v>
      </c>
      <c r="T68" s="36">
        <f t="shared" si="8"/>
        <v>24625792996.279999</v>
      </c>
      <c r="U68" s="36">
        <f t="shared" si="8"/>
        <v>22614029100.599998</v>
      </c>
      <c r="V68" s="36">
        <f t="shared" si="8"/>
        <v>18929487633.280003</v>
      </c>
      <c r="W68" s="36">
        <f t="shared" si="8"/>
        <v>16887632086.980001</v>
      </c>
      <c r="X68" s="36">
        <f t="shared" si="8"/>
        <v>15188260539.459999</v>
      </c>
      <c r="Y68" s="36">
        <f t="shared" si="8"/>
        <v>13986412958.35</v>
      </c>
      <c r="Z68" s="36">
        <f t="shared" si="8"/>
        <v>11477557962.650003</v>
      </c>
      <c r="AA68" s="36">
        <f t="shared" si="8"/>
        <v>10693236840.370001</v>
      </c>
      <c r="AB68" s="36">
        <f t="shared" si="8"/>
        <v>10200808487.629999</v>
      </c>
      <c r="AC68" s="36">
        <f t="shared" si="8"/>
        <v>9638498145.3400002</v>
      </c>
      <c r="AD68" s="36">
        <f t="shared" si="8"/>
        <v>8967893306.0699978</v>
      </c>
      <c r="AE68" s="36">
        <f t="shared" si="8"/>
        <v>8685247547.1399994</v>
      </c>
      <c r="AF68" s="36">
        <f t="shared" si="8"/>
        <v>8497978774.9099998</v>
      </c>
      <c r="AG68" s="36">
        <f t="shared" si="8"/>
        <v>7920095595.0099993</v>
      </c>
      <c r="AH68" s="36">
        <f t="shared" si="8"/>
        <v>6657488811.2200012</v>
      </c>
      <c r="AI68" s="36">
        <f t="shared" si="8"/>
        <v>6474922417.8699999</v>
      </c>
      <c r="AJ68" s="36">
        <f t="shared" si="8"/>
        <v>6184581578.2399998</v>
      </c>
      <c r="AK68" s="36">
        <f t="shared" si="8"/>
        <v>5698994178.1400013</v>
      </c>
      <c r="AL68" s="36">
        <f t="shared" si="8"/>
        <v>4739928521.1199999</v>
      </c>
      <c r="AM68" s="36">
        <f t="shared" si="8"/>
        <v>4063393229.3899994</v>
      </c>
      <c r="AN68" s="36">
        <f t="shared" si="8"/>
        <v>3891243691.3700004</v>
      </c>
      <c r="AO68" s="36">
        <f t="shared" si="8"/>
        <v>3840074226.4599996</v>
      </c>
      <c r="AP68" s="36">
        <f t="shared" si="8"/>
        <v>3662967347.1600003</v>
      </c>
      <c r="AQ68" s="36">
        <f t="shared" si="8"/>
        <v>3511838471.1299996</v>
      </c>
      <c r="AR68" s="36">
        <f t="shared" si="8"/>
        <v>3473790851.6499996</v>
      </c>
      <c r="AS68" s="36">
        <f t="shared" si="8"/>
        <v>3494484697.0100007</v>
      </c>
      <c r="AT68" s="36">
        <f t="shared" si="8"/>
        <v>3441412903.6999993</v>
      </c>
      <c r="AU68" s="36">
        <f t="shared" si="8"/>
        <v>3411765793.5900006</v>
      </c>
      <c r="AV68" s="36">
        <f t="shared" si="8"/>
        <v>3394773815.0100002</v>
      </c>
      <c r="AW68" s="36">
        <f t="shared" si="8"/>
        <v>3680840867.2600002</v>
      </c>
      <c r="AX68" s="36">
        <f t="shared" si="8"/>
        <v>3532156519.4499998</v>
      </c>
      <c r="AY68" s="36">
        <f t="shared" si="8"/>
        <v>3519464536.4500003</v>
      </c>
      <c r="AZ68" s="36">
        <f t="shared" si="8"/>
        <v>3526255050.9299998</v>
      </c>
      <c r="BA68" s="36">
        <f t="shared" si="8"/>
        <v>3454227610.9499998</v>
      </c>
      <c r="BB68" s="36">
        <f t="shared" si="8"/>
        <v>3116018063.3999996</v>
      </c>
      <c r="BC68" s="36">
        <f t="shared" si="8"/>
        <v>2869331853.6799998</v>
      </c>
      <c r="BD68" s="36">
        <f t="shared" si="8"/>
        <v>2408875807.1500001</v>
      </c>
      <c r="BE68" s="36">
        <f t="shared" si="8"/>
        <v>2070131818.3599999</v>
      </c>
      <c r="BF68" s="36">
        <f t="shared" si="8"/>
        <v>1573081129.0300002</v>
      </c>
      <c r="BG68" s="36">
        <f t="shared" si="8"/>
        <v>1223385224.3900003</v>
      </c>
      <c r="BH68" s="36">
        <f t="shared" si="8"/>
        <v>997468677.71000004</v>
      </c>
      <c r="BI68" s="36">
        <f t="shared" si="8"/>
        <v>889713016.33000004</v>
      </c>
      <c r="BJ68" s="36">
        <f t="shared" si="8"/>
        <v>711221110.63999999</v>
      </c>
      <c r="BK68" s="36">
        <f t="shared" si="8"/>
        <v>621524029.53999996</v>
      </c>
      <c r="BL68" s="36">
        <f t="shared" si="8"/>
        <v>586336363.18000007</v>
      </c>
      <c r="BM68" s="36">
        <f t="shared" si="8"/>
        <v>559431649.25</v>
      </c>
      <c r="BN68" s="36">
        <f t="shared" si="8"/>
        <v>495327269.68000007</v>
      </c>
      <c r="BO68" s="36">
        <f t="shared" ref="BO68:CK68" si="9">SUM(BO52:BO64)-2*BO63</f>
        <v>451802905.35000002</v>
      </c>
      <c r="BP68" s="36">
        <f t="shared" si="9"/>
        <v>432990792.93000001</v>
      </c>
      <c r="BQ68" s="36">
        <f t="shared" si="9"/>
        <v>414138790.77000004</v>
      </c>
      <c r="BR68" s="36">
        <f t="shared" si="9"/>
        <v>0</v>
      </c>
      <c r="BS68" s="36">
        <f t="shared" si="9"/>
        <v>311335659.87</v>
      </c>
      <c r="BT68" s="36">
        <f t="shared" si="9"/>
        <v>224672437.96000001</v>
      </c>
      <c r="BU68" s="36">
        <f t="shared" si="9"/>
        <v>156256645.53</v>
      </c>
      <c r="BV68" s="36">
        <f t="shared" si="9"/>
        <v>163246201.41</v>
      </c>
      <c r="BW68" s="36">
        <f t="shared" si="9"/>
        <v>155380425.27000001</v>
      </c>
      <c r="BX68" s="36">
        <f t="shared" si="9"/>
        <v>90358829.920000002</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60121518167.200005</v>
      </c>
      <c r="C69" s="33">
        <f t="shared" ref="C69:BN69" si="10">C50+C68</f>
        <v>53410557534.329994</v>
      </c>
      <c r="D69" s="33">
        <f t="shared" si="10"/>
        <v>51283853706.720001</v>
      </c>
      <c r="E69" s="33">
        <f t="shared" si="10"/>
        <v>48885578626.840004</v>
      </c>
      <c r="F69" s="33">
        <f t="shared" si="10"/>
        <v>47430234188.550003</v>
      </c>
      <c r="G69" s="33">
        <f t="shared" si="10"/>
        <v>46641388378.890007</v>
      </c>
      <c r="H69" s="33">
        <f t="shared" si="10"/>
        <v>41915055830.029999</v>
      </c>
      <c r="I69" s="33">
        <f t="shared" si="10"/>
        <v>37945696719.630005</v>
      </c>
      <c r="J69" s="33">
        <f t="shared" si="10"/>
        <v>37133534307.750008</v>
      </c>
      <c r="K69" s="33">
        <f t="shared" si="10"/>
        <v>39095009689.48999</v>
      </c>
      <c r="L69" s="33">
        <f t="shared" si="10"/>
        <v>37665417225.779999</v>
      </c>
      <c r="M69" s="33">
        <f t="shared" si="10"/>
        <v>38200948601.789993</v>
      </c>
      <c r="N69" s="33">
        <f t="shared" si="10"/>
        <v>38136460692.839996</v>
      </c>
      <c r="O69" s="33">
        <f t="shared" si="10"/>
        <v>36369970655.329994</v>
      </c>
      <c r="P69" s="33">
        <f t="shared" si="10"/>
        <v>36416756863.509995</v>
      </c>
      <c r="Q69" s="33">
        <f t="shared" si="10"/>
        <v>34080956373.619999</v>
      </c>
      <c r="R69" s="33">
        <f t="shared" si="10"/>
        <v>31797064008.939995</v>
      </c>
      <c r="S69" s="33">
        <f t="shared" si="10"/>
        <v>29412367739.179993</v>
      </c>
      <c r="T69" s="33">
        <f t="shared" si="10"/>
        <v>27859151903.649998</v>
      </c>
      <c r="U69" s="33">
        <f t="shared" si="10"/>
        <v>24606107089.589996</v>
      </c>
      <c r="V69" s="33">
        <f t="shared" si="10"/>
        <v>22798417383.900002</v>
      </c>
      <c r="W69" s="33">
        <f t="shared" si="10"/>
        <v>20949143007.740002</v>
      </c>
      <c r="X69" s="33">
        <f t="shared" si="10"/>
        <v>19300648837.91</v>
      </c>
      <c r="Y69" s="33">
        <f t="shared" si="10"/>
        <v>17624096179.59</v>
      </c>
      <c r="Z69" s="33">
        <f t="shared" si="10"/>
        <v>16810017492.350002</v>
      </c>
      <c r="AA69" s="33">
        <f t="shared" si="10"/>
        <v>15369890070.790001</v>
      </c>
      <c r="AB69" s="33">
        <f t="shared" si="10"/>
        <v>14623428644.07</v>
      </c>
      <c r="AC69" s="33">
        <f t="shared" si="10"/>
        <v>13252908213.5</v>
      </c>
      <c r="AD69" s="33">
        <f t="shared" si="10"/>
        <v>12525866093.489998</v>
      </c>
      <c r="AE69" s="33">
        <f t="shared" si="10"/>
        <v>12181398029.01</v>
      </c>
      <c r="AF69" s="33">
        <f t="shared" si="10"/>
        <v>11802633179.27</v>
      </c>
      <c r="AG69" s="33">
        <f t="shared" si="10"/>
        <v>10645503146.349998</v>
      </c>
      <c r="AH69" s="33">
        <f t="shared" si="10"/>
        <v>9321129469.460001</v>
      </c>
      <c r="AI69" s="33">
        <f t="shared" si="10"/>
        <v>8460554809.0100002</v>
      </c>
      <c r="AJ69" s="33">
        <f t="shared" si="10"/>
        <v>7899253493.1399994</v>
      </c>
      <c r="AK69" s="33">
        <f t="shared" si="10"/>
        <v>7279075073.9400005</v>
      </c>
      <c r="AL69" s="33">
        <f t="shared" si="10"/>
        <v>7121493329.1199999</v>
      </c>
      <c r="AM69" s="33">
        <f t="shared" si="10"/>
        <v>6138545651.539999</v>
      </c>
      <c r="AN69" s="33">
        <f t="shared" si="10"/>
        <v>5604395810.54</v>
      </c>
      <c r="AO69" s="33">
        <f t="shared" si="10"/>
        <v>5688517183.1599998</v>
      </c>
      <c r="AP69" s="33">
        <f t="shared" si="10"/>
        <v>6229079606.8800011</v>
      </c>
      <c r="AQ69" s="33">
        <f t="shared" si="10"/>
        <v>6156835806.1099997</v>
      </c>
      <c r="AR69" s="33">
        <f t="shared" si="10"/>
        <v>5901268384.9499998</v>
      </c>
      <c r="AS69" s="33">
        <f t="shared" si="10"/>
        <v>5095588580.2400007</v>
      </c>
      <c r="AT69" s="33">
        <f t="shared" si="10"/>
        <v>4605279753.2599993</v>
      </c>
      <c r="AU69" s="33">
        <f t="shared" si="10"/>
        <v>4559078377.710001</v>
      </c>
      <c r="AV69" s="33">
        <f t="shared" si="10"/>
        <v>4503272803.2399998</v>
      </c>
      <c r="AW69" s="33">
        <f t="shared" si="10"/>
        <v>4047876114.8400002</v>
      </c>
      <c r="AX69" s="33">
        <f t="shared" si="10"/>
        <v>3851343999.7999997</v>
      </c>
      <c r="AY69" s="33">
        <f t="shared" si="10"/>
        <v>3662453440.3600001</v>
      </c>
      <c r="AZ69" s="33">
        <f t="shared" si="10"/>
        <v>3773102466.3899999</v>
      </c>
      <c r="BA69" s="33">
        <f t="shared" si="10"/>
        <v>3421185546.6299996</v>
      </c>
      <c r="BB69" s="33">
        <f t="shared" si="10"/>
        <v>3171224272.0299997</v>
      </c>
      <c r="BC69" s="33">
        <f t="shared" si="10"/>
        <v>2980544123.0099998</v>
      </c>
      <c r="BD69" s="33">
        <f t="shared" si="10"/>
        <v>2388134814.3200002</v>
      </c>
      <c r="BE69" s="33">
        <f t="shared" si="10"/>
        <v>2142735832.0099998</v>
      </c>
      <c r="BF69" s="33">
        <f t="shared" si="10"/>
        <v>1471544346.8200002</v>
      </c>
      <c r="BG69" s="33">
        <f t="shared" si="10"/>
        <v>995271969.14000034</v>
      </c>
      <c r="BH69" s="33">
        <f t="shared" si="10"/>
        <v>987196509.52999997</v>
      </c>
      <c r="BI69" s="33">
        <f t="shared" si="10"/>
        <v>841393931.48000002</v>
      </c>
      <c r="BJ69" s="33">
        <f t="shared" si="10"/>
        <v>756949561.65999997</v>
      </c>
      <c r="BK69" s="33">
        <f t="shared" si="10"/>
        <v>791397396.32999992</v>
      </c>
      <c r="BL69" s="33">
        <f t="shared" si="10"/>
        <v>760797407.93000007</v>
      </c>
      <c r="BM69" s="33">
        <f t="shared" si="10"/>
        <v>648513622.35000002</v>
      </c>
      <c r="BN69" s="33">
        <f t="shared" si="10"/>
        <v>648457764.73000002</v>
      </c>
      <c r="BO69" s="33">
        <f t="shared" ref="BO69:CL69" si="11">BO50+BO68</f>
        <v>642496494</v>
      </c>
      <c r="BP69" s="33">
        <f t="shared" si="11"/>
        <v>567383956.42000008</v>
      </c>
      <c r="BQ69" s="33">
        <f t="shared" si="11"/>
        <v>494096806.30000007</v>
      </c>
      <c r="BR69" s="33">
        <f t="shared" si="11"/>
        <v>0</v>
      </c>
      <c r="BS69" s="33">
        <f t="shared" si="11"/>
        <v>390678395.38</v>
      </c>
      <c r="BT69" s="33">
        <f t="shared" si="11"/>
        <v>251845651.79000002</v>
      </c>
      <c r="BU69" s="33">
        <f t="shared" si="11"/>
        <v>242473635.53</v>
      </c>
      <c r="BV69" s="33">
        <f t="shared" si="11"/>
        <v>194504071.49000001</v>
      </c>
      <c r="BW69" s="33">
        <f t="shared" si="11"/>
        <v>183678884.16</v>
      </c>
      <c r="BX69" s="33">
        <f t="shared" si="11"/>
        <v>151184585.99000001</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65155612693.370003</v>
      </c>
      <c r="C70" s="37">
        <f t="shared" ref="C70:BN70" si="12">C17+C19+C69</f>
        <v>57000410020.409996</v>
      </c>
      <c r="D70" s="37">
        <f t="shared" si="12"/>
        <v>54717774031.900002</v>
      </c>
      <c r="E70" s="37">
        <f t="shared" si="12"/>
        <v>52494182055.020004</v>
      </c>
      <c r="F70" s="37">
        <f t="shared" si="12"/>
        <v>50644042281.850006</v>
      </c>
      <c r="G70" s="37">
        <f t="shared" si="12"/>
        <v>49477501742.280006</v>
      </c>
      <c r="H70" s="37">
        <f t="shared" si="12"/>
        <v>45329813613.190002</v>
      </c>
      <c r="I70" s="37">
        <f t="shared" si="12"/>
        <v>40315804581.360008</v>
      </c>
      <c r="J70" s="37">
        <f t="shared" si="12"/>
        <v>39931045234.500008</v>
      </c>
      <c r="K70" s="37">
        <f t="shared" si="12"/>
        <v>41277472712.799988</v>
      </c>
      <c r="L70" s="37">
        <f t="shared" si="12"/>
        <v>40426156659.540001</v>
      </c>
      <c r="M70" s="37">
        <f t="shared" si="12"/>
        <v>40473438427.909996</v>
      </c>
      <c r="N70" s="37">
        <f t="shared" si="12"/>
        <v>39614752330.159996</v>
      </c>
      <c r="O70" s="37">
        <f t="shared" si="12"/>
        <v>37535115231.609993</v>
      </c>
      <c r="P70" s="37">
        <f t="shared" si="12"/>
        <v>37697948103.069992</v>
      </c>
      <c r="Q70" s="37">
        <f t="shared" si="12"/>
        <v>35221931657.209999</v>
      </c>
      <c r="R70" s="37">
        <f t="shared" si="12"/>
        <v>32999359497.079994</v>
      </c>
      <c r="S70" s="37">
        <f t="shared" si="12"/>
        <v>31261338317.599991</v>
      </c>
      <c r="T70" s="37">
        <f t="shared" si="12"/>
        <v>29703466658.789997</v>
      </c>
      <c r="U70" s="37">
        <f t="shared" si="12"/>
        <v>25783342520.379997</v>
      </c>
      <c r="V70" s="37">
        <f t="shared" si="12"/>
        <v>24049666070.360001</v>
      </c>
      <c r="W70" s="37">
        <f t="shared" si="12"/>
        <v>22530065446.440002</v>
      </c>
      <c r="X70" s="37">
        <f t="shared" si="12"/>
        <v>21317676392.709999</v>
      </c>
      <c r="Y70" s="37">
        <f t="shared" si="12"/>
        <v>19150516574.709999</v>
      </c>
      <c r="Z70" s="37">
        <f t="shared" si="12"/>
        <v>17467769168.120003</v>
      </c>
      <c r="AA70" s="37">
        <f t="shared" si="12"/>
        <v>16234922457.280001</v>
      </c>
      <c r="AB70" s="37">
        <f t="shared" si="12"/>
        <v>16027878598.119999</v>
      </c>
      <c r="AC70" s="37">
        <f t="shared" si="12"/>
        <v>15190249630.360001</v>
      </c>
      <c r="AD70" s="37">
        <f t="shared" si="12"/>
        <v>13335087010.929998</v>
      </c>
      <c r="AE70" s="37">
        <f t="shared" si="12"/>
        <v>13515021867.049999</v>
      </c>
      <c r="AF70" s="37">
        <f t="shared" si="12"/>
        <v>13517263945.950001</v>
      </c>
      <c r="AG70" s="37">
        <f t="shared" si="12"/>
        <v>11776583686.499998</v>
      </c>
      <c r="AH70" s="37">
        <f t="shared" si="12"/>
        <v>10370266753.910002</v>
      </c>
      <c r="AI70" s="37">
        <f t="shared" si="12"/>
        <v>9383375580.3600006</v>
      </c>
      <c r="AJ70" s="37">
        <f t="shared" si="12"/>
        <v>9224038806.5200005</v>
      </c>
      <c r="AK70" s="37">
        <f t="shared" si="12"/>
        <v>8712530605.6500015</v>
      </c>
      <c r="AL70" s="37">
        <f t="shared" si="12"/>
        <v>9064774606.6700001</v>
      </c>
      <c r="AM70" s="37">
        <f t="shared" si="12"/>
        <v>8585765073.2699986</v>
      </c>
      <c r="AN70" s="37">
        <f t="shared" si="12"/>
        <v>8363154565</v>
      </c>
      <c r="AO70" s="37">
        <f t="shared" si="12"/>
        <v>7150475259.3199997</v>
      </c>
      <c r="AP70" s="37">
        <f t="shared" si="12"/>
        <v>7043520987.7600012</v>
      </c>
      <c r="AQ70" s="37">
        <f t="shared" si="12"/>
        <v>6790832377.46</v>
      </c>
      <c r="AR70" s="37">
        <f t="shared" si="12"/>
        <v>7066249129.4200001</v>
      </c>
      <c r="AS70" s="37">
        <f t="shared" si="12"/>
        <v>6559742209.3600006</v>
      </c>
      <c r="AT70" s="37">
        <f t="shared" si="12"/>
        <v>6053083429.6599998</v>
      </c>
      <c r="AU70" s="37">
        <f t="shared" si="12"/>
        <v>5464484578.3300009</v>
      </c>
      <c r="AV70" s="37">
        <f t="shared" si="12"/>
        <v>4947682088.0900002</v>
      </c>
      <c r="AW70" s="37">
        <f t="shared" si="12"/>
        <v>4391508229.9000006</v>
      </c>
      <c r="AX70" s="37">
        <f t="shared" si="12"/>
        <v>4297821254.8199997</v>
      </c>
      <c r="AY70" s="37">
        <f t="shared" si="12"/>
        <v>4016854083.6300001</v>
      </c>
      <c r="AZ70" s="37">
        <f t="shared" si="12"/>
        <v>4100866592.0899997</v>
      </c>
      <c r="BA70" s="37">
        <f t="shared" si="12"/>
        <v>3707426459.3299999</v>
      </c>
      <c r="BB70" s="37">
        <f t="shared" si="12"/>
        <v>3636969539.7599998</v>
      </c>
      <c r="BC70" s="37">
        <f t="shared" si="12"/>
        <v>3514309983.5899997</v>
      </c>
      <c r="BD70" s="37">
        <f t="shared" si="12"/>
        <v>3074239898.7800002</v>
      </c>
      <c r="BE70" s="37">
        <f t="shared" si="12"/>
        <v>2597399604.1799998</v>
      </c>
      <c r="BF70" s="37">
        <f t="shared" si="12"/>
        <v>1982438855.5300002</v>
      </c>
      <c r="BG70" s="37">
        <f t="shared" si="12"/>
        <v>1652231744.7600002</v>
      </c>
      <c r="BH70" s="37">
        <f t="shared" si="12"/>
        <v>1320957968.1700001</v>
      </c>
      <c r="BI70" s="37">
        <f t="shared" si="12"/>
        <v>1169883119.0599999</v>
      </c>
      <c r="BJ70" s="37">
        <f t="shared" si="12"/>
        <v>1132679492.9499998</v>
      </c>
      <c r="BK70" s="37">
        <f t="shared" si="12"/>
        <v>943207456.69999993</v>
      </c>
      <c r="BL70" s="37">
        <f t="shared" si="12"/>
        <v>948069704.00000012</v>
      </c>
      <c r="BM70" s="37">
        <f t="shared" si="12"/>
        <v>769684381.85000002</v>
      </c>
      <c r="BN70" s="37">
        <f t="shared" si="12"/>
        <v>815688297.01999998</v>
      </c>
      <c r="BO70" s="37">
        <f t="shared" ref="BO70:CL70" si="13">BO17+BO19+BO69</f>
        <v>751741386.90999997</v>
      </c>
      <c r="BP70" s="37">
        <f t="shared" si="13"/>
        <v>742687290.68000007</v>
      </c>
      <c r="BQ70" s="37">
        <f t="shared" si="13"/>
        <v>702584042.60000002</v>
      </c>
      <c r="BR70" s="37">
        <f t="shared" si="13"/>
        <v>0</v>
      </c>
      <c r="BS70" s="37">
        <f t="shared" si="13"/>
        <v>674978497.71000004</v>
      </c>
      <c r="BT70" s="37">
        <f t="shared" si="13"/>
        <v>702844253.20000005</v>
      </c>
      <c r="BU70" s="37">
        <f t="shared" si="13"/>
        <v>270961382.66000003</v>
      </c>
      <c r="BV70" s="37">
        <f t="shared" si="13"/>
        <v>226377369.92000002</v>
      </c>
      <c r="BW70" s="37">
        <f t="shared" si="13"/>
        <v>194744795.53999999</v>
      </c>
      <c r="BX70" s="37">
        <f t="shared" si="13"/>
        <v>156599754.27000001</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15417053965.52</v>
      </c>
      <c r="F72" s="28">
        <f t="shared" ref="F72:BQ72" si="14">SUM(F73:F77)</f>
        <v>16437260780.52</v>
      </c>
      <c r="G72" s="28">
        <f t="shared" si="14"/>
        <v>16716537599.139999</v>
      </c>
      <c r="H72" s="28">
        <f t="shared" si="14"/>
        <v>12917288548.67</v>
      </c>
      <c r="I72" s="28">
        <f t="shared" si="14"/>
        <v>12638303056.279999</v>
      </c>
      <c r="J72" s="28">
        <f t="shared" si="14"/>
        <v>11618432510.140001</v>
      </c>
      <c r="K72" s="28">
        <f t="shared" si="14"/>
        <v>14986550851.940001</v>
      </c>
      <c r="L72" s="28">
        <f t="shared" si="14"/>
        <v>12831702149.719999</v>
      </c>
      <c r="M72" s="28">
        <f t="shared" si="14"/>
        <v>12225908869.02</v>
      </c>
      <c r="N72" s="28">
        <f t="shared" si="14"/>
        <v>11730864099.34</v>
      </c>
      <c r="O72" s="28">
        <f t="shared" si="14"/>
        <v>9442231294.0200005</v>
      </c>
      <c r="P72" s="28">
        <f t="shared" si="14"/>
        <v>8008115192.9899998</v>
      </c>
      <c r="Q72" s="28">
        <f t="shared" si="14"/>
        <v>7089516440.7800007</v>
      </c>
      <c r="R72" s="28">
        <f t="shared" si="14"/>
        <v>6519007802.6599998</v>
      </c>
      <c r="S72" s="28">
        <f t="shared" si="14"/>
        <v>7616291641.7700005</v>
      </c>
      <c r="T72" s="28">
        <f t="shared" si="14"/>
        <v>6262145669.749999</v>
      </c>
      <c r="U72" s="28">
        <f t="shared" si="14"/>
        <v>5100608182.3599997</v>
      </c>
      <c r="V72" s="28">
        <f t="shared" si="14"/>
        <v>4852780775.8400002</v>
      </c>
      <c r="W72" s="28">
        <f t="shared" si="14"/>
        <v>6226183767.0600004</v>
      </c>
      <c r="X72" s="28">
        <f t="shared" si="14"/>
        <v>5799967045.4400005</v>
      </c>
      <c r="Y72" s="28">
        <f t="shared" si="14"/>
        <v>4852748234.0499992</v>
      </c>
      <c r="Z72" s="28">
        <f t="shared" si="14"/>
        <v>4738795572.6000004</v>
      </c>
      <c r="AA72" s="28">
        <f t="shared" si="14"/>
        <v>4339491932.29</v>
      </c>
      <c r="AB72" s="28">
        <f t="shared" si="14"/>
        <v>4466822176.7600002</v>
      </c>
      <c r="AC72" s="28">
        <f t="shared" si="14"/>
        <v>4331045118.5799999</v>
      </c>
      <c r="AD72" s="28">
        <f t="shared" si="14"/>
        <v>2448243931.23</v>
      </c>
      <c r="AE72" s="28">
        <f t="shared" si="14"/>
        <v>3640742092.23</v>
      </c>
      <c r="AF72" s="28">
        <f t="shared" si="14"/>
        <v>3524979631.2400002</v>
      </c>
      <c r="AG72" s="28">
        <f t="shared" si="14"/>
        <v>2584404858.48</v>
      </c>
      <c r="AH72" s="28">
        <f t="shared" si="14"/>
        <v>2352833864.54</v>
      </c>
      <c r="AI72" s="28">
        <f t="shared" si="14"/>
        <v>1908501185.3099999</v>
      </c>
      <c r="AJ72" s="28">
        <f t="shared" si="14"/>
        <v>2363249971.4299998</v>
      </c>
      <c r="AK72" s="28">
        <f t="shared" si="14"/>
        <v>2254576520.9200001</v>
      </c>
      <c r="AL72" s="28">
        <f t="shared" si="14"/>
        <v>3012041285.6399999</v>
      </c>
      <c r="AM72" s="28">
        <f t="shared" si="14"/>
        <v>3080420924.6300001</v>
      </c>
      <c r="AN72" s="28">
        <f t="shared" si="14"/>
        <v>2335313075.5100002</v>
      </c>
      <c r="AO72" s="28">
        <f t="shared" si="14"/>
        <v>1275048049.29</v>
      </c>
      <c r="AP72" s="28">
        <f t="shared" si="14"/>
        <v>1462851382.48</v>
      </c>
      <c r="AQ72" s="28">
        <f t="shared" si="14"/>
        <v>1327966470.1500001</v>
      </c>
      <c r="AR72" s="28">
        <f t="shared" si="14"/>
        <v>1540440529.78</v>
      </c>
      <c r="AS72" s="28">
        <f t="shared" si="14"/>
        <v>1520861377.6000001</v>
      </c>
      <c r="AT72" s="28">
        <f t="shared" si="14"/>
        <v>1607357686.45</v>
      </c>
      <c r="AU72" s="28">
        <f t="shared" si="14"/>
        <v>936010970.48000002</v>
      </c>
      <c r="AV72" s="28">
        <f t="shared" si="14"/>
        <v>846636859.05000007</v>
      </c>
      <c r="AW72" s="28">
        <f t="shared" si="14"/>
        <v>754981333</v>
      </c>
      <c r="AX72" s="28">
        <f t="shared" si="14"/>
        <v>911749483</v>
      </c>
      <c r="AY72" s="28">
        <f t="shared" si="14"/>
        <v>799598500</v>
      </c>
      <c r="AZ72" s="28">
        <f t="shared" si="14"/>
        <v>634435000</v>
      </c>
      <c r="BA72" s="28">
        <f t="shared" si="14"/>
        <v>503020250</v>
      </c>
      <c r="BB72" s="28">
        <f t="shared" si="14"/>
        <v>233518000</v>
      </c>
      <c r="BC72" s="28">
        <f t="shared" si="14"/>
        <v>136562250</v>
      </c>
      <c r="BD72" s="28">
        <f t="shared" si="14"/>
        <v>95179750</v>
      </c>
      <c r="BE72" s="28">
        <f t="shared" si="14"/>
        <v>171382500</v>
      </c>
      <c r="BF72" s="28">
        <f t="shared" si="14"/>
        <v>130000000</v>
      </c>
      <c r="BG72" s="28">
        <f t="shared" si="14"/>
        <v>100000000</v>
      </c>
      <c r="BH72" s="28">
        <f t="shared" si="14"/>
        <v>90000000</v>
      </c>
      <c r="BI72" s="28">
        <f t="shared" si="14"/>
        <v>41501558.5</v>
      </c>
      <c r="BJ72" s="28">
        <f t="shared" si="14"/>
        <v>20681558.5</v>
      </c>
      <c r="BK72" s="28">
        <f t="shared" si="14"/>
        <v>19480000</v>
      </c>
      <c r="BL72" s="28">
        <f t="shared" si="14"/>
        <v>19480000</v>
      </c>
      <c r="BM72" s="28">
        <f t="shared" si="14"/>
        <v>19000000</v>
      </c>
      <c r="BN72" s="28">
        <f t="shared" si="14"/>
        <v>0</v>
      </c>
      <c r="BO72" s="28">
        <f t="shared" si="14"/>
        <v>0</v>
      </c>
      <c r="BP72" s="28">
        <f t="shared" si="14"/>
        <v>0</v>
      </c>
      <c r="BQ72" s="28">
        <f t="shared" si="14"/>
        <v>0</v>
      </c>
      <c r="BR72" s="28">
        <f t="shared" ref="BR72:CL72" si="15">SUM(BR73:BR77)</f>
        <v>0</v>
      </c>
      <c r="BS72" s="28">
        <f t="shared" si="15"/>
        <v>0</v>
      </c>
      <c r="BT72" s="28">
        <f t="shared" si="15"/>
        <v>74100000</v>
      </c>
      <c r="BU72" s="28">
        <f t="shared" si="15"/>
        <v>59600000</v>
      </c>
      <c r="BV72" s="28">
        <f t="shared" si="15"/>
        <v>41730000</v>
      </c>
      <c r="BW72" s="28">
        <f t="shared" si="15"/>
        <v>31730000</v>
      </c>
      <c r="BX72" s="28">
        <f t="shared" si="15"/>
        <v>32000000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5">
        <v>12513705766.139999</v>
      </c>
      <c r="C73" s="195">
        <v>15249914740.040001</v>
      </c>
      <c r="D73" s="195">
        <v>14803562891.549999</v>
      </c>
      <c r="E73" s="195">
        <v>12714569960.219999</v>
      </c>
      <c r="F73" s="195">
        <v>12162031937.52</v>
      </c>
      <c r="G73" s="195">
        <v>12852963496.67</v>
      </c>
      <c r="H73" s="195">
        <v>8453302349.6199999</v>
      </c>
      <c r="I73" s="195">
        <v>8501465901.4099998</v>
      </c>
      <c r="J73" s="195">
        <v>8824186633.6599998</v>
      </c>
      <c r="K73" s="195">
        <v>11940218417.610001</v>
      </c>
      <c r="L73" s="195">
        <v>10880745630.059999</v>
      </c>
      <c r="M73" s="195">
        <v>9637861380.5900002</v>
      </c>
      <c r="N73" s="195">
        <v>9477937859.2600002</v>
      </c>
      <c r="O73" s="195">
        <v>6614305904.0699997</v>
      </c>
      <c r="P73" s="195">
        <v>5279721083.7200003</v>
      </c>
      <c r="Q73" s="195">
        <v>4496443321.5200005</v>
      </c>
      <c r="R73" s="195">
        <v>4418995538.1999998</v>
      </c>
      <c r="S73" s="195">
        <v>5997736393.9499998</v>
      </c>
      <c r="T73" s="195">
        <v>5258031931.0299997</v>
      </c>
      <c r="U73" s="195">
        <v>3752118153.6300001</v>
      </c>
      <c r="V73" s="195">
        <v>3838612634.8699999</v>
      </c>
      <c r="W73" s="195">
        <v>5277439233.9700003</v>
      </c>
      <c r="X73" s="195">
        <v>4325072647.6000004</v>
      </c>
      <c r="Y73" s="195">
        <v>3764733587.1599998</v>
      </c>
      <c r="Z73" s="195">
        <v>3425027594.8600001</v>
      </c>
      <c r="AA73" s="195">
        <v>3056987660.3499999</v>
      </c>
      <c r="AB73" s="195">
        <v>3465561253.73</v>
      </c>
      <c r="AC73" s="195">
        <v>3258713688.3800001</v>
      </c>
      <c r="AD73" s="195">
        <v>1779842783.1600001</v>
      </c>
      <c r="AE73" s="195">
        <v>2159483876.1999998</v>
      </c>
      <c r="AF73" s="195">
        <v>2270031314.8800001</v>
      </c>
      <c r="AG73" s="195">
        <v>2276570365.5300002</v>
      </c>
      <c r="AH73" s="195">
        <v>2269700491.1900001</v>
      </c>
      <c r="AI73" s="195">
        <v>1779047706.02</v>
      </c>
      <c r="AJ73" s="195">
        <v>2233743582.4699998</v>
      </c>
      <c r="AK73" s="195">
        <v>2126837499.4400001</v>
      </c>
      <c r="AL73" s="195">
        <v>2734296100.79</v>
      </c>
      <c r="AM73" s="195">
        <v>2907440040</v>
      </c>
      <c r="AN73" s="195">
        <v>2121111775</v>
      </c>
      <c r="AO73" s="195">
        <v>839087110</v>
      </c>
      <c r="AP73" s="195">
        <v>770177406.05999994</v>
      </c>
      <c r="AQ73" s="195">
        <v>820519147.35000002</v>
      </c>
      <c r="AR73" s="195">
        <v>1119490008.47</v>
      </c>
      <c r="AS73" s="195">
        <v>1108340190</v>
      </c>
      <c r="AT73" s="195">
        <v>1343026820</v>
      </c>
      <c r="AU73" s="195">
        <v>853733145</v>
      </c>
      <c r="AV73" s="195">
        <v>671360623.08000004</v>
      </c>
      <c r="AW73" s="195">
        <v>582233433</v>
      </c>
      <c r="AX73" s="195">
        <v>682397183</v>
      </c>
      <c r="AY73" s="195">
        <v>537742600</v>
      </c>
      <c r="AZ73" s="195">
        <v>480765000</v>
      </c>
      <c r="BA73" s="195">
        <v>404160300</v>
      </c>
      <c r="BB73" s="195">
        <v>233518000</v>
      </c>
      <c r="BC73" s="195">
        <v>136562250</v>
      </c>
      <c r="BD73" s="195">
        <v>95179750</v>
      </c>
      <c r="BE73" s="195">
        <v>171382500</v>
      </c>
      <c r="BF73" s="195">
        <v>130000000</v>
      </c>
      <c r="BG73" s="195">
        <v>100000000</v>
      </c>
      <c r="BH73" s="195">
        <v>57000000</v>
      </c>
      <c r="BI73" s="195">
        <v>8501558.5</v>
      </c>
      <c r="BJ73" s="195">
        <v>13681558.5</v>
      </c>
      <c r="BK73" s="195">
        <v>12480000</v>
      </c>
      <c r="BL73" s="195">
        <v>12480000</v>
      </c>
      <c r="BM73" s="195">
        <v>12000000</v>
      </c>
      <c r="BN73" s="195">
        <v>0</v>
      </c>
      <c r="BO73" s="195">
        <v>0</v>
      </c>
      <c r="BP73" s="195">
        <v>0</v>
      </c>
      <c r="BQ73" s="195">
        <v>0</v>
      </c>
      <c r="BR73" s="195">
        <v>0</v>
      </c>
      <c r="BS73" s="195">
        <v>0</v>
      </c>
      <c r="BT73" s="195">
        <v>59100000</v>
      </c>
      <c r="BU73" s="195">
        <v>59600000</v>
      </c>
      <c r="BV73" s="195">
        <v>41730000</v>
      </c>
      <c r="BW73" s="195">
        <v>31730000</v>
      </c>
      <c r="BX73" s="195">
        <v>32000000</v>
      </c>
      <c r="BY73" s="195">
        <v>0</v>
      </c>
      <c r="BZ73" s="40"/>
      <c r="CA73" s="40"/>
      <c r="CB73" s="40"/>
      <c r="CC73" s="40"/>
      <c r="CD73" s="40"/>
      <c r="CE73" s="40"/>
      <c r="CF73" s="40"/>
      <c r="CG73" s="40"/>
      <c r="CH73" s="40"/>
      <c r="CI73" s="40"/>
      <c r="CJ73" s="40"/>
      <c r="CK73" s="40"/>
      <c r="CL73" s="40"/>
    </row>
    <row r="74" spans="1:90" x14ac:dyDescent="0.25">
      <c r="A74" s="129" t="s">
        <v>77</v>
      </c>
      <c r="B74" s="195">
        <v>44379269.759999998</v>
      </c>
      <c r="C74" s="195">
        <v>60343243.960000001</v>
      </c>
      <c r="D74" s="195">
        <v>49009384.32</v>
      </c>
      <c r="E74" s="195">
        <v>31970671.84</v>
      </c>
      <c r="F74" s="195">
        <v>37532176.210000001</v>
      </c>
      <c r="G74" s="195">
        <v>32269102.34</v>
      </c>
      <c r="H74" s="195">
        <v>112469532.26000001</v>
      </c>
      <c r="I74" s="195">
        <v>91712154.739999995</v>
      </c>
      <c r="J74" s="195">
        <v>74062876.599999994</v>
      </c>
      <c r="K74" s="195">
        <v>57102686.060000002</v>
      </c>
      <c r="L74" s="195">
        <v>105042598.11</v>
      </c>
      <c r="M74" s="195">
        <v>75252173.540000007</v>
      </c>
      <c r="N74" s="195">
        <v>84509647.700000003</v>
      </c>
      <c r="O74" s="195">
        <v>42999988.299999997</v>
      </c>
      <c r="P74" s="195">
        <v>100545150.76000001</v>
      </c>
      <c r="Q74" s="195">
        <v>76991519.659999996</v>
      </c>
      <c r="R74" s="195">
        <v>71357433.540000007</v>
      </c>
      <c r="S74" s="195">
        <v>64815279.420000002</v>
      </c>
      <c r="T74" s="195">
        <v>97115066.319999993</v>
      </c>
      <c r="U74" s="195">
        <v>64532105.43</v>
      </c>
      <c r="V74" s="195">
        <v>63698011.840000004</v>
      </c>
      <c r="W74" s="195">
        <v>36616594.299999997</v>
      </c>
      <c r="X74" s="195">
        <v>92227742.920000002</v>
      </c>
      <c r="Y74" s="195">
        <v>62778469.950000003</v>
      </c>
      <c r="Z74" s="195">
        <v>59116639.979999997</v>
      </c>
      <c r="AA74" s="195">
        <v>28622866.829999998</v>
      </c>
      <c r="AB74" s="195">
        <v>16691457.449999999</v>
      </c>
      <c r="AC74" s="195">
        <v>46615788.43</v>
      </c>
      <c r="AD74" s="195">
        <v>34332259.719999999</v>
      </c>
      <c r="AE74" s="195">
        <v>19776617.649999999</v>
      </c>
      <c r="AF74" s="195">
        <v>17949398.379999999</v>
      </c>
      <c r="AG74" s="195">
        <v>13124342.949999999</v>
      </c>
      <c r="AH74" s="195">
        <v>14653698.35</v>
      </c>
      <c r="AI74" s="195">
        <v>6264954.29</v>
      </c>
      <c r="AJ74" s="195">
        <v>4177638.96</v>
      </c>
      <c r="AK74" s="195">
        <v>2386521.48</v>
      </c>
      <c r="AL74" s="195">
        <v>4585184.8499999996</v>
      </c>
      <c r="AM74" s="195">
        <v>3549973.37</v>
      </c>
      <c r="AN74" s="195">
        <v>1556874.75</v>
      </c>
      <c r="AO74" s="195">
        <v>4088339.29</v>
      </c>
      <c r="AP74" s="195">
        <v>9174270.6699999999</v>
      </c>
      <c r="AQ74" s="195">
        <v>7040917.1100000003</v>
      </c>
      <c r="AR74" s="195">
        <v>14796015.619999999</v>
      </c>
      <c r="AS74" s="195">
        <v>9277615.1899999995</v>
      </c>
      <c r="AT74" s="195">
        <v>8963666.4499999993</v>
      </c>
      <c r="AU74" s="195">
        <v>4200325.4800000004</v>
      </c>
      <c r="AV74" s="195">
        <v>2900835.97</v>
      </c>
      <c r="AW74" s="195">
        <v>0</v>
      </c>
      <c r="AX74" s="195">
        <v>0</v>
      </c>
      <c r="AY74" s="195">
        <v>0</v>
      </c>
      <c r="AZ74" s="195">
        <v>0</v>
      </c>
      <c r="BA74" s="195">
        <v>0</v>
      </c>
      <c r="BB74" s="195">
        <v>0</v>
      </c>
      <c r="BC74" s="195">
        <v>0</v>
      </c>
      <c r="BD74" s="195">
        <v>0</v>
      </c>
      <c r="BE74" s="195">
        <v>0</v>
      </c>
      <c r="BF74" s="195">
        <v>0</v>
      </c>
      <c r="BG74" s="195">
        <v>0</v>
      </c>
      <c r="BH74" s="195">
        <v>0</v>
      </c>
      <c r="BI74" s="195">
        <v>0</v>
      </c>
      <c r="BJ74" s="195">
        <v>0</v>
      </c>
      <c r="BK74" s="195">
        <v>0</v>
      </c>
      <c r="BL74" s="195">
        <v>0</v>
      </c>
      <c r="BM74" s="195">
        <v>0</v>
      </c>
      <c r="BN74" s="195">
        <v>0</v>
      </c>
      <c r="BO74" s="195">
        <v>0</v>
      </c>
      <c r="BP74" s="195">
        <v>0</v>
      </c>
      <c r="BQ74" s="195">
        <v>0</v>
      </c>
      <c r="BR74" s="195">
        <v>0</v>
      </c>
      <c r="BS74" s="195">
        <v>0</v>
      </c>
      <c r="BT74" s="195">
        <v>0</v>
      </c>
      <c r="BU74" s="195">
        <v>0</v>
      </c>
      <c r="BV74" s="195">
        <v>0</v>
      </c>
      <c r="BW74" s="195">
        <v>0</v>
      </c>
      <c r="BX74" s="195">
        <v>0</v>
      </c>
      <c r="BY74" s="195">
        <v>0</v>
      </c>
      <c r="BZ74" s="40"/>
      <c r="CA74" s="40"/>
      <c r="CB74" s="40"/>
      <c r="CC74" s="40"/>
      <c r="CD74" s="40"/>
      <c r="CE74" s="40"/>
      <c r="CF74" s="40"/>
      <c r="CG74" s="40"/>
      <c r="CH74" s="40"/>
      <c r="CI74" s="40"/>
      <c r="CJ74" s="40"/>
      <c r="CK74" s="40"/>
      <c r="CL74" s="40"/>
    </row>
    <row r="75" spans="1:90" x14ac:dyDescent="0.25">
      <c r="A75" s="129" t="s">
        <v>53</v>
      </c>
      <c r="B75" s="195">
        <v>0</v>
      </c>
      <c r="C75" s="195">
        <v>0</v>
      </c>
      <c r="D75" s="195">
        <v>0</v>
      </c>
      <c r="E75" s="195">
        <v>0</v>
      </c>
      <c r="F75" s="195">
        <v>0</v>
      </c>
      <c r="G75" s="195">
        <v>0</v>
      </c>
      <c r="H75" s="195">
        <v>0</v>
      </c>
      <c r="I75" s="195">
        <v>0</v>
      </c>
      <c r="J75" s="195">
        <v>2566333.27</v>
      </c>
      <c r="K75" s="195">
        <v>0</v>
      </c>
      <c r="L75" s="195">
        <v>0</v>
      </c>
      <c r="M75" s="195">
        <v>0</v>
      </c>
      <c r="N75" s="195">
        <v>2803689.16</v>
      </c>
      <c r="O75" s="195">
        <v>3877774.07</v>
      </c>
      <c r="P75" s="195">
        <v>8554705.4900000002</v>
      </c>
      <c r="Q75" s="195">
        <v>4093972.33</v>
      </c>
      <c r="R75" s="195">
        <v>0</v>
      </c>
      <c r="S75" s="195">
        <v>0</v>
      </c>
      <c r="T75" s="195">
        <v>0</v>
      </c>
      <c r="U75" s="195">
        <v>0</v>
      </c>
      <c r="V75" s="195">
        <v>0</v>
      </c>
      <c r="W75" s="195">
        <v>0</v>
      </c>
      <c r="X75" s="195">
        <v>0</v>
      </c>
      <c r="Y75" s="195">
        <v>0</v>
      </c>
      <c r="Z75" s="195">
        <v>0</v>
      </c>
      <c r="AA75" s="195">
        <v>0</v>
      </c>
      <c r="AB75" s="195">
        <v>0</v>
      </c>
      <c r="AC75" s="195">
        <v>0</v>
      </c>
      <c r="AD75" s="195">
        <v>0</v>
      </c>
      <c r="AE75" s="195">
        <v>846515450</v>
      </c>
      <c r="AF75" s="195">
        <v>850838500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c r="BU75" s="195">
        <v>0</v>
      </c>
      <c r="BV75" s="195">
        <v>0</v>
      </c>
      <c r="BW75" s="195">
        <v>0</v>
      </c>
      <c r="BX75" s="195">
        <v>0</v>
      </c>
      <c r="BY75" s="195">
        <v>0</v>
      </c>
      <c r="BZ75" s="40"/>
      <c r="CA75" s="40"/>
      <c r="CB75" s="40"/>
      <c r="CC75" s="40"/>
      <c r="CD75" s="40"/>
      <c r="CE75" s="40"/>
      <c r="CF75" s="40"/>
      <c r="CG75" s="40"/>
      <c r="CH75" s="40"/>
      <c r="CI75" s="40"/>
      <c r="CJ75" s="40"/>
      <c r="CK75" s="40"/>
      <c r="CL75" s="40"/>
    </row>
    <row r="76" spans="1:90" x14ac:dyDescent="0.25">
      <c r="A76" s="129" t="s">
        <v>54</v>
      </c>
      <c r="B76" s="195">
        <v>1871146666.6500001</v>
      </c>
      <c r="C76" s="195">
        <v>1868013333.3199999</v>
      </c>
      <c r="D76" s="195">
        <v>2628013333.3200002</v>
      </c>
      <c r="E76" s="195">
        <v>2670513333.46</v>
      </c>
      <c r="F76" s="195">
        <v>4237696666.79</v>
      </c>
      <c r="G76" s="195">
        <v>3831305000.1300001</v>
      </c>
      <c r="H76" s="195">
        <v>4351516666.79</v>
      </c>
      <c r="I76" s="195">
        <v>4045125000.1300001</v>
      </c>
      <c r="J76" s="195">
        <v>2717616666.6100001</v>
      </c>
      <c r="K76" s="195">
        <v>2989229748.27</v>
      </c>
      <c r="L76" s="195">
        <v>1845913921.55</v>
      </c>
      <c r="M76" s="195">
        <v>2512795314.8899999</v>
      </c>
      <c r="N76" s="195">
        <v>2165612903.2199998</v>
      </c>
      <c r="O76" s="195">
        <v>2781047627.5799999</v>
      </c>
      <c r="P76" s="195">
        <v>2619294253.02</v>
      </c>
      <c r="Q76" s="195">
        <v>2511987627.27</v>
      </c>
      <c r="R76" s="195">
        <v>2028654830.9200001</v>
      </c>
      <c r="S76" s="195">
        <v>1553739968.4000001</v>
      </c>
      <c r="T76" s="195">
        <v>906998672.39999998</v>
      </c>
      <c r="U76" s="195">
        <v>1283957923.3</v>
      </c>
      <c r="V76" s="195">
        <v>950470129.13</v>
      </c>
      <c r="W76" s="195">
        <v>912127938.78999996</v>
      </c>
      <c r="X76" s="195">
        <v>1382666654.9200001</v>
      </c>
      <c r="Y76" s="195">
        <v>1025236176.9400001</v>
      </c>
      <c r="Z76" s="195">
        <v>1254651337.76</v>
      </c>
      <c r="AA76" s="195">
        <v>1253881405.1099999</v>
      </c>
      <c r="AB76" s="195">
        <v>984569465.58000004</v>
      </c>
      <c r="AC76" s="195">
        <v>1025715641.77</v>
      </c>
      <c r="AD76" s="195">
        <v>634068888.35000002</v>
      </c>
      <c r="AE76" s="195">
        <v>614966148.38</v>
      </c>
      <c r="AF76" s="195">
        <v>386160417.98000002</v>
      </c>
      <c r="AG76" s="195">
        <v>294710150</v>
      </c>
      <c r="AH76" s="195">
        <v>68479675</v>
      </c>
      <c r="AI76" s="195">
        <v>123188525</v>
      </c>
      <c r="AJ76" s="195">
        <v>125328750</v>
      </c>
      <c r="AK76" s="195">
        <v>125352500</v>
      </c>
      <c r="AL76" s="195">
        <v>273160000</v>
      </c>
      <c r="AM76" s="195">
        <v>169430911.25999999</v>
      </c>
      <c r="AN76" s="195">
        <v>212644425.75999999</v>
      </c>
      <c r="AO76" s="195">
        <v>431872600</v>
      </c>
      <c r="AP76" s="195">
        <v>683499705.75</v>
      </c>
      <c r="AQ76" s="195">
        <v>500406405.69</v>
      </c>
      <c r="AR76" s="195">
        <v>406154505.69</v>
      </c>
      <c r="AS76" s="195">
        <v>403243572.41000003</v>
      </c>
      <c r="AT76" s="195">
        <v>255367200</v>
      </c>
      <c r="AU76" s="195">
        <v>78077500</v>
      </c>
      <c r="AV76" s="195">
        <v>172375400</v>
      </c>
      <c r="AW76" s="195">
        <v>172747900</v>
      </c>
      <c r="AX76" s="195">
        <v>229352300</v>
      </c>
      <c r="AY76" s="195">
        <v>261855900</v>
      </c>
      <c r="AZ76" s="195">
        <v>153670000</v>
      </c>
      <c r="BA76" s="195">
        <v>98859950</v>
      </c>
      <c r="BB76" s="195">
        <v>0</v>
      </c>
      <c r="BC76" s="195">
        <v>0</v>
      </c>
      <c r="BD76" s="195">
        <v>0</v>
      </c>
      <c r="BE76" s="195">
        <v>0</v>
      </c>
      <c r="BF76" s="195">
        <v>0</v>
      </c>
      <c r="BG76" s="195">
        <v>0</v>
      </c>
      <c r="BH76" s="195">
        <v>33000000</v>
      </c>
      <c r="BI76" s="195">
        <v>33000000</v>
      </c>
      <c r="BJ76" s="195">
        <v>7000000</v>
      </c>
      <c r="BK76" s="195">
        <v>7000000</v>
      </c>
      <c r="BL76" s="195">
        <v>7000000</v>
      </c>
      <c r="BM76" s="195">
        <v>7000000</v>
      </c>
      <c r="BN76" s="195">
        <v>0</v>
      </c>
      <c r="BO76" s="195">
        <v>0</v>
      </c>
      <c r="BP76" s="195">
        <v>0</v>
      </c>
      <c r="BQ76" s="195">
        <v>0</v>
      </c>
      <c r="BR76" s="195">
        <v>0</v>
      </c>
      <c r="BS76" s="195">
        <v>0</v>
      </c>
      <c r="BT76" s="195">
        <v>15000000</v>
      </c>
      <c r="BU76" s="195">
        <v>0</v>
      </c>
      <c r="BV76" s="195">
        <v>0</v>
      </c>
      <c r="BW76" s="195">
        <v>0</v>
      </c>
      <c r="BX76" s="195">
        <v>0</v>
      </c>
      <c r="BY76" s="195">
        <v>0</v>
      </c>
      <c r="BZ76" s="40"/>
      <c r="CA76" s="40"/>
      <c r="CB76" s="40"/>
      <c r="CC76" s="40"/>
      <c r="CD76" s="40"/>
      <c r="CE76" s="40"/>
      <c r="CF76" s="40"/>
      <c r="CG76" s="40"/>
      <c r="CH76" s="40"/>
      <c r="CI76" s="40"/>
      <c r="CJ76" s="40"/>
      <c r="CK76" s="40"/>
      <c r="CL76" s="40"/>
    </row>
    <row r="77" spans="1:90" x14ac:dyDescent="0.25">
      <c r="A77" s="129" t="s">
        <v>55</v>
      </c>
      <c r="B77" s="195">
        <v>0</v>
      </c>
      <c r="C77" s="195">
        <v>0</v>
      </c>
      <c r="D77" s="195">
        <v>0</v>
      </c>
      <c r="E77" s="195">
        <v>0</v>
      </c>
      <c r="F77" s="195">
        <v>0</v>
      </c>
      <c r="G77" s="195">
        <v>0</v>
      </c>
      <c r="H77" s="195">
        <v>0</v>
      </c>
      <c r="I77" s="195">
        <v>0</v>
      </c>
      <c r="J77" s="195">
        <v>0</v>
      </c>
      <c r="K77" s="195">
        <v>0</v>
      </c>
      <c r="L77" s="195">
        <v>0</v>
      </c>
      <c r="M77" s="195">
        <v>0</v>
      </c>
      <c r="N77" s="195">
        <v>0</v>
      </c>
      <c r="O77" s="195">
        <v>0</v>
      </c>
      <c r="P77" s="195">
        <v>0</v>
      </c>
      <c r="Q77" s="195">
        <v>0</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6323001531.1300001</v>
      </c>
      <c r="F81" s="28">
        <f t="shared" ref="F81:BQ81" si="16">SUM(F82:F85)</f>
        <v>7187354282</v>
      </c>
      <c r="G81" s="28">
        <f t="shared" si="16"/>
        <v>7830790102.6199999</v>
      </c>
      <c r="H81" s="28">
        <f t="shared" si="16"/>
        <v>9031992116.4099998</v>
      </c>
      <c r="I81" s="28">
        <f t="shared" si="16"/>
        <v>9336050449.7399998</v>
      </c>
      <c r="J81" s="28">
        <f t="shared" si="16"/>
        <v>11515803177.99</v>
      </c>
      <c r="K81" s="28">
        <f t="shared" si="16"/>
        <v>10716894844.67</v>
      </c>
      <c r="L81" s="28">
        <f t="shared" si="16"/>
        <v>12228380671.450001</v>
      </c>
      <c r="M81" s="28">
        <f t="shared" si="16"/>
        <v>13424295163.110001</v>
      </c>
      <c r="N81" s="28">
        <f t="shared" si="16"/>
        <v>13410722410.74</v>
      </c>
      <c r="O81" s="28">
        <f t="shared" si="16"/>
        <v>14202291606.99</v>
      </c>
      <c r="P81" s="28">
        <f t="shared" si="16"/>
        <v>15774161162.92</v>
      </c>
      <c r="Q81" s="28">
        <f t="shared" si="16"/>
        <v>14846739543.650002</v>
      </c>
      <c r="R81" s="28">
        <f t="shared" si="16"/>
        <v>13697155374.880001</v>
      </c>
      <c r="S81" s="28">
        <f t="shared" si="16"/>
        <v>11952679806.790001</v>
      </c>
      <c r="T81" s="28">
        <f t="shared" si="16"/>
        <v>10733242405.610001</v>
      </c>
      <c r="U81" s="28">
        <f t="shared" si="16"/>
        <v>8901778885.2399998</v>
      </c>
      <c r="V81" s="28">
        <f t="shared" si="16"/>
        <v>8153841131.5200005</v>
      </c>
      <c r="W81" s="28">
        <f t="shared" si="16"/>
        <v>6314193815.0900002</v>
      </c>
      <c r="X81" s="28">
        <f t="shared" si="16"/>
        <v>4926801778.8300009</v>
      </c>
      <c r="Y81" s="28">
        <f t="shared" si="16"/>
        <v>4454958287.6000004</v>
      </c>
      <c r="Z81" s="28">
        <f t="shared" si="16"/>
        <v>3803537467.8099999</v>
      </c>
      <c r="AA81" s="28">
        <f t="shared" si="16"/>
        <v>3758944791.8099999</v>
      </c>
      <c r="AB81" s="28">
        <f t="shared" si="16"/>
        <v>2776172829.8099999</v>
      </c>
      <c r="AC81" s="28">
        <f t="shared" si="16"/>
        <v>2428277187.3099999</v>
      </c>
      <c r="AD81" s="28">
        <f t="shared" si="16"/>
        <v>2644964283.3099999</v>
      </c>
      <c r="AE81" s="28">
        <f t="shared" si="16"/>
        <v>2308352668</v>
      </c>
      <c r="AF81" s="28">
        <f t="shared" si="16"/>
        <v>2248111482.6399999</v>
      </c>
      <c r="AG81" s="28">
        <f t="shared" si="16"/>
        <v>2036959543</v>
      </c>
      <c r="AH81" s="28">
        <f t="shared" si="16"/>
        <v>1710151121</v>
      </c>
      <c r="AI81" s="28">
        <f t="shared" si="16"/>
        <v>1601654411</v>
      </c>
      <c r="AJ81" s="28">
        <f t="shared" si="16"/>
        <v>714625946</v>
      </c>
      <c r="AK81" s="28">
        <f t="shared" si="16"/>
        <v>632835746</v>
      </c>
      <c r="AL81" s="28">
        <f t="shared" si="16"/>
        <v>476200273</v>
      </c>
      <c r="AM81" s="28">
        <f t="shared" si="16"/>
        <v>367794673</v>
      </c>
      <c r="AN81" s="28">
        <f t="shared" si="16"/>
        <v>357724823</v>
      </c>
      <c r="AO81" s="28">
        <f t="shared" si="16"/>
        <v>426012973</v>
      </c>
      <c r="AP81" s="28">
        <f t="shared" si="16"/>
        <v>533630677.52999997</v>
      </c>
      <c r="AQ81" s="28">
        <f t="shared" si="16"/>
        <v>798651833.18000007</v>
      </c>
      <c r="AR81" s="28">
        <f t="shared" si="16"/>
        <v>838524062.54000008</v>
      </c>
      <c r="AS81" s="28">
        <f t="shared" si="16"/>
        <v>600403982.79000008</v>
      </c>
      <c r="AT81" s="28">
        <f t="shared" si="16"/>
        <v>502439795.18000001</v>
      </c>
      <c r="AU81" s="28">
        <f t="shared" si="16"/>
        <v>962568878.4000001</v>
      </c>
      <c r="AV81" s="28">
        <f t="shared" si="16"/>
        <v>844889979.73000002</v>
      </c>
      <c r="AW81" s="28">
        <f t="shared" si="16"/>
        <v>801669800</v>
      </c>
      <c r="AX81" s="28">
        <f t="shared" si="16"/>
        <v>822165400</v>
      </c>
      <c r="AY81" s="28">
        <f t="shared" si="16"/>
        <v>959809700</v>
      </c>
      <c r="AZ81" s="28">
        <f t="shared" si="16"/>
        <v>1233545500</v>
      </c>
      <c r="BA81" s="28">
        <f t="shared" si="16"/>
        <v>1340843100</v>
      </c>
      <c r="BB81" s="28">
        <f t="shared" si="16"/>
        <v>1680968000</v>
      </c>
      <c r="BC81" s="28">
        <f t="shared" si="16"/>
        <v>1811783500</v>
      </c>
      <c r="BD81" s="28">
        <f t="shared" si="16"/>
        <v>1454871000</v>
      </c>
      <c r="BE81" s="28">
        <f t="shared" si="16"/>
        <v>1060382500</v>
      </c>
      <c r="BF81" s="28">
        <f t="shared" si="16"/>
        <v>574000000</v>
      </c>
      <c r="BG81" s="28">
        <f t="shared" si="16"/>
        <v>374000000</v>
      </c>
      <c r="BH81" s="28">
        <f t="shared" si="16"/>
        <v>84000000</v>
      </c>
      <c r="BI81" s="28">
        <f t="shared" si="16"/>
        <v>84000000</v>
      </c>
      <c r="BJ81" s="28">
        <f t="shared" si="16"/>
        <v>117000000</v>
      </c>
      <c r="BK81" s="28">
        <f t="shared" si="16"/>
        <v>53000000</v>
      </c>
      <c r="BL81" s="28">
        <f t="shared" si="16"/>
        <v>53000000</v>
      </c>
      <c r="BM81" s="28">
        <f t="shared" si="16"/>
        <v>53000000</v>
      </c>
      <c r="BN81" s="28">
        <f t="shared" si="16"/>
        <v>30000000</v>
      </c>
      <c r="BO81" s="28">
        <f t="shared" si="16"/>
        <v>0</v>
      </c>
      <c r="BP81" s="28">
        <f t="shared" si="16"/>
        <v>0</v>
      </c>
      <c r="BQ81" s="28">
        <f t="shared" si="16"/>
        <v>0</v>
      </c>
      <c r="BR81" s="28">
        <f t="shared" ref="BR81:CG81" si="17">SUM(BR82:BR85)</f>
        <v>0</v>
      </c>
      <c r="BS81" s="28">
        <f t="shared" si="17"/>
        <v>0</v>
      </c>
      <c r="BT81" s="28">
        <f t="shared" si="17"/>
        <v>10000000</v>
      </c>
      <c r="BU81" s="28">
        <f t="shared" si="17"/>
        <v>35000000</v>
      </c>
      <c r="BV81" s="28">
        <f t="shared" si="17"/>
        <v>35000000</v>
      </c>
      <c r="BW81" s="28">
        <f t="shared" si="17"/>
        <v>40000000</v>
      </c>
      <c r="BX81" s="28">
        <f t="shared" si="17"/>
        <v>53000000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5">
        <v>4635674285.6800003</v>
      </c>
      <c r="C82" s="195">
        <v>5238643571.3999996</v>
      </c>
      <c r="D82" s="195">
        <v>6456812857.1199999</v>
      </c>
      <c r="E82" s="195">
        <v>6321648809.1300001</v>
      </c>
      <c r="F82" s="195">
        <v>7186001560</v>
      </c>
      <c r="G82" s="195">
        <v>7829437380.6199999</v>
      </c>
      <c r="H82" s="195">
        <v>9029286666.4099998</v>
      </c>
      <c r="I82" s="195">
        <v>9333344999.7399998</v>
      </c>
      <c r="J82" s="195">
        <v>11201344999.99</v>
      </c>
      <c r="K82" s="195">
        <v>10402436666.67</v>
      </c>
      <c r="L82" s="195">
        <v>10274322493.450001</v>
      </c>
      <c r="M82" s="195">
        <v>11440236985.110001</v>
      </c>
      <c r="N82" s="195">
        <v>11405311504.74</v>
      </c>
      <c r="O82" s="195">
        <v>12196880700.99</v>
      </c>
      <c r="P82" s="195">
        <v>13768750256.92</v>
      </c>
      <c r="Q82" s="195">
        <v>12837515833.620001</v>
      </c>
      <c r="R82" s="195">
        <v>12686487348.530001</v>
      </c>
      <c r="S82" s="195">
        <v>10941920192.120001</v>
      </c>
      <c r="T82" s="195">
        <v>9722391202.6200008</v>
      </c>
      <c r="U82" s="195">
        <v>7890836093.9300003</v>
      </c>
      <c r="V82" s="195">
        <v>7141494049.71</v>
      </c>
      <c r="W82" s="195">
        <v>5301795170.7799997</v>
      </c>
      <c r="X82" s="195">
        <v>3914351572.02</v>
      </c>
      <c r="Y82" s="195">
        <v>3442456518.29</v>
      </c>
      <c r="Z82" s="195">
        <v>2790984136</v>
      </c>
      <c r="AA82" s="195">
        <v>2744987169.5</v>
      </c>
      <c r="AB82" s="195">
        <v>2762163645</v>
      </c>
      <c r="AC82" s="195">
        <v>2414216440</v>
      </c>
      <c r="AD82" s="195">
        <v>2631100277.8099999</v>
      </c>
      <c r="AE82" s="195">
        <v>2294437100</v>
      </c>
      <c r="AF82" s="195">
        <v>2234144352.1399999</v>
      </c>
      <c r="AG82" s="195">
        <v>2022940850</v>
      </c>
      <c r="AH82" s="195">
        <v>1697976575</v>
      </c>
      <c r="AI82" s="195">
        <v>1589479865</v>
      </c>
      <c r="AJ82" s="195">
        <v>702451400</v>
      </c>
      <c r="AK82" s="195">
        <v>620661200</v>
      </c>
      <c r="AL82" s="195">
        <v>462673000</v>
      </c>
      <c r="AM82" s="195">
        <v>354267400</v>
      </c>
      <c r="AN82" s="195">
        <v>344197550</v>
      </c>
      <c r="AO82" s="195">
        <v>412485700</v>
      </c>
      <c r="AP82" s="195">
        <v>422617631.18000001</v>
      </c>
      <c r="AQ82" s="195">
        <v>466418800</v>
      </c>
      <c r="AR82" s="195">
        <v>499558829.99000001</v>
      </c>
      <c r="AS82" s="195">
        <v>299488600</v>
      </c>
      <c r="AT82" s="195">
        <v>361000380.62</v>
      </c>
      <c r="AU82" s="195">
        <v>818427000</v>
      </c>
      <c r="AV82" s="195">
        <v>811632800</v>
      </c>
      <c r="AW82" s="195">
        <v>801669800</v>
      </c>
      <c r="AX82" s="195">
        <v>822165400</v>
      </c>
      <c r="AY82" s="195">
        <v>959809700</v>
      </c>
      <c r="AZ82" s="195">
        <v>1233545500</v>
      </c>
      <c r="BA82" s="195">
        <v>1340843100</v>
      </c>
      <c r="BB82" s="195">
        <v>1680968000</v>
      </c>
      <c r="BC82" s="195">
        <v>1811783500</v>
      </c>
      <c r="BD82" s="195">
        <v>1454871000</v>
      </c>
      <c r="BE82" s="195">
        <v>1060382500</v>
      </c>
      <c r="BF82" s="195">
        <v>574000000</v>
      </c>
      <c r="BG82" s="195">
        <v>374000000</v>
      </c>
      <c r="BH82" s="195">
        <v>84000000</v>
      </c>
      <c r="BI82" s="195">
        <v>84000000</v>
      </c>
      <c r="BJ82" s="195">
        <v>117000000</v>
      </c>
      <c r="BK82" s="195">
        <v>53000000</v>
      </c>
      <c r="BL82" s="195">
        <v>53000000</v>
      </c>
      <c r="BM82" s="195">
        <v>53000000</v>
      </c>
      <c r="BN82" s="195">
        <v>30000000</v>
      </c>
      <c r="BO82" s="195">
        <v>0</v>
      </c>
      <c r="BP82" s="195">
        <v>0</v>
      </c>
      <c r="BQ82" s="195">
        <v>0</v>
      </c>
      <c r="BR82" s="195">
        <v>0</v>
      </c>
      <c r="BS82" s="195">
        <v>0</v>
      </c>
      <c r="BT82" s="195">
        <v>10000000</v>
      </c>
      <c r="BU82" s="195">
        <v>35000000</v>
      </c>
      <c r="BV82" s="195">
        <v>35000000</v>
      </c>
      <c r="BW82" s="195">
        <v>40000000</v>
      </c>
      <c r="BX82" s="195">
        <v>53000000</v>
      </c>
      <c r="BY82" s="195">
        <v>0</v>
      </c>
      <c r="BZ82" s="40"/>
      <c r="CA82" s="40"/>
      <c r="CB82" s="40"/>
      <c r="CC82" s="40"/>
      <c r="CD82" s="40"/>
      <c r="CE82" s="40"/>
      <c r="CF82" s="40"/>
      <c r="CG82" s="40"/>
      <c r="CH82" s="40"/>
      <c r="CI82" s="40"/>
      <c r="CJ82" s="40"/>
      <c r="CK82" s="40"/>
      <c r="CL82" s="40"/>
    </row>
    <row r="83" spans="1:90" x14ac:dyDescent="0.25">
      <c r="A83" s="129" t="s">
        <v>58</v>
      </c>
      <c r="B83" s="195">
        <v>0</v>
      </c>
      <c r="C83" s="195">
        <v>0</v>
      </c>
      <c r="D83" s="195">
        <v>0</v>
      </c>
      <c r="E83" s="195">
        <v>0</v>
      </c>
      <c r="F83" s="195">
        <v>0</v>
      </c>
      <c r="G83" s="195">
        <v>0</v>
      </c>
      <c r="H83" s="195">
        <v>0</v>
      </c>
      <c r="I83" s="195">
        <v>0</v>
      </c>
      <c r="J83" s="195">
        <v>310400000</v>
      </c>
      <c r="K83" s="195">
        <v>310400000</v>
      </c>
      <c r="L83" s="195">
        <v>1950000000</v>
      </c>
      <c r="M83" s="195">
        <v>1980000000</v>
      </c>
      <c r="N83" s="195">
        <v>2000000000</v>
      </c>
      <c r="O83" s="195">
        <v>2000000000</v>
      </c>
      <c r="P83" s="195">
        <v>2000000000</v>
      </c>
      <c r="Q83" s="195">
        <v>2000000000</v>
      </c>
      <c r="R83" s="195">
        <v>1000000000</v>
      </c>
      <c r="S83" s="195">
        <v>1000000000</v>
      </c>
      <c r="T83" s="195">
        <v>1000000000</v>
      </c>
      <c r="U83" s="195">
        <v>1000000000</v>
      </c>
      <c r="V83" s="195">
        <v>1000000000</v>
      </c>
      <c r="W83" s="195">
        <v>1000000000</v>
      </c>
      <c r="X83" s="195">
        <v>1000000000</v>
      </c>
      <c r="Y83" s="195">
        <v>1000000000</v>
      </c>
      <c r="Z83" s="195">
        <v>1000000000</v>
      </c>
      <c r="AA83" s="195">
        <v>1000000000</v>
      </c>
      <c r="AB83" s="195">
        <v>0</v>
      </c>
      <c r="AC83" s="195">
        <v>0</v>
      </c>
      <c r="AD83" s="195">
        <v>0</v>
      </c>
      <c r="AE83" s="195">
        <v>0</v>
      </c>
      <c r="AF83" s="195">
        <v>0</v>
      </c>
      <c r="AG83" s="195">
        <v>0</v>
      </c>
      <c r="AH83" s="195">
        <v>0</v>
      </c>
      <c r="AI83" s="195">
        <v>0</v>
      </c>
      <c r="AJ83" s="195">
        <v>0</v>
      </c>
      <c r="AK83" s="195">
        <v>0</v>
      </c>
      <c r="AL83" s="195">
        <v>0</v>
      </c>
      <c r="AM83" s="195">
        <v>0</v>
      </c>
      <c r="AN83" s="195">
        <v>0</v>
      </c>
      <c r="AO83" s="195">
        <v>0</v>
      </c>
      <c r="AP83" s="195">
        <v>0</v>
      </c>
      <c r="AQ83" s="195">
        <v>0</v>
      </c>
      <c r="AR83" s="195">
        <v>0</v>
      </c>
      <c r="AS83" s="195">
        <v>0</v>
      </c>
      <c r="AT83" s="195">
        <v>0</v>
      </c>
      <c r="AU83" s="195">
        <v>0</v>
      </c>
      <c r="AV83" s="195">
        <v>0</v>
      </c>
      <c r="AW83" s="195">
        <v>0</v>
      </c>
      <c r="AX83" s="195">
        <v>0</v>
      </c>
      <c r="AY83" s="195">
        <v>0</v>
      </c>
      <c r="AZ83" s="195">
        <v>0</v>
      </c>
      <c r="BA83" s="195">
        <v>0</v>
      </c>
      <c r="BB83" s="195">
        <v>0</v>
      </c>
      <c r="BC83" s="195">
        <v>0</v>
      </c>
      <c r="BD83" s="195">
        <v>0</v>
      </c>
      <c r="BE83" s="195">
        <v>0</v>
      </c>
      <c r="BF83" s="195">
        <v>0</v>
      </c>
      <c r="BG83" s="195">
        <v>0</v>
      </c>
      <c r="BH83" s="195">
        <v>0</v>
      </c>
      <c r="BI83" s="195">
        <v>0</v>
      </c>
      <c r="BJ83" s="195">
        <v>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c r="BZ83" s="40"/>
      <c r="CA83" s="40"/>
      <c r="CB83" s="40"/>
      <c r="CC83" s="40"/>
      <c r="CD83" s="40"/>
      <c r="CE83" s="40"/>
      <c r="CF83" s="40"/>
      <c r="CG83" s="40"/>
      <c r="CH83" s="40"/>
      <c r="CI83" s="40"/>
      <c r="CJ83" s="40"/>
      <c r="CK83" s="40"/>
      <c r="CL83" s="40"/>
    </row>
    <row r="84" spans="1:90" x14ac:dyDescent="0.25">
      <c r="A84" s="129" t="s">
        <v>59</v>
      </c>
      <c r="B84" s="195">
        <v>0</v>
      </c>
      <c r="C84" s="195">
        <v>1352722</v>
      </c>
      <c r="D84" s="195">
        <v>1352722</v>
      </c>
      <c r="E84" s="195">
        <v>1352722</v>
      </c>
      <c r="F84" s="195">
        <v>1352722</v>
      </c>
      <c r="G84" s="195">
        <v>1352722</v>
      </c>
      <c r="H84" s="195">
        <v>2705450</v>
      </c>
      <c r="I84" s="195">
        <v>2705450</v>
      </c>
      <c r="J84" s="195">
        <v>4058178</v>
      </c>
      <c r="K84" s="195">
        <v>4058178</v>
      </c>
      <c r="L84" s="195">
        <v>4058178</v>
      </c>
      <c r="M84" s="195">
        <v>4058178</v>
      </c>
      <c r="N84" s="195">
        <v>5410906</v>
      </c>
      <c r="O84" s="195">
        <v>5410906</v>
      </c>
      <c r="P84" s="195">
        <v>5410906</v>
      </c>
      <c r="Q84" s="195">
        <v>5410906</v>
      </c>
      <c r="R84" s="195">
        <v>6763634</v>
      </c>
      <c r="S84" s="195">
        <v>6763634</v>
      </c>
      <c r="T84" s="195">
        <v>6763634</v>
      </c>
      <c r="U84" s="195">
        <v>6763634</v>
      </c>
      <c r="V84" s="195">
        <v>8116362</v>
      </c>
      <c r="W84" s="195">
        <v>8116362</v>
      </c>
      <c r="X84" s="195">
        <v>8116362</v>
      </c>
      <c r="Y84" s="195">
        <v>8116362</v>
      </c>
      <c r="Z84" s="195">
        <v>8116362</v>
      </c>
      <c r="AA84" s="195">
        <v>9469090</v>
      </c>
      <c r="AB84" s="195">
        <v>9469090</v>
      </c>
      <c r="AC84" s="195">
        <v>9469090</v>
      </c>
      <c r="AD84" s="195">
        <v>10821818</v>
      </c>
      <c r="AE84" s="195">
        <v>10821818</v>
      </c>
      <c r="AF84" s="195">
        <v>10821818</v>
      </c>
      <c r="AG84" s="195">
        <v>10821818</v>
      </c>
      <c r="AH84" s="195">
        <v>12174546</v>
      </c>
      <c r="AI84" s="195">
        <v>12174546</v>
      </c>
      <c r="AJ84" s="195">
        <v>12174546</v>
      </c>
      <c r="AK84" s="195">
        <v>12174546</v>
      </c>
      <c r="AL84" s="195">
        <v>13527273</v>
      </c>
      <c r="AM84" s="195">
        <v>13527273</v>
      </c>
      <c r="AN84" s="195">
        <v>13527273</v>
      </c>
      <c r="AO84" s="195">
        <v>13527273</v>
      </c>
      <c r="AP84" s="195">
        <v>77102414.140000001</v>
      </c>
      <c r="AQ84" s="195">
        <v>291540274.48000002</v>
      </c>
      <c r="AR84" s="195">
        <v>291490347.42000002</v>
      </c>
      <c r="AS84" s="195">
        <v>283325037.95999998</v>
      </c>
      <c r="AT84" s="195">
        <v>46415421</v>
      </c>
      <c r="AU84" s="195">
        <v>50157884.840000004</v>
      </c>
      <c r="AV84" s="195">
        <v>33257179.73</v>
      </c>
      <c r="AW84" s="195">
        <v>0</v>
      </c>
      <c r="AX84" s="195">
        <v>0</v>
      </c>
      <c r="AY84" s="195">
        <v>0</v>
      </c>
      <c r="AZ84" s="195">
        <v>0</v>
      </c>
      <c r="BA84" s="195">
        <v>0</v>
      </c>
      <c r="BB84" s="195">
        <v>0</v>
      </c>
      <c r="BC84" s="195">
        <v>0</v>
      </c>
      <c r="BD84" s="195">
        <v>0</v>
      </c>
      <c r="BE84" s="195">
        <v>0</v>
      </c>
      <c r="BF84" s="195">
        <v>0</v>
      </c>
      <c r="BG84" s="195">
        <v>0</v>
      </c>
      <c r="BH84" s="195">
        <v>0</v>
      </c>
      <c r="BI84" s="195">
        <v>0</v>
      </c>
      <c r="BJ84" s="195">
        <v>0</v>
      </c>
      <c r="BK84" s="195">
        <v>0</v>
      </c>
      <c r="BL84" s="195">
        <v>0</v>
      </c>
      <c r="BM84" s="195">
        <v>0</v>
      </c>
      <c r="BN84" s="195">
        <v>0</v>
      </c>
      <c r="BO84" s="195">
        <v>0</v>
      </c>
      <c r="BP84" s="195">
        <v>0</v>
      </c>
      <c r="BQ84" s="195">
        <v>0</v>
      </c>
      <c r="BR84" s="195">
        <v>0</v>
      </c>
      <c r="BS84" s="195">
        <v>0</v>
      </c>
      <c r="BT84" s="195">
        <v>0</v>
      </c>
      <c r="BU84" s="195">
        <v>0</v>
      </c>
      <c r="BV84" s="195">
        <v>0</v>
      </c>
      <c r="BW84" s="195">
        <v>0</v>
      </c>
      <c r="BX84" s="195">
        <v>0</v>
      </c>
      <c r="BY84" s="195">
        <v>0</v>
      </c>
      <c r="BZ84" s="40"/>
      <c r="CA84" s="40"/>
      <c r="CB84" s="40"/>
      <c r="CC84" s="40"/>
      <c r="CD84" s="40"/>
      <c r="CE84" s="40"/>
      <c r="CF84" s="40"/>
      <c r="CG84" s="40"/>
      <c r="CH84" s="40"/>
      <c r="CI84" s="40"/>
      <c r="CJ84" s="40"/>
      <c r="CK84" s="40"/>
      <c r="CL84" s="40"/>
    </row>
    <row r="85" spans="1:90" x14ac:dyDescent="0.25">
      <c r="A85" s="129" t="s">
        <v>83</v>
      </c>
      <c r="B85" s="195">
        <v>0</v>
      </c>
      <c r="C85" s="195">
        <v>0</v>
      </c>
      <c r="D85" s="195">
        <v>0</v>
      </c>
      <c r="E85" s="195">
        <v>0</v>
      </c>
      <c r="F85" s="195">
        <v>0</v>
      </c>
      <c r="G85" s="195">
        <v>0</v>
      </c>
      <c r="H85" s="195">
        <v>0</v>
      </c>
      <c r="I85" s="195">
        <v>0</v>
      </c>
      <c r="J85" s="195">
        <v>0</v>
      </c>
      <c r="K85" s="195">
        <v>0</v>
      </c>
      <c r="L85" s="195">
        <v>0</v>
      </c>
      <c r="M85" s="195">
        <v>0</v>
      </c>
      <c r="N85" s="195">
        <v>0</v>
      </c>
      <c r="O85" s="195">
        <v>0</v>
      </c>
      <c r="P85" s="195">
        <v>0</v>
      </c>
      <c r="Q85" s="195">
        <v>3812804.03</v>
      </c>
      <c r="R85" s="195">
        <v>3904392.35</v>
      </c>
      <c r="S85" s="195">
        <v>3995980.67</v>
      </c>
      <c r="T85" s="195">
        <v>4087568.99</v>
      </c>
      <c r="U85" s="195">
        <v>4179157.31</v>
      </c>
      <c r="V85" s="195">
        <v>4230719.8099999996</v>
      </c>
      <c r="W85" s="195">
        <v>4282282.3099999996</v>
      </c>
      <c r="X85" s="195">
        <v>4333844.8099999996</v>
      </c>
      <c r="Y85" s="195">
        <v>4385407.3099999996</v>
      </c>
      <c r="Z85" s="195">
        <v>4436969.8099999996</v>
      </c>
      <c r="AA85" s="195">
        <v>4488532.3099999996</v>
      </c>
      <c r="AB85" s="195">
        <v>4540094.8099999996</v>
      </c>
      <c r="AC85" s="195">
        <v>4591657.3099999996</v>
      </c>
      <c r="AD85" s="195">
        <v>3042187.5</v>
      </c>
      <c r="AE85" s="195">
        <v>3093750</v>
      </c>
      <c r="AF85" s="195">
        <v>3145312.5</v>
      </c>
      <c r="AG85" s="195">
        <v>3196875</v>
      </c>
      <c r="AH85" s="195">
        <v>0</v>
      </c>
      <c r="AI85" s="195">
        <v>0</v>
      </c>
      <c r="AJ85" s="195">
        <v>0</v>
      </c>
      <c r="AK85" s="195">
        <v>0</v>
      </c>
      <c r="AL85" s="195">
        <v>0</v>
      </c>
      <c r="AM85" s="195">
        <v>0</v>
      </c>
      <c r="AN85" s="195">
        <v>0</v>
      </c>
      <c r="AO85" s="195">
        <v>0</v>
      </c>
      <c r="AP85" s="195">
        <v>33910632.210000001</v>
      </c>
      <c r="AQ85" s="195">
        <v>40692758.700000003</v>
      </c>
      <c r="AR85" s="195">
        <v>47474885.130000003</v>
      </c>
      <c r="AS85" s="195">
        <v>17590344.829999998</v>
      </c>
      <c r="AT85" s="195">
        <v>95023993.560000002</v>
      </c>
      <c r="AU85" s="195">
        <v>93983993.560000002</v>
      </c>
      <c r="AV85" s="195">
        <v>0</v>
      </c>
      <c r="AW85" s="195">
        <v>0</v>
      </c>
      <c r="AX85" s="195">
        <v>0</v>
      </c>
      <c r="AY85" s="195">
        <v>0</v>
      </c>
      <c r="AZ85" s="195">
        <v>0</v>
      </c>
      <c r="BA85" s="195">
        <v>0</v>
      </c>
      <c r="BB85" s="195">
        <v>0</v>
      </c>
      <c r="BC85" s="195">
        <v>0</v>
      </c>
      <c r="BD85" s="195">
        <v>0</v>
      </c>
      <c r="BE85" s="195">
        <v>0</v>
      </c>
      <c r="BF85" s="195">
        <v>0</v>
      </c>
      <c r="BG85" s="195">
        <v>0</v>
      </c>
      <c r="BH85" s="195">
        <v>0</v>
      </c>
      <c r="BI85" s="195">
        <v>0</v>
      </c>
      <c r="BJ85" s="195">
        <v>0</v>
      </c>
      <c r="BK85" s="195">
        <v>0</v>
      </c>
      <c r="BL85" s="195">
        <v>0</v>
      </c>
      <c r="BM85" s="195">
        <v>0</v>
      </c>
      <c r="BN85" s="195">
        <v>0</v>
      </c>
      <c r="BO85" s="195">
        <v>0</v>
      </c>
      <c r="BP85" s="195">
        <v>0</v>
      </c>
      <c r="BQ85" s="195">
        <v>0</v>
      </c>
      <c r="BR85" s="195">
        <v>0</v>
      </c>
      <c r="BS85" s="195">
        <v>0</v>
      </c>
      <c r="BT85" s="195">
        <v>0</v>
      </c>
      <c r="BU85" s="195">
        <v>0</v>
      </c>
      <c r="BV85" s="195">
        <v>0</v>
      </c>
      <c r="BW85" s="195">
        <v>0</v>
      </c>
      <c r="BX85" s="195">
        <v>0</v>
      </c>
      <c r="BY85" s="195">
        <v>0</v>
      </c>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19064905988.23</v>
      </c>
      <c r="C89" s="33">
        <f>SUM(C73:C85)</f>
        <v>22418267610.720001</v>
      </c>
      <c r="D89" s="33">
        <f>SUM(D73:D85)</f>
        <v>23938751188.309998</v>
      </c>
      <c r="E89" s="33">
        <f>E72+E81</f>
        <v>21740055496.650002</v>
      </c>
      <c r="F89" s="33">
        <f t="shared" ref="F89:BQ89" si="18">F72+F81</f>
        <v>23624615062.52</v>
      </c>
      <c r="G89" s="33">
        <f t="shared" si="18"/>
        <v>24547327701.759998</v>
      </c>
      <c r="H89" s="33">
        <f t="shared" si="18"/>
        <v>21949280665.080002</v>
      </c>
      <c r="I89" s="33">
        <f t="shared" si="18"/>
        <v>21974353506.019997</v>
      </c>
      <c r="J89" s="33">
        <f t="shared" si="18"/>
        <v>23134235688.130001</v>
      </c>
      <c r="K89" s="33">
        <f t="shared" si="18"/>
        <v>25703445696.610001</v>
      </c>
      <c r="L89" s="33">
        <f t="shared" si="18"/>
        <v>25060082821.169998</v>
      </c>
      <c r="M89" s="33">
        <f t="shared" si="18"/>
        <v>25650204032.130001</v>
      </c>
      <c r="N89" s="33">
        <f t="shared" si="18"/>
        <v>25141586510.080002</v>
      </c>
      <c r="O89" s="33">
        <f t="shared" si="18"/>
        <v>23644522901.010002</v>
      </c>
      <c r="P89" s="33">
        <f t="shared" si="18"/>
        <v>23782276355.91</v>
      </c>
      <c r="Q89" s="33">
        <f t="shared" si="18"/>
        <v>21936255984.43</v>
      </c>
      <c r="R89" s="33">
        <f t="shared" si="18"/>
        <v>20216163177.540001</v>
      </c>
      <c r="S89" s="33">
        <f t="shared" si="18"/>
        <v>19568971448.560001</v>
      </c>
      <c r="T89" s="33">
        <f t="shared" si="18"/>
        <v>16995388075.360001</v>
      </c>
      <c r="U89" s="33">
        <f t="shared" si="18"/>
        <v>14002387067.599998</v>
      </c>
      <c r="V89" s="33">
        <f t="shared" si="18"/>
        <v>13006621907.360001</v>
      </c>
      <c r="W89" s="33">
        <f t="shared" si="18"/>
        <v>12540377582.150002</v>
      </c>
      <c r="X89" s="33">
        <f t="shared" si="18"/>
        <v>10726768824.27</v>
      </c>
      <c r="Y89" s="33">
        <f t="shared" si="18"/>
        <v>9307706521.6499996</v>
      </c>
      <c r="Z89" s="33">
        <f t="shared" si="18"/>
        <v>8542333040.4099998</v>
      </c>
      <c r="AA89" s="33">
        <f t="shared" si="18"/>
        <v>8098436724.1000004</v>
      </c>
      <c r="AB89" s="33">
        <f t="shared" si="18"/>
        <v>7242995006.5699997</v>
      </c>
      <c r="AC89" s="33">
        <f t="shared" si="18"/>
        <v>6759322305.8899994</v>
      </c>
      <c r="AD89" s="33">
        <f t="shared" si="18"/>
        <v>5093208214.54</v>
      </c>
      <c r="AE89" s="33">
        <f t="shared" si="18"/>
        <v>5949094760.2299995</v>
      </c>
      <c r="AF89" s="33">
        <f t="shared" si="18"/>
        <v>5773091113.8800001</v>
      </c>
      <c r="AG89" s="33">
        <f t="shared" si="18"/>
        <v>4621364401.4799995</v>
      </c>
      <c r="AH89" s="33">
        <f t="shared" si="18"/>
        <v>4062984985.54</v>
      </c>
      <c r="AI89" s="33">
        <f t="shared" si="18"/>
        <v>3510155596.3099999</v>
      </c>
      <c r="AJ89" s="33">
        <f t="shared" si="18"/>
        <v>3077875917.4299998</v>
      </c>
      <c r="AK89" s="33">
        <f t="shared" si="18"/>
        <v>2887412266.9200001</v>
      </c>
      <c r="AL89" s="33">
        <f t="shared" si="18"/>
        <v>3488241558.6399999</v>
      </c>
      <c r="AM89" s="33">
        <f t="shared" si="18"/>
        <v>3448215597.6300001</v>
      </c>
      <c r="AN89" s="33">
        <f t="shared" si="18"/>
        <v>2693037898.5100002</v>
      </c>
      <c r="AO89" s="33">
        <f t="shared" si="18"/>
        <v>1701061022.29</v>
      </c>
      <c r="AP89" s="33">
        <f t="shared" si="18"/>
        <v>1996482060.01</v>
      </c>
      <c r="AQ89" s="33">
        <f t="shared" si="18"/>
        <v>2126618303.3300002</v>
      </c>
      <c r="AR89" s="33">
        <f t="shared" si="18"/>
        <v>2378964592.3200002</v>
      </c>
      <c r="AS89" s="33">
        <f t="shared" si="18"/>
        <v>2121265360.3900003</v>
      </c>
      <c r="AT89" s="33">
        <f t="shared" si="18"/>
        <v>2109797481.6300001</v>
      </c>
      <c r="AU89" s="33">
        <f t="shared" si="18"/>
        <v>1898579848.8800001</v>
      </c>
      <c r="AV89" s="33">
        <f t="shared" si="18"/>
        <v>1691526838.7800002</v>
      </c>
      <c r="AW89" s="33">
        <f t="shared" si="18"/>
        <v>1556651133</v>
      </c>
      <c r="AX89" s="33">
        <f t="shared" si="18"/>
        <v>1733914883</v>
      </c>
      <c r="AY89" s="33">
        <f t="shared" si="18"/>
        <v>1759408200</v>
      </c>
      <c r="AZ89" s="33">
        <f t="shared" si="18"/>
        <v>1867980500</v>
      </c>
      <c r="BA89" s="33">
        <f t="shared" si="18"/>
        <v>1843863350</v>
      </c>
      <c r="BB89" s="33">
        <f t="shared" si="18"/>
        <v>1914486000</v>
      </c>
      <c r="BC89" s="33">
        <f t="shared" si="18"/>
        <v>1948345750</v>
      </c>
      <c r="BD89" s="33">
        <f t="shared" si="18"/>
        <v>1550050750</v>
      </c>
      <c r="BE89" s="33">
        <f t="shared" si="18"/>
        <v>1231765000</v>
      </c>
      <c r="BF89" s="33">
        <f t="shared" si="18"/>
        <v>704000000</v>
      </c>
      <c r="BG89" s="33">
        <f t="shared" si="18"/>
        <v>474000000</v>
      </c>
      <c r="BH89" s="33">
        <f t="shared" si="18"/>
        <v>174000000</v>
      </c>
      <c r="BI89" s="33">
        <f t="shared" si="18"/>
        <v>125501558.5</v>
      </c>
      <c r="BJ89" s="33">
        <f t="shared" si="18"/>
        <v>137681558.5</v>
      </c>
      <c r="BK89" s="33">
        <f t="shared" si="18"/>
        <v>72480000</v>
      </c>
      <c r="BL89" s="33">
        <f t="shared" si="18"/>
        <v>72480000</v>
      </c>
      <c r="BM89" s="33">
        <f t="shared" si="18"/>
        <v>72000000</v>
      </c>
      <c r="BN89" s="33">
        <f t="shared" si="18"/>
        <v>30000000</v>
      </c>
      <c r="BO89" s="33">
        <f t="shared" si="18"/>
        <v>0</v>
      </c>
      <c r="BP89" s="33">
        <f t="shared" si="18"/>
        <v>0</v>
      </c>
      <c r="BQ89" s="33">
        <f t="shared" si="18"/>
        <v>0</v>
      </c>
      <c r="BR89" s="33">
        <f t="shared" ref="BR89:CK89" si="19">BR72+BR81</f>
        <v>0</v>
      </c>
      <c r="BS89" s="33">
        <f t="shared" si="19"/>
        <v>0</v>
      </c>
      <c r="BT89" s="33">
        <f t="shared" si="19"/>
        <v>84100000</v>
      </c>
      <c r="BU89" s="33">
        <f t="shared" si="19"/>
        <v>94600000</v>
      </c>
      <c r="BV89" s="33">
        <f t="shared" si="19"/>
        <v>76730000</v>
      </c>
      <c r="BW89" s="33">
        <f t="shared" si="19"/>
        <v>71730000</v>
      </c>
      <c r="BX89" s="33">
        <f t="shared" si="19"/>
        <v>85000000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5">
        <v>2734012800</v>
      </c>
      <c r="C91" s="195">
        <v>2734012800</v>
      </c>
      <c r="D91" s="195">
        <v>2734012800</v>
      </c>
      <c r="E91" s="195">
        <v>2734012800</v>
      </c>
      <c r="F91" s="195">
        <v>2734012800</v>
      </c>
      <c r="G91" s="195">
        <v>2734012800</v>
      </c>
      <c r="H91" s="195">
        <v>2278344000</v>
      </c>
      <c r="I91" s="195">
        <v>2162334720</v>
      </c>
      <c r="J91" s="195">
        <v>2162334720</v>
      </c>
      <c r="K91" s="195">
        <v>2162334720</v>
      </c>
      <c r="L91" s="195">
        <v>2162334720</v>
      </c>
      <c r="M91" s="195">
        <v>2162334720</v>
      </c>
      <c r="N91" s="195">
        <v>2162334720</v>
      </c>
      <c r="O91" s="195">
        <v>2162334720</v>
      </c>
      <c r="P91" s="195">
        <v>2162334720</v>
      </c>
      <c r="Q91" s="195">
        <v>2162334720</v>
      </c>
      <c r="R91" s="195">
        <v>2162334720</v>
      </c>
      <c r="S91" s="195">
        <v>2162334720</v>
      </c>
      <c r="T91" s="195">
        <v>2162334720</v>
      </c>
      <c r="U91" s="195">
        <v>2162334720</v>
      </c>
      <c r="V91" s="195">
        <v>2162334720</v>
      </c>
      <c r="W91" s="195">
        <v>2162334720</v>
      </c>
      <c r="X91" s="195">
        <v>2162334720</v>
      </c>
      <c r="Y91" s="195">
        <v>2162334720</v>
      </c>
      <c r="Z91" s="195">
        <v>2162334720</v>
      </c>
      <c r="AA91" s="195">
        <v>2162334720</v>
      </c>
      <c r="AB91" s="195">
        <v>2162334720</v>
      </c>
      <c r="AC91" s="195">
        <v>2162334720</v>
      </c>
      <c r="AD91" s="195">
        <v>2162334720</v>
      </c>
      <c r="AE91" s="195">
        <v>2162334720</v>
      </c>
      <c r="AF91" s="195">
        <v>1663334400</v>
      </c>
      <c r="AG91" s="195">
        <v>1663334400</v>
      </c>
      <c r="AH91" s="195">
        <v>1663334400</v>
      </c>
      <c r="AI91" s="195">
        <v>1663334400</v>
      </c>
      <c r="AJ91" s="195">
        <v>1663334400</v>
      </c>
      <c r="AK91" s="195">
        <v>1663334400</v>
      </c>
      <c r="AL91" s="195">
        <v>1663334400</v>
      </c>
      <c r="AM91" s="195">
        <v>1663334400</v>
      </c>
      <c r="AN91" s="195">
        <v>1663334400</v>
      </c>
      <c r="AO91" s="195">
        <v>1663334400</v>
      </c>
      <c r="AP91" s="195">
        <v>1663334400</v>
      </c>
      <c r="AQ91" s="195">
        <v>1663334400</v>
      </c>
      <c r="AR91" s="195">
        <v>1663334400</v>
      </c>
      <c r="AS91" s="195">
        <v>1663334400</v>
      </c>
      <c r="AT91" s="195">
        <v>1663334400</v>
      </c>
      <c r="AU91" s="195">
        <v>1188096000</v>
      </c>
      <c r="AV91" s="195">
        <v>1188096000</v>
      </c>
      <c r="AW91" s="195">
        <v>1188096000</v>
      </c>
      <c r="AX91" s="195">
        <v>1188096000</v>
      </c>
      <c r="AY91" s="195">
        <v>1188096000</v>
      </c>
      <c r="AZ91" s="195">
        <v>848640000</v>
      </c>
      <c r="BA91" s="195">
        <v>848640000</v>
      </c>
      <c r="BB91" s="195">
        <v>848640000</v>
      </c>
      <c r="BC91" s="195">
        <v>848640000</v>
      </c>
      <c r="BD91" s="195">
        <v>652800000</v>
      </c>
      <c r="BE91" s="195">
        <v>652800000</v>
      </c>
      <c r="BF91" s="195">
        <v>652800000</v>
      </c>
      <c r="BG91" s="195">
        <v>652800000</v>
      </c>
      <c r="BH91" s="195">
        <v>384000000</v>
      </c>
      <c r="BI91" s="195">
        <v>384000000</v>
      </c>
      <c r="BJ91" s="195">
        <v>384000000</v>
      </c>
      <c r="BK91" s="195">
        <v>384000000</v>
      </c>
      <c r="BL91" s="195">
        <v>384000000</v>
      </c>
      <c r="BM91" s="195">
        <v>384000000</v>
      </c>
      <c r="BN91" s="195">
        <v>384000000</v>
      </c>
      <c r="BO91" s="195">
        <v>384000000</v>
      </c>
      <c r="BP91" s="195">
        <v>240000000</v>
      </c>
      <c r="BQ91" s="195">
        <v>240000000</v>
      </c>
      <c r="BR91" s="195">
        <v>240000000</v>
      </c>
      <c r="BS91" s="195">
        <v>240000000</v>
      </c>
      <c r="BT91" s="195">
        <v>120000000</v>
      </c>
      <c r="BU91" s="195">
        <v>80000000</v>
      </c>
      <c r="BV91" s="195">
        <v>80000000</v>
      </c>
      <c r="BW91" s="195">
        <v>80000000</v>
      </c>
      <c r="BX91" s="195">
        <v>0</v>
      </c>
      <c r="BY91" s="195">
        <v>0</v>
      </c>
      <c r="BZ91" s="40"/>
      <c r="CA91" s="40"/>
      <c r="CB91" s="40"/>
      <c r="CC91" s="40"/>
      <c r="CD91" s="40"/>
      <c r="CE91" s="40"/>
      <c r="CF91" s="40"/>
      <c r="CG91" s="40"/>
      <c r="CH91" s="40"/>
      <c r="CI91" s="40"/>
      <c r="CJ91" s="40"/>
      <c r="CK91" s="40"/>
      <c r="CL91" s="40"/>
    </row>
    <row r="92" spans="1:90" x14ac:dyDescent="0.25">
      <c r="A92" s="129" t="s">
        <v>63</v>
      </c>
      <c r="B92" s="195">
        <v>2393006467.8800001</v>
      </c>
      <c r="C92" s="195">
        <v>2392970759.21</v>
      </c>
      <c r="D92" s="195">
        <v>2392932848.7199998</v>
      </c>
      <c r="E92" s="195">
        <v>2392825722.6999998</v>
      </c>
      <c r="F92" s="195">
        <v>2392983416.27</v>
      </c>
      <c r="G92" s="195">
        <v>2392919887.8200002</v>
      </c>
      <c r="H92" s="195">
        <v>2392889251.1399999</v>
      </c>
      <c r="I92" s="195">
        <v>48410490.399999999</v>
      </c>
      <c r="J92" s="195">
        <v>48535567.670000002</v>
      </c>
      <c r="K92" s="195">
        <v>48454654.090000004</v>
      </c>
      <c r="L92" s="195">
        <v>48500026.789999999</v>
      </c>
      <c r="M92" s="195">
        <v>48344557.950000003</v>
      </c>
      <c r="N92" s="195">
        <v>48470538.880000003</v>
      </c>
      <c r="O92" s="195">
        <v>48427434.719999999</v>
      </c>
      <c r="P92" s="195">
        <v>48335935.149999999</v>
      </c>
      <c r="Q92" s="195">
        <v>48344055.18</v>
      </c>
      <c r="R92" s="195">
        <v>49486723.130000003</v>
      </c>
      <c r="S92" s="195">
        <v>38168889.009999998</v>
      </c>
      <c r="T92" s="195">
        <v>29947689.010000002</v>
      </c>
      <c r="U92" s="195">
        <v>30053089.010000002</v>
      </c>
      <c r="V92" s="195">
        <v>33272052.079999998</v>
      </c>
      <c r="W92" s="195">
        <v>29359672.079999998</v>
      </c>
      <c r="X92" s="195">
        <v>39722192.079999998</v>
      </c>
      <c r="Y92" s="195">
        <v>33589272.079999998</v>
      </c>
      <c r="Z92" s="195">
        <v>35915552.079999998</v>
      </c>
      <c r="AA92" s="195">
        <v>45855112.079999998</v>
      </c>
      <c r="AB92" s="195">
        <v>50824892.079999998</v>
      </c>
      <c r="AC92" s="195">
        <v>48392872.079999998</v>
      </c>
      <c r="AD92" s="195">
        <v>59495572.079999998</v>
      </c>
      <c r="AE92" s="195">
        <v>81912452.079999998</v>
      </c>
      <c r="AF92" s="195">
        <v>96879735.920000002</v>
      </c>
      <c r="AG92" s="195">
        <v>108728435.15000001</v>
      </c>
      <c r="AH92" s="195">
        <v>92263935.150000006</v>
      </c>
      <c r="AI92" s="195">
        <v>60885935.149999999</v>
      </c>
      <c r="AJ92" s="195">
        <v>83036391.849999994</v>
      </c>
      <c r="AK92" s="195">
        <v>47836391.850000001</v>
      </c>
      <c r="AL92" s="195">
        <v>47836391.850000001</v>
      </c>
      <c r="AM92" s="195">
        <v>47836391.850000001</v>
      </c>
      <c r="AN92" s="195">
        <v>47836391.850000001</v>
      </c>
      <c r="AO92" s="195">
        <v>47836391.850000001</v>
      </c>
      <c r="AP92" s="195">
        <v>47120951.039999999</v>
      </c>
      <c r="AQ92" s="195">
        <v>46669026.799999997</v>
      </c>
      <c r="AR92" s="195">
        <v>38785773.090000004</v>
      </c>
      <c r="AS92" s="195">
        <v>38785773.090000004</v>
      </c>
      <c r="AT92" s="195">
        <v>38785773.090000004</v>
      </c>
      <c r="AU92" s="195">
        <v>38785773.090000004</v>
      </c>
      <c r="AV92" s="195">
        <v>31366981.890000001</v>
      </c>
      <c r="AW92" s="195">
        <v>31366981.890000001</v>
      </c>
      <c r="AX92" s="195">
        <v>32330017</v>
      </c>
      <c r="AY92" s="195">
        <v>32330017</v>
      </c>
      <c r="AZ92" s="195">
        <v>31092583.940000001</v>
      </c>
      <c r="BA92" s="195">
        <v>31068348.739999998</v>
      </c>
      <c r="BB92" s="195">
        <v>31068348.739999998</v>
      </c>
      <c r="BC92" s="195">
        <v>31068348.739999998</v>
      </c>
      <c r="BD92" s="195">
        <v>30643663.760000002</v>
      </c>
      <c r="BE92" s="195">
        <v>30643663.760000002</v>
      </c>
      <c r="BF92" s="195">
        <v>30563354.32</v>
      </c>
      <c r="BG92" s="195">
        <v>30563804.32</v>
      </c>
      <c r="BH92" s="195">
        <v>222563804.31999999</v>
      </c>
      <c r="BI92" s="195">
        <v>222563804.31999999</v>
      </c>
      <c r="BJ92" s="195">
        <v>222602929.86000001</v>
      </c>
      <c r="BK92" s="195">
        <v>222544462.44999999</v>
      </c>
      <c r="BL92" s="195">
        <v>222544462.44999999</v>
      </c>
      <c r="BM92" s="195">
        <v>222544462.44999999</v>
      </c>
      <c r="BN92" s="195">
        <v>222012086.94</v>
      </c>
      <c r="BO92" s="195">
        <v>222012086.94</v>
      </c>
      <c r="BP92" s="195">
        <v>342010338.91000003</v>
      </c>
      <c r="BQ92" s="195">
        <v>342010338.91000003</v>
      </c>
      <c r="BR92" s="195">
        <v>0</v>
      </c>
      <c r="BS92" s="195">
        <v>342010338.91000003</v>
      </c>
      <c r="BT92" s="195">
        <v>438010338.91000003</v>
      </c>
      <c r="BU92" s="195">
        <v>43050538.909999996</v>
      </c>
      <c r="BV92" s="195">
        <v>43050538.909999996</v>
      </c>
      <c r="BW92" s="195">
        <v>43050538.909999996</v>
      </c>
      <c r="BX92" s="195">
        <v>0</v>
      </c>
      <c r="BY92" s="195">
        <v>0</v>
      </c>
      <c r="BZ92" s="40"/>
      <c r="CA92" s="40"/>
      <c r="CB92" s="40"/>
      <c r="CC92" s="40"/>
      <c r="CD92" s="40"/>
      <c r="CE92" s="40"/>
      <c r="CF92" s="40"/>
      <c r="CG92" s="40"/>
      <c r="CH92" s="40"/>
      <c r="CI92" s="40"/>
      <c r="CJ92" s="40"/>
      <c r="CK92" s="40"/>
      <c r="CL92" s="40"/>
    </row>
    <row r="93" spans="1:90" x14ac:dyDescent="0.25">
      <c r="A93" s="129" t="s">
        <v>64</v>
      </c>
      <c r="B93" s="195">
        <v>0</v>
      </c>
      <c r="C93" s="195">
        <v>0</v>
      </c>
      <c r="D93" s="195">
        <v>0</v>
      </c>
      <c r="E93" s="195">
        <v>0</v>
      </c>
      <c r="F93" s="195">
        <v>0</v>
      </c>
      <c r="G93" s="195">
        <v>0</v>
      </c>
      <c r="H93" s="195">
        <v>0</v>
      </c>
      <c r="I93" s="195">
        <v>0</v>
      </c>
      <c r="J93" s="195">
        <v>0</v>
      </c>
      <c r="K93" s="195">
        <v>0</v>
      </c>
      <c r="L93" s="195">
        <v>0</v>
      </c>
      <c r="M93" s="195">
        <v>0</v>
      </c>
      <c r="N93" s="195">
        <v>0</v>
      </c>
      <c r="O93" s="195">
        <v>0</v>
      </c>
      <c r="P93" s="195">
        <v>0</v>
      </c>
      <c r="Q93" s="195">
        <v>0</v>
      </c>
      <c r="R93" s="195">
        <v>0</v>
      </c>
      <c r="S93" s="195">
        <v>0</v>
      </c>
      <c r="T93" s="195">
        <v>0</v>
      </c>
      <c r="U93" s="195">
        <v>0</v>
      </c>
      <c r="V93" s="195">
        <v>0</v>
      </c>
      <c r="W93" s="195">
        <v>0</v>
      </c>
      <c r="X93" s="195">
        <v>0</v>
      </c>
      <c r="Y93" s="195">
        <v>0</v>
      </c>
      <c r="Z93" s="195">
        <v>0</v>
      </c>
      <c r="AA93" s="195">
        <v>0</v>
      </c>
      <c r="AB93" s="195">
        <v>0</v>
      </c>
      <c r="AC93" s="195">
        <v>0</v>
      </c>
      <c r="AD93" s="195">
        <v>0</v>
      </c>
      <c r="AE93" s="195">
        <v>0</v>
      </c>
      <c r="AF93" s="195">
        <v>0</v>
      </c>
      <c r="AG93" s="195">
        <v>0</v>
      </c>
      <c r="AH93" s="195">
        <v>0</v>
      </c>
      <c r="AI93" s="195">
        <v>0</v>
      </c>
      <c r="AJ93" s="195">
        <v>0</v>
      </c>
      <c r="AK93" s="195">
        <v>0</v>
      </c>
      <c r="AL93" s="195">
        <v>0</v>
      </c>
      <c r="AM93" s="195">
        <v>0</v>
      </c>
      <c r="AN93" s="195">
        <v>0</v>
      </c>
      <c r="AO93" s="195">
        <v>0</v>
      </c>
      <c r="AP93" s="195">
        <v>0</v>
      </c>
      <c r="AQ93" s="195">
        <v>0</v>
      </c>
      <c r="AR93" s="195">
        <v>0</v>
      </c>
      <c r="AS93" s="195">
        <v>0</v>
      </c>
      <c r="AT93" s="195">
        <v>0</v>
      </c>
      <c r="AU93" s="195">
        <v>0</v>
      </c>
      <c r="AV93" s="195">
        <v>0</v>
      </c>
      <c r="AW93" s="195">
        <v>0</v>
      </c>
      <c r="AX93" s="195">
        <v>0</v>
      </c>
      <c r="AY93" s="195">
        <v>0</v>
      </c>
      <c r="AZ93" s="195">
        <v>0</v>
      </c>
      <c r="BA93" s="195">
        <v>0</v>
      </c>
      <c r="BB93" s="195">
        <v>0</v>
      </c>
      <c r="BC93" s="195">
        <v>0</v>
      </c>
      <c r="BD93" s="195">
        <v>0</v>
      </c>
      <c r="BE93" s="195">
        <v>0</v>
      </c>
      <c r="BF93" s="195">
        <v>0</v>
      </c>
      <c r="BG93" s="195">
        <v>0</v>
      </c>
      <c r="BH93" s="195">
        <v>0</v>
      </c>
      <c r="BI93" s="195">
        <v>0</v>
      </c>
      <c r="BJ93" s="195">
        <v>0</v>
      </c>
      <c r="BK93" s="195">
        <v>0</v>
      </c>
      <c r="BL93" s="195">
        <v>0</v>
      </c>
      <c r="BM93" s="195">
        <v>0</v>
      </c>
      <c r="BN93" s="195">
        <v>0</v>
      </c>
      <c r="BO93" s="195">
        <v>0</v>
      </c>
      <c r="BP93" s="195">
        <v>0</v>
      </c>
      <c r="BQ93" s="195">
        <v>0</v>
      </c>
      <c r="BR93" s="195">
        <v>0</v>
      </c>
      <c r="BS93" s="195">
        <v>0</v>
      </c>
      <c r="BT93" s="195">
        <v>0</v>
      </c>
      <c r="BU93" s="195">
        <v>0</v>
      </c>
      <c r="BV93" s="195">
        <v>0</v>
      </c>
      <c r="BW93" s="195">
        <v>0</v>
      </c>
      <c r="BX93" s="195">
        <v>0</v>
      </c>
      <c r="BY93" s="195">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5">
        <v>-49752008.530000001</v>
      </c>
      <c r="C94" s="195">
        <v>-7988717.3899999997</v>
      </c>
      <c r="D94" s="195">
        <v>526666.98</v>
      </c>
      <c r="E94" s="195">
        <v>9518565.6500000004</v>
      </c>
      <c r="F94" s="195">
        <v>16272454.23</v>
      </c>
      <c r="G94" s="195">
        <v>11750179.1</v>
      </c>
      <c r="H94" s="195">
        <v>12887716.27</v>
      </c>
      <c r="I94" s="195">
        <v>7607533.2400000002</v>
      </c>
      <c r="J94" s="195">
        <v>4758195.21</v>
      </c>
      <c r="K94" s="195">
        <v>5203804.4000000004</v>
      </c>
      <c r="L94" s="195">
        <v>1918394.7</v>
      </c>
      <c r="M94" s="195">
        <v>4015139.5</v>
      </c>
      <c r="N94" s="195">
        <v>-13694209.109999999</v>
      </c>
      <c r="O94" s="195">
        <v>-18278448.25</v>
      </c>
      <c r="P94" s="195">
        <v>-18496135.050000001</v>
      </c>
      <c r="Q94" s="195">
        <v>-12526257.43</v>
      </c>
      <c r="R94" s="195">
        <v>0</v>
      </c>
      <c r="S94" s="195">
        <v>0</v>
      </c>
      <c r="T94" s="195">
        <v>0</v>
      </c>
      <c r="U94" s="195">
        <v>0</v>
      </c>
      <c r="V94" s="195">
        <v>0</v>
      </c>
      <c r="W94" s="195">
        <v>0</v>
      </c>
      <c r="X94" s="195">
        <v>0</v>
      </c>
      <c r="Y94" s="195">
        <v>0</v>
      </c>
      <c r="Z94" s="195">
        <v>0</v>
      </c>
      <c r="AA94" s="195">
        <v>0</v>
      </c>
      <c r="AB94" s="195">
        <v>0</v>
      </c>
      <c r="AC94" s="195">
        <v>0</v>
      </c>
      <c r="AD94" s="195">
        <v>0</v>
      </c>
      <c r="AE94" s="195">
        <v>0</v>
      </c>
      <c r="AF94" s="195">
        <v>0</v>
      </c>
      <c r="AG94" s="195">
        <v>0</v>
      </c>
      <c r="AH94" s="195">
        <v>0</v>
      </c>
      <c r="AI94" s="195">
        <v>0</v>
      </c>
      <c r="AJ94" s="195">
        <v>0</v>
      </c>
      <c r="AK94" s="195">
        <v>0</v>
      </c>
      <c r="AL94" s="195">
        <v>0</v>
      </c>
      <c r="AM94" s="195">
        <v>0</v>
      </c>
      <c r="AN94" s="195">
        <v>0</v>
      </c>
      <c r="AO94" s="195">
        <v>0</v>
      </c>
      <c r="AP94" s="195">
        <v>0</v>
      </c>
      <c r="AQ94" s="195">
        <v>0</v>
      </c>
      <c r="AR94" s="195">
        <v>0</v>
      </c>
      <c r="AS94" s="195">
        <v>0</v>
      </c>
      <c r="AT94" s="195">
        <v>0</v>
      </c>
      <c r="AU94" s="195">
        <v>0</v>
      </c>
      <c r="AV94" s="195">
        <v>0</v>
      </c>
      <c r="AW94" s="195">
        <v>0</v>
      </c>
      <c r="AX94" s="195">
        <v>0</v>
      </c>
      <c r="AY94" s="195">
        <v>0</v>
      </c>
      <c r="AZ94" s="195">
        <v>0</v>
      </c>
      <c r="BA94" s="195">
        <v>0</v>
      </c>
      <c r="BB94" s="195">
        <v>0</v>
      </c>
      <c r="BC94" s="195">
        <v>0</v>
      </c>
      <c r="BD94" s="195">
        <v>0</v>
      </c>
      <c r="BE94" s="195">
        <v>0</v>
      </c>
      <c r="BF94" s="195">
        <v>0</v>
      </c>
      <c r="BG94" s="195">
        <v>0</v>
      </c>
      <c r="BH94" s="195">
        <v>0</v>
      </c>
      <c r="BI94" s="195">
        <v>0</v>
      </c>
      <c r="BJ94" s="195">
        <v>0</v>
      </c>
      <c r="BK94" s="195">
        <v>0</v>
      </c>
      <c r="BL94" s="195">
        <v>0</v>
      </c>
      <c r="BM94" s="195">
        <v>0</v>
      </c>
      <c r="BN94" s="195">
        <v>0</v>
      </c>
      <c r="BO94" s="195">
        <v>0</v>
      </c>
      <c r="BP94" s="195">
        <v>0</v>
      </c>
      <c r="BQ94" s="195">
        <v>0</v>
      </c>
      <c r="BR94" s="195">
        <v>0</v>
      </c>
      <c r="BS94" s="195">
        <v>0</v>
      </c>
      <c r="BT94" s="195">
        <v>0</v>
      </c>
      <c r="BU94" s="195">
        <v>0</v>
      </c>
      <c r="BV94" s="195">
        <v>0</v>
      </c>
      <c r="BW94" s="195">
        <v>0</v>
      </c>
      <c r="BX94" s="195">
        <v>0</v>
      </c>
      <c r="BY94" s="195">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5">
        <v>0</v>
      </c>
      <c r="C95" s="195">
        <v>0</v>
      </c>
      <c r="D95" s="195">
        <v>0</v>
      </c>
      <c r="E95" s="195">
        <v>0</v>
      </c>
      <c r="F95" s="195">
        <v>0</v>
      </c>
      <c r="G95" s="195">
        <v>0</v>
      </c>
      <c r="H95" s="195">
        <v>0</v>
      </c>
      <c r="I95" s="195">
        <v>0</v>
      </c>
      <c r="J95" s="195">
        <v>0</v>
      </c>
      <c r="K95" s="195">
        <v>0</v>
      </c>
      <c r="L95" s="195">
        <v>0</v>
      </c>
      <c r="M95" s="195">
        <v>0</v>
      </c>
      <c r="N95" s="195">
        <v>479224.14</v>
      </c>
      <c r="O95" s="195">
        <v>1893811.06</v>
      </c>
      <c r="P95" s="195">
        <v>2081921.06</v>
      </c>
      <c r="Q95" s="195">
        <v>696629.53</v>
      </c>
      <c r="R95" s="195">
        <v>851816.16</v>
      </c>
      <c r="S95" s="195">
        <v>1259949.4099999999</v>
      </c>
      <c r="T95" s="195">
        <v>1421218.67</v>
      </c>
      <c r="U95" s="195">
        <v>0</v>
      </c>
      <c r="V95" s="195">
        <v>1139093.6599999999</v>
      </c>
      <c r="W95" s="195">
        <v>428947.02</v>
      </c>
      <c r="X95" s="195">
        <v>583313.52</v>
      </c>
      <c r="Y95" s="195">
        <v>0</v>
      </c>
      <c r="Z95" s="195">
        <v>1593523.58</v>
      </c>
      <c r="AA95" s="195">
        <v>1078509.17</v>
      </c>
      <c r="AB95" s="195">
        <v>3975462.31</v>
      </c>
      <c r="AC95" s="195">
        <v>0</v>
      </c>
      <c r="AD95" s="195">
        <v>1789214.56</v>
      </c>
      <c r="AE95" s="195">
        <v>1706623.44</v>
      </c>
      <c r="AF95" s="195">
        <v>1361846.68</v>
      </c>
      <c r="AG95" s="195">
        <v>0</v>
      </c>
      <c r="AH95" s="195">
        <v>679475.03</v>
      </c>
      <c r="AI95" s="195">
        <v>0</v>
      </c>
      <c r="AJ95" s="195">
        <v>1551967.96</v>
      </c>
      <c r="AK95" s="195">
        <v>0</v>
      </c>
      <c r="AL95" s="195">
        <v>0</v>
      </c>
      <c r="AM95" s="195">
        <v>0</v>
      </c>
      <c r="AN95" s="195">
        <v>0</v>
      </c>
      <c r="AO95" s="195">
        <v>0</v>
      </c>
      <c r="AP95" s="195">
        <v>0</v>
      </c>
      <c r="AQ95" s="195">
        <v>0</v>
      </c>
      <c r="AR95" s="195">
        <v>0</v>
      </c>
      <c r="AS95" s="195">
        <v>0</v>
      </c>
      <c r="AT95" s="195">
        <v>0</v>
      </c>
      <c r="AU95" s="195">
        <v>0</v>
      </c>
      <c r="AV95" s="195">
        <v>0</v>
      </c>
      <c r="AW95" s="195">
        <v>0</v>
      </c>
      <c r="AX95" s="195">
        <v>0</v>
      </c>
      <c r="AY95" s="195">
        <v>0</v>
      </c>
      <c r="AZ95" s="195">
        <v>0</v>
      </c>
      <c r="BA95" s="195">
        <v>0</v>
      </c>
      <c r="BB95" s="195">
        <v>0</v>
      </c>
      <c r="BC95" s="195">
        <v>0</v>
      </c>
      <c r="BD95" s="195">
        <v>0</v>
      </c>
      <c r="BE95" s="195">
        <v>0</v>
      </c>
      <c r="BF95" s="195">
        <v>0</v>
      </c>
      <c r="BG95" s="195">
        <v>0</v>
      </c>
      <c r="BH95" s="195">
        <v>0</v>
      </c>
      <c r="BI95" s="195">
        <v>0</v>
      </c>
      <c r="BJ95" s="195">
        <v>0</v>
      </c>
      <c r="BK95" s="195">
        <v>0</v>
      </c>
      <c r="BL95" s="195">
        <v>0</v>
      </c>
      <c r="BM95" s="195">
        <v>0</v>
      </c>
      <c r="BN95" s="195">
        <v>0</v>
      </c>
      <c r="BO95" s="195">
        <v>0</v>
      </c>
      <c r="BP95" s="195">
        <v>0</v>
      </c>
      <c r="BQ95" s="195">
        <v>0</v>
      </c>
      <c r="BR95" s="195">
        <v>0</v>
      </c>
      <c r="BS95" s="195">
        <v>0</v>
      </c>
      <c r="BT95" s="195">
        <v>0</v>
      </c>
      <c r="BU95" s="195">
        <v>0</v>
      </c>
      <c r="BV95" s="195">
        <v>0</v>
      </c>
      <c r="BW95" s="195">
        <v>0</v>
      </c>
      <c r="BX95" s="195">
        <v>0</v>
      </c>
      <c r="BY95" s="195">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5">
        <v>2823172641.71</v>
      </c>
      <c r="C96" s="195">
        <v>2823172641.71</v>
      </c>
      <c r="D96" s="195">
        <v>2823172641.71</v>
      </c>
      <c r="E96" s="195">
        <v>2823172641.71</v>
      </c>
      <c r="F96" s="195">
        <v>1579310659.1099999</v>
      </c>
      <c r="G96" s="195">
        <v>1579310659.1099999</v>
      </c>
      <c r="H96" s="195">
        <v>1579310659.1099999</v>
      </c>
      <c r="I96" s="195">
        <v>1579310659.1099999</v>
      </c>
      <c r="J96" s="195">
        <v>1579310659.1099999</v>
      </c>
      <c r="K96" s="195">
        <v>1579310659.1099999</v>
      </c>
      <c r="L96" s="195">
        <v>1579310659.1099999</v>
      </c>
      <c r="M96" s="195">
        <v>1579310659.1099999</v>
      </c>
      <c r="N96" s="195">
        <v>1579310659.1099999</v>
      </c>
      <c r="O96" s="195">
        <v>1579310659.1099999</v>
      </c>
      <c r="P96" s="195">
        <v>1579310659.1099999</v>
      </c>
      <c r="Q96" s="195">
        <v>1579310659.1099999</v>
      </c>
      <c r="R96" s="195">
        <v>1579310659.1099999</v>
      </c>
      <c r="S96" s="195">
        <v>1579310659.1099999</v>
      </c>
      <c r="T96" s="195">
        <v>1579310659.1099999</v>
      </c>
      <c r="U96" s="195">
        <v>1579310659.1099999</v>
      </c>
      <c r="V96" s="195">
        <v>1579310659.1099999</v>
      </c>
      <c r="W96" s="195">
        <v>1579310659.1099999</v>
      </c>
      <c r="X96" s="195">
        <v>1579310659.1099999</v>
      </c>
      <c r="Y96" s="195">
        <v>1579310659.1099999</v>
      </c>
      <c r="Z96" s="195">
        <v>1477991746.3299999</v>
      </c>
      <c r="AA96" s="195">
        <v>1477991746.3299999</v>
      </c>
      <c r="AB96" s="195">
        <v>1477991746.3299999</v>
      </c>
      <c r="AC96" s="195">
        <v>1477991746.3299999</v>
      </c>
      <c r="AD96" s="195">
        <v>1150249222.6400001</v>
      </c>
      <c r="AE96" s="195">
        <v>1150249222.6400001</v>
      </c>
      <c r="AF96" s="195">
        <v>1150249222.6400001</v>
      </c>
      <c r="AG96" s="195">
        <v>1150249222.6400001</v>
      </c>
      <c r="AH96" s="195">
        <v>963714323.86000001</v>
      </c>
      <c r="AI96" s="195">
        <v>963714323.86000001</v>
      </c>
      <c r="AJ96" s="195">
        <v>963714323.86000001</v>
      </c>
      <c r="AK96" s="195">
        <v>963714323.86000001</v>
      </c>
      <c r="AL96" s="195">
        <v>818420076.46000004</v>
      </c>
      <c r="AM96" s="195">
        <v>818420076.46000004</v>
      </c>
      <c r="AN96" s="195">
        <v>818420076.46000004</v>
      </c>
      <c r="AO96" s="195">
        <v>818420076.46000004</v>
      </c>
      <c r="AP96" s="195">
        <v>621628353.90999997</v>
      </c>
      <c r="AQ96" s="195">
        <v>621628353.90999997</v>
      </c>
      <c r="AR96" s="195">
        <v>621628353.90999997</v>
      </c>
      <c r="AS96" s="195">
        <v>621628353.90999997</v>
      </c>
      <c r="AT96" s="195">
        <v>592322663.15999997</v>
      </c>
      <c r="AU96" s="195">
        <v>592322663.15999997</v>
      </c>
      <c r="AV96" s="195">
        <v>592491649.66999996</v>
      </c>
      <c r="AW96" s="195">
        <v>576705891.12</v>
      </c>
      <c r="AX96" s="195">
        <v>397235332.06</v>
      </c>
      <c r="AY96" s="195">
        <v>397235332.06</v>
      </c>
      <c r="AZ96" s="195">
        <v>397235332.06</v>
      </c>
      <c r="BA96" s="195">
        <v>397235332.06</v>
      </c>
      <c r="BB96" s="195">
        <v>241084797.59</v>
      </c>
      <c r="BC96" s="195">
        <v>241084797.59</v>
      </c>
      <c r="BD96" s="195">
        <v>241084797.59</v>
      </c>
      <c r="BE96" s="195">
        <v>241084797.59</v>
      </c>
      <c r="BF96" s="195">
        <v>139540139.34</v>
      </c>
      <c r="BG96" s="195">
        <v>139540139.34</v>
      </c>
      <c r="BH96" s="195">
        <v>139540139.34</v>
      </c>
      <c r="BI96" s="195">
        <v>139540139.34</v>
      </c>
      <c r="BJ96" s="195">
        <v>81470601.019999996</v>
      </c>
      <c r="BK96" s="195">
        <v>81470601.019999996</v>
      </c>
      <c r="BL96" s="195">
        <v>81470601.019999996</v>
      </c>
      <c r="BM96" s="195">
        <v>81470601.019999996</v>
      </c>
      <c r="BN96" s="195">
        <v>42888991.719999999</v>
      </c>
      <c r="BO96" s="195">
        <v>42888991.719999999</v>
      </c>
      <c r="BP96" s="195">
        <v>42888991.719999999</v>
      </c>
      <c r="BQ96" s="195">
        <v>42888991.719999999</v>
      </c>
      <c r="BR96" s="195">
        <v>0</v>
      </c>
      <c r="BS96" s="195">
        <v>17706893.420000002</v>
      </c>
      <c r="BT96" s="195">
        <v>17706893.420000002</v>
      </c>
      <c r="BU96" s="195">
        <v>5256015.32</v>
      </c>
      <c r="BV96" s="195">
        <v>5256015.32</v>
      </c>
      <c r="BW96" s="195">
        <v>0</v>
      </c>
      <c r="BX96" s="195">
        <v>0</v>
      </c>
      <c r="BY96" s="195">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5">
        <v>0</v>
      </c>
      <c r="C97" s="195">
        <v>0</v>
      </c>
      <c r="D97" s="195">
        <v>0</v>
      </c>
      <c r="E97" s="195">
        <v>0</v>
      </c>
      <c r="F97" s="195">
        <v>0</v>
      </c>
      <c r="G97" s="195">
        <v>0</v>
      </c>
      <c r="H97" s="195">
        <v>0</v>
      </c>
      <c r="I97" s="195">
        <v>0</v>
      </c>
      <c r="J97" s="195">
        <v>0</v>
      </c>
      <c r="K97" s="195">
        <v>0</v>
      </c>
      <c r="L97" s="195">
        <v>0</v>
      </c>
      <c r="M97" s="195">
        <v>0</v>
      </c>
      <c r="N97" s="195">
        <v>0</v>
      </c>
      <c r="O97" s="195">
        <v>0</v>
      </c>
      <c r="P97" s="195">
        <v>0</v>
      </c>
      <c r="Q97" s="195">
        <v>0</v>
      </c>
      <c r="R97" s="195">
        <v>0</v>
      </c>
      <c r="S97" s="195">
        <v>0</v>
      </c>
      <c r="T97" s="195">
        <v>0</v>
      </c>
      <c r="U97" s="195">
        <v>0</v>
      </c>
      <c r="V97" s="195">
        <v>0</v>
      </c>
      <c r="W97" s="195">
        <v>0</v>
      </c>
      <c r="X97" s="195">
        <v>0</v>
      </c>
      <c r="Y97" s="195">
        <v>0</v>
      </c>
      <c r="Z97" s="195">
        <v>0</v>
      </c>
      <c r="AA97" s="195">
        <v>0</v>
      </c>
      <c r="AB97" s="195">
        <v>0</v>
      </c>
      <c r="AC97" s="195">
        <v>0</v>
      </c>
      <c r="AD97" s="195">
        <v>0</v>
      </c>
      <c r="AE97" s="195">
        <v>0</v>
      </c>
      <c r="AF97" s="195">
        <v>0</v>
      </c>
      <c r="AG97" s="195">
        <v>0</v>
      </c>
      <c r="AH97" s="195">
        <v>0</v>
      </c>
      <c r="AI97" s="195">
        <v>0</v>
      </c>
      <c r="AJ97" s="195">
        <v>0</v>
      </c>
      <c r="AK97" s="195">
        <v>0</v>
      </c>
      <c r="AL97" s="195">
        <v>0</v>
      </c>
      <c r="AM97" s="195">
        <v>0</v>
      </c>
      <c r="AN97" s="195">
        <v>0</v>
      </c>
      <c r="AO97" s="195">
        <v>0</v>
      </c>
      <c r="AP97" s="195">
        <v>0</v>
      </c>
      <c r="AQ97" s="195">
        <v>0</v>
      </c>
      <c r="AR97" s="195">
        <v>0</v>
      </c>
      <c r="AS97" s="195">
        <v>0</v>
      </c>
      <c r="AT97" s="195">
        <v>0</v>
      </c>
      <c r="AU97" s="195">
        <v>0</v>
      </c>
      <c r="AV97" s="195">
        <v>0</v>
      </c>
      <c r="AW97" s="195">
        <v>0</v>
      </c>
      <c r="AX97" s="195">
        <v>0</v>
      </c>
      <c r="AY97" s="195">
        <v>0</v>
      </c>
      <c r="AZ97" s="195">
        <v>0</v>
      </c>
      <c r="BA97" s="195">
        <v>0</v>
      </c>
      <c r="BB97" s="195">
        <v>0</v>
      </c>
      <c r="BC97" s="195">
        <v>0</v>
      </c>
      <c r="BD97" s="195">
        <v>0</v>
      </c>
      <c r="BE97" s="195">
        <v>0</v>
      </c>
      <c r="BF97" s="195">
        <v>0</v>
      </c>
      <c r="BG97" s="195">
        <v>0</v>
      </c>
      <c r="BH97" s="195">
        <v>0</v>
      </c>
      <c r="BI97" s="195">
        <v>0</v>
      </c>
      <c r="BJ97" s="195">
        <v>0</v>
      </c>
      <c r="BK97" s="195">
        <v>0</v>
      </c>
      <c r="BL97" s="195">
        <v>0</v>
      </c>
      <c r="BM97" s="195">
        <v>0</v>
      </c>
      <c r="BN97" s="195">
        <v>0</v>
      </c>
      <c r="BO97" s="195">
        <v>0</v>
      </c>
      <c r="BP97" s="195">
        <v>0</v>
      </c>
      <c r="BQ97" s="195">
        <v>0</v>
      </c>
      <c r="BR97" s="195">
        <v>0</v>
      </c>
      <c r="BS97" s="195">
        <v>0</v>
      </c>
      <c r="BT97" s="195">
        <v>0</v>
      </c>
      <c r="BU97" s="195">
        <v>0</v>
      </c>
      <c r="BV97" s="195">
        <v>0</v>
      </c>
      <c r="BW97" s="195">
        <v>0</v>
      </c>
      <c r="BX97" s="195">
        <v>0</v>
      </c>
      <c r="BY97" s="195">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5">
        <v>24240012420.689999</v>
      </c>
      <c r="C98" s="195">
        <v>22168925381.450001</v>
      </c>
      <c r="D98" s="195">
        <v>18764713145.299999</v>
      </c>
      <c r="E98" s="195">
        <v>19320010167.130001</v>
      </c>
      <c r="F98" s="195">
        <v>17240077847.09</v>
      </c>
      <c r="G98" s="195">
        <v>14290119747.360001</v>
      </c>
      <c r="H98" s="195">
        <v>13218982473.92</v>
      </c>
      <c r="I98" s="195">
        <v>11023922668.07</v>
      </c>
      <c r="J98" s="195">
        <v>9844753657.0900002</v>
      </c>
      <c r="K98" s="195">
        <v>8712475912.4200001</v>
      </c>
      <c r="L98" s="195">
        <v>7788141295.1400003</v>
      </c>
      <c r="M98" s="195">
        <v>7776967780.1700001</v>
      </c>
      <c r="N98" s="195">
        <v>7602977881.7799997</v>
      </c>
      <c r="O98" s="195">
        <v>7185923565.0299997</v>
      </c>
      <c r="P98" s="195">
        <v>7286797315.3800001</v>
      </c>
      <c r="Q98" s="195">
        <v>6815924586.5799999</v>
      </c>
      <c r="R98" s="195">
        <v>6494417133.1499996</v>
      </c>
      <c r="S98" s="195">
        <v>5801120020.1599998</v>
      </c>
      <c r="T98" s="195">
        <v>6662804270.5299997</v>
      </c>
      <c r="U98" s="195">
        <v>5910192504.0299997</v>
      </c>
      <c r="V98" s="195">
        <v>5355555500.9799995</v>
      </c>
      <c r="W98" s="195">
        <v>4556677681.6800003</v>
      </c>
      <c r="X98" s="195">
        <v>5274203600.4899998</v>
      </c>
      <c r="Y98" s="195">
        <v>4532414513.29</v>
      </c>
      <c r="Z98" s="195">
        <v>3933395130.8299999</v>
      </c>
      <c r="AA98" s="195">
        <v>3268653069.1700001</v>
      </c>
      <c r="AB98" s="195">
        <v>4024086875.73</v>
      </c>
      <c r="AC98" s="195">
        <v>3582254775.3699999</v>
      </c>
      <c r="AD98" s="195">
        <v>3594628633.54</v>
      </c>
      <c r="AE98" s="195">
        <v>3054357827.4000001</v>
      </c>
      <c r="AF98" s="195">
        <v>3700485673.7399998</v>
      </c>
      <c r="AG98" s="195">
        <v>3220431040.2199998</v>
      </c>
      <c r="AH98" s="195">
        <v>2845432713.1199999</v>
      </c>
      <c r="AI98" s="195">
        <v>2482468057.98</v>
      </c>
      <c r="AJ98" s="195">
        <v>2626452412.21</v>
      </c>
      <c r="AK98" s="195">
        <v>2375758008.4699998</v>
      </c>
      <c r="AL98" s="195">
        <v>2318734264.23</v>
      </c>
      <c r="AM98" s="195">
        <v>1957121490.8800001</v>
      </c>
      <c r="AN98" s="195">
        <v>1646015531.5699999</v>
      </c>
      <c r="AO98" s="195">
        <v>2286340877.0999999</v>
      </c>
      <c r="AP98" s="195">
        <v>2144026850.47</v>
      </c>
      <c r="AQ98" s="195">
        <v>1815028972.0799999</v>
      </c>
      <c r="AR98" s="195">
        <v>1310575566.74</v>
      </c>
      <c r="AS98" s="195">
        <v>1599625590.21</v>
      </c>
      <c r="AT98" s="195">
        <v>1205036648.6099999</v>
      </c>
      <c r="AU98" s="195">
        <v>1187801160.9100001</v>
      </c>
      <c r="AV98" s="195">
        <v>1021560591.4</v>
      </c>
      <c r="AW98" s="195">
        <v>681228072.42999995</v>
      </c>
      <c r="AX98" s="195">
        <v>613695017.59000003</v>
      </c>
      <c r="AY98" s="195">
        <v>353316020.97000003</v>
      </c>
      <c r="AZ98" s="195">
        <v>679548415.61000001</v>
      </c>
      <c r="BA98" s="195">
        <v>501491847.06999999</v>
      </c>
      <c r="BB98" s="195">
        <v>520254651.60000002</v>
      </c>
      <c r="BC98" s="195">
        <v>368309344.67000002</v>
      </c>
      <c r="BD98" s="195">
        <v>523055535.56</v>
      </c>
      <c r="BE98" s="195">
        <v>366412157.57999998</v>
      </c>
      <c r="BF98" s="195">
        <v>379317072.97000003</v>
      </c>
      <c r="BG98" s="195">
        <v>279732865.20999998</v>
      </c>
      <c r="BH98" s="195">
        <v>315338311.29000002</v>
      </c>
      <c r="BI98" s="195">
        <v>218052371.97999999</v>
      </c>
      <c r="BJ98" s="195">
        <v>230483116.19999999</v>
      </c>
      <c r="BK98" s="195">
        <v>182126950.84</v>
      </c>
      <c r="BL98" s="195">
        <v>101831572.37</v>
      </c>
      <c r="BM98" s="195">
        <v>43843757.030000001</v>
      </c>
      <c r="BN98" s="195">
        <v>129264055.06999999</v>
      </c>
      <c r="BO98" s="195">
        <v>97938789.680000007</v>
      </c>
      <c r="BP98" s="195">
        <v>64592394.740000002</v>
      </c>
      <c r="BQ98" s="195">
        <v>28898929.140000001</v>
      </c>
      <c r="BR98" s="195">
        <v>0</v>
      </c>
      <c r="BS98" s="195">
        <v>64124081.960000001</v>
      </c>
      <c r="BT98" s="195">
        <v>25352634.260000002</v>
      </c>
      <c r="BU98" s="195">
        <v>26896127.27</v>
      </c>
      <c r="BV98" s="195">
        <v>7970356.0700000003</v>
      </c>
      <c r="BW98" s="195">
        <v>-653705.18999999994</v>
      </c>
      <c r="BX98" s="195">
        <v>0</v>
      </c>
      <c r="BY98" s="195">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5">
        <v>0</v>
      </c>
      <c r="C99" s="195">
        <v>0</v>
      </c>
      <c r="D99" s="195">
        <v>0</v>
      </c>
      <c r="E99" s="195">
        <v>0</v>
      </c>
      <c r="F99" s="195">
        <v>332253125</v>
      </c>
      <c r="G99" s="195">
        <v>43509375</v>
      </c>
      <c r="H99" s="195">
        <v>0</v>
      </c>
      <c r="I99" s="195">
        <v>0</v>
      </c>
      <c r="J99" s="195">
        <v>0</v>
      </c>
      <c r="K99" s="195">
        <v>0</v>
      </c>
      <c r="L99" s="195">
        <v>432466944</v>
      </c>
      <c r="M99" s="195">
        <v>0</v>
      </c>
      <c r="N99" s="195">
        <v>0</v>
      </c>
      <c r="O99" s="195">
        <v>0</v>
      </c>
      <c r="P99" s="195">
        <v>59557500</v>
      </c>
      <c r="Q99" s="195">
        <v>0</v>
      </c>
      <c r="R99" s="195">
        <v>0</v>
      </c>
      <c r="S99" s="195">
        <v>0</v>
      </c>
      <c r="T99" s="195">
        <v>0</v>
      </c>
      <c r="U99" s="195">
        <v>0</v>
      </c>
      <c r="V99" s="195">
        <v>0</v>
      </c>
      <c r="W99" s="195">
        <v>0</v>
      </c>
      <c r="X99" s="195">
        <v>0</v>
      </c>
      <c r="Y99" s="195">
        <v>0</v>
      </c>
      <c r="Z99" s="195">
        <v>0</v>
      </c>
      <c r="AA99" s="195">
        <v>49631250</v>
      </c>
      <c r="AB99" s="195">
        <v>49631250</v>
      </c>
      <c r="AC99" s="195">
        <v>215303200</v>
      </c>
      <c r="AD99" s="195">
        <v>0</v>
      </c>
      <c r="AE99" s="195">
        <v>0</v>
      </c>
      <c r="AF99" s="195">
        <v>0</v>
      </c>
      <c r="AG99" s="195">
        <v>0</v>
      </c>
      <c r="AH99" s="195">
        <v>0</v>
      </c>
      <c r="AI99" s="195">
        <v>0</v>
      </c>
      <c r="AJ99" s="195">
        <v>0</v>
      </c>
      <c r="AK99" s="195">
        <v>0</v>
      </c>
      <c r="AL99" s="195">
        <v>0</v>
      </c>
      <c r="AM99" s="195">
        <v>0</v>
      </c>
      <c r="AN99" s="195">
        <v>951007200</v>
      </c>
      <c r="AO99" s="195">
        <v>0</v>
      </c>
      <c r="AP99" s="195">
        <v>0</v>
      </c>
      <c r="AQ99" s="195">
        <v>0</v>
      </c>
      <c r="AR99" s="195">
        <v>665333760</v>
      </c>
      <c r="AS99" s="195">
        <v>0</v>
      </c>
      <c r="AT99" s="195">
        <v>0</v>
      </c>
      <c r="AU99" s="195">
        <v>164709600</v>
      </c>
      <c r="AV99" s="195">
        <v>0</v>
      </c>
      <c r="AW99" s="195">
        <v>0</v>
      </c>
      <c r="AX99" s="195">
        <v>0</v>
      </c>
      <c r="AY99" s="195">
        <v>0</v>
      </c>
      <c r="AZ99" s="195">
        <v>0</v>
      </c>
      <c r="BA99" s="195">
        <v>0</v>
      </c>
      <c r="BB99" s="195">
        <v>0</v>
      </c>
      <c r="BC99" s="195">
        <v>0</v>
      </c>
      <c r="BD99" s="195">
        <v>0</v>
      </c>
      <c r="BE99" s="195">
        <v>0</v>
      </c>
      <c r="BF99" s="195">
        <v>0</v>
      </c>
      <c r="BG99" s="195">
        <v>0</v>
      </c>
      <c r="BH99" s="195">
        <v>0</v>
      </c>
      <c r="BI99" s="195">
        <v>0</v>
      </c>
      <c r="BJ99" s="195">
        <v>0</v>
      </c>
      <c r="BK99" s="195">
        <v>0</v>
      </c>
      <c r="BL99" s="195">
        <v>76800000</v>
      </c>
      <c r="BM99" s="195">
        <v>76800000</v>
      </c>
      <c r="BN99" s="195">
        <v>0</v>
      </c>
      <c r="BO99" s="195">
        <v>0</v>
      </c>
      <c r="BP99" s="195">
        <v>48000000</v>
      </c>
      <c r="BQ99" s="195">
        <v>48000000</v>
      </c>
      <c r="BR99" s="195">
        <v>0</v>
      </c>
      <c r="BS99" s="195">
        <v>7970356.0700000003</v>
      </c>
      <c r="BT99" s="195">
        <v>17570356.07</v>
      </c>
      <c r="BU99" s="195">
        <v>16628762.310000001</v>
      </c>
      <c r="BV99" s="195">
        <v>20370356.07</v>
      </c>
      <c r="BW99" s="195">
        <v>0</v>
      </c>
      <c r="BX99" s="195">
        <v>0</v>
      </c>
      <c r="BY99" s="195">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5">
        <v>0</v>
      </c>
      <c r="C101" s="195">
        <v>0</v>
      </c>
      <c r="D101" s="195">
        <v>0</v>
      </c>
      <c r="E101" s="195">
        <v>0</v>
      </c>
      <c r="F101" s="195">
        <v>0</v>
      </c>
      <c r="G101" s="195">
        <v>0</v>
      </c>
      <c r="H101" s="195">
        <v>0</v>
      </c>
      <c r="I101" s="195">
        <v>0</v>
      </c>
      <c r="J101" s="195">
        <v>0</v>
      </c>
      <c r="K101" s="195">
        <v>0</v>
      </c>
      <c r="L101" s="195">
        <v>0</v>
      </c>
      <c r="M101" s="195">
        <v>0</v>
      </c>
      <c r="N101" s="195">
        <v>0</v>
      </c>
      <c r="O101" s="195">
        <v>0</v>
      </c>
      <c r="P101" s="195">
        <v>0</v>
      </c>
      <c r="Q101" s="195">
        <v>0</v>
      </c>
      <c r="R101" s="195">
        <v>0</v>
      </c>
      <c r="S101" s="195">
        <v>0</v>
      </c>
      <c r="T101" s="195">
        <v>0</v>
      </c>
      <c r="U101" s="195">
        <v>0</v>
      </c>
      <c r="V101" s="195">
        <v>0</v>
      </c>
      <c r="W101" s="195">
        <v>0</v>
      </c>
      <c r="X101" s="195">
        <v>0</v>
      </c>
      <c r="Y101" s="195">
        <v>0</v>
      </c>
      <c r="Z101" s="195">
        <v>0</v>
      </c>
      <c r="AA101" s="195">
        <v>0</v>
      </c>
      <c r="AB101" s="195">
        <v>0</v>
      </c>
      <c r="AC101" s="195">
        <v>0</v>
      </c>
      <c r="AD101" s="195">
        <v>0</v>
      </c>
      <c r="AE101" s="195">
        <v>0</v>
      </c>
      <c r="AF101" s="195">
        <v>0</v>
      </c>
      <c r="AG101" s="195">
        <v>0</v>
      </c>
      <c r="AH101" s="195">
        <v>0</v>
      </c>
      <c r="AI101" s="195">
        <v>0</v>
      </c>
      <c r="AJ101" s="195">
        <v>0</v>
      </c>
      <c r="AK101" s="195">
        <v>0</v>
      </c>
      <c r="AL101" s="195">
        <v>0</v>
      </c>
      <c r="AM101" s="195">
        <v>0</v>
      </c>
      <c r="AN101" s="195">
        <v>0</v>
      </c>
      <c r="AO101" s="195">
        <v>0</v>
      </c>
      <c r="AP101" s="195">
        <v>0</v>
      </c>
      <c r="AQ101" s="195">
        <v>0</v>
      </c>
      <c r="AR101" s="195">
        <v>0</v>
      </c>
      <c r="AS101" s="195">
        <v>0</v>
      </c>
      <c r="AT101" s="195">
        <v>0</v>
      </c>
      <c r="AU101" s="195">
        <v>0</v>
      </c>
      <c r="AV101" s="195">
        <v>0</v>
      </c>
      <c r="AW101" s="195">
        <v>0</v>
      </c>
      <c r="AX101" s="195">
        <v>0</v>
      </c>
      <c r="AY101" s="195">
        <v>0</v>
      </c>
      <c r="AZ101" s="195">
        <v>0</v>
      </c>
      <c r="BA101" s="195">
        <v>0</v>
      </c>
      <c r="BB101" s="195">
        <v>0</v>
      </c>
      <c r="BC101" s="195">
        <v>0</v>
      </c>
      <c r="BD101" s="195">
        <v>0</v>
      </c>
      <c r="BE101" s="195">
        <v>0</v>
      </c>
      <c r="BF101" s="195">
        <v>0</v>
      </c>
      <c r="BG101" s="195">
        <v>0</v>
      </c>
      <c r="BH101" s="195">
        <v>0</v>
      </c>
      <c r="BI101" s="195">
        <v>0</v>
      </c>
      <c r="BJ101" s="195">
        <v>0</v>
      </c>
      <c r="BK101" s="195">
        <v>0</v>
      </c>
      <c r="BL101" s="195">
        <v>0</v>
      </c>
      <c r="BM101" s="195">
        <v>0</v>
      </c>
      <c r="BN101" s="195">
        <v>0</v>
      </c>
      <c r="BO101" s="195">
        <v>0</v>
      </c>
      <c r="BP101" s="195">
        <v>0</v>
      </c>
      <c r="BQ101" s="195">
        <v>0</v>
      </c>
      <c r="BR101" s="195">
        <v>0</v>
      </c>
      <c r="BS101" s="195">
        <v>0</v>
      </c>
      <c r="BT101" s="195">
        <v>0</v>
      </c>
      <c r="BU101" s="195"/>
      <c r="BV101" s="195"/>
      <c r="BW101" s="195"/>
      <c r="BX101" s="195"/>
      <c r="BY101" s="195"/>
      <c r="BZ101" s="40"/>
      <c r="CA101" s="40"/>
      <c r="CB101" s="40"/>
      <c r="CC101" s="40"/>
      <c r="CD101" s="40"/>
      <c r="CE101" s="40"/>
      <c r="CF101" s="40"/>
      <c r="CG101" s="40"/>
      <c r="CH101" s="40"/>
      <c r="CI101" s="40"/>
      <c r="CJ101" s="40"/>
      <c r="CK101" s="40"/>
      <c r="CL101" s="40"/>
    </row>
    <row r="102" spans="1:90" x14ac:dyDescent="0.25">
      <c r="A102" s="129" t="s">
        <v>72</v>
      </c>
      <c r="B102" s="195">
        <v>32140452321.75</v>
      </c>
      <c r="C102" s="195">
        <v>30111092864.98</v>
      </c>
      <c r="D102" s="195">
        <v>26715358102.709999</v>
      </c>
      <c r="E102" s="195">
        <v>27279539897.189999</v>
      </c>
      <c r="F102" s="195">
        <v>23962657176.700001</v>
      </c>
      <c r="G102" s="195">
        <v>21008113273.389999</v>
      </c>
      <c r="H102" s="195">
        <v>19482414100.439999</v>
      </c>
      <c r="I102" s="195">
        <v>14821586070.82</v>
      </c>
      <c r="J102" s="195">
        <v>13639692799.08</v>
      </c>
      <c r="K102" s="195">
        <v>12507779750.02</v>
      </c>
      <c r="L102" s="195">
        <v>11580205095.74</v>
      </c>
      <c r="M102" s="195">
        <v>11570972856.73</v>
      </c>
      <c r="N102" s="195">
        <v>11379878814.799999</v>
      </c>
      <c r="O102" s="195">
        <v>10959611741.67</v>
      </c>
      <c r="P102" s="195">
        <v>11060364415.65</v>
      </c>
      <c r="Q102" s="195">
        <v>10594084392.969999</v>
      </c>
      <c r="R102" s="195">
        <v>10277955393.42</v>
      </c>
      <c r="S102" s="195">
        <v>9578515210.1200008</v>
      </c>
      <c r="T102" s="195">
        <v>10433567109.120001</v>
      </c>
      <c r="U102" s="195">
        <v>9677924314.5100002</v>
      </c>
      <c r="V102" s="195">
        <v>9127320439.2399998</v>
      </c>
      <c r="W102" s="195">
        <v>8321512493.1000004</v>
      </c>
      <c r="X102" s="195">
        <v>9049030588.2999992</v>
      </c>
      <c r="Y102" s="195">
        <v>8304389812.3000002</v>
      </c>
      <c r="Z102" s="195">
        <v>7607273259.46</v>
      </c>
      <c r="AA102" s="195">
        <v>6949312721.1599998</v>
      </c>
      <c r="AB102" s="195">
        <v>7720201901.8699999</v>
      </c>
      <c r="AC102" s="195">
        <v>7267479375.1300001</v>
      </c>
      <c r="AD102" s="195">
        <v>6971525491.8900003</v>
      </c>
      <c r="AE102" s="195">
        <v>6456602719.8900003</v>
      </c>
      <c r="AF102" s="195">
        <v>6617174022.8199997</v>
      </c>
      <c r="AG102" s="195">
        <v>6146481574.54</v>
      </c>
      <c r="AH102" s="195">
        <v>5569897600.4799995</v>
      </c>
      <c r="AI102" s="195">
        <v>5175373630.4200001</v>
      </c>
      <c r="AJ102" s="195">
        <v>5341196617.0299997</v>
      </c>
      <c r="AK102" s="195">
        <v>5051236705.5500002</v>
      </c>
      <c r="AL102" s="195">
        <v>4848250345.4300003</v>
      </c>
      <c r="AM102" s="195">
        <v>4488287554.1099997</v>
      </c>
      <c r="AN102" s="195">
        <v>4177908501.96</v>
      </c>
      <c r="AO102" s="195">
        <v>4817456931.3400002</v>
      </c>
      <c r="AP102" s="195">
        <v>4477787263.29</v>
      </c>
      <c r="AQ102" s="195">
        <v>4148533020.7399998</v>
      </c>
      <c r="AR102" s="195">
        <v>3635964250.9499998</v>
      </c>
      <c r="AS102" s="195">
        <v>3924015709.2199998</v>
      </c>
      <c r="AT102" s="195">
        <v>3499729124.0900002</v>
      </c>
      <c r="AU102" s="195">
        <v>3007024908.1999998</v>
      </c>
      <c r="AV102" s="195">
        <v>2833639454.2199998</v>
      </c>
      <c r="AW102" s="195">
        <v>2477426469.6300001</v>
      </c>
      <c r="AX102" s="195">
        <v>2231356366.6500001</v>
      </c>
      <c r="AY102" s="195">
        <v>1970977370.03</v>
      </c>
      <c r="AZ102" s="195">
        <v>1956516331.6099999</v>
      </c>
      <c r="BA102" s="195">
        <v>1778435527.8699999</v>
      </c>
      <c r="BB102" s="195">
        <v>1641047797.9300001</v>
      </c>
      <c r="BC102" s="195">
        <v>1489102491</v>
      </c>
      <c r="BD102" s="195">
        <v>1447583996.9100001</v>
      </c>
      <c r="BE102" s="195">
        <v>1290940618.9300001</v>
      </c>
      <c r="BF102" s="195">
        <v>1202220566.6300001</v>
      </c>
      <c r="BG102" s="195">
        <v>1102636808.8699999</v>
      </c>
      <c r="BH102" s="195">
        <v>1061442254.95</v>
      </c>
      <c r="BI102" s="195">
        <v>964156315.63999999</v>
      </c>
      <c r="BJ102" s="195">
        <v>918556647.08000004</v>
      </c>
      <c r="BK102" s="195">
        <v>870142014.30999994</v>
      </c>
      <c r="BL102" s="195">
        <v>789846635.84000003</v>
      </c>
      <c r="BM102" s="195">
        <v>808658820.5</v>
      </c>
      <c r="BN102" s="195">
        <v>778165133.73000002</v>
      </c>
      <c r="BO102" s="195">
        <v>746839868.34000003</v>
      </c>
      <c r="BP102" s="195">
        <v>689491725.37</v>
      </c>
      <c r="BQ102" s="195">
        <v>653798259.76999998</v>
      </c>
      <c r="BR102" s="195">
        <v>687705800</v>
      </c>
      <c r="BS102" s="195">
        <v>663841314.28999996</v>
      </c>
      <c r="BT102" s="195">
        <v>601069866.59000003</v>
      </c>
      <c r="BU102" s="195">
        <v>155202681.5</v>
      </c>
      <c r="BV102" s="195">
        <v>128306554.23</v>
      </c>
      <c r="BW102" s="195">
        <v>122396833.72</v>
      </c>
      <c r="BX102" s="195">
        <v>70008325.519999996</v>
      </c>
      <c r="BY102" s="195">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5">
        <v>5148879594.0699997</v>
      </c>
      <c r="C103" s="195">
        <v>4468263810.54</v>
      </c>
      <c r="D103" s="195">
        <v>4062772082.1999998</v>
      </c>
      <c r="E103" s="195">
        <v>3474586661.1799998</v>
      </c>
      <c r="F103" s="195">
        <v>2724516917.6300001</v>
      </c>
      <c r="G103" s="195">
        <v>3878138084.1999998</v>
      </c>
      <c r="H103" s="195">
        <v>3898118847.6700001</v>
      </c>
      <c r="I103" s="195">
        <v>3512350984.8600001</v>
      </c>
      <c r="J103" s="195">
        <v>3157116747.29</v>
      </c>
      <c r="K103" s="195">
        <v>3066247266.1700001</v>
      </c>
      <c r="L103" s="195">
        <v>3353401798.6300001</v>
      </c>
      <c r="M103" s="195">
        <v>3252261539.0500002</v>
      </c>
      <c r="N103" s="195">
        <v>3093287005.2800002</v>
      </c>
      <c r="O103" s="195">
        <v>2930980588.9299998</v>
      </c>
      <c r="P103" s="195">
        <v>2795749831.5100002</v>
      </c>
      <c r="Q103" s="195">
        <v>2691591279.8099999</v>
      </c>
      <c r="R103" s="195">
        <v>2505240926.1199999</v>
      </c>
      <c r="S103" s="195">
        <v>2113851658.9200001</v>
      </c>
      <c r="T103" s="195">
        <v>2274511474.3099999</v>
      </c>
      <c r="U103" s="195">
        <v>2103031138.27</v>
      </c>
      <c r="V103" s="195">
        <v>1915723723.76</v>
      </c>
      <c r="W103" s="195">
        <v>1668175371.1900001</v>
      </c>
      <c r="X103" s="195">
        <v>1541876980.1400001</v>
      </c>
      <c r="Y103" s="195">
        <v>1538420240.76</v>
      </c>
      <c r="Z103" s="195">
        <v>1318162868.25</v>
      </c>
      <c r="AA103" s="195">
        <v>1137541762.02</v>
      </c>
      <c r="AB103" s="195">
        <v>1015050439.6799999</v>
      </c>
      <c r="AC103" s="195">
        <v>948144749.34000003</v>
      </c>
      <c r="AD103" s="195">
        <v>1270353304.5</v>
      </c>
      <c r="AE103" s="195">
        <v>1109324386.9300001</v>
      </c>
      <c r="AF103" s="195">
        <v>1126998809.25</v>
      </c>
      <c r="AG103" s="195">
        <v>1008737710.48</v>
      </c>
      <c r="AH103" s="195">
        <v>737384167.88999999</v>
      </c>
      <c r="AI103" s="195">
        <v>697846353.63</v>
      </c>
      <c r="AJ103" s="195">
        <v>804966272.05999994</v>
      </c>
      <c r="AK103" s="195">
        <v>773881633.17999995</v>
      </c>
      <c r="AL103" s="195">
        <v>728282702.60000002</v>
      </c>
      <c r="AM103" s="195">
        <v>649261921.52999997</v>
      </c>
      <c r="AN103" s="195">
        <v>541200964.52999997</v>
      </c>
      <c r="AO103" s="195">
        <v>631957305.69000006</v>
      </c>
      <c r="AP103" s="195">
        <v>569251664.46000004</v>
      </c>
      <c r="AQ103" s="195">
        <v>515681053.38999999</v>
      </c>
      <c r="AR103" s="195">
        <v>385986526.14999998</v>
      </c>
      <c r="AS103" s="195">
        <v>514461139.75</v>
      </c>
      <c r="AT103" s="195">
        <v>443556823.94</v>
      </c>
      <c r="AU103" s="195">
        <v>394170221.25</v>
      </c>
      <c r="AV103" s="195">
        <v>422515795.08999997</v>
      </c>
      <c r="AW103" s="195">
        <v>342337783.56</v>
      </c>
      <c r="AX103" s="195">
        <v>318517901.66000003</v>
      </c>
      <c r="AY103" s="195">
        <v>274763019.31999999</v>
      </c>
      <c r="AZ103" s="195">
        <v>266893856.94</v>
      </c>
      <c r="BA103" s="195">
        <v>76967924.849999994</v>
      </c>
      <c r="BB103" s="195">
        <v>74206073.739999995</v>
      </c>
      <c r="BC103" s="195">
        <v>74096419.620000005</v>
      </c>
      <c r="BD103" s="195">
        <v>73864189.609999999</v>
      </c>
      <c r="BE103" s="195">
        <v>73828709.079999998</v>
      </c>
      <c r="BF103" s="195">
        <v>73773300.180000007</v>
      </c>
      <c r="BG103" s="195">
        <v>73740285.659999996</v>
      </c>
      <c r="BH103" s="195">
        <v>73734515.349999994</v>
      </c>
      <c r="BI103" s="195">
        <v>73742160.650000006</v>
      </c>
      <c r="BJ103" s="195">
        <v>73750000</v>
      </c>
      <c r="BK103" s="195">
        <v>0</v>
      </c>
      <c r="BL103" s="195">
        <v>0</v>
      </c>
      <c r="BM103" s="195">
        <v>0</v>
      </c>
      <c r="BN103" s="195">
        <v>0</v>
      </c>
      <c r="BO103" s="195">
        <v>0</v>
      </c>
      <c r="BP103" s="195">
        <v>0</v>
      </c>
      <c r="BQ103" s="195">
        <v>0</v>
      </c>
      <c r="BR103" s="195">
        <v>0</v>
      </c>
      <c r="BS103" s="195">
        <v>0</v>
      </c>
      <c r="BT103" s="195">
        <v>0</v>
      </c>
      <c r="BU103" s="195">
        <v>0</v>
      </c>
      <c r="BV103" s="195">
        <v>0</v>
      </c>
      <c r="BW103" s="195">
        <v>0</v>
      </c>
      <c r="BX103" s="195">
        <v>0</v>
      </c>
      <c r="BY103" s="195">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37289331915.82</v>
      </c>
      <c r="C107" s="33">
        <f>C102+C103</f>
        <v>34579356675.519997</v>
      </c>
      <c r="D107" s="33">
        <f>D102+D103</f>
        <v>30778130184.91</v>
      </c>
      <c r="E107" s="33">
        <f>E102+E103</f>
        <v>30754126558.369999</v>
      </c>
      <c r="F107" s="33">
        <f t="shared" ref="F107:BQ107" si="20">F102+F103</f>
        <v>26687174094.330002</v>
      </c>
      <c r="G107" s="33">
        <f t="shared" si="20"/>
        <v>24886251357.59</v>
      </c>
      <c r="H107" s="33">
        <f t="shared" si="20"/>
        <v>23380532948.110001</v>
      </c>
      <c r="I107" s="33">
        <f t="shared" si="20"/>
        <v>18333937055.68</v>
      </c>
      <c r="J107" s="33">
        <f t="shared" si="20"/>
        <v>16796809546.369999</v>
      </c>
      <c r="K107" s="33">
        <f t="shared" si="20"/>
        <v>15574027016.190001</v>
      </c>
      <c r="L107" s="33">
        <f t="shared" si="20"/>
        <v>14933606894.369999</v>
      </c>
      <c r="M107" s="33">
        <f t="shared" si="20"/>
        <v>14823234395.779999</v>
      </c>
      <c r="N107" s="33">
        <f t="shared" si="20"/>
        <v>14473165820.08</v>
      </c>
      <c r="O107" s="33">
        <f t="shared" si="20"/>
        <v>13890592330.6</v>
      </c>
      <c r="P107" s="33">
        <f t="shared" si="20"/>
        <v>13856114247.16</v>
      </c>
      <c r="Q107" s="33">
        <f t="shared" si="20"/>
        <v>13285675672.779999</v>
      </c>
      <c r="R107" s="33">
        <f t="shared" si="20"/>
        <v>12783196319.540001</v>
      </c>
      <c r="S107" s="33">
        <f t="shared" si="20"/>
        <v>11692366869.040001</v>
      </c>
      <c r="T107" s="33">
        <f t="shared" si="20"/>
        <v>12708078583.43</v>
      </c>
      <c r="U107" s="33">
        <f t="shared" si="20"/>
        <v>11780955452.780001</v>
      </c>
      <c r="V107" s="33">
        <f t="shared" si="20"/>
        <v>11043044163</v>
      </c>
      <c r="W107" s="33">
        <f t="shared" si="20"/>
        <v>9989687864.2900009</v>
      </c>
      <c r="X107" s="33">
        <f t="shared" si="20"/>
        <v>10590907568.439999</v>
      </c>
      <c r="Y107" s="33">
        <f t="shared" si="20"/>
        <v>9842810053.0599995</v>
      </c>
      <c r="Z107" s="33">
        <f t="shared" si="20"/>
        <v>8925436127.7099991</v>
      </c>
      <c r="AA107" s="33">
        <f t="shared" si="20"/>
        <v>8086854483.1800003</v>
      </c>
      <c r="AB107" s="33">
        <f t="shared" si="20"/>
        <v>8735252341.5499992</v>
      </c>
      <c r="AC107" s="33">
        <f t="shared" si="20"/>
        <v>8215624124.4700003</v>
      </c>
      <c r="AD107" s="33">
        <f t="shared" si="20"/>
        <v>8241878796.3900003</v>
      </c>
      <c r="AE107" s="33">
        <f t="shared" si="20"/>
        <v>7565927106.8200006</v>
      </c>
      <c r="AF107" s="33">
        <f t="shared" si="20"/>
        <v>7744172832.0699997</v>
      </c>
      <c r="AG107" s="33">
        <f t="shared" si="20"/>
        <v>7155219285.0200005</v>
      </c>
      <c r="AH107" s="33">
        <f t="shared" si="20"/>
        <v>6307281768.3699999</v>
      </c>
      <c r="AI107" s="33">
        <f t="shared" si="20"/>
        <v>5873219984.0500002</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56354237904.050003</v>
      </c>
      <c r="C108" s="38">
        <f t="shared" ref="C108:BN108" si="22">SUM(C89+C107)</f>
        <v>56997624286.239998</v>
      </c>
      <c r="D108" s="38">
        <f t="shared" si="22"/>
        <v>54716881373.220001</v>
      </c>
      <c r="E108" s="38">
        <f>SUM(E107+E89)</f>
        <v>52494182055.020004</v>
      </c>
      <c r="F108" s="38">
        <f t="shared" si="22"/>
        <v>50311789156.850006</v>
      </c>
      <c r="G108" s="38">
        <f t="shared" si="22"/>
        <v>49433579059.349998</v>
      </c>
      <c r="H108" s="38">
        <f t="shared" si="22"/>
        <v>45329813613.190002</v>
      </c>
      <c r="I108" s="38">
        <f t="shared" si="22"/>
        <v>40308290561.699997</v>
      </c>
      <c r="J108" s="38">
        <f t="shared" si="22"/>
        <v>39931045234.5</v>
      </c>
      <c r="K108" s="38">
        <f t="shared" si="22"/>
        <v>41277472712.800003</v>
      </c>
      <c r="L108" s="38">
        <f t="shared" si="22"/>
        <v>39993689715.539993</v>
      </c>
      <c r="M108" s="38">
        <f t="shared" si="22"/>
        <v>40473438427.910004</v>
      </c>
      <c r="N108" s="38">
        <f t="shared" si="22"/>
        <v>39614752330.160004</v>
      </c>
      <c r="O108" s="38">
        <f t="shared" si="22"/>
        <v>37535115231.610001</v>
      </c>
      <c r="P108" s="38">
        <f t="shared" si="22"/>
        <v>37638390603.07</v>
      </c>
      <c r="Q108" s="38">
        <f t="shared" si="22"/>
        <v>35221931657.209999</v>
      </c>
      <c r="R108" s="38">
        <f t="shared" si="22"/>
        <v>32999359497.080002</v>
      </c>
      <c r="S108" s="38">
        <f t="shared" si="22"/>
        <v>31261338317.600002</v>
      </c>
      <c r="T108" s="38">
        <f t="shared" si="22"/>
        <v>29703466658.790001</v>
      </c>
      <c r="U108" s="38">
        <f t="shared" si="22"/>
        <v>25783342520.379997</v>
      </c>
      <c r="V108" s="38">
        <f t="shared" si="22"/>
        <v>24049666070.360001</v>
      </c>
      <c r="W108" s="38">
        <f t="shared" si="22"/>
        <v>22530065446.440002</v>
      </c>
      <c r="X108" s="38">
        <f t="shared" si="22"/>
        <v>21317676392.709999</v>
      </c>
      <c r="Y108" s="38">
        <f t="shared" si="22"/>
        <v>19150516574.709999</v>
      </c>
      <c r="Z108" s="38">
        <f t="shared" si="22"/>
        <v>17467769168.119999</v>
      </c>
      <c r="AA108" s="38">
        <f t="shared" si="22"/>
        <v>16185291207.280001</v>
      </c>
      <c r="AB108" s="38">
        <f t="shared" si="22"/>
        <v>15978247348.119999</v>
      </c>
      <c r="AC108" s="38">
        <f t="shared" si="22"/>
        <v>14974946430.360001</v>
      </c>
      <c r="AD108" s="38">
        <f t="shared" si="22"/>
        <v>13335087010.93</v>
      </c>
      <c r="AE108" s="38">
        <f t="shared" si="22"/>
        <v>13515021867.049999</v>
      </c>
      <c r="AF108" s="38">
        <f t="shared" si="22"/>
        <v>13517263945.950001</v>
      </c>
      <c r="AG108" s="38">
        <f t="shared" si="22"/>
        <v>11776583686.5</v>
      </c>
      <c r="AH108" s="38">
        <f t="shared" si="22"/>
        <v>10370266753.91</v>
      </c>
      <c r="AI108" s="38">
        <f t="shared" si="22"/>
        <v>9383375580.3600006</v>
      </c>
      <c r="AJ108" s="38">
        <f t="shared" si="22"/>
        <v>9224038806.5200005</v>
      </c>
      <c r="AK108" s="38">
        <f t="shared" si="22"/>
        <v>8712530605.6500015</v>
      </c>
      <c r="AL108" s="38">
        <f t="shared" si="22"/>
        <v>9064774606.6700001</v>
      </c>
      <c r="AM108" s="38">
        <f t="shared" si="22"/>
        <v>8585765073.2699995</v>
      </c>
      <c r="AN108" s="38">
        <f t="shared" si="22"/>
        <v>7412147365</v>
      </c>
      <c r="AO108" s="38">
        <f t="shared" si="22"/>
        <v>7150475259.3200006</v>
      </c>
      <c r="AP108" s="38">
        <f t="shared" si="22"/>
        <v>7043520987.7600002</v>
      </c>
      <c r="AQ108" s="38">
        <f t="shared" si="22"/>
        <v>6790832377.46</v>
      </c>
      <c r="AR108" s="38">
        <f t="shared" si="22"/>
        <v>6400915369.4200001</v>
      </c>
      <c r="AS108" s="38">
        <f t="shared" si="22"/>
        <v>6559742209.3599997</v>
      </c>
      <c r="AT108" s="38">
        <f t="shared" si="22"/>
        <v>6053083429.6599998</v>
      </c>
      <c r="AU108" s="38">
        <f t="shared" si="22"/>
        <v>5299774978.3299999</v>
      </c>
      <c r="AV108" s="38">
        <f t="shared" si="22"/>
        <v>4947682088.0900002</v>
      </c>
      <c r="AW108" s="38">
        <f t="shared" si="22"/>
        <v>4376415386.1900005</v>
      </c>
      <c r="AX108" s="38">
        <f t="shared" si="22"/>
        <v>4283789151.3099999</v>
      </c>
      <c r="AY108" s="38">
        <f t="shared" si="22"/>
        <v>4005148589.3499999</v>
      </c>
      <c r="AZ108" s="38">
        <f t="shared" si="22"/>
        <v>4091390688.5499997</v>
      </c>
      <c r="BA108" s="38">
        <f t="shared" si="22"/>
        <v>3699266802.7199998</v>
      </c>
      <c r="BB108" s="38">
        <f t="shared" si="22"/>
        <v>3629739871.6700001</v>
      </c>
      <c r="BC108" s="38">
        <f t="shared" si="22"/>
        <v>3511544660.6199999</v>
      </c>
      <c r="BD108" s="38">
        <f t="shared" si="22"/>
        <v>3071498936.52</v>
      </c>
      <c r="BE108" s="38">
        <f t="shared" si="22"/>
        <v>2596534328.0100002</v>
      </c>
      <c r="BF108" s="38">
        <f t="shared" si="22"/>
        <v>1979993866.8100002</v>
      </c>
      <c r="BG108" s="38">
        <f t="shared" si="22"/>
        <v>1650377094.53</v>
      </c>
      <c r="BH108" s="38">
        <f t="shared" si="22"/>
        <v>1309176770.3</v>
      </c>
      <c r="BI108" s="38">
        <f t="shared" si="22"/>
        <v>1163400034.79</v>
      </c>
      <c r="BJ108" s="38">
        <f t="shared" si="22"/>
        <v>1129988205.5799999</v>
      </c>
      <c r="BK108" s="38">
        <f t="shared" si="22"/>
        <v>942622014.30999994</v>
      </c>
      <c r="BL108" s="38">
        <f t="shared" si="22"/>
        <v>862326635.84000003</v>
      </c>
      <c r="BM108" s="38">
        <f t="shared" si="22"/>
        <v>880658820.5</v>
      </c>
      <c r="BN108" s="38">
        <f t="shared" si="22"/>
        <v>808165133.73000002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685169866.59000003</v>
      </c>
      <c r="BU108" s="38">
        <f t="shared" si="23"/>
        <v>249802681.5</v>
      </c>
      <c r="BV108" s="38">
        <f t="shared" si="23"/>
        <v>205036554.23000002</v>
      </c>
      <c r="BW108" s="38">
        <f t="shared" si="23"/>
        <v>194126833.72</v>
      </c>
      <c r="BX108" s="38">
        <f t="shared" si="23"/>
        <v>155008325.51999998</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63" sqref="A63"/>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6" width="22.6640625" hidden="1" customWidth="1"/>
    <col min="7" max="8" width="21.441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7" width="21.44140625" hidden="1" customWidth="1"/>
    <col min="28" max="28" width="20.21875" hidden="1" customWidth="1"/>
    <col min="29" max="29" width="21.44140625" bestFit="1" customWidth="1"/>
    <col min="30" max="31" width="21.44140625" hidden="1" customWidth="1"/>
    <col min="32" max="32" width="19.33203125" hidden="1" customWidth="1"/>
    <col min="33" max="33" width="21.44140625" bestFit="1" customWidth="1"/>
    <col min="34" max="34" width="21.44140625" hidden="1" customWidth="1"/>
    <col min="35" max="35" width="19.33203125" hidden="1" customWidth="1"/>
    <col min="36" max="36" width="20.21875" hidden="1" customWidth="1"/>
    <col min="37" max="37" width="21.44140625" bestFit="1" customWidth="1"/>
    <col min="38" max="38" width="21.44140625" hidden="1" customWidth="1"/>
    <col min="39" max="39" width="19" hidden="1" customWidth="1"/>
    <col min="40" max="40" width="20.21875" hidden="1" customWidth="1"/>
    <col min="41" max="41" width="21.44140625" bestFit="1" customWidth="1"/>
    <col min="42" max="43" width="21.44140625" hidden="1" customWidth="1"/>
    <col min="44" max="44" width="19" hidden="1" customWidth="1"/>
    <col min="45" max="45" width="21.44140625" bestFit="1" customWidth="1"/>
    <col min="46" max="47" width="21.44140625" hidden="1" customWidth="1"/>
    <col min="48" max="48" width="19" hidden="1" customWidth="1"/>
    <col min="49" max="49" width="21.44140625" bestFit="1" customWidth="1"/>
    <col min="50" max="50" width="19.33203125" hidden="1" customWidth="1"/>
    <col min="51" max="52" width="19" hidden="1" customWidth="1"/>
    <col min="53" max="53" width="19.33203125" bestFit="1" customWidth="1"/>
    <col min="54" max="56" width="19" hidden="1" customWidth="1"/>
    <col min="57" max="57" width="19" bestFit="1" customWidth="1"/>
    <col min="58" max="60" width="19" hidden="1" customWidth="1"/>
    <col min="61" max="61" width="19" bestFit="1" customWidth="1"/>
    <col min="62" max="63" width="19" hidden="1" customWidth="1"/>
    <col min="64" max="64" width="17.77734375" hidden="1" customWidth="1"/>
    <col min="65" max="65" width="19" bestFit="1" customWidth="1"/>
    <col min="66" max="68" width="19" hidden="1" customWidth="1"/>
    <col min="69" max="69" width="19" bestFit="1" customWidth="1"/>
    <col min="70" max="70" width="19" hidden="1" customWidth="1"/>
    <col min="71" max="71" width="17.77734375" hidden="1" customWidth="1"/>
    <col min="72" max="72" width="17.77734375" bestFit="1" customWidth="1"/>
    <col min="73" max="73" width="17.77734375" hidden="1" customWidth="1"/>
    <col min="74" max="76" width="17.77734375" bestFit="1" customWidth="1"/>
    <col min="77" max="77" width="9.5546875" hidden="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c r="BZ4" s="40"/>
      <c r="CA4" s="40"/>
      <c r="CB4" s="40"/>
      <c r="CC4" s="40"/>
      <c r="CD4" s="40"/>
      <c r="CE4" s="40"/>
      <c r="CF4" s="40"/>
      <c r="CG4" s="40"/>
      <c r="CH4" s="40"/>
      <c r="CI4" s="40"/>
      <c r="CJ4" s="40"/>
      <c r="CK4" s="40"/>
    </row>
    <row r="5" spans="1:89" x14ac:dyDescent="0.25">
      <c r="A5" s="19" t="s">
        <v>386</v>
      </c>
      <c r="B5" s="195">
        <v>29014011247.049999</v>
      </c>
      <c r="C5" s="195">
        <v>17995540445.200001</v>
      </c>
      <c r="D5" s="195">
        <v>7749050838.6099997</v>
      </c>
      <c r="E5" s="195">
        <v>32033253462.200001</v>
      </c>
      <c r="F5" s="195">
        <v>23762343011.110001</v>
      </c>
      <c r="G5" s="195">
        <v>14946177503.389999</v>
      </c>
      <c r="H5" s="195">
        <v>6688903404.2399998</v>
      </c>
      <c r="I5" s="195">
        <v>20744809250.07</v>
      </c>
      <c r="J5" s="195">
        <v>14628719989.24</v>
      </c>
      <c r="K5" s="195">
        <v>8851952029.6200008</v>
      </c>
      <c r="L5" s="195">
        <v>3868973210.0100002</v>
      </c>
      <c r="M5" s="195">
        <v>13619965426.6</v>
      </c>
      <c r="N5" s="195">
        <v>10094559402.790001</v>
      </c>
      <c r="O5" s="195">
        <v>6718028765.5799999</v>
      </c>
      <c r="P5" s="195">
        <v>3154336266.1700001</v>
      </c>
      <c r="Q5" s="195">
        <v>15269639735.889999</v>
      </c>
      <c r="R5" s="195">
        <v>12406038868.049999</v>
      </c>
      <c r="S5" s="195">
        <v>8123296494.29</v>
      </c>
      <c r="T5" s="195">
        <v>3554897748.1999998</v>
      </c>
      <c r="U5" s="195">
        <v>13582949179.870001</v>
      </c>
      <c r="V5" s="195">
        <v>10039384410.16</v>
      </c>
      <c r="W5" s="195">
        <v>6429177035.0299997</v>
      </c>
      <c r="X5" s="195">
        <v>3111699665.1199999</v>
      </c>
      <c r="Y5" s="195">
        <v>10381869493.6</v>
      </c>
      <c r="Z5" s="195">
        <v>7545910596.1899996</v>
      </c>
      <c r="AA5" s="195">
        <v>4813978177.7700005</v>
      </c>
      <c r="AB5" s="195">
        <v>2216024656.5700002</v>
      </c>
      <c r="AC5" s="195">
        <v>9488664821.2399998</v>
      </c>
      <c r="AD5" s="195">
        <v>7067162108.7799997</v>
      </c>
      <c r="AE5" s="195">
        <v>4637940337.5500002</v>
      </c>
      <c r="AF5" s="195">
        <v>2131293503.98</v>
      </c>
      <c r="AG5" s="195">
        <v>7041509863.6999998</v>
      </c>
      <c r="AH5" s="195">
        <v>5021591295.8599997</v>
      </c>
      <c r="AI5" s="195">
        <v>3243051207.7399998</v>
      </c>
      <c r="AJ5" s="195">
        <v>1557274955.4300001</v>
      </c>
      <c r="AK5" s="195">
        <v>4606765873.4099998</v>
      </c>
      <c r="AL5" s="195">
        <v>3253577491.3000002</v>
      </c>
      <c r="AM5" s="195">
        <v>1966108249.5599999</v>
      </c>
      <c r="AN5" s="195">
        <v>920678918.63</v>
      </c>
      <c r="AO5" s="195">
        <v>5294196775.4300003</v>
      </c>
      <c r="AP5" s="195">
        <v>4046162569.9699998</v>
      </c>
      <c r="AQ5" s="195">
        <v>2582073570.1300001</v>
      </c>
      <c r="AR5" s="195">
        <v>1227427771.4100001</v>
      </c>
      <c r="AS5" s="195">
        <v>4651703918.1899996</v>
      </c>
      <c r="AT5" s="195">
        <v>3578426888.8699999</v>
      </c>
      <c r="AU5" s="195">
        <v>2209440549.4899998</v>
      </c>
      <c r="AV5" s="195">
        <v>1087781048.79</v>
      </c>
      <c r="AW5" s="195">
        <v>3139049523.0500002</v>
      </c>
      <c r="AX5" s="195">
        <v>2252345297.48</v>
      </c>
      <c r="AY5" s="195">
        <v>1400629182.1400001</v>
      </c>
      <c r="AZ5" s="195">
        <v>690278011.37</v>
      </c>
      <c r="BA5" s="195">
        <v>2071239585.1900001</v>
      </c>
      <c r="BB5" s="195">
        <v>1569034978.9100001</v>
      </c>
      <c r="BC5" s="195">
        <v>967239817.53999996</v>
      </c>
      <c r="BD5" s="195">
        <v>469751672.69999999</v>
      </c>
      <c r="BE5" s="195">
        <v>1252818732.1400001</v>
      </c>
      <c r="BF5" s="195">
        <v>973372532.09000003</v>
      </c>
      <c r="BG5" s="195">
        <v>572483914.66999996</v>
      </c>
      <c r="BH5" s="195">
        <v>290169041.20999998</v>
      </c>
      <c r="BI5" s="195">
        <v>861457343.46000004</v>
      </c>
      <c r="BJ5" s="195">
        <v>621831935.80999994</v>
      </c>
      <c r="BK5" s="195">
        <v>452234197.25999999</v>
      </c>
      <c r="BL5" s="195">
        <v>235189970.84999999</v>
      </c>
      <c r="BM5" s="195">
        <v>576099921.12</v>
      </c>
      <c r="BN5" s="195">
        <v>487704935.55000001</v>
      </c>
      <c r="BO5" s="195">
        <v>287596089.52999997</v>
      </c>
      <c r="BP5" s="195">
        <v>143189251.71000001</v>
      </c>
      <c r="BQ5" s="195">
        <v>363108488.54000002</v>
      </c>
      <c r="BR5" s="195">
        <v>0</v>
      </c>
      <c r="BS5" s="195">
        <v>176016395.74000001</v>
      </c>
      <c r="BT5" s="195">
        <v>231885194.97</v>
      </c>
      <c r="BU5" s="195">
        <v>95901275.469999999</v>
      </c>
      <c r="BV5" s="195">
        <v>160030203.71000001</v>
      </c>
      <c r="BW5" s="195">
        <v>142355825.75999999</v>
      </c>
      <c r="BX5" s="195">
        <v>110766360.22</v>
      </c>
      <c r="BY5" s="195">
        <v>0</v>
      </c>
      <c r="BZ5" s="40"/>
      <c r="CA5" s="40"/>
      <c r="CB5" s="40"/>
      <c r="CC5" s="40"/>
      <c r="CD5" s="40"/>
      <c r="CE5" s="40"/>
      <c r="CF5" s="40"/>
      <c r="CG5" s="40"/>
      <c r="CH5" s="40"/>
      <c r="CI5" s="40"/>
      <c r="CJ5" s="40"/>
      <c r="CK5" s="40"/>
    </row>
    <row r="6" spans="1:89" s="3" customFormat="1" x14ac:dyDescent="0.25">
      <c r="A6" s="20" t="s">
        <v>387</v>
      </c>
      <c r="B6" s="27">
        <f>B4-B5</f>
        <v>16909223496.549999</v>
      </c>
      <c r="C6" s="27">
        <f t="shared" ref="C6:BN6" si="0">C4-C5</f>
        <v>12058634193.549999</v>
      </c>
      <c r="D6" s="27">
        <f t="shared" si="0"/>
        <v>5852862676.0100012</v>
      </c>
      <c r="E6" s="27">
        <f t="shared" si="0"/>
        <v>21089919796.609997</v>
      </c>
      <c r="F6" s="27">
        <f t="shared" si="0"/>
        <v>15201160938.360001</v>
      </c>
      <c r="G6" s="27">
        <f t="shared" si="0"/>
        <v>9483908973.3800011</v>
      </c>
      <c r="H6" s="27">
        <f t="shared" si="0"/>
        <v>4318145220.5400009</v>
      </c>
      <c r="I6" s="27">
        <f t="shared" si="0"/>
        <v>9355052280.3699989</v>
      </c>
      <c r="J6" s="27">
        <f t="shared" si="0"/>
        <v>6303461917.3599987</v>
      </c>
      <c r="K6" s="27">
        <f t="shared" si="0"/>
        <v>3623817971.039999</v>
      </c>
      <c r="L6" s="27">
        <f t="shared" si="0"/>
        <v>1430637931.0699997</v>
      </c>
      <c r="M6" s="27">
        <f t="shared" si="0"/>
        <v>5872417462.9299984</v>
      </c>
      <c r="N6" s="27">
        <f t="shared" si="0"/>
        <v>4693765142.3199997</v>
      </c>
      <c r="O6" s="27">
        <f t="shared" si="0"/>
        <v>3324234602.3400002</v>
      </c>
      <c r="P6" s="27">
        <f t="shared" si="0"/>
        <v>1381167775.9700003</v>
      </c>
      <c r="Q6" s="27">
        <f t="shared" si="0"/>
        <v>6818728752.8500023</v>
      </c>
      <c r="R6" s="27">
        <f t="shared" si="0"/>
        <v>5354161768.7700005</v>
      </c>
      <c r="S6" s="27">
        <f t="shared" si="0"/>
        <v>3541524515.1199999</v>
      </c>
      <c r="T6" s="27">
        <f t="shared" si="0"/>
        <v>1581555624.0299997</v>
      </c>
      <c r="U6" s="27">
        <f t="shared" si="0"/>
        <v>6655024038.1200008</v>
      </c>
      <c r="V6" s="27">
        <f t="shared" si="0"/>
        <v>5334837920.7999992</v>
      </c>
      <c r="W6" s="27">
        <f t="shared" si="0"/>
        <v>3546725535.5999994</v>
      </c>
      <c r="X6" s="27">
        <f t="shared" si="0"/>
        <v>1664638871.4700003</v>
      </c>
      <c r="Y6" s="27">
        <f t="shared" si="0"/>
        <v>5560257023.1900005</v>
      </c>
      <c r="Z6" s="27">
        <f t="shared" si="0"/>
        <v>3874453284.8400011</v>
      </c>
      <c r="AA6" s="27">
        <f t="shared" si="0"/>
        <v>2346191697.4599991</v>
      </c>
      <c r="AB6" s="27">
        <f t="shared" si="0"/>
        <v>1065112686.0599999</v>
      </c>
      <c r="AC6" s="27">
        <f t="shared" si="0"/>
        <v>4173642518.1399994</v>
      </c>
      <c r="AD6" s="27">
        <f t="shared" si="0"/>
        <v>3441849319.2300005</v>
      </c>
      <c r="AE6" s="27">
        <f t="shared" si="0"/>
        <v>2240505308.3199997</v>
      </c>
      <c r="AF6" s="27">
        <f t="shared" si="0"/>
        <v>1052380111.0700002</v>
      </c>
      <c r="AG6" s="27">
        <f t="shared" si="0"/>
        <v>2388266996.250001</v>
      </c>
      <c r="AH6" s="27">
        <f t="shared" si="0"/>
        <v>1684135198.0200005</v>
      </c>
      <c r="AI6" s="27">
        <f t="shared" si="0"/>
        <v>1137282682.7700005</v>
      </c>
      <c r="AJ6" s="27">
        <f t="shared" si="0"/>
        <v>491952846.46000004</v>
      </c>
      <c r="AK6" s="27">
        <f t="shared" si="0"/>
        <v>1886153825.5200005</v>
      </c>
      <c r="AL6" s="27">
        <f t="shared" si="0"/>
        <v>1400883064.71</v>
      </c>
      <c r="AM6" s="27">
        <f t="shared" si="0"/>
        <v>783850726.75</v>
      </c>
      <c r="AN6" s="27">
        <f t="shared" si="0"/>
        <v>291110581.5200001</v>
      </c>
      <c r="AO6" s="27">
        <f t="shared" si="0"/>
        <v>2410196250.6999998</v>
      </c>
      <c r="AP6" s="27">
        <f t="shared" si="0"/>
        <v>2126378022.7199998</v>
      </c>
      <c r="AQ6" s="27">
        <f t="shared" si="0"/>
        <v>1585662744.1900001</v>
      </c>
      <c r="AR6" s="27">
        <f t="shared" si="0"/>
        <v>737657339.25999999</v>
      </c>
      <c r="AS6" s="27">
        <f t="shared" si="0"/>
        <v>3151879707.3200006</v>
      </c>
      <c r="AT6" s="27">
        <f t="shared" si="0"/>
        <v>2286955484.7700005</v>
      </c>
      <c r="AU6" s="27">
        <f t="shared" si="0"/>
        <v>1319149212.2700005</v>
      </c>
      <c r="AV6" s="27">
        <f t="shared" si="0"/>
        <v>640097199.92000008</v>
      </c>
      <c r="AW6" s="27">
        <f t="shared" si="0"/>
        <v>1768522343.4299994</v>
      </c>
      <c r="AX6" s="27">
        <f t="shared" si="0"/>
        <v>1295279637.27</v>
      </c>
      <c r="AY6" s="27">
        <f t="shared" si="0"/>
        <v>701163720.24000001</v>
      </c>
      <c r="AZ6" s="27">
        <f t="shared" si="0"/>
        <v>364644995.77999997</v>
      </c>
      <c r="BA6" s="27">
        <f t="shared" si="0"/>
        <v>1238301102.7799997</v>
      </c>
      <c r="BB6" s="27">
        <f t="shared" si="0"/>
        <v>982220804.18999982</v>
      </c>
      <c r="BC6" s="27">
        <f t="shared" si="0"/>
        <v>652225344.42000008</v>
      </c>
      <c r="BD6" s="27">
        <f t="shared" si="0"/>
        <v>325337318.78000003</v>
      </c>
      <c r="BE6" s="27">
        <f t="shared" si="0"/>
        <v>851409981.65999985</v>
      </c>
      <c r="BF6" s="27">
        <f t="shared" si="0"/>
        <v>722323037.2299999</v>
      </c>
      <c r="BG6" s="27">
        <f t="shared" si="0"/>
        <v>481571360.47000003</v>
      </c>
      <c r="BH6" s="27">
        <f t="shared" si="0"/>
        <v>210477418.89000005</v>
      </c>
      <c r="BI6" s="27">
        <f t="shared" si="0"/>
        <v>482248082.02999997</v>
      </c>
      <c r="BJ6" s="27">
        <f t="shared" si="0"/>
        <v>388893626.82000005</v>
      </c>
      <c r="BK6" s="27">
        <f t="shared" si="0"/>
        <v>276603662.94000006</v>
      </c>
      <c r="BL6" s="27">
        <f t="shared" si="0"/>
        <v>130224583.97</v>
      </c>
      <c r="BM6" s="27">
        <f t="shared" si="0"/>
        <v>305644101.57000005</v>
      </c>
      <c r="BN6" s="27">
        <f t="shared" si="0"/>
        <v>243804383.45999998</v>
      </c>
      <c r="BO6" s="27">
        <f t="shared" ref="BO6:CK6" si="1">BO4-BO5</f>
        <v>151953050.66000003</v>
      </c>
      <c r="BP6" s="27">
        <f t="shared" si="1"/>
        <v>75913536.810000002</v>
      </c>
      <c r="BQ6" s="27">
        <f t="shared" si="1"/>
        <v>208179967.82999998</v>
      </c>
      <c r="BR6" s="27">
        <f t="shared" si="1"/>
        <v>477877800</v>
      </c>
      <c r="BS6" s="27">
        <f t="shared" si="1"/>
        <v>114148118.93000001</v>
      </c>
      <c r="BT6" s="27">
        <f t="shared" si="1"/>
        <v>112967894.70000002</v>
      </c>
      <c r="BU6" s="27">
        <f t="shared" si="1"/>
        <v>64987544.430000007</v>
      </c>
      <c r="BV6" s="27">
        <f t="shared" si="1"/>
        <v>50375899.229999989</v>
      </c>
      <c r="BW6" s="27">
        <f t="shared" si="1"/>
        <v>38341275.930000007</v>
      </c>
      <c r="BX6" s="27">
        <f t="shared" si="1"/>
        <v>29238175.539999992</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36.820628143810183</v>
      </c>
      <c r="C7" s="57">
        <f t="shared" ref="C7:D7" si="2">C6/C4*100</f>
        <v>40.122992357947965</v>
      </c>
      <c r="D7" s="57">
        <f t="shared" si="2"/>
        <v>43.029700708794088</v>
      </c>
      <c r="E7" s="57">
        <f>E6/E4</f>
        <v>0.39700037672565852</v>
      </c>
      <c r="F7" s="57">
        <f t="shared" ref="F7:BQ7" si="3">F6/F4</f>
        <v>0.39013844745774651</v>
      </c>
      <c r="G7" s="57">
        <f t="shared" si="3"/>
        <v>0.38820611553700513</v>
      </c>
      <c r="H7" s="57">
        <f t="shared" si="3"/>
        <v>0.39230727216182426</v>
      </c>
      <c r="I7" s="57">
        <f t="shared" si="3"/>
        <v>0.31080050886311328</v>
      </c>
      <c r="J7" s="57">
        <f t="shared" si="3"/>
        <v>0.30113735612876996</v>
      </c>
      <c r="K7" s="57">
        <f t="shared" si="3"/>
        <v>0.29046848177293183</v>
      </c>
      <c r="L7" s="57">
        <f t="shared" si="3"/>
        <v>0.26995149134252366</v>
      </c>
      <c r="M7" s="57">
        <f t="shared" si="3"/>
        <v>0.30126729483054981</v>
      </c>
      <c r="N7" s="57">
        <f t="shared" si="3"/>
        <v>0.3173966819569205</v>
      </c>
      <c r="O7" s="57">
        <f t="shared" si="3"/>
        <v>0.33102443946643184</v>
      </c>
      <c r="P7" s="57">
        <f t="shared" si="3"/>
        <v>0.30452354647628532</v>
      </c>
      <c r="Q7" s="57">
        <f t="shared" si="3"/>
        <v>0.30870223648822182</v>
      </c>
      <c r="R7" s="57">
        <f t="shared" si="3"/>
        <v>0.3014696668274055</v>
      </c>
      <c r="S7" s="57">
        <f t="shared" si="3"/>
        <v>0.30360727457910031</v>
      </c>
      <c r="T7" s="57">
        <f t="shared" si="3"/>
        <v>0.30790810495440452</v>
      </c>
      <c r="U7" s="57">
        <f t="shared" si="3"/>
        <v>0.32883846452589416</v>
      </c>
      <c r="V7" s="57">
        <f t="shared" si="3"/>
        <v>0.3469988794201912</v>
      </c>
      <c r="W7" s="57">
        <f t="shared" si="3"/>
        <v>0.35552928775005233</v>
      </c>
      <c r="X7" s="57">
        <f t="shared" si="3"/>
        <v>0.34851777333573297</v>
      </c>
      <c r="Y7" s="57">
        <f t="shared" si="3"/>
        <v>0.34877762495072562</v>
      </c>
      <c r="Z7" s="57">
        <f t="shared" si="3"/>
        <v>0.33925830430637421</v>
      </c>
      <c r="AA7" s="57">
        <f t="shared" si="3"/>
        <v>0.32767263044644379</v>
      </c>
      <c r="AB7" s="57">
        <f t="shared" si="3"/>
        <v>0.32461691628130918</v>
      </c>
      <c r="AC7" s="57">
        <f t="shared" si="3"/>
        <v>0.3054859193593138</v>
      </c>
      <c r="AD7" s="57">
        <f t="shared" si="3"/>
        <v>0.32751409043635926</v>
      </c>
      <c r="AE7" s="57">
        <f t="shared" si="3"/>
        <v>0.3257284310540795</v>
      </c>
      <c r="AF7" s="57">
        <f t="shared" si="3"/>
        <v>0.33055527617377084</v>
      </c>
      <c r="AG7" s="57">
        <f t="shared" si="3"/>
        <v>0.25326866496633771</v>
      </c>
      <c r="AH7" s="57">
        <f t="shared" si="3"/>
        <v>0.25114880536166084</v>
      </c>
      <c r="AI7" s="57">
        <f t="shared" si="3"/>
        <v>0.25963378847304885</v>
      </c>
      <c r="AJ7" s="57">
        <f t="shared" si="3"/>
        <v>0.24006742735301198</v>
      </c>
      <c r="AK7" s="57">
        <f t="shared" si="3"/>
        <v>0.29049394001142953</v>
      </c>
      <c r="AL7" s="57">
        <f t="shared" si="3"/>
        <v>0.30097646072027218</v>
      </c>
      <c r="AM7" s="57">
        <f t="shared" si="3"/>
        <v>0.28504088006498224</v>
      </c>
      <c r="AN7" s="57">
        <f t="shared" si="3"/>
        <v>0.24023197220636527</v>
      </c>
      <c r="AO7" s="57">
        <f t="shared" si="3"/>
        <v>0.31283402112608311</v>
      </c>
      <c r="AP7" s="57">
        <f t="shared" si="3"/>
        <v>0.34448992125515082</v>
      </c>
      <c r="AQ7" s="57">
        <f t="shared" si="3"/>
        <v>0.38046138829411852</v>
      </c>
      <c r="AR7" s="57">
        <f t="shared" si="3"/>
        <v>0.37538187799331202</v>
      </c>
      <c r="AS7" s="57">
        <f t="shared" si="3"/>
        <v>0.40390157376112062</v>
      </c>
      <c r="AT7" s="57">
        <f t="shared" si="3"/>
        <v>0.38990731363874198</v>
      </c>
      <c r="AU7" s="57">
        <f t="shared" si="3"/>
        <v>0.37384601252485394</v>
      </c>
      <c r="AV7" s="57">
        <f t="shared" si="3"/>
        <v>0.37045272165320914</v>
      </c>
      <c r="AW7" s="57">
        <f t="shared" si="3"/>
        <v>0.36036606116957143</v>
      </c>
      <c r="AX7" s="57">
        <f t="shared" si="3"/>
        <v>0.36511177508714798</v>
      </c>
      <c r="AY7" s="57">
        <f t="shared" si="3"/>
        <v>0.33360266820105139</v>
      </c>
      <c r="AZ7" s="57">
        <f t="shared" si="3"/>
        <v>0.34566029303421092</v>
      </c>
      <c r="BA7" s="57">
        <f t="shared" si="3"/>
        <v>0.37416101493514092</v>
      </c>
      <c r="BB7" s="57">
        <f t="shared" si="3"/>
        <v>0.38499503291532583</v>
      </c>
      <c r="BC7" s="57">
        <f t="shared" si="3"/>
        <v>0.40274120107074568</v>
      </c>
      <c r="BD7" s="57">
        <f t="shared" si="3"/>
        <v>0.40918352821664455</v>
      </c>
      <c r="BE7" s="57">
        <f t="shared" si="3"/>
        <v>0.4046185550440709</v>
      </c>
      <c r="BF7" s="57">
        <f t="shared" si="3"/>
        <v>0.42597447932217136</v>
      </c>
      <c r="BG7" s="57">
        <f t="shared" si="3"/>
        <v>0.45687486399234384</v>
      </c>
      <c r="BH7" s="57">
        <f t="shared" si="3"/>
        <v>0.4204112795443693</v>
      </c>
      <c r="BI7" s="57">
        <f t="shared" si="3"/>
        <v>0.35889419874459599</v>
      </c>
      <c r="BJ7" s="57">
        <f t="shared" si="3"/>
        <v>0.38476678655288327</v>
      </c>
      <c r="BK7" s="57">
        <f t="shared" si="3"/>
        <v>0.37951330199023603</v>
      </c>
      <c r="BL7" s="57">
        <f t="shared" si="3"/>
        <v>0.35637492336381482</v>
      </c>
      <c r="BM7" s="57">
        <f t="shared" si="3"/>
        <v>0.34663586449676126</v>
      </c>
      <c r="BN7" s="57">
        <f t="shared" si="3"/>
        <v>0.33328951132154627</v>
      </c>
      <c r="BO7" s="57">
        <f t="shared" si="3"/>
        <v>0.34570207689250998</v>
      </c>
      <c r="BP7" s="57">
        <f t="shared" si="3"/>
        <v>0.34647453518406729</v>
      </c>
      <c r="BQ7" s="57">
        <f t="shared" si="3"/>
        <v>0.36440429612876757</v>
      </c>
      <c r="BR7" s="57">
        <f t="shared" ref="BR7:CK7" si="4">BR6/BR4</f>
        <v>1</v>
      </c>
      <c r="BS7" s="57">
        <f t="shared" si="4"/>
        <v>0.39339103563307543</v>
      </c>
      <c r="BT7" s="57">
        <f t="shared" si="4"/>
        <v>0.32758266660189211</v>
      </c>
      <c r="BU7" s="57">
        <f t="shared" si="4"/>
        <v>0.403928280848805</v>
      </c>
      <c r="BV7" s="57">
        <f t="shared" si="4"/>
        <v>0.23942223408018409</v>
      </c>
      <c r="BW7" s="57">
        <f t="shared" si="4"/>
        <v>0.21218533983891708</v>
      </c>
      <c r="BX7" s="57">
        <f t="shared" si="4"/>
        <v>0.20883734502802792</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5">
        <v>443593815.44</v>
      </c>
      <c r="C8" s="195">
        <v>313901360.97000003</v>
      </c>
      <c r="D8" s="195">
        <v>149516281.13999999</v>
      </c>
      <c r="E8" s="195">
        <v>475378440.49000001</v>
      </c>
      <c r="F8" s="195">
        <v>304423717.72000003</v>
      </c>
      <c r="G8" s="195">
        <v>168049530.69</v>
      </c>
      <c r="H8" s="195">
        <v>65662825.07</v>
      </c>
      <c r="I8" s="195">
        <v>203761067.86000001</v>
      </c>
      <c r="J8" s="195">
        <v>71349811.150000006</v>
      </c>
      <c r="K8" s="195">
        <v>46576489</v>
      </c>
      <c r="L8" s="195">
        <v>12391312.449999999</v>
      </c>
      <c r="M8" s="195">
        <v>95650234.629999995</v>
      </c>
      <c r="N8" s="195">
        <v>66574350.329999998</v>
      </c>
      <c r="O8" s="195">
        <v>43914758.340000004</v>
      </c>
      <c r="P8" s="195">
        <v>15741136.26</v>
      </c>
      <c r="Q8" s="195">
        <v>107719792.73999999</v>
      </c>
      <c r="R8" s="195">
        <v>77169296.909999996</v>
      </c>
      <c r="S8" s="195">
        <v>42471754.68</v>
      </c>
      <c r="T8" s="195">
        <v>16211541.390000001</v>
      </c>
      <c r="U8" s="195">
        <v>124987791.27</v>
      </c>
      <c r="V8" s="195">
        <v>103692578.84</v>
      </c>
      <c r="W8" s="195">
        <v>71270991.959999993</v>
      </c>
      <c r="X8" s="195">
        <v>37477122.899999999</v>
      </c>
      <c r="Y8" s="195">
        <v>88203142.469999999</v>
      </c>
      <c r="Z8" s="195">
        <v>60403158.270000003</v>
      </c>
      <c r="AA8" s="195">
        <v>26438278.57</v>
      </c>
      <c r="AB8" s="195">
        <v>5891628.04</v>
      </c>
      <c r="AC8" s="195">
        <v>60570135.009999998</v>
      </c>
      <c r="AD8" s="195">
        <v>44222697.229999997</v>
      </c>
      <c r="AE8" s="195">
        <v>21190332.379999999</v>
      </c>
      <c r="AF8" s="195">
        <v>5550792.3799999999</v>
      </c>
      <c r="AG8" s="195">
        <v>27279924.27</v>
      </c>
      <c r="AH8" s="195">
        <v>18299304.010000002</v>
      </c>
      <c r="AI8" s="195">
        <v>10643212.15</v>
      </c>
      <c r="AJ8" s="195">
        <v>4012920.88</v>
      </c>
      <c r="AK8" s="195">
        <v>27503335.260000002</v>
      </c>
      <c r="AL8" s="195">
        <v>22542449.609999999</v>
      </c>
      <c r="AM8" s="195">
        <v>15171273.380000001</v>
      </c>
      <c r="AN8" s="195">
        <v>7452994.5999999996</v>
      </c>
      <c r="AO8" s="195">
        <v>48551437.280000001</v>
      </c>
      <c r="AP8" s="195">
        <v>38282893.909999996</v>
      </c>
      <c r="AQ8" s="195">
        <v>31496366.91</v>
      </c>
      <c r="AR8" s="195">
        <v>15203092.939999999</v>
      </c>
      <c r="AS8" s="195">
        <v>66652892.759999998</v>
      </c>
      <c r="AT8" s="195">
        <v>51980200.600000001</v>
      </c>
      <c r="AU8" s="195">
        <v>27940093.84</v>
      </c>
      <c r="AV8" s="195">
        <v>11767810.68</v>
      </c>
      <c r="AW8" s="195">
        <v>35246912</v>
      </c>
      <c r="AX8" s="195">
        <v>28646260.920000002</v>
      </c>
      <c r="AY8" s="195">
        <v>12901095.949999999</v>
      </c>
      <c r="AZ8" s="195">
        <v>3704089.66</v>
      </c>
      <c r="BA8" s="195">
        <v>24391547.969999999</v>
      </c>
      <c r="BB8" s="195">
        <v>17824759.629999999</v>
      </c>
      <c r="BC8" s="195">
        <v>11130050.93</v>
      </c>
      <c r="BD8" s="195">
        <v>5116990.8099999996</v>
      </c>
      <c r="BE8" s="195">
        <v>13071649.359999999</v>
      </c>
      <c r="BF8" s="195">
        <v>12274977.810000001</v>
      </c>
      <c r="BG8" s="195">
        <v>7784529.9000000004</v>
      </c>
      <c r="BH8" s="195">
        <v>3340067.99</v>
      </c>
      <c r="BI8" s="195">
        <v>10033587.91</v>
      </c>
      <c r="BJ8" s="195">
        <v>7705082.3300000001</v>
      </c>
      <c r="BK8" s="195">
        <v>4887731.57</v>
      </c>
      <c r="BL8" s="195">
        <v>2091601.66</v>
      </c>
      <c r="BM8" s="195">
        <v>5214040.9400000004</v>
      </c>
      <c r="BN8" s="195">
        <v>4255415.29</v>
      </c>
      <c r="BO8" s="195">
        <v>2423002.52</v>
      </c>
      <c r="BP8" s="195">
        <v>1645637.62</v>
      </c>
      <c r="BQ8" s="195">
        <v>4091150.91</v>
      </c>
      <c r="BR8" s="195">
        <v>0</v>
      </c>
      <c r="BS8" s="195">
        <v>1939877.85</v>
      </c>
      <c r="BT8" s="195">
        <v>1899489.84</v>
      </c>
      <c r="BU8" s="195">
        <v>575201.6</v>
      </c>
      <c r="BV8" s="195">
        <v>1076291.96</v>
      </c>
      <c r="BW8" s="195">
        <v>769057.81</v>
      </c>
      <c r="BX8" s="195">
        <v>526966.91</v>
      </c>
      <c r="BY8" s="195">
        <v>0</v>
      </c>
      <c r="BZ8" s="40"/>
      <c r="CA8" s="40"/>
      <c r="CB8" s="40"/>
      <c r="CC8" s="40"/>
      <c r="CD8" s="40"/>
      <c r="CE8" s="40"/>
      <c r="CF8" s="40"/>
      <c r="CG8" s="40"/>
      <c r="CH8" s="40"/>
      <c r="CI8" s="40"/>
      <c r="CJ8" s="40"/>
      <c r="CK8" s="40"/>
    </row>
    <row r="9" spans="1:89" x14ac:dyDescent="0.25">
      <c r="A9" s="17" t="s">
        <v>390</v>
      </c>
      <c r="B9" s="195">
        <v>1219230455.3699999</v>
      </c>
      <c r="C9" s="195">
        <v>788975503.90999997</v>
      </c>
      <c r="D9" s="195">
        <v>352176546.86000001</v>
      </c>
      <c r="E9" s="195">
        <v>1416999560.47</v>
      </c>
      <c r="F9" s="195">
        <v>1038617673.1799999</v>
      </c>
      <c r="G9" s="195">
        <v>671559854.64999998</v>
      </c>
      <c r="H9" s="195">
        <v>304224336.44999999</v>
      </c>
      <c r="I9" s="195">
        <v>1165983654.8900001</v>
      </c>
      <c r="J9" s="195">
        <v>803987150.49000001</v>
      </c>
      <c r="K9" s="195">
        <v>517908496.91000003</v>
      </c>
      <c r="L9" s="195">
        <v>244093669.31</v>
      </c>
      <c r="M9" s="195">
        <v>847269688.95000005</v>
      </c>
      <c r="N9" s="195">
        <v>579629667.38999999</v>
      </c>
      <c r="O9" s="195">
        <v>370192797.54000002</v>
      </c>
      <c r="P9" s="195">
        <v>161249607.06999999</v>
      </c>
      <c r="Q9" s="195">
        <v>700428306.59000003</v>
      </c>
      <c r="R9" s="195">
        <v>514838924.38999999</v>
      </c>
      <c r="S9" s="195">
        <v>330760603.86000001</v>
      </c>
      <c r="T9" s="195">
        <v>119773632.52</v>
      </c>
      <c r="U9" s="195">
        <v>595849295.92999995</v>
      </c>
      <c r="V9" s="195">
        <v>460278237.80000001</v>
      </c>
      <c r="W9" s="195">
        <v>322569181.61000001</v>
      </c>
      <c r="X9" s="195">
        <v>134340553.72</v>
      </c>
      <c r="Y9" s="195">
        <v>486416845.54000002</v>
      </c>
      <c r="Z9" s="195">
        <v>339515631.80000001</v>
      </c>
      <c r="AA9" s="195">
        <v>206667894.94999999</v>
      </c>
      <c r="AB9" s="195">
        <v>94460901.930000007</v>
      </c>
      <c r="AC9" s="195">
        <v>386726440.72000003</v>
      </c>
      <c r="AD9" s="195">
        <v>286345415.00999999</v>
      </c>
      <c r="AE9" s="195">
        <v>187948342.78999999</v>
      </c>
      <c r="AF9" s="195">
        <v>85474453.390000001</v>
      </c>
      <c r="AG9" s="195">
        <v>273624351.13999999</v>
      </c>
      <c r="AH9" s="195">
        <v>201674303.13999999</v>
      </c>
      <c r="AI9" s="195">
        <v>135418094.25</v>
      </c>
      <c r="AJ9" s="195">
        <v>61923604.390000001</v>
      </c>
      <c r="AK9" s="195">
        <v>235225015.80000001</v>
      </c>
      <c r="AL9" s="195">
        <v>165433233.72999999</v>
      </c>
      <c r="AM9" s="195">
        <v>101363953.83</v>
      </c>
      <c r="AN9" s="195">
        <v>54973468.200000003</v>
      </c>
      <c r="AO9" s="195">
        <v>207141030.28999999</v>
      </c>
      <c r="AP9" s="195">
        <v>163742472.84999999</v>
      </c>
      <c r="AQ9" s="195">
        <v>108594338.31999999</v>
      </c>
      <c r="AR9" s="195">
        <v>50674850.340000004</v>
      </c>
      <c r="AS9" s="195">
        <v>223516631.16999999</v>
      </c>
      <c r="AT9" s="195">
        <v>159092253.09</v>
      </c>
      <c r="AU9" s="195">
        <v>98006221.109999999</v>
      </c>
      <c r="AV9" s="195">
        <v>45876275.130000003</v>
      </c>
      <c r="AW9" s="195">
        <v>126715371.18000001</v>
      </c>
      <c r="AX9" s="195">
        <v>91500805.799999997</v>
      </c>
      <c r="AY9" s="195">
        <v>51590565.619999997</v>
      </c>
      <c r="AZ9" s="195">
        <v>24362096.32</v>
      </c>
      <c r="BA9" s="195">
        <v>71325807.409999996</v>
      </c>
      <c r="BB9" s="195">
        <v>53919101.100000001</v>
      </c>
      <c r="BC9" s="195">
        <v>36750496.93</v>
      </c>
      <c r="BD9" s="195">
        <v>20224518.170000002</v>
      </c>
      <c r="BE9" s="195">
        <v>62230028.909999996</v>
      </c>
      <c r="BF9" s="195">
        <v>51313792.130000003</v>
      </c>
      <c r="BG9" s="195">
        <v>31944080.98</v>
      </c>
      <c r="BH9" s="195">
        <v>16478870.1</v>
      </c>
      <c r="BI9" s="195">
        <v>45496868.149999999</v>
      </c>
      <c r="BJ9" s="195">
        <v>25558883.579999998</v>
      </c>
      <c r="BK9" s="195">
        <v>14473113.32</v>
      </c>
      <c r="BL9" s="195">
        <v>7283411.1200000001</v>
      </c>
      <c r="BM9" s="195">
        <v>32325991.07</v>
      </c>
      <c r="BN9" s="195">
        <v>23584568.399999999</v>
      </c>
      <c r="BO9" s="195">
        <v>13386234.01</v>
      </c>
      <c r="BP9" s="195">
        <v>6782057.5899999999</v>
      </c>
      <c r="BQ9" s="195">
        <v>20799956.309999999</v>
      </c>
      <c r="BR9" s="195">
        <v>0</v>
      </c>
      <c r="BS9" s="195">
        <v>9768978.1500000004</v>
      </c>
      <c r="BT9" s="195">
        <v>9684022.5099999998</v>
      </c>
      <c r="BU9" s="195">
        <v>6853433.7699999996</v>
      </c>
      <c r="BV9" s="195">
        <v>4024681.17</v>
      </c>
      <c r="BW9" s="195">
        <v>3815283.33</v>
      </c>
      <c r="BX9" s="195">
        <v>2622320.12</v>
      </c>
      <c r="BY9" s="195">
        <v>0</v>
      </c>
      <c r="BZ9" s="40"/>
      <c r="CA9" s="40"/>
      <c r="CB9" s="40"/>
      <c r="CC9" s="40"/>
      <c r="CD9" s="40"/>
      <c r="CE9" s="40"/>
      <c r="CF9" s="40"/>
      <c r="CG9" s="40"/>
      <c r="CH9" s="40"/>
      <c r="CI9" s="40"/>
      <c r="CJ9" s="40"/>
      <c r="CK9" s="40"/>
    </row>
    <row r="10" spans="1:89" x14ac:dyDescent="0.25">
      <c r="A10" s="17" t="s">
        <v>391</v>
      </c>
      <c r="B10" s="195">
        <v>781660916.63999999</v>
      </c>
      <c r="C10" s="195">
        <v>1070147079.5</v>
      </c>
      <c r="D10" s="195">
        <v>446762160.56</v>
      </c>
      <c r="E10" s="195">
        <v>2034568276.1500001</v>
      </c>
      <c r="F10" s="195">
        <v>1413716412.74</v>
      </c>
      <c r="G10" s="195">
        <v>811531490.39999998</v>
      </c>
      <c r="H10" s="195">
        <v>393700215.00999999</v>
      </c>
      <c r="I10" s="195">
        <v>1423283407.77</v>
      </c>
      <c r="J10" s="195">
        <v>1071440217.97</v>
      </c>
      <c r="K10" s="195">
        <v>627040756.5</v>
      </c>
      <c r="L10" s="195">
        <v>274088818.70999998</v>
      </c>
      <c r="M10" s="195">
        <v>1281515644.4300001</v>
      </c>
      <c r="N10" s="195">
        <v>1035578756.38</v>
      </c>
      <c r="O10" s="195">
        <v>730369026.32000005</v>
      </c>
      <c r="P10" s="195">
        <v>300713066.91000003</v>
      </c>
      <c r="Q10" s="195">
        <v>1358892533.97</v>
      </c>
      <c r="R10" s="195">
        <v>975322236.10000002</v>
      </c>
      <c r="S10" s="195">
        <v>638873818.64999998</v>
      </c>
      <c r="T10" s="195">
        <v>211292618.38</v>
      </c>
      <c r="U10" s="195">
        <v>1388192012.74</v>
      </c>
      <c r="V10" s="195">
        <v>1043147668.91</v>
      </c>
      <c r="W10" s="195">
        <v>658123589.13</v>
      </c>
      <c r="X10" s="195">
        <v>254200787.16999999</v>
      </c>
      <c r="Y10" s="195">
        <v>1054199281.34</v>
      </c>
      <c r="Z10" s="195">
        <v>740436544.39999998</v>
      </c>
      <c r="AA10" s="195">
        <v>474545735.98000002</v>
      </c>
      <c r="AB10" s="195">
        <v>204398170.28</v>
      </c>
      <c r="AC10" s="195">
        <v>851728952.30999994</v>
      </c>
      <c r="AD10" s="195">
        <v>687770387.03999996</v>
      </c>
      <c r="AE10" s="195">
        <v>453609327.23000002</v>
      </c>
      <c r="AF10" s="195">
        <v>211001819.52000001</v>
      </c>
      <c r="AG10" s="195">
        <v>535734805.25999999</v>
      </c>
      <c r="AH10" s="195">
        <v>349718849.01999998</v>
      </c>
      <c r="AI10" s="195">
        <v>231579042.43000001</v>
      </c>
      <c r="AJ10" s="195">
        <v>93355014.730000004</v>
      </c>
      <c r="AK10" s="195">
        <v>449667767.81999999</v>
      </c>
      <c r="AL10" s="195">
        <v>327717791.43000001</v>
      </c>
      <c r="AM10" s="195">
        <v>185985696.27000001</v>
      </c>
      <c r="AN10" s="195">
        <v>86283274.980000004</v>
      </c>
      <c r="AO10" s="195">
        <v>454186980.87</v>
      </c>
      <c r="AP10" s="195">
        <v>342525356.25999999</v>
      </c>
      <c r="AQ10" s="195">
        <v>232675377.80000001</v>
      </c>
      <c r="AR10" s="195">
        <v>123487610.18000001</v>
      </c>
      <c r="AS10" s="195">
        <v>571193496.42999995</v>
      </c>
      <c r="AT10" s="195">
        <v>355413740.13</v>
      </c>
      <c r="AU10" s="195">
        <v>193897929.34999999</v>
      </c>
      <c r="AV10" s="195">
        <v>92133047.010000005</v>
      </c>
      <c r="AW10" s="195">
        <v>316788486.07999998</v>
      </c>
      <c r="AX10" s="195">
        <v>223846039.24000001</v>
      </c>
      <c r="AY10" s="195">
        <v>119736582.02</v>
      </c>
      <c r="AZ10" s="195">
        <v>62325603.270000003</v>
      </c>
      <c r="BA10" s="195">
        <v>235623560.65000001</v>
      </c>
      <c r="BB10" s="195">
        <v>177688539.74000001</v>
      </c>
      <c r="BC10" s="195">
        <v>103933515.34999999</v>
      </c>
      <c r="BD10" s="195">
        <v>63851770.979999997</v>
      </c>
      <c r="BE10" s="195">
        <v>215272387.62</v>
      </c>
      <c r="BF10" s="195">
        <v>160555181.15000001</v>
      </c>
      <c r="BG10" s="195">
        <v>96407186.329999998</v>
      </c>
      <c r="BH10" s="195">
        <v>47077206.840000004</v>
      </c>
      <c r="BI10" s="195">
        <v>124971388.59</v>
      </c>
      <c r="BJ10" s="195">
        <v>85502720.159999996</v>
      </c>
      <c r="BK10" s="195">
        <v>55261708.299999997</v>
      </c>
      <c r="BL10" s="195">
        <v>34325551.969999999</v>
      </c>
      <c r="BM10" s="195">
        <v>80369841.780000001</v>
      </c>
      <c r="BN10" s="195">
        <v>59399179.420000002</v>
      </c>
      <c r="BO10" s="195">
        <v>27287259.789999999</v>
      </c>
      <c r="BP10" s="195">
        <v>16644550.83</v>
      </c>
      <c r="BQ10" s="195">
        <v>64562414.719999999</v>
      </c>
      <c r="BR10" s="195">
        <v>0</v>
      </c>
      <c r="BS10" s="195">
        <v>28483931.850000001</v>
      </c>
      <c r="BT10" s="195">
        <v>32842193.23</v>
      </c>
      <c r="BU10" s="195">
        <v>15643981.039999999</v>
      </c>
      <c r="BV10" s="195">
        <v>9185742.0099999998</v>
      </c>
      <c r="BW10" s="195">
        <v>6116144.1100000003</v>
      </c>
      <c r="BX10" s="195">
        <v>5895552.0499999998</v>
      </c>
      <c r="BY10" s="195">
        <v>0</v>
      </c>
      <c r="BZ10" s="40"/>
      <c r="CA10" s="40"/>
      <c r="CB10" s="40"/>
      <c r="CC10" s="40"/>
      <c r="CD10" s="40"/>
      <c r="CE10" s="40"/>
      <c r="CF10" s="40"/>
      <c r="CG10" s="40"/>
      <c r="CH10" s="40"/>
      <c r="CI10" s="40"/>
      <c r="CJ10" s="40"/>
      <c r="CK10" s="40"/>
    </row>
    <row r="11" spans="1:89" x14ac:dyDescent="0.25">
      <c r="A11" s="17" t="s">
        <v>392</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c r="BZ11" s="40"/>
      <c r="CA11" s="40"/>
      <c r="CB11" s="40"/>
      <c r="CC11" s="40"/>
      <c r="CD11" s="40"/>
      <c r="CE11" s="40"/>
      <c r="CF11" s="40"/>
      <c r="CG11" s="40"/>
      <c r="CH11" s="40"/>
      <c r="CI11" s="40"/>
      <c r="CJ11" s="40"/>
      <c r="CK11" s="40"/>
    </row>
    <row r="12" spans="1:89" s="7" customFormat="1" x14ac:dyDescent="0.25">
      <c r="A12" s="21" t="s">
        <v>393</v>
      </c>
      <c r="B12" s="29">
        <f>B55</f>
        <v>463</v>
      </c>
      <c r="C12" s="29">
        <f t="shared" ref="C12:BN12" si="5">C55</f>
        <v>603</v>
      </c>
      <c r="D12" s="29">
        <f t="shared" si="5"/>
        <v>653</v>
      </c>
      <c r="E12" s="29">
        <f t="shared" si="5"/>
        <v>44395019.140000001</v>
      </c>
      <c r="F12" s="29">
        <f t="shared" si="5"/>
        <v>0</v>
      </c>
      <c r="G12" s="29">
        <f t="shared" si="5"/>
        <v>0</v>
      </c>
      <c r="H12" s="29">
        <f t="shared" si="5"/>
        <v>0</v>
      </c>
      <c r="I12" s="29">
        <f t="shared" si="5"/>
        <v>40318044.189999998</v>
      </c>
      <c r="J12" s="29">
        <f t="shared" si="5"/>
        <v>0</v>
      </c>
      <c r="K12" s="29">
        <f t="shared" si="5"/>
        <v>0</v>
      </c>
      <c r="L12" s="29">
        <f t="shared" si="5"/>
        <v>0</v>
      </c>
      <c r="M12" s="29">
        <f t="shared" si="5"/>
        <v>54769113.090000004</v>
      </c>
      <c r="N12" s="29">
        <f t="shared" si="5"/>
        <v>0</v>
      </c>
      <c r="O12" s="29">
        <f t="shared" si="5"/>
        <v>0</v>
      </c>
      <c r="P12" s="29">
        <f t="shared" si="5"/>
        <v>0</v>
      </c>
      <c r="Q12" s="29">
        <f t="shared" si="5"/>
        <v>42570352.189999998</v>
      </c>
      <c r="R12" s="29">
        <f t="shared" si="5"/>
        <v>0</v>
      </c>
      <c r="S12" s="29">
        <f t="shared" si="5"/>
        <v>0</v>
      </c>
      <c r="T12" s="29">
        <f t="shared" si="5"/>
        <v>0</v>
      </c>
      <c r="U12" s="29">
        <f t="shared" si="5"/>
        <v>37617640.960000001</v>
      </c>
      <c r="V12" s="29">
        <f t="shared" si="5"/>
        <v>0</v>
      </c>
      <c r="W12" s="29">
        <f t="shared" si="5"/>
        <v>0</v>
      </c>
      <c r="X12" s="29">
        <f t="shared" si="5"/>
        <v>0</v>
      </c>
      <c r="Y12" s="29">
        <f t="shared" si="5"/>
        <v>29079492.07</v>
      </c>
      <c r="Z12" s="29">
        <f t="shared" si="5"/>
        <v>0</v>
      </c>
      <c r="AA12" s="29">
        <f t="shared" si="5"/>
        <v>0</v>
      </c>
      <c r="AB12" s="29">
        <f t="shared" si="5"/>
        <v>0</v>
      </c>
      <c r="AC12" s="29">
        <f t="shared" si="5"/>
        <v>29497185.960000001</v>
      </c>
      <c r="AD12" s="29">
        <f t="shared" si="5"/>
        <v>0</v>
      </c>
      <c r="AE12" s="29">
        <f t="shared" si="5"/>
        <v>0</v>
      </c>
      <c r="AF12" s="29">
        <f t="shared" si="5"/>
        <v>0</v>
      </c>
      <c r="AG12" s="29">
        <f t="shared" si="5"/>
        <v>13910526.890000001</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5">
        <v>5372072.5599999996</v>
      </c>
      <c r="C13" s="195">
        <v>3563427.8399999999</v>
      </c>
      <c r="D13" s="195">
        <v>1576297.16</v>
      </c>
      <c r="E13" s="195">
        <v>18683867.48</v>
      </c>
      <c r="F13" s="195">
        <v>19256041.629999999</v>
      </c>
      <c r="G13" s="195">
        <v>17059746.23</v>
      </c>
      <c r="H13" s="195">
        <v>55202220.140000001</v>
      </c>
      <c r="I13" s="195">
        <v>89748999.640000001</v>
      </c>
      <c r="J13" s="195">
        <v>68606757.519999996</v>
      </c>
      <c r="K13" s="195">
        <v>51105512.07</v>
      </c>
      <c r="L13" s="195">
        <v>22374321.210000001</v>
      </c>
      <c r="M13" s="195">
        <v>302312759.66000003</v>
      </c>
      <c r="N13" s="195">
        <v>258485714.50999999</v>
      </c>
      <c r="O13" s="195">
        <v>18251060.34</v>
      </c>
      <c r="P13" s="195">
        <v>12266678.140000001</v>
      </c>
      <c r="Q13" s="195">
        <v>264990235.66999999</v>
      </c>
      <c r="R13" s="195">
        <v>192392828.59</v>
      </c>
      <c r="S13" s="195">
        <v>112064246.69</v>
      </c>
      <c r="T13" s="195">
        <v>88033181</v>
      </c>
      <c r="U13" s="195">
        <v>198762496.81</v>
      </c>
      <c r="V13" s="195">
        <v>183706354.49000001</v>
      </c>
      <c r="W13" s="195">
        <v>62809275.390000001</v>
      </c>
      <c r="X13" s="195">
        <v>46641628.909999996</v>
      </c>
      <c r="Y13" s="195">
        <v>125845803.08</v>
      </c>
      <c r="Z13" s="195">
        <v>83842529.260000005</v>
      </c>
      <c r="AA13" s="195">
        <v>55789189.210000001</v>
      </c>
      <c r="AB13" s="195">
        <v>6551137.0099999998</v>
      </c>
      <c r="AC13" s="195">
        <v>103646762.48999999</v>
      </c>
      <c r="AD13" s="195">
        <v>59151976.280000001</v>
      </c>
      <c r="AE13" s="195">
        <v>24913140.98</v>
      </c>
      <c r="AF13" s="195">
        <v>5199373.01</v>
      </c>
      <c r="AG13" s="195">
        <v>267398206.33000001</v>
      </c>
      <c r="AH13" s="195">
        <v>188046725.65000001</v>
      </c>
      <c r="AI13" s="195">
        <v>102881539.90000001</v>
      </c>
      <c r="AJ13" s="195">
        <v>21998577.91</v>
      </c>
      <c r="AK13" s="195">
        <v>322450587.74000001</v>
      </c>
      <c r="AL13" s="195">
        <v>338740511.10000002</v>
      </c>
      <c r="AM13" s="195">
        <v>215984923.37</v>
      </c>
      <c r="AN13" s="195">
        <v>128887627.19</v>
      </c>
      <c r="AO13" s="195">
        <v>383781249.18000001</v>
      </c>
      <c r="AP13" s="195">
        <v>264031520.84999999</v>
      </c>
      <c r="AQ13" s="195">
        <v>98068061.640000001</v>
      </c>
      <c r="AR13" s="195">
        <v>15708291.810000001</v>
      </c>
      <c r="AS13" s="195">
        <v>128336401.73999999</v>
      </c>
      <c r="AT13" s="195">
        <v>62964754.340000004</v>
      </c>
      <c r="AU13" s="195">
        <v>61928517.609999999</v>
      </c>
      <c r="AV13" s="195">
        <v>57730000</v>
      </c>
      <c r="AW13" s="195">
        <v>936164.63</v>
      </c>
      <c r="AX13" s="195">
        <v>186579.41</v>
      </c>
      <c r="AY13" s="195">
        <v>103271.45</v>
      </c>
      <c r="AZ13" s="195">
        <v>10425</v>
      </c>
      <c r="BA13" s="195">
        <v>135935.88</v>
      </c>
      <c r="BB13" s="195">
        <v>24385</v>
      </c>
      <c r="BC13" s="195">
        <v>12707</v>
      </c>
      <c r="BD13" s="195">
        <v>600</v>
      </c>
      <c r="BE13" s="195">
        <v>937941.4</v>
      </c>
      <c r="BF13" s="195">
        <v>922941.4</v>
      </c>
      <c r="BG13" s="195">
        <v>556496</v>
      </c>
      <c r="BH13" s="195">
        <v>553496</v>
      </c>
      <c r="BI13" s="195">
        <v>272840.89</v>
      </c>
      <c r="BJ13" s="195">
        <v>212391.89</v>
      </c>
      <c r="BK13" s="195">
        <v>206517.77</v>
      </c>
      <c r="BL13" s="195">
        <v>186713.60000000001</v>
      </c>
      <c r="BM13" s="195">
        <v>493432.9</v>
      </c>
      <c r="BN13" s="195">
        <v>470784.9</v>
      </c>
      <c r="BO13" s="195">
        <v>376364.6</v>
      </c>
      <c r="BP13" s="195">
        <v>7773</v>
      </c>
      <c r="BQ13" s="195">
        <v>71720</v>
      </c>
      <c r="BR13" s="195">
        <v>0</v>
      </c>
      <c r="BS13" s="195">
        <v>70720</v>
      </c>
      <c r="BT13" s="195">
        <v>3645802.9</v>
      </c>
      <c r="BU13" s="195">
        <v>8.5399999999999991</v>
      </c>
      <c r="BV13" s="195">
        <v>2800</v>
      </c>
      <c r="BW13" s="195">
        <v>0</v>
      </c>
      <c r="BX13" s="195">
        <v>0</v>
      </c>
      <c r="BY13" s="195">
        <v>0</v>
      </c>
      <c r="BZ13" s="40"/>
      <c r="CA13" s="40"/>
      <c r="CB13" s="40"/>
      <c r="CC13" s="40"/>
      <c r="CD13" s="40"/>
      <c r="CE13" s="40"/>
      <c r="CF13" s="40"/>
      <c r="CG13" s="40"/>
      <c r="CH13" s="40"/>
      <c r="CI13" s="40"/>
      <c r="CJ13" s="40"/>
      <c r="CK13" s="40"/>
    </row>
    <row r="14" spans="1:89" x14ac:dyDescent="0.25">
      <c r="A14" s="17" t="s">
        <v>395</v>
      </c>
      <c r="B14" s="195">
        <v>30977237.829999998</v>
      </c>
      <c r="C14" s="195">
        <v>15188263.300000001</v>
      </c>
      <c r="D14" s="195">
        <v>5361888.4800000004</v>
      </c>
      <c r="E14" s="195">
        <v>228250891.93000001</v>
      </c>
      <c r="F14" s="195">
        <v>63300451.969999999</v>
      </c>
      <c r="G14" s="195">
        <v>8786952.6500000004</v>
      </c>
      <c r="H14" s="195">
        <v>1950347.83</v>
      </c>
      <c r="I14" s="195">
        <v>87196774.329999998</v>
      </c>
      <c r="J14" s="195">
        <v>46125097.219999999</v>
      </c>
      <c r="K14" s="195">
        <v>8001781.3399999999</v>
      </c>
      <c r="L14" s="195">
        <v>5390237.4400000004</v>
      </c>
      <c r="M14" s="195">
        <v>162876927.56</v>
      </c>
      <c r="N14" s="195">
        <v>64043171.68</v>
      </c>
      <c r="O14" s="195">
        <v>44386634.25</v>
      </c>
      <c r="P14" s="195">
        <v>5928316.9400000004</v>
      </c>
      <c r="Q14" s="195">
        <v>241776446.47999999</v>
      </c>
      <c r="R14" s="195">
        <v>19104363.32</v>
      </c>
      <c r="S14" s="195">
        <v>7598172.7300000004</v>
      </c>
      <c r="T14" s="195">
        <v>7001947.3499999996</v>
      </c>
      <c r="U14" s="195">
        <v>33987429.549999997</v>
      </c>
      <c r="V14" s="195">
        <v>22680959.73</v>
      </c>
      <c r="W14" s="195">
        <v>12442756.210000001</v>
      </c>
      <c r="X14" s="195">
        <v>9401687.8000000007</v>
      </c>
      <c r="Y14" s="195">
        <v>173866553.56</v>
      </c>
      <c r="Z14" s="195">
        <v>24815254.870000001</v>
      </c>
      <c r="AA14" s="195">
        <v>4260708.2300000004</v>
      </c>
      <c r="AB14" s="195">
        <v>307656.8</v>
      </c>
      <c r="AC14" s="195">
        <v>19217148.850000001</v>
      </c>
      <c r="AD14" s="195">
        <v>17616857.59</v>
      </c>
      <c r="AE14" s="195">
        <v>740014.75</v>
      </c>
      <c r="AF14" s="195">
        <v>202376.82</v>
      </c>
      <c r="AG14" s="195">
        <v>2393979.29</v>
      </c>
      <c r="AH14" s="195">
        <v>915295.98</v>
      </c>
      <c r="AI14" s="195">
        <v>260456.7</v>
      </c>
      <c r="AJ14" s="195">
        <v>150000</v>
      </c>
      <c r="AK14" s="195">
        <v>11535721.060000001</v>
      </c>
      <c r="AL14" s="195">
        <v>396757.46</v>
      </c>
      <c r="AM14" s="195">
        <v>185842.03</v>
      </c>
      <c r="AN14" s="195">
        <v>59406.9</v>
      </c>
      <c r="AO14" s="195">
        <v>11411191.67</v>
      </c>
      <c r="AP14" s="195">
        <v>11605953.25</v>
      </c>
      <c r="AQ14" s="195">
        <v>1523118.02</v>
      </c>
      <c r="AR14" s="195">
        <v>21570.799999999999</v>
      </c>
      <c r="AS14" s="195">
        <v>6936216.1699999999</v>
      </c>
      <c r="AT14" s="195">
        <v>1237469.54</v>
      </c>
      <c r="AU14" s="195">
        <v>917813.05</v>
      </c>
      <c r="AV14" s="195">
        <v>144197.38</v>
      </c>
      <c r="AW14" s="195">
        <v>1065266.92</v>
      </c>
      <c r="AX14" s="195">
        <v>256604.93</v>
      </c>
      <c r="AY14" s="195">
        <v>113561.02</v>
      </c>
      <c r="AZ14" s="195">
        <v>35289.43</v>
      </c>
      <c r="BA14" s="195">
        <v>43179169.979999997</v>
      </c>
      <c r="BB14" s="195">
        <v>286813.03000000003</v>
      </c>
      <c r="BC14" s="195">
        <v>5243.43</v>
      </c>
      <c r="BD14" s="195">
        <v>0</v>
      </c>
      <c r="BE14" s="195">
        <v>44444383.350000001</v>
      </c>
      <c r="BF14" s="195">
        <v>23688896.16</v>
      </c>
      <c r="BG14" s="195">
        <v>23688145.710000001</v>
      </c>
      <c r="BH14" s="195">
        <v>450</v>
      </c>
      <c r="BI14" s="195">
        <v>982734.11</v>
      </c>
      <c r="BJ14" s="195">
        <v>980630.25</v>
      </c>
      <c r="BK14" s="195">
        <v>829340.25</v>
      </c>
      <c r="BL14" s="195">
        <v>0</v>
      </c>
      <c r="BM14" s="195">
        <v>1278081.1499999999</v>
      </c>
      <c r="BN14" s="195">
        <v>1202289.48</v>
      </c>
      <c r="BO14" s="195">
        <v>33881.54</v>
      </c>
      <c r="BP14" s="195">
        <v>33531.54</v>
      </c>
      <c r="BQ14" s="195">
        <v>6674418.8300000001</v>
      </c>
      <c r="BR14" s="195">
        <v>1756600</v>
      </c>
      <c r="BS14" s="195">
        <v>1817862.42</v>
      </c>
      <c r="BT14" s="195">
        <v>9367649.8800000008</v>
      </c>
      <c r="BU14" s="195">
        <v>21760.959999999999</v>
      </c>
      <c r="BV14" s="195">
        <v>2632395.2000000002</v>
      </c>
      <c r="BW14" s="195">
        <v>0</v>
      </c>
      <c r="BX14" s="195">
        <v>0</v>
      </c>
      <c r="BY14" s="195">
        <v>0</v>
      </c>
      <c r="BZ14" s="40"/>
      <c r="CA14" s="40"/>
      <c r="CB14" s="40"/>
      <c r="CC14" s="40"/>
      <c r="CD14" s="40"/>
      <c r="CE14" s="40"/>
      <c r="CF14" s="40"/>
      <c r="CG14" s="40"/>
      <c r="CH14" s="40"/>
      <c r="CI14" s="40"/>
      <c r="CJ14" s="40"/>
      <c r="CK14" s="40"/>
    </row>
    <row r="15" spans="1:89" s="2" customFormat="1" x14ac:dyDescent="0.25">
      <c r="A15" s="20" t="s">
        <v>398</v>
      </c>
      <c r="B15" s="28">
        <f>B6-(B8+B9+B10+B11+B12)+B13-B14</f>
        <v>14417126122.949999</v>
      </c>
      <c r="C15" s="28">
        <f t="shared" ref="C15:BN15" si="7">C6-(C8+C9+C10+C11+C12)+C13-C14</f>
        <v>9827704680.7999992</v>
      </c>
      <c r="D15" s="28">
        <f t="shared" si="7"/>
        <v>4825011863.420002</v>
      </c>
      <c r="E15" s="28">
        <f t="shared" si="7"/>
        <v>16605695408.359997</v>
      </c>
      <c r="F15" s="28">
        <f t="shared" si="7"/>
        <v>12191577560.08</v>
      </c>
      <c r="G15" s="28">
        <f t="shared" si="7"/>
        <v>7680567431.0200014</v>
      </c>
      <c r="H15" s="28">
        <f t="shared" si="7"/>
        <v>3535851354.9700007</v>
      </c>
      <c r="I15" s="28">
        <f t="shared" si="7"/>
        <v>6449959566.6399994</v>
      </c>
      <c r="J15" s="28">
        <f t="shared" si="7"/>
        <v>4322503040.1199989</v>
      </c>
      <c r="K15" s="28">
        <f t="shared" si="7"/>
        <v>2419023507.6399989</v>
      </c>
      <c r="L15" s="28">
        <f t="shared" si="7"/>
        <v>888757003.35999966</v>
      </c>
      <c r="M15" s="28">
        <f t="shared" si="7"/>
        <v>3741001951.1999979</v>
      </c>
      <c r="N15" s="28">
        <f t="shared" si="7"/>
        <v>3204935688.5700002</v>
      </c>
      <c r="O15" s="28">
        <f t="shared" si="7"/>
        <v>2141319760.8299999</v>
      </c>
      <c r="P15" s="28">
        <f t="shared" si="7"/>
        <v>896753790.51000011</v>
      </c>
      <c r="Q15" s="28">
        <f t="shared" si="7"/>
        <v>4558065276.5000019</v>
      </c>
      <c r="R15" s="28">
        <f t="shared" si="7"/>
        <v>3909446843.8400006</v>
      </c>
      <c r="S15" s="28">
        <f t="shared" si="7"/>
        <v>2583748539.6499996</v>
      </c>
      <c r="T15" s="28">
        <f t="shared" si="7"/>
        <v>1291221169.6199999</v>
      </c>
      <c r="U15" s="28">
        <f t="shared" si="7"/>
        <v>4646241778.000001</v>
      </c>
      <c r="V15" s="28">
        <f t="shared" si="7"/>
        <v>3852136150.2099996</v>
      </c>
      <c r="W15" s="28">
        <f t="shared" si="7"/>
        <v>2506435702.3599992</v>
      </c>
      <c r="X15" s="28">
        <f t="shared" si="7"/>
        <v>1241822170.8600004</v>
      </c>
      <c r="Y15" s="28">
        <f t="shared" si="7"/>
        <v>3819208996.9000006</v>
      </c>
      <c r="Z15" s="28">
        <f t="shared" si="7"/>
        <v>2765109402.4500017</v>
      </c>
      <c r="AA15" s="28">
        <f t="shared" si="7"/>
        <v>1666630117.4299991</v>
      </c>
      <c r="AB15" s="28">
        <f t="shared" si="7"/>
        <v>732698169.57999992</v>
      </c>
      <c r="AC15" s="28">
        <f t="shared" si="7"/>
        <v>2934491858.6399989</v>
      </c>
      <c r="AD15" s="28">
        <f t="shared" si="7"/>
        <v>2454026138.2700005</v>
      </c>
      <c r="AE15" s="28">
        <f t="shared" si="7"/>
        <v>1577265431.8299997</v>
      </c>
      <c r="AF15" s="28">
        <f t="shared" si="7"/>
        <v>733945482.60000002</v>
      </c>
      <c r="AG15" s="28">
        <f t="shared" si="7"/>
        <v>1770248121.990001</v>
      </c>
      <c r="AH15" s="28">
        <f t="shared" si="7"/>
        <v>1274892487.1200006</v>
      </c>
      <c r="AI15" s="28">
        <f t="shared" si="7"/>
        <v>842452660.89000034</v>
      </c>
      <c r="AJ15" s="28">
        <f t="shared" si="7"/>
        <v>342732853.81000006</v>
      </c>
      <c r="AK15" s="28">
        <f t="shared" si="7"/>
        <v>1464103722.5200005</v>
      </c>
      <c r="AL15" s="28">
        <f t="shared" si="7"/>
        <v>1206415510.7</v>
      </c>
      <c r="AM15" s="28">
        <f t="shared" si="7"/>
        <v>688341576.59000003</v>
      </c>
      <c r="AN15" s="28">
        <f t="shared" si="7"/>
        <v>266267589.50000009</v>
      </c>
      <c r="AO15" s="28">
        <f t="shared" si="7"/>
        <v>2060322686.5799997</v>
      </c>
      <c r="AP15" s="28">
        <f t="shared" si="7"/>
        <v>1821754750.8799996</v>
      </c>
      <c r="AQ15" s="28">
        <f t="shared" si="7"/>
        <v>1303782015.4200003</v>
      </c>
      <c r="AR15" s="28">
        <f t="shared" si="7"/>
        <v>558805280.0999999</v>
      </c>
      <c r="AS15" s="28">
        <f t="shared" si="7"/>
        <v>2392511043.3500004</v>
      </c>
      <c r="AT15" s="28">
        <f t="shared" si="7"/>
        <v>1774821369.1300004</v>
      </c>
      <c r="AU15" s="28">
        <f t="shared" si="7"/>
        <v>1053293613.2700006</v>
      </c>
      <c r="AV15" s="28">
        <f t="shared" si="7"/>
        <v>534136493.17000008</v>
      </c>
      <c r="AW15" s="28">
        <f t="shared" si="7"/>
        <v>1286672019.9099994</v>
      </c>
      <c r="AX15" s="28">
        <f t="shared" si="7"/>
        <v>951216505.78999996</v>
      </c>
      <c r="AY15" s="28">
        <f t="shared" si="7"/>
        <v>516925187.08000004</v>
      </c>
      <c r="AZ15" s="28">
        <f t="shared" si="7"/>
        <v>274228342.09999996</v>
      </c>
      <c r="BA15" s="28">
        <f t="shared" si="7"/>
        <v>862628742.35999978</v>
      </c>
      <c r="BB15" s="28">
        <f t="shared" si="7"/>
        <v>732525975.68999982</v>
      </c>
      <c r="BC15" s="28">
        <f t="shared" si="7"/>
        <v>500418744.78000009</v>
      </c>
      <c r="BD15" s="28">
        <f t="shared" si="7"/>
        <v>236144638.82000005</v>
      </c>
      <c r="BE15" s="28">
        <f t="shared" si="7"/>
        <v>516046949.14999986</v>
      </c>
      <c r="BF15" s="28">
        <f t="shared" si="7"/>
        <v>475413131.37999982</v>
      </c>
      <c r="BG15" s="28">
        <f t="shared" si="7"/>
        <v>322303913.55000001</v>
      </c>
      <c r="BH15" s="28">
        <f t="shared" si="7"/>
        <v>144134319.96000004</v>
      </c>
      <c r="BI15" s="28">
        <f t="shared" si="7"/>
        <v>301036344.15999997</v>
      </c>
      <c r="BJ15" s="28">
        <f t="shared" si="7"/>
        <v>269358702.39000005</v>
      </c>
      <c r="BK15" s="28">
        <f t="shared" si="7"/>
        <v>201358287.27000007</v>
      </c>
      <c r="BL15" s="28">
        <f t="shared" si="7"/>
        <v>86710732.819999993</v>
      </c>
      <c r="BM15" s="28">
        <f t="shared" si="7"/>
        <v>186949579.53000006</v>
      </c>
      <c r="BN15" s="28">
        <f t="shared" si="7"/>
        <v>155833715.76999998</v>
      </c>
      <c r="BO15" s="28">
        <f t="shared" ref="BO15:CJ15" si="8">BO6-(BO8+BO9+BO10+BO11+BO12)+BO13-BO14</f>
        <v>109199037.40000002</v>
      </c>
      <c r="BP15" s="28">
        <f t="shared" si="8"/>
        <v>50815532.230000004</v>
      </c>
      <c r="BQ15" s="28">
        <f t="shared" si="8"/>
        <v>112123747.05999999</v>
      </c>
      <c r="BR15" s="28">
        <f t="shared" si="8"/>
        <v>476121200</v>
      </c>
      <c r="BS15" s="28">
        <f t="shared" si="8"/>
        <v>72208188.660000011</v>
      </c>
      <c r="BT15" s="28">
        <f t="shared" si="8"/>
        <v>62820342.140000023</v>
      </c>
      <c r="BU15" s="28">
        <f t="shared" si="8"/>
        <v>41893175.600000009</v>
      </c>
      <c r="BV15" s="28">
        <f t="shared" si="8"/>
        <v>33183114.019999992</v>
      </c>
      <c r="BW15" s="28">
        <f t="shared" si="8"/>
        <v>27640790.680000007</v>
      </c>
      <c r="BX15" s="28">
        <f t="shared" si="8"/>
        <v>20193336.459999993</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2958086844.7096982</v>
      </c>
      <c r="C16" s="26">
        <f t="shared" ref="C16:BN16" si="9">C15*C41</f>
        <v>2159766871.3553257</v>
      </c>
      <c r="D16" s="26">
        <f t="shared" si="9"/>
        <v>1102437180.7712531</v>
      </c>
      <c r="E16" s="26">
        <f t="shared" si="9"/>
        <v>3628826918.9151325</v>
      </c>
      <c r="F16" s="26">
        <f t="shared" si="9"/>
        <v>2559476091.4036441</v>
      </c>
      <c r="G16" s="26">
        <f t="shared" si="9"/>
        <v>1665313636.6533892</v>
      </c>
      <c r="H16" s="26">
        <f t="shared" si="9"/>
        <v>804321555.35276508</v>
      </c>
      <c r="I16" s="26">
        <f t="shared" si="9"/>
        <v>1251112618.3025491</v>
      </c>
      <c r="J16" s="26">
        <f t="shared" si="9"/>
        <v>849197980.32529557</v>
      </c>
      <c r="K16" s="26">
        <f t="shared" si="9"/>
        <v>464415805.44772255</v>
      </c>
      <c r="L16" s="26">
        <f t="shared" si="9"/>
        <v>167756670.01785147</v>
      </c>
      <c r="M16" s="26">
        <f t="shared" si="9"/>
        <v>960917792.72684085</v>
      </c>
      <c r="N16" s="26">
        <f t="shared" si="9"/>
        <v>779030559.55340981</v>
      </c>
      <c r="O16" s="26">
        <f t="shared" si="9"/>
        <v>545951330.42178679</v>
      </c>
      <c r="P16" s="26">
        <f t="shared" si="9"/>
        <v>217418550.80459121</v>
      </c>
      <c r="Q16" s="26">
        <f t="shared" si="9"/>
        <v>1056046119.863307</v>
      </c>
      <c r="R16" s="26">
        <f t="shared" si="9"/>
        <v>943084399.43790638</v>
      </c>
      <c r="S16" s="26">
        <f t="shared" si="9"/>
        <v>612154906.45104706</v>
      </c>
      <c r="T16" s="26">
        <f t="shared" si="9"/>
        <v>285840643.86197889</v>
      </c>
      <c r="U16" s="26">
        <f t="shared" si="9"/>
        <v>684776763.62985706</v>
      </c>
      <c r="V16" s="26">
        <f t="shared" si="9"/>
        <v>627425661.14982057</v>
      </c>
      <c r="W16" s="26">
        <f t="shared" si="9"/>
        <v>419474305.63308746</v>
      </c>
      <c r="X16" s="26">
        <f t="shared" si="9"/>
        <v>212050635.46375129</v>
      </c>
      <c r="Y16" s="26">
        <f t="shared" si="9"/>
        <v>590305479.04221153</v>
      </c>
      <c r="Z16" s="26">
        <f t="shared" si="9"/>
        <v>444608614.01790535</v>
      </c>
      <c r="AA16" s="26">
        <f t="shared" si="9"/>
        <v>269671614.06568855</v>
      </c>
      <c r="AB16" s="26">
        <f t="shared" si="9"/>
        <v>119871173.02074295</v>
      </c>
      <c r="AC16" s="26">
        <f t="shared" si="9"/>
        <v>437343170.08354342</v>
      </c>
      <c r="AD16" s="26">
        <f t="shared" si="9"/>
        <v>399229641.75805598</v>
      </c>
      <c r="AE16" s="26">
        <f t="shared" si="9"/>
        <v>251614287.78791615</v>
      </c>
      <c r="AF16" s="26">
        <f t="shared" si="9"/>
        <v>117775503.41778305</v>
      </c>
      <c r="AG16" s="26">
        <f t="shared" si="9"/>
        <v>190544369.98770723</v>
      </c>
      <c r="AH16" s="26">
        <f t="shared" si="9"/>
        <v>165230395.78007621</v>
      </c>
      <c r="AI16" s="26">
        <f t="shared" si="9"/>
        <v>116452813.6048075</v>
      </c>
      <c r="AJ16" s="26">
        <f t="shared" si="9"/>
        <v>44266131.945035942</v>
      </c>
      <c r="AK16" s="26">
        <f t="shared" si="9"/>
        <v>173122331.30036858</v>
      </c>
      <c r="AL16" s="26">
        <f t="shared" si="9"/>
        <v>146916020.88907275</v>
      </c>
      <c r="AM16" s="26">
        <f t="shared" si="9"/>
        <v>73818239.073382989</v>
      </c>
      <c r="AN16" s="26">
        <f t="shared" si="9"/>
        <v>23920106.595180221</v>
      </c>
      <c r="AO16" s="26">
        <f t="shared" si="9"/>
        <v>264595561.68580395</v>
      </c>
      <c r="AP16" s="26">
        <f t="shared" si="9"/>
        <v>403339466.65634644</v>
      </c>
      <c r="AQ16" s="26">
        <f t="shared" si="9"/>
        <v>301063490.46353143</v>
      </c>
      <c r="AR16" s="26">
        <f t="shared" si="9"/>
        <v>141276573.61459357</v>
      </c>
      <c r="AS16" s="26">
        <f t="shared" si="9"/>
        <v>735567934.04735506</v>
      </c>
      <c r="AT16" s="26">
        <f t="shared" si="9"/>
        <v>533989531.2399447</v>
      </c>
      <c r="AU16" s="26">
        <f t="shared" si="9"/>
        <v>337307012.7404874</v>
      </c>
      <c r="AV16" s="26">
        <f t="shared" si="9"/>
        <v>161655049.12510273</v>
      </c>
      <c r="AW16" s="26">
        <f t="shared" si="9"/>
        <v>385378085.36049342</v>
      </c>
      <c r="AX16" s="26">
        <f t="shared" si="9"/>
        <v>313446494.72853857</v>
      </c>
      <c r="AY16" s="26">
        <f t="shared" si="9"/>
        <v>186408393.66461462</v>
      </c>
      <c r="AZ16" s="26">
        <f t="shared" si="9"/>
        <v>92203871.252768368</v>
      </c>
      <c r="BA16" s="26">
        <f t="shared" si="9"/>
        <v>247786488.4370656</v>
      </c>
      <c r="BB16" s="26">
        <f t="shared" si="9"/>
        <v>241399456.13538033</v>
      </c>
      <c r="BC16" s="26">
        <f t="shared" si="9"/>
        <v>165390773.1779924</v>
      </c>
      <c r="BD16" s="26">
        <f t="shared" si="9"/>
        <v>77870398.302011892</v>
      </c>
      <c r="BE16" s="26">
        <f t="shared" si="9"/>
        <v>111329653.54770942</v>
      </c>
      <c r="BF16" s="26">
        <f t="shared" si="9"/>
        <v>157777884.70202416</v>
      </c>
      <c r="BG16" s="26">
        <f t="shared" si="9"/>
        <v>107074413.45629451</v>
      </c>
      <c r="BH16" s="26">
        <f t="shared" si="9"/>
        <v>47926788.053641029</v>
      </c>
      <c r="BI16" s="26">
        <f t="shared" si="9"/>
        <v>69624951.026921004</v>
      </c>
      <c r="BJ16" s="26">
        <f t="shared" si="9"/>
        <v>83233243.043942526</v>
      </c>
      <c r="BK16" s="26">
        <f t="shared" si="9"/>
        <v>63992998.544225521</v>
      </c>
      <c r="BL16" s="26">
        <f t="shared" si="9"/>
        <v>28304475.784508042</v>
      </c>
      <c r="BM16" s="26">
        <f t="shared" si="9"/>
        <v>35088421.28885746</v>
      </c>
      <c r="BN16" s="26">
        <f t="shared" si="9"/>
        <v>33879071.063386396</v>
      </c>
      <c r="BO16" s="26">
        <f t="shared" ref="BO16:CK16" si="10">BO15*BO41</f>
        <v>18581624.484902184</v>
      </c>
      <c r="BP16" s="26">
        <f t="shared" si="10"/>
        <v>16801499.764923692</v>
      </c>
      <c r="BQ16" s="26">
        <f t="shared" si="10"/>
        <v>13434328.239561437</v>
      </c>
      <c r="BR16" s="26">
        <f t="shared" si="10"/>
        <v>24105533.010749083</v>
      </c>
      <c r="BS16" s="26">
        <f t="shared" si="10"/>
        <v>11953724.864565434</v>
      </c>
      <c r="BT16" s="26">
        <f t="shared" si="10"/>
        <v>11546267.9556471</v>
      </c>
      <c r="BU16" s="26">
        <f t="shared" si="10"/>
        <v>14063231.46390708</v>
      </c>
      <c r="BV16" s="26">
        <f t="shared" si="10"/>
        <v>11337227.907542199</v>
      </c>
      <c r="BW16" s="26">
        <f t="shared" si="10"/>
        <v>4359268.0673362305</v>
      </c>
      <c r="BX16" s="26">
        <f t="shared" si="10"/>
        <v>4563159.6728626536</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11459039278.240301</v>
      </c>
      <c r="C17" s="27">
        <f t="shared" ref="C17:BN17" si="11">C15-C16</f>
        <v>7667937809.4446735</v>
      </c>
      <c r="D17" s="27">
        <f t="shared" si="11"/>
        <v>3722574682.6487489</v>
      </c>
      <c r="E17" s="27">
        <f t="shared" si="11"/>
        <v>12976868489.444864</v>
      </c>
      <c r="F17" s="27">
        <f t="shared" si="11"/>
        <v>9632101468.6763554</v>
      </c>
      <c r="G17" s="27">
        <f t="shared" si="11"/>
        <v>6015253794.3666124</v>
      </c>
      <c r="H17" s="27">
        <f t="shared" si="11"/>
        <v>2731529799.6172357</v>
      </c>
      <c r="I17" s="27">
        <f t="shared" si="11"/>
        <v>5198846948.33745</v>
      </c>
      <c r="J17" s="27">
        <f t="shared" si="11"/>
        <v>3473305059.7947035</v>
      </c>
      <c r="K17" s="27">
        <f t="shared" si="11"/>
        <v>1954607702.1922765</v>
      </c>
      <c r="L17" s="27">
        <f t="shared" si="11"/>
        <v>721000333.34214818</v>
      </c>
      <c r="M17" s="27">
        <f t="shared" si="11"/>
        <v>2780084158.4731569</v>
      </c>
      <c r="N17" s="27">
        <f t="shared" si="11"/>
        <v>2425905129.0165901</v>
      </c>
      <c r="O17" s="27">
        <f t="shared" si="11"/>
        <v>1595368430.4082131</v>
      </c>
      <c r="P17" s="27">
        <f t="shared" si="11"/>
        <v>679335239.70540893</v>
      </c>
      <c r="Q17" s="27">
        <f t="shared" si="11"/>
        <v>3502019156.6366949</v>
      </c>
      <c r="R17" s="27">
        <f t="shared" si="11"/>
        <v>2966362444.4020944</v>
      </c>
      <c r="S17" s="27">
        <f t="shared" si="11"/>
        <v>1971593633.1989527</v>
      </c>
      <c r="T17" s="27">
        <f t="shared" si="11"/>
        <v>1005380525.758021</v>
      </c>
      <c r="U17" s="27">
        <f t="shared" si="11"/>
        <v>3961465014.3701439</v>
      </c>
      <c r="V17" s="27">
        <f t="shared" si="11"/>
        <v>3224710489.0601788</v>
      </c>
      <c r="W17" s="27">
        <f t="shared" si="11"/>
        <v>2086961396.7269118</v>
      </c>
      <c r="X17" s="27">
        <f t="shared" si="11"/>
        <v>1029771535.3962491</v>
      </c>
      <c r="Y17" s="27">
        <f t="shared" si="11"/>
        <v>3228903517.857789</v>
      </c>
      <c r="Z17" s="27">
        <f t="shared" si="11"/>
        <v>2320500788.4320965</v>
      </c>
      <c r="AA17" s="27">
        <f t="shared" si="11"/>
        <v>1396958503.3643105</v>
      </c>
      <c r="AB17" s="27">
        <f t="shared" si="11"/>
        <v>612826996.55925703</v>
      </c>
      <c r="AC17" s="27">
        <f t="shared" si="11"/>
        <v>2497148688.5564556</v>
      </c>
      <c r="AD17" s="27">
        <f t="shared" si="11"/>
        <v>2054796496.5119445</v>
      </c>
      <c r="AE17" s="27">
        <f t="shared" si="11"/>
        <v>1325651144.0420835</v>
      </c>
      <c r="AF17" s="27">
        <f t="shared" si="11"/>
        <v>616169979.182217</v>
      </c>
      <c r="AG17" s="27">
        <f t="shared" si="11"/>
        <v>1579703752.0022938</v>
      </c>
      <c r="AH17" s="27">
        <f t="shared" si="11"/>
        <v>1109662091.3399243</v>
      </c>
      <c r="AI17" s="27">
        <f t="shared" si="11"/>
        <v>725999847.28519285</v>
      </c>
      <c r="AJ17" s="27">
        <f t="shared" si="11"/>
        <v>298466721.86496413</v>
      </c>
      <c r="AK17" s="27">
        <f t="shared" si="11"/>
        <v>1290981391.2196319</v>
      </c>
      <c r="AL17" s="27">
        <f t="shared" si="11"/>
        <v>1059499489.8109273</v>
      </c>
      <c r="AM17" s="27">
        <f t="shared" si="11"/>
        <v>614523337.51661706</v>
      </c>
      <c r="AN17" s="27">
        <f t="shared" si="11"/>
        <v>242347482.90481988</v>
      </c>
      <c r="AO17" s="27">
        <f t="shared" si="11"/>
        <v>1795727124.8941958</v>
      </c>
      <c r="AP17" s="27">
        <f t="shared" si="11"/>
        <v>1418415284.2236533</v>
      </c>
      <c r="AQ17" s="27">
        <f t="shared" si="11"/>
        <v>1002718524.9564688</v>
      </c>
      <c r="AR17" s="27">
        <f t="shared" si="11"/>
        <v>417528706.48540634</v>
      </c>
      <c r="AS17" s="27">
        <f t="shared" si="11"/>
        <v>1656943109.3026452</v>
      </c>
      <c r="AT17" s="27">
        <f t="shared" si="11"/>
        <v>1240831837.8900557</v>
      </c>
      <c r="AU17" s="27">
        <f t="shared" si="11"/>
        <v>715986600.52951312</v>
      </c>
      <c r="AV17" s="27">
        <f t="shared" si="11"/>
        <v>372481444.04489732</v>
      </c>
      <c r="AW17" s="27">
        <f t="shared" si="11"/>
        <v>901293934.54950595</v>
      </c>
      <c r="AX17" s="27">
        <f t="shared" si="11"/>
        <v>637770011.06146145</v>
      </c>
      <c r="AY17" s="27">
        <f t="shared" si="11"/>
        <v>330516793.41538543</v>
      </c>
      <c r="AZ17" s="27">
        <f t="shared" si="11"/>
        <v>182024470.8472316</v>
      </c>
      <c r="BA17" s="27">
        <f t="shared" si="11"/>
        <v>614842253.92293417</v>
      </c>
      <c r="BB17" s="27">
        <f t="shared" si="11"/>
        <v>491126519.55461949</v>
      </c>
      <c r="BC17" s="27">
        <f t="shared" si="11"/>
        <v>335027971.60200769</v>
      </c>
      <c r="BD17" s="27">
        <f t="shared" si="11"/>
        <v>158274240.51798815</v>
      </c>
      <c r="BE17" s="27">
        <f t="shared" si="11"/>
        <v>404717295.60229045</v>
      </c>
      <c r="BF17" s="27">
        <f t="shared" si="11"/>
        <v>317635246.67797565</v>
      </c>
      <c r="BG17" s="27">
        <f t="shared" si="11"/>
        <v>215229500.09370551</v>
      </c>
      <c r="BH17" s="27">
        <f t="shared" si="11"/>
        <v>96207531.906359017</v>
      </c>
      <c r="BI17" s="27">
        <f t="shared" si="11"/>
        <v>231411393.13307896</v>
      </c>
      <c r="BJ17" s="27">
        <f t="shared" si="11"/>
        <v>186125459.34605753</v>
      </c>
      <c r="BK17" s="27">
        <f t="shared" si="11"/>
        <v>137365288.72577456</v>
      </c>
      <c r="BL17" s="27">
        <f t="shared" si="11"/>
        <v>58406257.035491951</v>
      </c>
      <c r="BM17" s="27">
        <f t="shared" si="11"/>
        <v>151861158.2411426</v>
      </c>
      <c r="BN17" s="27">
        <f t="shared" si="11"/>
        <v>121954644.70661359</v>
      </c>
      <c r="BO17" s="27">
        <f t="shared" ref="BO17:CJ17" si="12">BO15-BO16</f>
        <v>90617412.915097833</v>
      </c>
      <c r="BP17" s="27">
        <f t="shared" si="12"/>
        <v>34014032.465076312</v>
      </c>
      <c r="BQ17" s="27">
        <f t="shared" si="12"/>
        <v>98689418.820438549</v>
      </c>
      <c r="BR17" s="27">
        <f t="shared" si="12"/>
        <v>452015666.9892509</v>
      </c>
      <c r="BS17" s="27">
        <f t="shared" si="12"/>
        <v>60254463.795434579</v>
      </c>
      <c r="BT17" s="27">
        <f t="shared" si="12"/>
        <v>51274074.184352919</v>
      </c>
      <c r="BU17" s="27">
        <f t="shared" si="12"/>
        <v>27829944.136092931</v>
      </c>
      <c r="BV17" s="27">
        <f t="shared" si="12"/>
        <v>21845886.112457793</v>
      </c>
      <c r="BW17" s="27">
        <f t="shared" si="12"/>
        <v>23281522.612663776</v>
      </c>
      <c r="BX17" s="27">
        <f t="shared" si="12"/>
        <v>15630176.787137341</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24.952596092628838</v>
      </c>
      <c r="C18" s="57">
        <f t="shared" ref="C18:D18" si="13">C17/C4*100</f>
        <v>25.513719480281811</v>
      </c>
      <c r="D18" s="57">
        <f t="shared" si="13"/>
        <v>27.368021996666453</v>
      </c>
      <c r="E18" s="57">
        <f>E17/E4</f>
        <v>0.2442788653874845</v>
      </c>
      <c r="F18" s="57">
        <f t="shared" ref="F18:BQ18" si="14">F17/F4</f>
        <v>0.24720829731247451</v>
      </c>
      <c r="G18" s="57">
        <f t="shared" si="14"/>
        <v>0.24622318877529872</v>
      </c>
      <c r="H18" s="57">
        <f t="shared" si="14"/>
        <v>0.24816187269926149</v>
      </c>
      <c r="I18" s="57">
        <f t="shared" si="14"/>
        <v>0.17271996228553591</v>
      </c>
      <c r="J18" s="57">
        <f t="shared" si="14"/>
        <v>0.16593134319645658</v>
      </c>
      <c r="K18" s="57">
        <f t="shared" si="14"/>
        <v>0.15667230977237259</v>
      </c>
      <c r="L18" s="57">
        <f t="shared" si="14"/>
        <v>0.13604778051606567</v>
      </c>
      <c r="M18" s="57">
        <f t="shared" si="14"/>
        <v>0.14262413037076302</v>
      </c>
      <c r="N18" s="57">
        <f t="shared" si="14"/>
        <v>0.16404191844834479</v>
      </c>
      <c r="O18" s="57">
        <f t="shared" si="14"/>
        <v>0.15886542425332281</v>
      </c>
      <c r="P18" s="57">
        <f t="shared" si="14"/>
        <v>0.14978164133326979</v>
      </c>
      <c r="Q18" s="57">
        <f t="shared" si="14"/>
        <v>0.15854584997628599</v>
      </c>
      <c r="R18" s="57">
        <f t="shared" si="14"/>
        <v>0.16702302553115908</v>
      </c>
      <c r="S18" s="57">
        <f t="shared" si="14"/>
        <v>0.16902047889191527</v>
      </c>
      <c r="T18" s="57">
        <f t="shared" si="14"/>
        <v>0.1957343818584171</v>
      </c>
      <c r="U18" s="57">
        <f t="shared" si="14"/>
        <v>0.19574415736693959</v>
      </c>
      <c r="V18" s="57">
        <f t="shared" si="14"/>
        <v>0.20974787664975969</v>
      </c>
      <c r="W18" s="57">
        <f t="shared" si="14"/>
        <v>0.2092002585180737</v>
      </c>
      <c r="X18" s="57">
        <f t="shared" si="14"/>
        <v>0.2155985233264977</v>
      </c>
      <c r="Y18" s="57">
        <f t="shared" si="14"/>
        <v>0.20253907246672254</v>
      </c>
      <c r="Z18" s="57">
        <f t="shared" si="14"/>
        <v>0.20318974181607347</v>
      </c>
      <c r="AA18" s="57">
        <f t="shared" si="14"/>
        <v>0.19510130733028694</v>
      </c>
      <c r="AB18" s="57">
        <f t="shared" si="14"/>
        <v>0.18677273535524871</v>
      </c>
      <c r="AC18" s="57">
        <f t="shared" si="14"/>
        <v>0.18277649788763844</v>
      </c>
      <c r="AD18" s="57">
        <f t="shared" si="14"/>
        <v>0.19552709696701162</v>
      </c>
      <c r="AE18" s="57">
        <f t="shared" si="14"/>
        <v>0.19272539353975116</v>
      </c>
      <c r="AF18" s="57">
        <f t="shared" si="14"/>
        <v>0.19354056152911892</v>
      </c>
      <c r="AG18" s="57">
        <f t="shared" si="14"/>
        <v>0.16752291973223529</v>
      </c>
      <c r="AH18" s="57">
        <f t="shared" si="14"/>
        <v>0.1654797720057119</v>
      </c>
      <c r="AI18" s="57">
        <f t="shared" si="14"/>
        <v>0.16574075525568327</v>
      </c>
      <c r="AJ18" s="57">
        <f t="shared" si="14"/>
        <v>0.14564838598699895</v>
      </c>
      <c r="AK18" s="57">
        <f t="shared" si="14"/>
        <v>0.19882910171095738</v>
      </c>
      <c r="AL18" s="57">
        <f t="shared" si="14"/>
        <v>0.22763099548515131</v>
      </c>
      <c r="AM18" s="57">
        <f t="shared" si="14"/>
        <v>0.22346636542964288</v>
      </c>
      <c r="AN18" s="57">
        <f t="shared" si="14"/>
        <v>0.19999140351919301</v>
      </c>
      <c r="AO18" s="57">
        <f t="shared" si="14"/>
        <v>0.23307833839782821</v>
      </c>
      <c r="AP18" s="57">
        <f t="shared" si="14"/>
        <v>0.22979440360480585</v>
      </c>
      <c r="AQ18" s="57">
        <f t="shared" si="14"/>
        <v>0.24059068264736669</v>
      </c>
      <c r="AR18" s="57">
        <f t="shared" si="14"/>
        <v>0.21247359934606039</v>
      </c>
      <c r="AS18" s="57">
        <f t="shared" si="14"/>
        <v>0.21233105055555246</v>
      </c>
      <c r="AT18" s="57">
        <f t="shared" si="14"/>
        <v>0.21155173846236511</v>
      </c>
      <c r="AU18" s="57">
        <f t="shared" si="14"/>
        <v>0.20291012808822279</v>
      </c>
      <c r="AV18" s="57">
        <f t="shared" si="14"/>
        <v>0.21557157995534965</v>
      </c>
      <c r="AW18" s="57">
        <f t="shared" si="14"/>
        <v>0.18365374141651994</v>
      </c>
      <c r="AX18" s="57">
        <f t="shared" si="14"/>
        <v>0.17977379875034757</v>
      </c>
      <c r="AY18" s="57">
        <f t="shared" si="14"/>
        <v>0.15725469100267644</v>
      </c>
      <c r="AZ18" s="57">
        <f t="shared" si="14"/>
        <v>0.17254763581182322</v>
      </c>
      <c r="BA18" s="57">
        <f t="shared" si="14"/>
        <v>0.18577872638274318</v>
      </c>
      <c r="BB18" s="57">
        <f t="shared" si="14"/>
        <v>0.19250383391894074</v>
      </c>
      <c r="BC18" s="57">
        <f t="shared" si="14"/>
        <v>0.20687568925319227</v>
      </c>
      <c r="BD18" s="57">
        <f t="shared" si="14"/>
        <v>0.19906481188146274</v>
      </c>
      <c r="BE18" s="57">
        <f t="shared" si="14"/>
        <v>0.19233522142724524</v>
      </c>
      <c r="BF18" s="57">
        <f t="shared" si="14"/>
        <v>0.18731855671790915</v>
      </c>
      <c r="BG18" s="57">
        <f t="shared" si="14"/>
        <v>0.20419185328313891</v>
      </c>
      <c r="BH18" s="57">
        <f t="shared" si="14"/>
        <v>0.1921666077238264</v>
      </c>
      <c r="BI18" s="57">
        <f t="shared" si="14"/>
        <v>0.17221884257012041</v>
      </c>
      <c r="BJ18" s="57">
        <f t="shared" si="14"/>
        <v>0.18415034330559735</v>
      </c>
      <c r="BK18" s="57">
        <f t="shared" si="14"/>
        <v>0.18847167007498788</v>
      </c>
      <c r="BL18" s="57">
        <f t="shared" si="14"/>
        <v>0.15983560661469098</v>
      </c>
      <c r="BM18" s="57">
        <f t="shared" si="14"/>
        <v>0.17222816864451071</v>
      </c>
      <c r="BN18" s="57">
        <f t="shared" si="14"/>
        <v>0.1667164607986989</v>
      </c>
      <c r="BO18" s="57">
        <f t="shared" si="14"/>
        <v>0.20615991394256272</v>
      </c>
      <c r="BP18" s="57">
        <f t="shared" si="14"/>
        <v>0.15524235312035503</v>
      </c>
      <c r="BQ18" s="57">
        <f t="shared" si="14"/>
        <v>0.1727488411852689</v>
      </c>
      <c r="BR18" s="57">
        <f t="shared" ref="BR18:CK18" si="15">BR17/BR4</f>
        <v>0.94588128385384485</v>
      </c>
      <c r="BS18" s="57">
        <f t="shared" si="15"/>
        <v>0.20765621138739562</v>
      </c>
      <c r="BT18" s="57">
        <f t="shared" si="15"/>
        <v>0.14868381847301579</v>
      </c>
      <c r="BU18" s="57">
        <f t="shared" si="15"/>
        <v>0.17297624628852742</v>
      </c>
      <c r="BV18" s="57">
        <f t="shared" si="15"/>
        <v>0.10382724553710987</v>
      </c>
      <c r="BW18" s="57">
        <f t="shared" si="15"/>
        <v>0.12884281150566015</v>
      </c>
      <c r="BX18" s="57">
        <f t="shared" si="15"/>
        <v>0.1116405029472121</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5">
        <v>78304929.760000005</v>
      </c>
      <c r="C20" s="195">
        <v>53855509.789999999</v>
      </c>
      <c r="D20" s="195">
        <v>29820267.109999999</v>
      </c>
      <c r="E20" s="195">
        <v>104557555.26000001</v>
      </c>
      <c r="F20" s="195">
        <v>73582078.549999997</v>
      </c>
      <c r="G20" s="195">
        <v>49677651.479999997</v>
      </c>
      <c r="H20" s="195">
        <v>22864854.079999998</v>
      </c>
      <c r="I20" s="195">
        <v>22768159.899999999</v>
      </c>
      <c r="J20" s="195">
        <v>6503727.0099999998</v>
      </c>
      <c r="K20" s="195">
        <v>474195.83</v>
      </c>
      <c r="L20" s="195">
        <v>-1417252.38</v>
      </c>
      <c r="M20" s="195">
        <v>-2612485.2000000002</v>
      </c>
      <c r="N20" s="195">
        <v>-5628039.8899999997</v>
      </c>
      <c r="O20" s="195">
        <v>-689378.71</v>
      </c>
      <c r="P20" s="195">
        <v>-1190284.95</v>
      </c>
      <c r="Q20" s="195">
        <v>-3321122.95</v>
      </c>
      <c r="R20" s="195">
        <v>-2235497.3199999998</v>
      </c>
      <c r="S20" s="195">
        <v>-1697746.4</v>
      </c>
      <c r="T20" s="195">
        <v>-978018.41</v>
      </c>
      <c r="U20" s="195">
        <v>-1986405.44</v>
      </c>
      <c r="V20" s="195">
        <v>-926748.31</v>
      </c>
      <c r="W20" s="195">
        <v>-442085.19</v>
      </c>
      <c r="X20" s="195">
        <v>-283175.13</v>
      </c>
      <c r="Y20" s="195">
        <v>45037.04</v>
      </c>
      <c r="Z20" s="195">
        <v>2848.66</v>
      </c>
      <c r="AA20" s="195">
        <v>-6070.92</v>
      </c>
      <c r="AB20" s="195">
        <v>-10951.73</v>
      </c>
      <c r="AC20" s="195">
        <v>-5583.1</v>
      </c>
      <c r="AD20" s="195">
        <v>0</v>
      </c>
      <c r="AE20" s="195">
        <v>0</v>
      </c>
      <c r="AF20" s="195">
        <v>0</v>
      </c>
      <c r="AG20" s="195">
        <v>22855763.780000001</v>
      </c>
      <c r="AH20" s="195">
        <v>9510047.1899999995</v>
      </c>
      <c r="AI20" s="195">
        <v>8301952.8799999999</v>
      </c>
      <c r="AJ20" s="195">
        <v>3320814.66</v>
      </c>
      <c r="AK20" s="195">
        <v>14509124.640000001</v>
      </c>
      <c r="AL20" s="195">
        <v>10957442.83</v>
      </c>
      <c r="AM20" s="195">
        <v>8560969.9100000001</v>
      </c>
      <c r="AN20" s="195">
        <v>3441883.41</v>
      </c>
      <c r="AO20" s="195">
        <v>11811196.189999999</v>
      </c>
      <c r="AP20" s="195">
        <v>0</v>
      </c>
      <c r="AQ20" s="195">
        <v>0</v>
      </c>
      <c r="AR20" s="195">
        <v>0</v>
      </c>
      <c r="AS20" s="195">
        <v>0</v>
      </c>
      <c r="AT20" s="195">
        <v>2000000</v>
      </c>
      <c r="AU20" s="195">
        <v>2000000</v>
      </c>
      <c r="AV20" s="195">
        <v>0</v>
      </c>
      <c r="AW20" s="195">
        <v>0</v>
      </c>
      <c r="AX20" s="195">
        <v>0</v>
      </c>
      <c r="AY20" s="195">
        <v>0</v>
      </c>
      <c r="AZ20" s="195">
        <v>0</v>
      </c>
      <c r="BA20" s="195">
        <v>0</v>
      </c>
      <c r="BB20" s="195">
        <v>0</v>
      </c>
      <c r="BC20" s="195">
        <v>0</v>
      </c>
      <c r="BD20" s="195">
        <v>0</v>
      </c>
      <c r="BE20" s="195">
        <v>0</v>
      </c>
      <c r="BF20" s="195">
        <v>0</v>
      </c>
      <c r="BG20" s="195">
        <v>0</v>
      </c>
      <c r="BH20" s="195">
        <v>0</v>
      </c>
      <c r="BI20" s="195">
        <v>0</v>
      </c>
      <c r="BJ20" s="195">
        <v>0</v>
      </c>
      <c r="BK20" s="195">
        <v>0</v>
      </c>
      <c r="BL20" s="195">
        <v>0</v>
      </c>
      <c r="BM20" s="195">
        <v>0</v>
      </c>
      <c r="BN20" s="195">
        <v>0</v>
      </c>
      <c r="BO20" s="195">
        <v>0</v>
      </c>
      <c r="BP20" s="195">
        <v>0</v>
      </c>
      <c r="BQ20" s="195">
        <v>0</v>
      </c>
      <c r="BR20" s="195">
        <v>0</v>
      </c>
      <c r="BS20" s="195">
        <v>0</v>
      </c>
      <c r="BT20" s="195">
        <v>0</v>
      </c>
      <c r="BU20" s="195">
        <v>0</v>
      </c>
      <c r="BV20" s="195">
        <v>0</v>
      </c>
      <c r="BW20" s="195">
        <v>0</v>
      </c>
      <c r="BX20" s="195">
        <v>0</v>
      </c>
      <c r="BY20" s="195">
        <v>0</v>
      </c>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401</v>
      </c>
      <c r="B22" s="195">
        <v>0</v>
      </c>
      <c r="C22" s="195">
        <v>0</v>
      </c>
      <c r="D22" s="195">
        <v>0</v>
      </c>
      <c r="E22" s="195">
        <v>0</v>
      </c>
      <c r="F22" s="195">
        <v>0</v>
      </c>
      <c r="G22" s="195">
        <v>0</v>
      </c>
      <c r="H22" s="195">
        <v>0</v>
      </c>
      <c r="I22" s="195">
        <v>0</v>
      </c>
      <c r="J22" s="195">
        <v>0</v>
      </c>
      <c r="K22" s="195">
        <v>0</v>
      </c>
      <c r="L22" s="195">
        <v>0</v>
      </c>
      <c r="M22" s="195">
        <v>-3466833.57</v>
      </c>
      <c r="N22" s="195">
        <v>4942571.4000000004</v>
      </c>
      <c r="O22" s="195">
        <v>61599319.68</v>
      </c>
      <c r="P22" s="195">
        <v>60074553.920000002</v>
      </c>
      <c r="Q22" s="195">
        <v>3466833.57</v>
      </c>
      <c r="R22" s="195">
        <v>0</v>
      </c>
      <c r="S22" s="195">
        <v>0</v>
      </c>
      <c r="T22" s="195">
        <v>0</v>
      </c>
      <c r="U22" s="195">
        <v>16017988.99</v>
      </c>
      <c r="V22" s="195">
        <v>4197699.6900000004</v>
      </c>
      <c r="W22" s="195">
        <v>3027699.69</v>
      </c>
      <c r="X22" s="195">
        <v>48099.41</v>
      </c>
      <c r="Y22" s="195">
        <v>2667597.81</v>
      </c>
      <c r="Z22" s="195">
        <v>-1175200.52</v>
      </c>
      <c r="AA22" s="195">
        <v>488799.23</v>
      </c>
      <c r="AB22" s="195">
        <v>972400.04</v>
      </c>
      <c r="AC22" s="195">
        <v>-9444630.1099999994</v>
      </c>
      <c r="AD22" s="195">
        <v>-3851800.91</v>
      </c>
      <c r="AE22" s="195">
        <v>5699046.6200000001</v>
      </c>
      <c r="AF22" s="195">
        <v>-149953.68</v>
      </c>
      <c r="AG22" s="195">
        <v>-14778307.92</v>
      </c>
      <c r="AH22" s="195">
        <v>-16194431.960000001</v>
      </c>
      <c r="AI22" s="195">
        <v>-21160651.789999999</v>
      </c>
      <c r="AJ22" s="195">
        <v>-6465180.3899999997</v>
      </c>
      <c r="AK22" s="195">
        <v>5524360.5499999998</v>
      </c>
      <c r="AL22" s="195">
        <v>-2220921.19</v>
      </c>
      <c r="AM22" s="195">
        <v>0</v>
      </c>
      <c r="AN22" s="195">
        <v>0</v>
      </c>
      <c r="AO22" s="195">
        <v>-846202.06</v>
      </c>
      <c r="AP22" s="195">
        <v>0</v>
      </c>
      <c r="AQ22" s="195">
        <v>0</v>
      </c>
      <c r="AR22" s="195">
        <v>-7149537.6399999997</v>
      </c>
      <c r="AS22" s="195">
        <v>-4365321.92</v>
      </c>
      <c r="AT22" s="195">
        <v>1389456.2</v>
      </c>
      <c r="AU22" s="195">
        <v>8605807.5399999991</v>
      </c>
      <c r="AV22" s="195">
        <v>1898282.78</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c r="BZ22" s="40"/>
      <c r="CA22" s="40"/>
      <c r="CB22" s="40"/>
      <c r="CC22" s="40"/>
      <c r="CD22" s="40"/>
      <c r="CE22" s="40"/>
      <c r="CF22" s="40"/>
      <c r="CG22" s="40"/>
      <c r="CH22" s="40"/>
      <c r="CI22" s="40"/>
      <c r="CJ22" s="40"/>
      <c r="CK22" s="40"/>
    </row>
    <row r="23" spans="1:89" s="7" customFormat="1" x14ac:dyDescent="0.25">
      <c r="A23" s="21" t="s">
        <v>402</v>
      </c>
      <c r="B23" s="29">
        <f>-B52</f>
        <v>25636</v>
      </c>
      <c r="C23" s="29">
        <f t="shared" ref="C23:BN23" si="16">-C52</f>
        <v>27718</v>
      </c>
      <c r="D23" s="29">
        <f t="shared" si="16"/>
        <v>35317</v>
      </c>
      <c r="E23" s="29">
        <f t="shared" si="16"/>
        <v>28161222.41</v>
      </c>
      <c r="F23" s="29">
        <f t="shared" si="16"/>
        <v>0</v>
      </c>
      <c r="G23" s="29">
        <f t="shared" si="16"/>
        <v>0</v>
      </c>
      <c r="H23" s="29">
        <f t="shared" si="16"/>
        <v>0</v>
      </c>
      <c r="I23" s="29">
        <f t="shared" si="16"/>
        <v>28886774.699999999</v>
      </c>
      <c r="J23" s="29">
        <f t="shared" si="16"/>
        <v>0</v>
      </c>
      <c r="K23" s="29">
        <f t="shared" si="16"/>
        <v>0</v>
      </c>
      <c r="L23" s="29">
        <f t="shared" si="16"/>
        <v>0</v>
      </c>
      <c r="M23" s="29">
        <f t="shared" si="16"/>
        <v>12281019.83</v>
      </c>
      <c r="N23" s="29">
        <f t="shared" si="16"/>
        <v>0</v>
      </c>
      <c r="O23" s="29">
        <f t="shared" si="16"/>
        <v>0</v>
      </c>
      <c r="P23" s="29">
        <f t="shared" si="16"/>
        <v>0</v>
      </c>
      <c r="Q23" s="29">
        <f t="shared" si="16"/>
        <v>30384408.379999999</v>
      </c>
      <c r="R23" s="29">
        <f t="shared" si="16"/>
        <v>0</v>
      </c>
      <c r="S23" s="29">
        <f t="shared" si="16"/>
        <v>0</v>
      </c>
      <c r="T23" s="29">
        <f t="shared" si="16"/>
        <v>0</v>
      </c>
      <c r="U23" s="29">
        <f t="shared" si="16"/>
        <v>18490817.920000002</v>
      </c>
      <c r="V23" s="29">
        <f t="shared" si="16"/>
        <v>0</v>
      </c>
      <c r="W23" s="29">
        <f t="shared" si="16"/>
        <v>0</v>
      </c>
      <c r="X23" s="29">
        <f t="shared" si="16"/>
        <v>0</v>
      </c>
      <c r="Y23" s="29">
        <f t="shared" si="16"/>
        <v>11539628.810000001</v>
      </c>
      <c r="Z23" s="29">
        <f t="shared" si="16"/>
        <v>0</v>
      </c>
      <c r="AA23" s="29">
        <f t="shared" si="16"/>
        <v>0</v>
      </c>
      <c r="AB23" s="29">
        <f t="shared" si="16"/>
        <v>0</v>
      </c>
      <c r="AC23" s="29">
        <f t="shared" si="16"/>
        <v>26423222.129999999</v>
      </c>
      <c r="AD23" s="29">
        <f t="shared" si="16"/>
        <v>0</v>
      </c>
      <c r="AE23" s="29">
        <f t="shared" si="16"/>
        <v>0</v>
      </c>
      <c r="AF23" s="29">
        <f t="shared" si="16"/>
        <v>0</v>
      </c>
      <c r="AG23" s="29">
        <f t="shared" si="16"/>
        <v>30111110.739999998</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21000000</v>
      </c>
      <c r="F24" s="26">
        <f t="shared" si="18"/>
        <v>5979490.650000006</v>
      </c>
      <c r="G24" s="26">
        <f t="shared" si="18"/>
        <v>5983488.6000000015</v>
      </c>
      <c r="H24" s="26">
        <f t="shared" si="18"/>
        <v>-15125.009999997914</v>
      </c>
      <c r="I24" s="26">
        <f t="shared" si="18"/>
        <v>29984831.82</v>
      </c>
      <c r="J24" s="26">
        <f t="shared" si="18"/>
        <v>29994987.93</v>
      </c>
      <c r="K24" s="26">
        <f t="shared" si="18"/>
        <v>30000000</v>
      </c>
      <c r="L24" s="26">
        <f t="shared" si="18"/>
        <v>0</v>
      </c>
      <c r="M24" s="26">
        <f t="shared" si="18"/>
        <v>6000000</v>
      </c>
      <c r="N24" s="26">
        <f t="shared" si="18"/>
        <v>72874724.969999999</v>
      </c>
      <c r="O24" s="26">
        <f t="shared" si="18"/>
        <v>6000000</v>
      </c>
      <c r="P24" s="26">
        <f t="shared" si="18"/>
        <v>-232.54000000003725</v>
      </c>
      <c r="Q24" s="26">
        <f t="shared" si="18"/>
        <v>2064020.83</v>
      </c>
      <c r="R24" s="26">
        <f t="shared" si="18"/>
        <v>1901926.92</v>
      </c>
      <c r="S24" s="26">
        <f t="shared" si="18"/>
        <v>3000000</v>
      </c>
      <c r="T24" s="26">
        <f t="shared" si="18"/>
        <v>3000000</v>
      </c>
      <c r="U24" s="26">
        <f t="shared" si="18"/>
        <v>-14534750.73</v>
      </c>
      <c r="V24" s="26">
        <f t="shared" si="18"/>
        <v>-3008114.96</v>
      </c>
      <c r="W24" s="26">
        <f t="shared" si="18"/>
        <v>-3300614.96</v>
      </c>
      <c r="X24" s="26">
        <f t="shared" si="18"/>
        <v>0</v>
      </c>
      <c r="Y24" s="26">
        <f t="shared" si="18"/>
        <v>4327199.92</v>
      </c>
      <c r="Z24" s="26">
        <f t="shared" si="18"/>
        <v>4327199.92</v>
      </c>
      <c r="AA24" s="26">
        <f t="shared" si="18"/>
        <v>4244000</v>
      </c>
      <c r="AB24" s="26">
        <f t="shared" si="18"/>
        <v>3000000</v>
      </c>
      <c r="AC24" s="26">
        <f t="shared" si="18"/>
        <v>9952272.5299999993</v>
      </c>
      <c r="AD24" s="26">
        <f t="shared" si="18"/>
        <v>9059362.1600000001</v>
      </c>
      <c r="AE24" s="26">
        <f t="shared" si="18"/>
        <v>-5937068.3200000003</v>
      </c>
      <c r="AF24" s="26">
        <f t="shared" si="18"/>
        <v>2906442.49</v>
      </c>
      <c r="AG24" s="26">
        <f t="shared" si="18"/>
        <v>180555733.65000001</v>
      </c>
      <c r="AH24" s="26">
        <f t="shared" si="18"/>
        <v>5235818.83</v>
      </c>
      <c r="AI24" s="26">
        <f t="shared" si="18"/>
        <v>4672948.8199999994</v>
      </c>
      <c r="AJ24" s="26">
        <f t="shared" si="18"/>
        <v>2359146.96</v>
      </c>
      <c r="AK24" s="26">
        <f t="shared" si="18"/>
        <v>8520600.4800000004</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-60255913.5</v>
      </c>
      <c r="F25" s="29">
        <f t="shared" si="20"/>
        <v>0</v>
      </c>
      <c r="G25" s="29">
        <f t="shared" si="20"/>
        <v>0</v>
      </c>
      <c r="H25" s="29">
        <f t="shared" si="20"/>
        <v>0</v>
      </c>
      <c r="I25" s="29">
        <f t="shared" si="20"/>
        <v>80391284.519999996</v>
      </c>
      <c r="J25" s="29">
        <f t="shared" si="20"/>
        <v>0</v>
      </c>
      <c r="K25" s="29">
        <f t="shared" si="20"/>
        <v>0</v>
      </c>
      <c r="L25" s="29">
        <f t="shared" si="20"/>
        <v>0</v>
      </c>
      <c r="M25" s="29">
        <f t="shared" si="20"/>
        <v>-288777536.94999999</v>
      </c>
      <c r="N25" s="29">
        <f t="shared" si="20"/>
        <v>0</v>
      </c>
      <c r="O25" s="29">
        <f t="shared" si="20"/>
        <v>0</v>
      </c>
      <c r="P25" s="29">
        <f t="shared" si="20"/>
        <v>0</v>
      </c>
      <c r="Q25" s="29">
        <f t="shared" si="20"/>
        <v>-31096222.16</v>
      </c>
      <c r="R25" s="29">
        <f t="shared" si="20"/>
        <v>0</v>
      </c>
      <c r="S25" s="29">
        <f t="shared" si="20"/>
        <v>0</v>
      </c>
      <c r="T25" s="29">
        <f t="shared" si="20"/>
        <v>0</v>
      </c>
      <c r="U25" s="29">
        <f t="shared" si="20"/>
        <v>93629018.5</v>
      </c>
      <c r="V25" s="29">
        <f t="shared" si="20"/>
        <v>0</v>
      </c>
      <c r="W25" s="29">
        <f t="shared" si="20"/>
        <v>0</v>
      </c>
      <c r="X25" s="29">
        <f t="shared" si="20"/>
        <v>0</v>
      </c>
      <c r="Y25" s="29">
        <f t="shared" si="20"/>
        <v>10148648.810000001</v>
      </c>
      <c r="Z25" s="29">
        <f t="shared" si="20"/>
        <v>0</v>
      </c>
      <c r="AA25" s="29">
        <f t="shared" si="20"/>
        <v>0</v>
      </c>
      <c r="AB25" s="29">
        <f t="shared" si="20"/>
        <v>0</v>
      </c>
      <c r="AC25" s="29">
        <f t="shared" si="20"/>
        <v>97156397.700000003</v>
      </c>
      <c r="AD25" s="29">
        <f t="shared" si="20"/>
        <v>0</v>
      </c>
      <c r="AE25" s="29">
        <f t="shared" si="20"/>
        <v>0</v>
      </c>
      <c r="AF25" s="29">
        <f t="shared" si="20"/>
        <v>0</v>
      </c>
      <c r="AG25" s="29">
        <f t="shared" si="20"/>
        <v>27422479.710000001</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5">
        <v>-59270574.18</v>
      </c>
      <c r="C26" s="195">
        <v>-17507283.039999999</v>
      </c>
      <c r="D26" s="195">
        <v>-8991898.6699999999</v>
      </c>
      <c r="E26" s="195">
        <v>1911032.41</v>
      </c>
      <c r="F26" s="195">
        <v>8664920.9900000002</v>
      </c>
      <c r="G26" s="195">
        <v>4142645.86</v>
      </c>
      <c r="H26" s="195">
        <v>5280183.03</v>
      </c>
      <c r="I26" s="195">
        <v>3592393.74</v>
      </c>
      <c r="J26" s="195">
        <v>743055.71</v>
      </c>
      <c r="K26" s="195">
        <v>1188664.8999999999</v>
      </c>
      <c r="L26" s="195">
        <v>-2096744.8</v>
      </c>
      <c r="M26" s="195">
        <v>16541396.93</v>
      </c>
      <c r="N26" s="195">
        <v>-1167951.68</v>
      </c>
      <c r="O26" s="195">
        <v>-5752190.8200000003</v>
      </c>
      <c r="P26" s="195">
        <v>-5969877.6200000001</v>
      </c>
      <c r="Q26" s="195">
        <v>9723246.3499999996</v>
      </c>
      <c r="R26" s="195">
        <v>14954633.630000001</v>
      </c>
      <c r="S26" s="195">
        <v>8403430.0700000003</v>
      </c>
      <c r="T26" s="195">
        <v>1609809.44</v>
      </c>
      <c r="U26" s="195">
        <v>-4243488.53</v>
      </c>
      <c r="V26" s="195">
        <v>-1349454.41</v>
      </c>
      <c r="W26" s="195">
        <v>-7569434.6100000003</v>
      </c>
      <c r="X26" s="195">
        <v>2268375.2799999998</v>
      </c>
      <c r="Y26" s="195">
        <v>-14568213.529999999</v>
      </c>
      <c r="Z26" s="195">
        <v>-12939994.710000001</v>
      </c>
      <c r="AA26" s="195">
        <v>-5643456.9400000004</v>
      </c>
      <c r="AB26" s="195">
        <v>6914964.0700000003</v>
      </c>
      <c r="AC26" s="195">
        <v>-67568778.25</v>
      </c>
      <c r="AD26" s="195">
        <v>-48153995.969999999</v>
      </c>
      <c r="AE26" s="195">
        <v>-22805961.829999998</v>
      </c>
      <c r="AF26" s="195">
        <v>-9362185.2400000002</v>
      </c>
      <c r="AG26" s="195">
        <v>64036938.460000001</v>
      </c>
      <c r="AH26" s="195">
        <v>48986190.280000001</v>
      </c>
      <c r="AI26" s="195">
        <v>17426875.359999999</v>
      </c>
      <c r="AJ26" s="195">
        <v>37713539.780000001</v>
      </c>
      <c r="AK26" s="195">
        <v>-931604.56</v>
      </c>
      <c r="AL26" s="195">
        <v>0</v>
      </c>
      <c r="AM26" s="195">
        <v>0</v>
      </c>
      <c r="AN26" s="195">
        <v>0</v>
      </c>
      <c r="AO26" s="195">
        <v>0</v>
      </c>
      <c r="AP26" s="195">
        <v>0</v>
      </c>
      <c r="AQ26" s="195">
        <v>0</v>
      </c>
      <c r="AR26" s="195">
        <v>0</v>
      </c>
      <c r="AS26" s="195">
        <v>0</v>
      </c>
      <c r="AT26" s="195">
        <v>0</v>
      </c>
      <c r="AU26" s="195">
        <v>0</v>
      </c>
      <c r="AV26" s="195">
        <v>0</v>
      </c>
      <c r="AW26" s="195">
        <v>0</v>
      </c>
      <c r="AX26" s="195">
        <v>0</v>
      </c>
      <c r="AY26" s="195">
        <v>0</v>
      </c>
      <c r="AZ26" s="195">
        <v>0</v>
      </c>
      <c r="BA26" s="195">
        <v>0</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c r="BZ26" s="40"/>
      <c r="CA26" s="40"/>
      <c r="CB26" s="40"/>
      <c r="CC26" s="40"/>
      <c r="CD26" s="40"/>
      <c r="CE26" s="40"/>
      <c r="CF26" s="40"/>
      <c r="CG26" s="40"/>
      <c r="CH26" s="40"/>
      <c r="CI26" s="40"/>
      <c r="CJ26" s="40"/>
      <c r="CK26" s="40"/>
    </row>
    <row r="27" spans="1:89" x14ac:dyDescent="0.25">
      <c r="A27" s="17" t="s">
        <v>406</v>
      </c>
      <c r="B27" s="26">
        <f>SUM(B22:B26)</f>
        <v>-59248042.18</v>
      </c>
      <c r="C27" s="26">
        <f t="shared" ref="C27:BN27" si="22">SUM(C22:C26)</f>
        <v>-17478141.039999999</v>
      </c>
      <c r="D27" s="26">
        <f t="shared" si="22"/>
        <v>-8956241.6699999999</v>
      </c>
      <c r="E27" s="26">
        <f t="shared" si="22"/>
        <v>-9183658.6800000034</v>
      </c>
      <c r="F27" s="26">
        <f t="shared" si="22"/>
        <v>14644411.640000006</v>
      </c>
      <c r="G27" s="26">
        <f t="shared" si="22"/>
        <v>10126134.460000001</v>
      </c>
      <c r="H27" s="26">
        <f t="shared" si="22"/>
        <v>5265058.0200000023</v>
      </c>
      <c r="I27" s="26">
        <f t="shared" si="22"/>
        <v>142855284.78</v>
      </c>
      <c r="J27" s="26">
        <f t="shared" si="22"/>
        <v>30738043.640000001</v>
      </c>
      <c r="K27" s="26">
        <f t="shared" si="22"/>
        <v>31188664.899999999</v>
      </c>
      <c r="L27" s="26">
        <f t="shared" si="22"/>
        <v>-2096744.8</v>
      </c>
      <c r="M27" s="26">
        <f t="shared" si="22"/>
        <v>-257421953.75999999</v>
      </c>
      <c r="N27" s="26">
        <f t="shared" si="22"/>
        <v>76649344.689999998</v>
      </c>
      <c r="O27" s="26">
        <f t="shared" si="22"/>
        <v>61847128.860000007</v>
      </c>
      <c r="P27" s="26">
        <f t="shared" si="22"/>
        <v>54104443.760000005</v>
      </c>
      <c r="Q27" s="26">
        <f t="shared" si="22"/>
        <v>14542286.969999993</v>
      </c>
      <c r="R27" s="26">
        <f t="shared" si="22"/>
        <v>16856560.550000001</v>
      </c>
      <c r="S27" s="26">
        <f t="shared" si="22"/>
        <v>11403430.07</v>
      </c>
      <c r="T27" s="26">
        <f t="shared" si="22"/>
        <v>4609809.4399999995</v>
      </c>
      <c r="U27" s="26">
        <f t="shared" si="22"/>
        <v>109359586.15000001</v>
      </c>
      <c r="V27" s="26">
        <f t="shared" si="22"/>
        <v>-159869.67999999947</v>
      </c>
      <c r="W27" s="26">
        <f t="shared" si="22"/>
        <v>-7842349.8800000008</v>
      </c>
      <c r="X27" s="26">
        <f t="shared" si="22"/>
        <v>2316474.69</v>
      </c>
      <c r="Y27" s="26">
        <f t="shared" si="22"/>
        <v>14114861.820000002</v>
      </c>
      <c r="Z27" s="26">
        <f t="shared" si="22"/>
        <v>-9787995.3100000005</v>
      </c>
      <c r="AA27" s="26">
        <f t="shared" si="22"/>
        <v>-910657.71</v>
      </c>
      <c r="AB27" s="26">
        <f t="shared" si="22"/>
        <v>10887364.109999999</v>
      </c>
      <c r="AC27" s="26">
        <f t="shared" si="22"/>
        <v>56518484</v>
      </c>
      <c r="AD27" s="26">
        <f t="shared" si="22"/>
        <v>-42946434.719999999</v>
      </c>
      <c r="AE27" s="26">
        <f t="shared" si="22"/>
        <v>-23043983.529999997</v>
      </c>
      <c r="AF27" s="26">
        <f t="shared" si="22"/>
        <v>-6605696.4299999997</v>
      </c>
      <c r="AG27" s="26">
        <f t="shared" si="22"/>
        <v>287347954.63999999</v>
      </c>
      <c r="AH27" s="26">
        <f t="shared" si="22"/>
        <v>38027577.149999999</v>
      </c>
      <c r="AI27" s="26">
        <f t="shared" si="22"/>
        <v>939172.3900000006</v>
      </c>
      <c r="AJ27" s="26">
        <f t="shared" si="22"/>
        <v>33607506.350000001</v>
      </c>
      <c r="AK27" s="26">
        <f t="shared" si="22"/>
        <v>29868328.169999998</v>
      </c>
      <c r="AL27" s="26">
        <f t="shared" si="22"/>
        <v>-503114.74000000069</v>
      </c>
      <c r="AM27" s="26">
        <f t="shared" si="22"/>
        <v>1000000</v>
      </c>
      <c r="AN27" s="26">
        <f t="shared" si="22"/>
        <v>0</v>
      </c>
      <c r="AO27" s="26">
        <f t="shared" si="22"/>
        <v>72949394.600000009</v>
      </c>
      <c r="AP27" s="26">
        <f t="shared" si="22"/>
        <v>-930380.59</v>
      </c>
      <c r="AQ27" s="26">
        <f t="shared" si="22"/>
        <v>-7876342.5499999998</v>
      </c>
      <c r="AR27" s="26">
        <f t="shared" si="22"/>
        <v>-627631.6099999994</v>
      </c>
      <c r="AS27" s="26">
        <f t="shared" si="22"/>
        <v>222049706.08999997</v>
      </c>
      <c r="AT27" s="26">
        <f t="shared" si="22"/>
        <v>61445327.950000003</v>
      </c>
      <c r="AU27" s="26">
        <f t="shared" si="22"/>
        <v>14509944.859999999</v>
      </c>
      <c r="AV27" s="26">
        <f t="shared" si="22"/>
        <v>4664775.71</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4623.0859199392798</v>
      </c>
      <c r="C28" s="26">
        <f t="shared" ref="C28:BN28" si="24">SUM(C22:C25)*C41</f>
        <v>6404.3363337931969</v>
      </c>
      <c r="D28" s="26">
        <f t="shared" si="24"/>
        <v>8147.0478555254067</v>
      </c>
      <c r="E28" s="26">
        <f t="shared" si="24"/>
        <v>-2424512.3552110302</v>
      </c>
      <c r="F28" s="26">
        <f t="shared" si="24"/>
        <v>1255322.6423755963</v>
      </c>
      <c r="G28" s="26">
        <f t="shared" si="24"/>
        <v>1297350.1306812693</v>
      </c>
      <c r="H28" s="26">
        <f t="shared" si="24"/>
        <v>-3440.5777694316175</v>
      </c>
      <c r="I28" s="26">
        <f t="shared" si="24"/>
        <v>27013124.414390881</v>
      </c>
      <c r="J28" s="26">
        <f t="shared" si="24"/>
        <v>5892808.6188993137</v>
      </c>
      <c r="K28" s="26">
        <f t="shared" si="24"/>
        <v>5759544.7582170079</v>
      </c>
      <c r="L28" s="26">
        <f t="shared" si="24"/>
        <v>0</v>
      </c>
      <c r="M28" s="26">
        <f t="shared" si="24"/>
        <v>-70370521.498562634</v>
      </c>
      <c r="N28" s="26">
        <f t="shared" si="24"/>
        <v>18915216.349038001</v>
      </c>
      <c r="O28" s="26">
        <f t="shared" si="24"/>
        <v>17235136.568579797</v>
      </c>
      <c r="P28" s="26">
        <f t="shared" si="24"/>
        <v>14565059.030952843</v>
      </c>
      <c r="Q28" s="26">
        <f t="shared" si="24"/>
        <v>1116510.8087531482</v>
      </c>
      <c r="R28" s="26">
        <f t="shared" si="24"/>
        <v>458805.9842658384</v>
      </c>
      <c r="S28" s="26">
        <f t="shared" si="24"/>
        <v>710775.32939870097</v>
      </c>
      <c r="T28" s="26">
        <f t="shared" si="24"/>
        <v>664117.00161197106</v>
      </c>
      <c r="U28" s="26">
        <f t="shared" si="24"/>
        <v>16743154.905567067</v>
      </c>
      <c r="V28" s="26">
        <f t="shared" si="24"/>
        <v>193756.38778325432</v>
      </c>
      <c r="W28" s="26">
        <f t="shared" si="24"/>
        <v>-45674.797590907321</v>
      </c>
      <c r="X28" s="26">
        <f t="shared" si="24"/>
        <v>8213.3422121687818</v>
      </c>
      <c r="Y28" s="26">
        <f t="shared" si="24"/>
        <v>4433320.2368943123</v>
      </c>
      <c r="Z28" s="26">
        <f t="shared" si="24"/>
        <v>506817.5904279105</v>
      </c>
      <c r="AA28" s="26">
        <f t="shared" si="24"/>
        <v>765797.75803586759</v>
      </c>
      <c r="AB28" s="26">
        <f t="shared" si="24"/>
        <v>649894.14778448513</v>
      </c>
      <c r="AC28" s="26">
        <f t="shared" si="24"/>
        <v>18493394.85458789</v>
      </c>
      <c r="AD28" s="26">
        <f t="shared" si="24"/>
        <v>847184.46142397774</v>
      </c>
      <c r="AE28" s="26">
        <f t="shared" si="24"/>
        <v>-37970.565584565535</v>
      </c>
      <c r="AF28" s="26">
        <f t="shared" si="24"/>
        <v>442331.02452402201</v>
      </c>
      <c r="AG28" s="26">
        <f t="shared" si="24"/>
        <v>24036549.656948678</v>
      </c>
      <c r="AH28" s="26">
        <f t="shared" si="24"/>
        <v>-1420273.4763627218</v>
      </c>
      <c r="AI28" s="26">
        <f t="shared" si="24"/>
        <v>-2279106.5775831668</v>
      </c>
      <c r="AJ28" s="26">
        <f t="shared" si="24"/>
        <v>-530320.38091063581</v>
      </c>
      <c r="AK28" s="26">
        <f t="shared" si="24"/>
        <v>3641925.1423898246</v>
      </c>
      <c r="AL28" s="26">
        <f t="shared" si="24"/>
        <v>-61268.787574317867</v>
      </c>
      <c r="AM28" s="26">
        <f t="shared" si="24"/>
        <v>107240.70953126761</v>
      </c>
      <c r="AN28" s="26">
        <f t="shared" si="24"/>
        <v>0</v>
      </c>
      <c r="AO28" s="26">
        <f t="shared" si="24"/>
        <v>9368477.1635779776</v>
      </c>
      <c r="AP28" s="26">
        <f t="shared" si="24"/>
        <v>-205987.77677222894</v>
      </c>
      <c r="AQ28" s="26">
        <f t="shared" si="24"/>
        <v>-1818769.6655913359</v>
      </c>
      <c r="AR28" s="26">
        <f t="shared" si="24"/>
        <v>-158677.17523560819</v>
      </c>
      <c r="AS28" s="26">
        <f t="shared" si="24"/>
        <v>68268292.436278522</v>
      </c>
      <c r="AT28" s="26">
        <f t="shared" si="24"/>
        <v>18487022.096758321</v>
      </c>
      <c r="AU28" s="26">
        <f t="shared" si="24"/>
        <v>4646668.406695433</v>
      </c>
      <c r="AV28" s="26">
        <f t="shared" si="24"/>
        <v>1411782.4866866618</v>
      </c>
      <c r="AW28" s="26">
        <f t="shared" si="24"/>
        <v>14378057.972524244</v>
      </c>
      <c r="AX28" s="26">
        <f t="shared" si="24"/>
        <v>4619709.4468824472</v>
      </c>
      <c r="AY28" s="26">
        <f t="shared" si="24"/>
        <v>5051943.6956215492</v>
      </c>
      <c r="AZ28" s="26">
        <f t="shared" si="24"/>
        <v>2029493.436017541</v>
      </c>
      <c r="BA28" s="26">
        <f t="shared" si="24"/>
        <v>1972046.5450506276</v>
      </c>
      <c r="BB28" s="26">
        <f t="shared" si="24"/>
        <v>648572.82277894556</v>
      </c>
      <c r="BC28" s="26">
        <f t="shared" si="24"/>
        <v>-295049.90767833433</v>
      </c>
      <c r="BD28" s="26">
        <f t="shared" si="24"/>
        <v>-53657.981816078354</v>
      </c>
      <c r="BE28" s="26">
        <f t="shared" si="24"/>
        <v>1104314.2921266865</v>
      </c>
      <c r="BF28" s="26">
        <f t="shared" si="24"/>
        <v>-84934.76293278714</v>
      </c>
      <c r="BG28" s="26">
        <f t="shared" si="24"/>
        <v>-83275.677016053523</v>
      </c>
      <c r="BH28" s="26">
        <f t="shared" si="24"/>
        <v>16266.578575819658</v>
      </c>
      <c r="BI28" s="26">
        <f t="shared" si="24"/>
        <v>599523.15333576698</v>
      </c>
      <c r="BJ28" s="26">
        <f t="shared" si="24"/>
        <v>30317.734319409625</v>
      </c>
      <c r="BK28" s="26">
        <f t="shared" si="24"/>
        <v>192014.69427610756</v>
      </c>
      <c r="BL28" s="26">
        <f t="shared" si="24"/>
        <v>187131.02661956783</v>
      </c>
      <c r="BM28" s="26">
        <f t="shared" si="24"/>
        <v>-55582.074357641046</v>
      </c>
      <c r="BN28" s="26">
        <f t="shared" si="24"/>
        <v>48969.645722235393</v>
      </c>
      <c r="BO28" s="26">
        <f t="shared" ref="BO28:CJ28" si="25">SUM(BO22:BO25)*BO41</f>
        <v>55788.909536300009</v>
      </c>
      <c r="BP28" s="26">
        <f t="shared" si="25"/>
        <v>80173.377832755286</v>
      </c>
      <c r="BQ28" s="26">
        <f t="shared" si="25"/>
        <v>38740.60836177491</v>
      </c>
      <c r="BR28" s="26">
        <f t="shared" si="25"/>
        <v>66566.9892509153</v>
      </c>
      <c r="BS28" s="26">
        <f t="shared" si="25"/>
        <v>82772.640377747375</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-59252665.265919939</v>
      </c>
      <c r="C29" s="28">
        <f t="shared" ref="C29:BN29" si="26">C27-C28</f>
        <v>-17484545.376333792</v>
      </c>
      <c r="D29" s="28">
        <f t="shared" si="26"/>
        <v>-8964388.7178555261</v>
      </c>
      <c r="E29" s="28">
        <f t="shared" si="26"/>
        <v>-6759146.3247889727</v>
      </c>
      <c r="F29" s="28">
        <f t="shared" si="26"/>
        <v>13389088.99762441</v>
      </c>
      <c r="G29" s="28">
        <f t="shared" si="26"/>
        <v>8828784.329318732</v>
      </c>
      <c r="H29" s="28">
        <f t="shared" si="26"/>
        <v>5268498.5977694336</v>
      </c>
      <c r="I29" s="28">
        <f t="shared" si="26"/>
        <v>115842160.36560912</v>
      </c>
      <c r="J29" s="28">
        <f t="shared" si="26"/>
        <v>24845235.021100685</v>
      </c>
      <c r="K29" s="28">
        <f t="shared" si="26"/>
        <v>25429120.141782992</v>
      </c>
      <c r="L29" s="28">
        <f t="shared" si="26"/>
        <v>-2096744.8</v>
      </c>
      <c r="M29" s="28">
        <f t="shared" si="26"/>
        <v>-187051432.26143736</v>
      </c>
      <c r="N29" s="28">
        <f t="shared" si="26"/>
        <v>57734128.340961993</v>
      </c>
      <c r="O29" s="28">
        <f t="shared" si="26"/>
        <v>44611992.291420206</v>
      </c>
      <c r="P29" s="28">
        <f t="shared" si="26"/>
        <v>39539384.729047164</v>
      </c>
      <c r="Q29" s="28">
        <f t="shared" si="26"/>
        <v>13425776.161246845</v>
      </c>
      <c r="R29" s="28">
        <f t="shared" si="26"/>
        <v>16397754.565734163</v>
      </c>
      <c r="S29" s="28">
        <f t="shared" si="26"/>
        <v>10692654.740601299</v>
      </c>
      <c r="T29" s="28">
        <f t="shared" si="26"/>
        <v>3945692.4383880282</v>
      </c>
      <c r="U29" s="28">
        <f t="shared" si="26"/>
        <v>92616431.244432941</v>
      </c>
      <c r="V29" s="28">
        <f t="shared" si="26"/>
        <v>-353626.06778325379</v>
      </c>
      <c r="W29" s="28">
        <f t="shared" si="26"/>
        <v>-7796675.0824090932</v>
      </c>
      <c r="X29" s="28">
        <f t="shared" si="26"/>
        <v>2308261.347787831</v>
      </c>
      <c r="Y29" s="28">
        <f t="shared" si="26"/>
        <v>9681541.5831056908</v>
      </c>
      <c r="Z29" s="28">
        <f t="shared" si="26"/>
        <v>-10294812.900427911</v>
      </c>
      <c r="AA29" s="28">
        <f t="shared" si="26"/>
        <v>-1676455.4680358674</v>
      </c>
      <c r="AB29" s="28">
        <f t="shared" si="26"/>
        <v>10237469.962215515</v>
      </c>
      <c r="AC29" s="28">
        <f t="shared" si="26"/>
        <v>38025089.14541211</v>
      </c>
      <c r="AD29" s="28">
        <f t="shared" si="26"/>
        <v>-43793619.181423977</v>
      </c>
      <c r="AE29" s="28">
        <f t="shared" si="26"/>
        <v>-23006012.964415431</v>
      </c>
      <c r="AF29" s="28">
        <f t="shared" si="26"/>
        <v>-7048027.4545240216</v>
      </c>
      <c r="AG29" s="28">
        <f t="shared" si="26"/>
        <v>263311404.9830513</v>
      </c>
      <c r="AH29" s="28">
        <f t="shared" si="26"/>
        <v>39447850.626362719</v>
      </c>
      <c r="AI29" s="28">
        <f t="shared" si="26"/>
        <v>3218278.9675831674</v>
      </c>
      <c r="AJ29" s="28">
        <f t="shared" si="26"/>
        <v>34137826.730910636</v>
      </c>
      <c r="AK29" s="28">
        <f t="shared" si="26"/>
        <v>26226403.027610175</v>
      </c>
      <c r="AL29" s="28">
        <f t="shared" si="26"/>
        <v>-441845.9524256828</v>
      </c>
      <c r="AM29" s="28">
        <f t="shared" si="26"/>
        <v>892759.29046873236</v>
      </c>
      <c r="AN29" s="28">
        <f t="shared" si="26"/>
        <v>0</v>
      </c>
      <c r="AO29" s="28">
        <f t="shared" si="26"/>
        <v>63580917.436422035</v>
      </c>
      <c r="AP29" s="28">
        <f t="shared" si="26"/>
        <v>-724392.81322777108</v>
      </c>
      <c r="AQ29" s="28">
        <f t="shared" si="26"/>
        <v>-6057572.884408664</v>
      </c>
      <c r="AR29" s="28">
        <f t="shared" si="26"/>
        <v>-468954.43476439122</v>
      </c>
      <c r="AS29" s="28">
        <f t="shared" si="26"/>
        <v>153781413.65372145</v>
      </c>
      <c r="AT29" s="28">
        <f t="shared" si="26"/>
        <v>42958305.853241682</v>
      </c>
      <c r="AU29" s="28">
        <f t="shared" si="26"/>
        <v>9863276.4533045664</v>
      </c>
      <c r="AV29" s="28">
        <f t="shared" si="26"/>
        <v>3252993.2233133381</v>
      </c>
      <c r="AW29" s="28">
        <f t="shared" si="26"/>
        <v>33626344.967475757</v>
      </c>
      <c r="AX29" s="28">
        <f t="shared" si="26"/>
        <v>9399729.1231175531</v>
      </c>
      <c r="AY29" s="28">
        <f t="shared" si="26"/>
        <v>8957494.8743784502</v>
      </c>
      <c r="AZ29" s="28">
        <f t="shared" si="26"/>
        <v>4006528.8339824583</v>
      </c>
      <c r="BA29" s="28">
        <f t="shared" si="26"/>
        <v>4893315.8149493728</v>
      </c>
      <c r="BB29" s="28">
        <f t="shared" si="26"/>
        <v>1319519.5972210544</v>
      </c>
      <c r="BC29" s="28">
        <f t="shared" si="26"/>
        <v>-597675.25232166564</v>
      </c>
      <c r="BD29" s="28">
        <f t="shared" si="26"/>
        <v>-109061.67818392164</v>
      </c>
      <c r="BE29" s="28">
        <f t="shared" si="26"/>
        <v>4014519.7578733135</v>
      </c>
      <c r="BF29" s="28">
        <f t="shared" si="26"/>
        <v>-170988.94706721284</v>
      </c>
      <c r="BG29" s="28">
        <f t="shared" si="26"/>
        <v>-167391.83298394649</v>
      </c>
      <c r="BH29" s="28">
        <f t="shared" si="26"/>
        <v>32653.291424180345</v>
      </c>
      <c r="BI29" s="28">
        <f t="shared" si="26"/>
        <v>1992626.0066642328</v>
      </c>
      <c r="BJ29" s="28">
        <f t="shared" si="26"/>
        <v>67796.255680590373</v>
      </c>
      <c r="BK29" s="28">
        <f t="shared" si="26"/>
        <v>412172.49572389235</v>
      </c>
      <c r="BL29" s="28">
        <f t="shared" si="26"/>
        <v>386144.68338043214</v>
      </c>
      <c r="BM29" s="28">
        <f t="shared" si="26"/>
        <v>-240556.79564235895</v>
      </c>
      <c r="BN29" s="28">
        <f t="shared" si="26"/>
        <v>176276.25427776459</v>
      </c>
      <c r="BO29" s="28">
        <f t="shared" ref="BO29:CK29" si="27">BO27-BO28</f>
        <v>272066.99046370003</v>
      </c>
      <c r="BP29" s="28">
        <f t="shared" si="27"/>
        <v>162308.12216724473</v>
      </c>
      <c r="BQ29" s="28">
        <f t="shared" si="27"/>
        <v>284590.94163822511</v>
      </c>
      <c r="BR29" s="28">
        <f t="shared" si="27"/>
        <v>1248233.0107490846</v>
      </c>
      <c r="BS29" s="28">
        <f t="shared" si="27"/>
        <v>417227.35962225264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14436183010.529999</v>
      </c>
      <c r="C31" s="26">
        <f t="shared" ref="C31:BN31" si="28">C15+C20+C27</f>
        <v>9864082049.5499992</v>
      </c>
      <c r="D31" s="26">
        <f t="shared" si="28"/>
        <v>4845875888.8600016</v>
      </c>
      <c r="E31" s="26">
        <f t="shared" si="28"/>
        <v>16701069304.939997</v>
      </c>
      <c r="F31" s="26">
        <f t="shared" si="28"/>
        <v>12279804050.269999</v>
      </c>
      <c r="G31" s="26">
        <f t="shared" si="28"/>
        <v>7740371216.960001</v>
      </c>
      <c r="H31" s="26">
        <f t="shared" si="28"/>
        <v>3563981267.0700006</v>
      </c>
      <c r="I31" s="26">
        <f t="shared" si="28"/>
        <v>6615583011.3199987</v>
      </c>
      <c r="J31" s="26">
        <f t="shared" si="28"/>
        <v>4359744810.7699995</v>
      </c>
      <c r="K31" s="26">
        <f t="shared" si="28"/>
        <v>2450686368.3699989</v>
      </c>
      <c r="L31" s="26">
        <f t="shared" si="28"/>
        <v>885243006.17999971</v>
      </c>
      <c r="M31" s="26">
        <f t="shared" si="28"/>
        <v>3480967512.2399979</v>
      </c>
      <c r="N31" s="26">
        <f t="shared" si="28"/>
        <v>3275956993.3700004</v>
      </c>
      <c r="O31" s="26">
        <f t="shared" si="28"/>
        <v>2202477510.98</v>
      </c>
      <c r="P31" s="26">
        <f t="shared" si="28"/>
        <v>949667949.32000005</v>
      </c>
      <c r="Q31" s="26">
        <f t="shared" si="28"/>
        <v>4569286440.5200024</v>
      </c>
      <c r="R31" s="26">
        <f t="shared" si="28"/>
        <v>3924067907.0700006</v>
      </c>
      <c r="S31" s="26">
        <f t="shared" si="28"/>
        <v>2593454223.3199997</v>
      </c>
      <c r="T31" s="26">
        <f t="shared" si="28"/>
        <v>1294852960.6499999</v>
      </c>
      <c r="U31" s="26">
        <f t="shared" si="28"/>
        <v>4753614958.710001</v>
      </c>
      <c r="V31" s="26">
        <f t="shared" si="28"/>
        <v>3851049532.2199998</v>
      </c>
      <c r="W31" s="26">
        <f t="shared" si="28"/>
        <v>2498151267.289999</v>
      </c>
      <c r="X31" s="26">
        <f t="shared" si="28"/>
        <v>1243855470.4200003</v>
      </c>
      <c r="Y31" s="26">
        <f t="shared" si="28"/>
        <v>3833368895.7600007</v>
      </c>
      <c r="Z31" s="26">
        <f t="shared" si="28"/>
        <v>2755324255.8000016</v>
      </c>
      <c r="AA31" s="26">
        <f t="shared" si="28"/>
        <v>1665713388.799999</v>
      </c>
      <c r="AB31" s="26">
        <f t="shared" si="28"/>
        <v>743574581.95999992</v>
      </c>
      <c r="AC31" s="26">
        <f t="shared" si="28"/>
        <v>2991004759.539999</v>
      </c>
      <c r="AD31" s="26">
        <f t="shared" si="28"/>
        <v>2411079703.5500007</v>
      </c>
      <c r="AE31" s="26">
        <f t="shared" si="28"/>
        <v>1554221448.2999997</v>
      </c>
      <c r="AF31" s="26">
        <f t="shared" si="28"/>
        <v>727339786.17000008</v>
      </c>
      <c r="AG31" s="26">
        <f t="shared" si="28"/>
        <v>2080451840.4100008</v>
      </c>
      <c r="AH31" s="26">
        <f t="shared" si="28"/>
        <v>1322430111.4600008</v>
      </c>
      <c r="AI31" s="26">
        <f t="shared" si="28"/>
        <v>851693786.16000032</v>
      </c>
      <c r="AJ31" s="26">
        <f t="shared" si="28"/>
        <v>379661174.82000011</v>
      </c>
      <c r="AK31" s="26">
        <f t="shared" si="28"/>
        <v>1508481175.3300006</v>
      </c>
      <c r="AL31" s="26">
        <f t="shared" si="28"/>
        <v>1216869838.79</v>
      </c>
      <c r="AM31" s="26">
        <f t="shared" si="28"/>
        <v>697902546.5</v>
      </c>
      <c r="AN31" s="26">
        <f t="shared" si="28"/>
        <v>269709472.91000009</v>
      </c>
      <c r="AO31" s="26">
        <f t="shared" si="28"/>
        <v>2145083277.3699996</v>
      </c>
      <c r="AP31" s="26">
        <f t="shared" si="28"/>
        <v>1820824370.2899997</v>
      </c>
      <c r="AQ31" s="26">
        <f t="shared" si="28"/>
        <v>1295905672.8700004</v>
      </c>
      <c r="AR31" s="26">
        <f t="shared" si="28"/>
        <v>558177648.48999989</v>
      </c>
      <c r="AS31" s="26">
        <f t="shared" si="28"/>
        <v>2614560749.4400005</v>
      </c>
      <c r="AT31" s="26">
        <f t="shared" si="28"/>
        <v>1838266697.0800004</v>
      </c>
      <c r="AU31" s="26">
        <f t="shared" si="28"/>
        <v>1069803558.1300006</v>
      </c>
      <c r="AV31" s="26">
        <f t="shared" si="28"/>
        <v>538801268.88000011</v>
      </c>
      <c r="AW31" s="26">
        <f t="shared" si="28"/>
        <v>1334676422.8499994</v>
      </c>
      <c r="AX31" s="26">
        <f t="shared" si="28"/>
        <v>965235944.36000001</v>
      </c>
      <c r="AY31" s="26">
        <f t="shared" si="28"/>
        <v>530934625.65000004</v>
      </c>
      <c r="AZ31" s="26">
        <f t="shared" si="28"/>
        <v>280264364.36999995</v>
      </c>
      <c r="BA31" s="26">
        <f t="shared" si="28"/>
        <v>869494104.71999979</v>
      </c>
      <c r="BB31" s="26">
        <f t="shared" si="28"/>
        <v>734494068.10999978</v>
      </c>
      <c r="BC31" s="26">
        <f t="shared" si="28"/>
        <v>499526019.62000006</v>
      </c>
      <c r="BD31" s="26">
        <f t="shared" si="28"/>
        <v>235981919.16000006</v>
      </c>
      <c r="BE31" s="26">
        <f t="shared" si="28"/>
        <v>521165783.19999987</v>
      </c>
      <c r="BF31" s="26">
        <f t="shared" si="28"/>
        <v>475157207.66999984</v>
      </c>
      <c r="BG31" s="26">
        <f t="shared" si="28"/>
        <v>322053246.04000002</v>
      </c>
      <c r="BH31" s="26">
        <f t="shared" si="28"/>
        <v>144183239.83000004</v>
      </c>
      <c r="BI31" s="26">
        <f t="shared" si="28"/>
        <v>303628493.31999999</v>
      </c>
      <c r="BJ31" s="26">
        <f t="shared" si="28"/>
        <v>269456816.38000005</v>
      </c>
      <c r="BK31" s="26">
        <f t="shared" si="28"/>
        <v>201962474.46000007</v>
      </c>
      <c r="BL31" s="26">
        <f t="shared" si="28"/>
        <v>87284008.529999986</v>
      </c>
      <c r="BM31" s="26">
        <f t="shared" si="28"/>
        <v>186653440.66000006</v>
      </c>
      <c r="BN31" s="26">
        <f t="shared" si="28"/>
        <v>156058961.66999999</v>
      </c>
      <c r="BO31" s="26">
        <f t="shared" ref="BO31:CJ31" si="29">BO15+BO20+BO27</f>
        <v>109526893.30000003</v>
      </c>
      <c r="BP31" s="26">
        <f t="shared" si="29"/>
        <v>51058013.730000004</v>
      </c>
      <c r="BQ31" s="26">
        <f t="shared" si="29"/>
        <v>112447078.60999998</v>
      </c>
      <c r="BR31" s="26">
        <f t="shared" si="29"/>
        <v>477436000</v>
      </c>
      <c r="BS31" s="26">
        <f t="shared" si="29"/>
        <v>72708188.660000011</v>
      </c>
      <c r="BT31" s="26">
        <f t="shared" si="29"/>
        <v>62820342.140000023</v>
      </c>
      <c r="BU31" s="26">
        <f t="shared" si="29"/>
        <v>41893175.600000009</v>
      </c>
      <c r="BV31" s="26">
        <f t="shared" si="29"/>
        <v>33183114.019999992</v>
      </c>
      <c r="BW31" s="26">
        <f t="shared" si="29"/>
        <v>27640790.680000007</v>
      </c>
      <c r="BX31" s="26">
        <f t="shared" si="29"/>
        <v>20193336.459999993</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31.435466362791153</v>
      </c>
      <c r="C32" s="57">
        <f t="shared" ref="C32:D32" si="30">C31/C4*100</f>
        <v>32.821004629526108</v>
      </c>
      <c r="D32" s="57">
        <f t="shared" si="30"/>
        <v>35.626427734975799</v>
      </c>
      <c r="E32" s="57">
        <f>E31/E4</f>
        <v>0.31438387958441988</v>
      </c>
      <c r="F32" s="57">
        <f t="shared" ref="F32:BQ32" si="31">F31/F4</f>
        <v>0.31516169762850688</v>
      </c>
      <c r="G32" s="57">
        <f t="shared" si="31"/>
        <v>0.31683765116100343</v>
      </c>
      <c r="H32" s="57">
        <f t="shared" si="31"/>
        <v>0.32379081700851797</v>
      </c>
      <c r="I32" s="57">
        <f t="shared" si="31"/>
        <v>0.21978782210109696</v>
      </c>
      <c r="J32" s="57">
        <f t="shared" si="31"/>
        <v>0.20827952051168422</v>
      </c>
      <c r="K32" s="57">
        <f t="shared" si="31"/>
        <v>0.19643568038208073</v>
      </c>
      <c r="L32" s="57">
        <f t="shared" si="31"/>
        <v>0.16703923790144296</v>
      </c>
      <c r="M32" s="57">
        <f t="shared" si="31"/>
        <v>0.1785809119371311</v>
      </c>
      <c r="N32" s="57">
        <f t="shared" si="31"/>
        <v>0.22152320118327729</v>
      </c>
      <c r="O32" s="57">
        <f t="shared" si="31"/>
        <v>0.21932082741584055</v>
      </c>
      <c r="P32" s="57">
        <f t="shared" si="31"/>
        <v>0.20938531649327236</v>
      </c>
      <c r="Q32" s="57">
        <f t="shared" si="31"/>
        <v>0.20686391767003026</v>
      </c>
      <c r="R32" s="57">
        <f t="shared" si="31"/>
        <v>0.22094727347475579</v>
      </c>
      <c r="S32" s="57">
        <f t="shared" si="31"/>
        <v>0.22233124890882275</v>
      </c>
      <c r="T32" s="57">
        <f t="shared" si="31"/>
        <v>0.25209086247147949</v>
      </c>
      <c r="U32" s="57">
        <f t="shared" si="31"/>
        <v>0.23488592002307834</v>
      </c>
      <c r="V32" s="57">
        <f t="shared" si="31"/>
        <v>0.25048743600285456</v>
      </c>
      <c r="W32" s="57">
        <f t="shared" si="31"/>
        <v>0.25041857111203075</v>
      </c>
      <c r="X32" s="57">
        <f t="shared" si="31"/>
        <v>0.26042029075016809</v>
      </c>
      <c r="Y32" s="57">
        <f t="shared" si="31"/>
        <v>0.24045530511395427</v>
      </c>
      <c r="Z32" s="57">
        <f t="shared" si="31"/>
        <v>0.2412641387352624</v>
      </c>
      <c r="AA32" s="57">
        <f t="shared" si="31"/>
        <v>0.23263601532170253</v>
      </c>
      <c r="AB32" s="57">
        <f t="shared" si="31"/>
        <v>0.22662098666189531</v>
      </c>
      <c r="AC32" s="57">
        <f t="shared" si="31"/>
        <v>0.2189238380634857</v>
      </c>
      <c r="AD32" s="57">
        <f t="shared" si="31"/>
        <v>0.229429734667875</v>
      </c>
      <c r="AE32" s="57">
        <f t="shared" si="31"/>
        <v>0.22595532890969275</v>
      </c>
      <c r="AF32" s="57">
        <f t="shared" si="31"/>
        <v>0.22845928135713656</v>
      </c>
      <c r="AG32" s="57">
        <f t="shared" si="31"/>
        <v>0.22062577633687844</v>
      </c>
      <c r="AH32" s="57">
        <f t="shared" si="31"/>
        <v>0.19720907386648118</v>
      </c>
      <c r="AI32" s="57">
        <f t="shared" si="31"/>
        <v>0.19443581412941971</v>
      </c>
      <c r="AJ32" s="57">
        <f t="shared" si="31"/>
        <v>0.18527036109398823</v>
      </c>
      <c r="AK32" s="57">
        <f t="shared" si="31"/>
        <v>0.23232709555588538</v>
      </c>
      <c r="AL32" s="57">
        <f t="shared" si="31"/>
        <v>0.2614416481022136</v>
      </c>
      <c r="AM32" s="57">
        <f t="shared" si="31"/>
        <v>0.25378653009452246</v>
      </c>
      <c r="AN32" s="57">
        <f t="shared" si="31"/>
        <v>0.22257122452093733</v>
      </c>
      <c r="AO32" s="57">
        <f t="shared" si="31"/>
        <v>0.27842339689769152</v>
      </c>
      <c r="AP32" s="57">
        <f t="shared" si="31"/>
        <v>0.29498783247312477</v>
      </c>
      <c r="AQ32" s="57">
        <f t="shared" si="31"/>
        <v>0.31093753902265236</v>
      </c>
      <c r="AR32" s="57">
        <f t="shared" si="31"/>
        <v>0.28404756896238859</v>
      </c>
      <c r="AS32" s="57">
        <f t="shared" si="31"/>
        <v>0.33504616275181226</v>
      </c>
      <c r="AT32" s="57">
        <f t="shared" si="31"/>
        <v>0.3134095238771602</v>
      </c>
      <c r="AU32" s="57">
        <f t="shared" si="31"/>
        <v>0.30318161938904475</v>
      </c>
      <c r="AV32" s="57">
        <f t="shared" si="31"/>
        <v>0.31182826063251767</v>
      </c>
      <c r="AW32" s="57">
        <f t="shared" si="31"/>
        <v>0.27196268524689138</v>
      </c>
      <c r="AX32" s="57">
        <f t="shared" si="31"/>
        <v>0.27207947912002706</v>
      </c>
      <c r="AY32" s="57">
        <f t="shared" si="31"/>
        <v>0.25261034284052791</v>
      </c>
      <c r="AZ32" s="57">
        <f t="shared" si="31"/>
        <v>0.265672814480715</v>
      </c>
      <c r="BA32" s="57">
        <f t="shared" si="31"/>
        <v>0.26272349751751461</v>
      </c>
      <c r="BB32" s="57">
        <f t="shared" si="31"/>
        <v>0.28789511148800806</v>
      </c>
      <c r="BC32" s="57">
        <f t="shared" si="31"/>
        <v>0.3084512290560395</v>
      </c>
      <c r="BD32" s="57">
        <f t="shared" si="31"/>
        <v>0.29679937930059497</v>
      </c>
      <c r="BE32" s="57">
        <f t="shared" si="31"/>
        <v>0.24767544506073827</v>
      </c>
      <c r="BF32" s="57">
        <f t="shared" si="31"/>
        <v>0.28021374606796029</v>
      </c>
      <c r="BG32" s="57">
        <f t="shared" si="31"/>
        <v>0.30553734100635738</v>
      </c>
      <c r="BH32" s="57">
        <f t="shared" si="31"/>
        <v>0.28799412623670728</v>
      </c>
      <c r="BI32" s="57">
        <f t="shared" si="31"/>
        <v>0.225963583654712</v>
      </c>
      <c r="BJ32" s="57">
        <f t="shared" si="31"/>
        <v>0.26659740917094138</v>
      </c>
      <c r="BK32" s="57">
        <f t="shared" si="31"/>
        <v>0.27710206273392501</v>
      </c>
      <c r="BL32" s="57">
        <f t="shared" si="31"/>
        <v>0.23886297734636028</v>
      </c>
      <c r="BM32" s="57">
        <f t="shared" si="31"/>
        <v>0.21168665265295811</v>
      </c>
      <c r="BN32" s="57">
        <f t="shared" si="31"/>
        <v>0.21333830973090667</v>
      </c>
      <c r="BO32" s="57">
        <f t="shared" si="31"/>
        <v>0.24918008769771638</v>
      </c>
      <c r="BP32" s="57">
        <f t="shared" si="31"/>
        <v>0.23303224059761046</v>
      </c>
      <c r="BQ32" s="57">
        <f t="shared" si="31"/>
        <v>0.19683065070926734</v>
      </c>
      <c r="BR32" s="57">
        <f t="shared" ref="BR32:CK32" si="32">BR31/BR4</f>
        <v>0.99907549586944611</v>
      </c>
      <c r="BS32" s="57">
        <f t="shared" si="32"/>
        <v>0.25057574232565966</v>
      </c>
      <c r="BT32" s="57">
        <f t="shared" si="32"/>
        <v>0.18216551923636423</v>
      </c>
      <c r="BU32" s="57">
        <f t="shared" si="32"/>
        <v>0.26038587159778159</v>
      </c>
      <c r="BV32" s="57">
        <f t="shared" si="32"/>
        <v>0.15770984565719837</v>
      </c>
      <c r="BW32" s="57">
        <f t="shared" si="32"/>
        <v>0.15296753750605221</v>
      </c>
      <c r="BX32" s="57">
        <f t="shared" si="32"/>
        <v>0.14423344465507904</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11478091542.734381</v>
      </c>
      <c r="C33" s="26">
        <f t="shared" ref="C33:BN33" si="33">C17+C20+C29</f>
        <v>7704308773.8583393</v>
      </c>
      <c r="D33" s="26">
        <f t="shared" si="33"/>
        <v>3743430561.0408936</v>
      </c>
      <c r="E33" s="26">
        <f t="shared" si="33"/>
        <v>13074666898.380075</v>
      </c>
      <c r="F33" s="26">
        <f t="shared" si="33"/>
        <v>9719072636.2239799</v>
      </c>
      <c r="G33" s="26">
        <f t="shared" si="33"/>
        <v>6073760230.175931</v>
      </c>
      <c r="H33" s="26">
        <f t="shared" si="33"/>
        <v>2759663152.2950048</v>
      </c>
      <c r="I33" s="26">
        <f t="shared" si="33"/>
        <v>5337457268.6030588</v>
      </c>
      <c r="J33" s="26">
        <f t="shared" si="33"/>
        <v>3504654021.8258042</v>
      </c>
      <c r="K33" s="26">
        <f t="shared" si="33"/>
        <v>1980511018.1640594</v>
      </c>
      <c r="L33" s="26">
        <f t="shared" si="33"/>
        <v>717486336.16214824</v>
      </c>
      <c r="M33" s="26">
        <f t="shared" si="33"/>
        <v>2590420241.0117197</v>
      </c>
      <c r="N33" s="26">
        <f t="shared" si="33"/>
        <v>2478011217.4675522</v>
      </c>
      <c r="O33" s="26">
        <f t="shared" si="33"/>
        <v>1639291043.9896333</v>
      </c>
      <c r="P33" s="26">
        <f t="shared" si="33"/>
        <v>717684339.48445606</v>
      </c>
      <c r="Q33" s="26">
        <f t="shared" si="33"/>
        <v>3512123809.8479419</v>
      </c>
      <c r="R33" s="26">
        <f t="shared" si="33"/>
        <v>2980524701.6478286</v>
      </c>
      <c r="S33" s="26">
        <f t="shared" si="33"/>
        <v>1980588541.5395539</v>
      </c>
      <c r="T33" s="26">
        <f t="shared" si="33"/>
        <v>1008348199.786409</v>
      </c>
      <c r="U33" s="26">
        <f t="shared" si="33"/>
        <v>4052095040.1745768</v>
      </c>
      <c r="V33" s="26">
        <f t="shared" si="33"/>
        <v>3223430114.6823955</v>
      </c>
      <c r="W33" s="26">
        <f t="shared" si="33"/>
        <v>2078722636.4545026</v>
      </c>
      <c r="X33" s="26">
        <f t="shared" si="33"/>
        <v>1031796621.6140369</v>
      </c>
      <c r="Y33" s="26">
        <f t="shared" si="33"/>
        <v>3238630096.4808946</v>
      </c>
      <c r="Z33" s="26">
        <f t="shared" si="33"/>
        <v>2310208824.1916685</v>
      </c>
      <c r="AA33" s="26">
        <f t="shared" si="33"/>
        <v>1395275976.9762745</v>
      </c>
      <c r="AB33" s="26">
        <f t="shared" si="33"/>
        <v>623053514.79147255</v>
      </c>
      <c r="AC33" s="26">
        <f t="shared" si="33"/>
        <v>2535168194.6018677</v>
      </c>
      <c r="AD33" s="26">
        <f t="shared" si="33"/>
        <v>2011002877.3305206</v>
      </c>
      <c r="AE33" s="26">
        <f t="shared" si="33"/>
        <v>1302645131.0776682</v>
      </c>
      <c r="AF33" s="26">
        <f t="shared" si="33"/>
        <v>609121951.72769296</v>
      </c>
      <c r="AG33" s="26">
        <f t="shared" si="33"/>
        <v>1865870920.7653451</v>
      </c>
      <c r="AH33" s="26">
        <f t="shared" si="33"/>
        <v>1158619989.1562872</v>
      </c>
      <c r="AI33" s="26">
        <f t="shared" si="33"/>
        <v>737520079.13277602</v>
      </c>
      <c r="AJ33" s="26">
        <f t="shared" si="33"/>
        <v>335925363.25587481</v>
      </c>
      <c r="AK33" s="26">
        <f t="shared" si="33"/>
        <v>1331716918.8872421</v>
      </c>
      <c r="AL33" s="26">
        <f t="shared" si="33"/>
        <v>1070015086.6885016</v>
      </c>
      <c r="AM33" s="26">
        <f t="shared" si="33"/>
        <v>623977066.71708572</v>
      </c>
      <c r="AN33" s="26">
        <f t="shared" si="33"/>
        <v>245789366.31481987</v>
      </c>
      <c r="AO33" s="26">
        <f t="shared" si="33"/>
        <v>1871119238.520618</v>
      </c>
      <c r="AP33" s="26">
        <f t="shared" si="33"/>
        <v>1417690891.4104257</v>
      </c>
      <c r="AQ33" s="26">
        <f t="shared" si="33"/>
        <v>996660952.07206011</v>
      </c>
      <c r="AR33" s="26">
        <f t="shared" si="33"/>
        <v>417059752.05064195</v>
      </c>
      <c r="AS33" s="26">
        <f t="shared" si="33"/>
        <v>1810724522.9563665</v>
      </c>
      <c r="AT33" s="26">
        <f t="shared" si="33"/>
        <v>1285790143.7432973</v>
      </c>
      <c r="AU33" s="26">
        <f t="shared" si="33"/>
        <v>727849876.98281765</v>
      </c>
      <c r="AV33" s="26">
        <f t="shared" si="33"/>
        <v>375734437.26821065</v>
      </c>
      <c r="AW33" s="26">
        <f t="shared" si="33"/>
        <v>934920279.51698172</v>
      </c>
      <c r="AX33" s="26">
        <f t="shared" si="33"/>
        <v>647169740.18457901</v>
      </c>
      <c r="AY33" s="26">
        <f t="shared" si="33"/>
        <v>339474288.28976387</v>
      </c>
      <c r="AZ33" s="26">
        <f t="shared" si="33"/>
        <v>186030999.68121406</v>
      </c>
      <c r="BA33" s="26">
        <f t="shared" si="33"/>
        <v>619735569.73788357</v>
      </c>
      <c r="BB33" s="26">
        <f t="shared" si="33"/>
        <v>492446039.15184057</v>
      </c>
      <c r="BC33" s="26">
        <f t="shared" si="33"/>
        <v>334430296.34968603</v>
      </c>
      <c r="BD33" s="26">
        <f t="shared" si="33"/>
        <v>158165178.83980423</v>
      </c>
      <c r="BE33" s="26">
        <f t="shared" si="33"/>
        <v>408731815.36016375</v>
      </c>
      <c r="BF33" s="26">
        <f t="shared" si="33"/>
        <v>317464257.73090845</v>
      </c>
      <c r="BG33" s="26">
        <f t="shared" si="33"/>
        <v>215062108.26072156</v>
      </c>
      <c r="BH33" s="26">
        <f t="shared" si="33"/>
        <v>96240185.197783202</v>
      </c>
      <c r="BI33" s="26">
        <f t="shared" si="33"/>
        <v>233404019.13974321</v>
      </c>
      <c r="BJ33" s="26">
        <f t="shared" si="33"/>
        <v>186193255.60173813</v>
      </c>
      <c r="BK33" s="26">
        <f t="shared" si="33"/>
        <v>137777461.22149846</v>
      </c>
      <c r="BL33" s="26">
        <f t="shared" si="33"/>
        <v>58792401.718872383</v>
      </c>
      <c r="BM33" s="26">
        <f t="shared" si="33"/>
        <v>151620601.44550025</v>
      </c>
      <c r="BN33" s="26">
        <f t="shared" si="33"/>
        <v>122130920.96089135</v>
      </c>
      <c r="BO33" s="26">
        <f t="shared" ref="BO33:CJ33" si="34">BO17+BO20+BO29</f>
        <v>90889479.905561537</v>
      </c>
      <c r="BP33" s="26">
        <f t="shared" si="34"/>
        <v>34176340.587243557</v>
      </c>
      <c r="BQ33" s="26">
        <f t="shared" si="34"/>
        <v>98974009.76207678</v>
      </c>
      <c r="BR33" s="26">
        <f t="shared" si="34"/>
        <v>453263900</v>
      </c>
      <c r="BS33" s="26">
        <f t="shared" si="34"/>
        <v>60671691.155056834</v>
      </c>
      <c r="BT33" s="26">
        <f t="shared" si="34"/>
        <v>51274074.184352919</v>
      </c>
      <c r="BU33" s="26">
        <f t="shared" si="34"/>
        <v>27829944.136092931</v>
      </c>
      <c r="BV33" s="26">
        <f t="shared" si="34"/>
        <v>21845886.112457793</v>
      </c>
      <c r="BW33" s="26">
        <f t="shared" si="34"/>
        <v>23281522.612663776</v>
      </c>
      <c r="BX33" s="26">
        <f t="shared" si="34"/>
        <v>15630176.787137341</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24.994083293172206</v>
      </c>
      <c r="C34" s="57">
        <f t="shared" ref="C34:D34" si="35">C33/C4*100</f>
        <v>25.634737491426161</v>
      </c>
      <c r="D34" s="57">
        <f t="shared" si="35"/>
        <v>27.521352470130555</v>
      </c>
      <c r="E34" s="57">
        <f>E33/E4</f>
        <v>0.24611983991772857</v>
      </c>
      <c r="F34" s="57">
        <f t="shared" ref="F34:BQ34" si="36">F33/F4</f>
        <v>0.24944041605776021</v>
      </c>
      <c r="G34" s="57">
        <f t="shared" si="36"/>
        <v>0.24861804054403688</v>
      </c>
      <c r="H34" s="57">
        <f t="shared" si="36"/>
        <v>0.25071781240996949</v>
      </c>
      <c r="I34" s="57">
        <f t="shared" si="36"/>
        <v>0.17732497749882625</v>
      </c>
      <c r="J34" s="57">
        <f t="shared" si="36"/>
        <v>0.16742898745403953</v>
      </c>
      <c r="K34" s="57">
        <f t="shared" si="36"/>
        <v>0.15874859973046035</v>
      </c>
      <c r="L34" s="57">
        <f t="shared" si="36"/>
        <v>0.13538471353125217</v>
      </c>
      <c r="M34" s="57">
        <f t="shared" si="36"/>
        <v>0.13289397482557763</v>
      </c>
      <c r="N34" s="57">
        <f t="shared" si="36"/>
        <v>0.16756537969589982</v>
      </c>
      <c r="O34" s="57">
        <f t="shared" si="36"/>
        <v>0.16323920055974103</v>
      </c>
      <c r="P34" s="57">
        <f t="shared" si="36"/>
        <v>0.15823695289792508</v>
      </c>
      <c r="Q34" s="57">
        <f t="shared" si="36"/>
        <v>0.15900331487308891</v>
      </c>
      <c r="R34" s="57">
        <f t="shared" si="36"/>
        <v>0.16782044091713019</v>
      </c>
      <c r="S34" s="57">
        <f t="shared" si="36"/>
        <v>0.16979159302502927</v>
      </c>
      <c r="T34" s="57">
        <f t="shared" si="36"/>
        <v>0.19631214900888569</v>
      </c>
      <c r="U34" s="57">
        <f t="shared" si="36"/>
        <v>0.20022237387746791</v>
      </c>
      <c r="V34" s="57">
        <f t="shared" si="36"/>
        <v>0.20966459605512403</v>
      </c>
      <c r="W34" s="57">
        <f t="shared" si="36"/>
        <v>0.20837439236570521</v>
      </c>
      <c r="X34" s="57">
        <f t="shared" si="36"/>
        <v>0.21602250630054243</v>
      </c>
      <c r="Y34" s="57">
        <f t="shared" si="36"/>
        <v>0.2031491904840938</v>
      </c>
      <c r="Z34" s="57">
        <f t="shared" si="36"/>
        <v>0.20228854774313121</v>
      </c>
      <c r="AA34" s="57">
        <f t="shared" si="36"/>
        <v>0.19486632318642513</v>
      </c>
      <c r="AB34" s="57">
        <f t="shared" si="36"/>
        <v>0.18988949554061127</v>
      </c>
      <c r="AC34" s="57">
        <f t="shared" si="36"/>
        <v>0.1855593006090957</v>
      </c>
      <c r="AD34" s="57">
        <f t="shared" si="36"/>
        <v>0.19135985255192806</v>
      </c>
      <c r="AE34" s="57">
        <f t="shared" si="36"/>
        <v>0.18938074067065003</v>
      </c>
      <c r="AF34" s="57">
        <f t="shared" si="36"/>
        <v>0.19132675813507555</v>
      </c>
      <c r="AG34" s="57">
        <f t="shared" si="36"/>
        <v>0.19787010323542675</v>
      </c>
      <c r="AH34" s="57">
        <f t="shared" si="36"/>
        <v>0.17278068084251647</v>
      </c>
      <c r="AI34" s="57">
        <f t="shared" si="36"/>
        <v>0.16837074468926086</v>
      </c>
      <c r="AJ34" s="57">
        <f t="shared" si="36"/>
        <v>0.163927779501162</v>
      </c>
      <c r="AK34" s="57">
        <f t="shared" si="36"/>
        <v>0.20510293991572115</v>
      </c>
      <c r="AL34" s="57">
        <f t="shared" si="36"/>
        <v>0.22989024696038324</v>
      </c>
      <c r="AM34" s="57">
        <f t="shared" si="36"/>
        <v>0.2269041364225593</v>
      </c>
      <c r="AN34" s="57">
        <f t="shared" si="36"/>
        <v>0.20283173462420254</v>
      </c>
      <c r="AO34" s="57">
        <f t="shared" si="36"/>
        <v>0.24286393907665188</v>
      </c>
      <c r="AP34" s="57">
        <f t="shared" si="36"/>
        <v>0.22967704628615404</v>
      </c>
      <c r="AQ34" s="57">
        <f t="shared" si="36"/>
        <v>0.23913723827671507</v>
      </c>
      <c r="AR34" s="57">
        <f t="shared" si="36"/>
        <v>0.21223495602612577</v>
      </c>
      <c r="AS34" s="57">
        <f t="shared" si="36"/>
        <v>0.23203756246515875</v>
      </c>
      <c r="AT34" s="57">
        <f t="shared" si="36"/>
        <v>0.21921676402920484</v>
      </c>
      <c r="AU34" s="57">
        <f t="shared" si="36"/>
        <v>0.20627217277300566</v>
      </c>
      <c r="AV34" s="57">
        <f t="shared" si="36"/>
        <v>0.2174542318295439</v>
      </c>
      <c r="AW34" s="57">
        <f t="shared" si="36"/>
        <v>0.19050567265305515</v>
      </c>
      <c r="AX34" s="57">
        <f t="shared" si="36"/>
        <v>0.18242338242844289</v>
      </c>
      <c r="AY34" s="57">
        <f t="shared" si="36"/>
        <v>0.16151652615505291</v>
      </c>
      <c r="AZ34" s="57">
        <f t="shared" si="36"/>
        <v>0.17634557064386996</v>
      </c>
      <c r="BA34" s="57">
        <f t="shared" si="36"/>
        <v>0.1872572746999572</v>
      </c>
      <c r="BB34" s="57">
        <f t="shared" si="36"/>
        <v>0.19302103788020633</v>
      </c>
      <c r="BC34" s="57">
        <f t="shared" si="36"/>
        <v>0.20650663206915362</v>
      </c>
      <c r="BD34" s="57">
        <f t="shared" si="36"/>
        <v>0.19892764273517524</v>
      </c>
      <c r="BE34" s="57">
        <f t="shared" si="36"/>
        <v>0.19424305574750958</v>
      </c>
      <c r="BF34" s="57">
        <f t="shared" si="36"/>
        <v>0.18721771966309761</v>
      </c>
      <c r="BG34" s="57">
        <f t="shared" si="36"/>
        <v>0.20403304583069132</v>
      </c>
      <c r="BH34" s="57">
        <f t="shared" si="36"/>
        <v>0.19223182997950292</v>
      </c>
      <c r="BI34" s="57">
        <f t="shared" si="36"/>
        <v>0.17370177623166874</v>
      </c>
      <c r="BJ34" s="57">
        <f t="shared" si="36"/>
        <v>0.18421742012465411</v>
      </c>
      <c r="BK34" s="57">
        <f t="shared" si="36"/>
        <v>0.18903719022457341</v>
      </c>
      <c r="BL34" s="57">
        <f t="shared" si="36"/>
        <v>0.16089233705491837</v>
      </c>
      <c r="BM34" s="57">
        <f t="shared" si="36"/>
        <v>0.17195534933476539</v>
      </c>
      <c r="BN34" s="57">
        <f t="shared" si="36"/>
        <v>0.16695743688703682</v>
      </c>
      <c r="BO34" s="57">
        <f t="shared" si="36"/>
        <v>0.20677888225710905</v>
      </c>
      <c r="BP34" s="57">
        <f t="shared" si="36"/>
        <v>0.15598313840777017</v>
      </c>
      <c r="BQ34" s="57">
        <f t="shared" si="36"/>
        <v>0.17324699748173344</v>
      </c>
      <c r="BR34" s="57">
        <f t="shared" ref="BR34:CK34" si="37">BR33/BR4</f>
        <v>0.94849331774775891</v>
      </c>
      <c r="BS34" s="57">
        <f t="shared" si="37"/>
        <v>0.20909411071184184</v>
      </c>
      <c r="BT34" s="57">
        <f t="shared" si="37"/>
        <v>0.14868381847301579</v>
      </c>
      <c r="BU34" s="57">
        <f t="shared" si="37"/>
        <v>0.17297624628852742</v>
      </c>
      <c r="BV34" s="57">
        <f t="shared" si="37"/>
        <v>0.10382724553710987</v>
      </c>
      <c r="BW34" s="57">
        <f t="shared" si="37"/>
        <v>0.12884281150566015</v>
      </c>
      <c r="BX34" s="57">
        <f t="shared" si="37"/>
        <v>0.1116405029472121</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652331764.76999998</v>
      </c>
      <c r="C35" s="26">
        <f t="shared" ref="C35:BN35" si="38">C23+C68</f>
        <v>420660933.62</v>
      </c>
      <c r="D35" s="26">
        <f t="shared" si="38"/>
        <v>247989394.53999999</v>
      </c>
      <c r="E35" s="26">
        <f t="shared" si="38"/>
        <v>957551408.58999991</v>
      </c>
      <c r="F35" s="26">
        <f t="shared" si="38"/>
        <v>717420186.02999997</v>
      </c>
      <c r="G35" s="26">
        <f t="shared" si="38"/>
        <v>450443344.86000001</v>
      </c>
      <c r="H35" s="26">
        <f t="shared" si="38"/>
        <v>207311348.16</v>
      </c>
      <c r="I35" s="26">
        <f t="shared" si="38"/>
        <v>918837976.43000007</v>
      </c>
      <c r="J35" s="26">
        <f t="shared" si="38"/>
        <v>658114008.67999995</v>
      </c>
      <c r="K35" s="26">
        <f t="shared" si="38"/>
        <v>427670564.45999998</v>
      </c>
      <c r="L35" s="26">
        <f t="shared" si="38"/>
        <v>216291606.33000001</v>
      </c>
      <c r="M35" s="26">
        <f t="shared" si="38"/>
        <v>853524006.44000006</v>
      </c>
      <c r="N35" s="26">
        <f t="shared" si="38"/>
        <v>706215527.63</v>
      </c>
      <c r="O35" s="26">
        <f t="shared" si="38"/>
        <v>336005537.79000002</v>
      </c>
      <c r="P35" s="26">
        <f t="shared" si="38"/>
        <v>121081157.28</v>
      </c>
      <c r="Q35" s="26">
        <f t="shared" si="38"/>
        <v>464702415.01999998</v>
      </c>
      <c r="R35" s="26">
        <f t="shared" si="38"/>
        <v>332576153.88999999</v>
      </c>
      <c r="S35" s="26">
        <f t="shared" si="38"/>
        <v>228324936.5</v>
      </c>
      <c r="T35" s="26">
        <f t="shared" si="38"/>
        <v>105963903.34</v>
      </c>
      <c r="U35" s="26">
        <f t="shared" si="38"/>
        <v>276162884.70999998</v>
      </c>
      <c r="V35" s="26">
        <f t="shared" si="38"/>
        <v>240479194.38999999</v>
      </c>
      <c r="W35" s="26">
        <f t="shared" si="38"/>
        <v>132373137.58</v>
      </c>
      <c r="X35" s="26">
        <f t="shared" si="38"/>
        <v>90613483.900000006</v>
      </c>
      <c r="Y35" s="26">
        <f t="shared" si="38"/>
        <v>300949321.91000003</v>
      </c>
      <c r="Z35" s="26">
        <f t="shared" si="38"/>
        <v>269419256.16000003</v>
      </c>
      <c r="AA35" s="26">
        <f t="shared" si="38"/>
        <v>176394158.50999999</v>
      </c>
      <c r="AB35" s="26">
        <f t="shared" si="38"/>
        <v>67718985.019999996</v>
      </c>
      <c r="AC35" s="26">
        <f t="shared" si="38"/>
        <v>175966630.25999999</v>
      </c>
      <c r="AD35" s="26">
        <f t="shared" si="38"/>
        <v>95599082.150000006</v>
      </c>
      <c r="AE35" s="26">
        <f t="shared" si="38"/>
        <v>51690931.990000002</v>
      </c>
      <c r="AF35" s="26">
        <f t="shared" si="38"/>
        <v>25812918.710000001</v>
      </c>
      <c r="AG35" s="26">
        <f t="shared" si="38"/>
        <v>65237069.599999994</v>
      </c>
      <c r="AH35" s="26">
        <f t="shared" si="38"/>
        <v>14669864.130000001</v>
      </c>
      <c r="AI35" s="26">
        <f t="shared" si="38"/>
        <v>34528117</v>
      </c>
      <c r="AJ35" s="26">
        <f t="shared" si="38"/>
        <v>13394072.880000001</v>
      </c>
      <c r="AK35" s="26">
        <f t="shared" si="38"/>
        <v>68409261.920000002</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133844567.58553743</v>
      </c>
      <c r="C36" s="26">
        <f t="shared" ref="C36:BN36" si="40">C35*C41</f>
        <v>92445751.883533522</v>
      </c>
      <c r="D36" s="26">
        <f t="shared" si="40"/>
        <v>56661566.171583444</v>
      </c>
      <c r="E36" s="26">
        <f t="shared" si="40"/>
        <v>209252804.07029155</v>
      </c>
      <c r="F36" s="26">
        <f t="shared" si="40"/>
        <v>150613799.12363783</v>
      </c>
      <c r="G36" s="26">
        <f t="shared" si="40"/>
        <v>97665888.812528014</v>
      </c>
      <c r="H36" s="26">
        <f t="shared" si="40"/>
        <v>47158369.867543399</v>
      </c>
      <c r="I36" s="26">
        <f t="shared" si="40"/>
        <v>178228991.144824</v>
      </c>
      <c r="J36" s="26">
        <f t="shared" si="40"/>
        <v>129292930.92627297</v>
      </c>
      <c r="K36" s="26">
        <f t="shared" si="40"/>
        <v>82106258.592643395</v>
      </c>
      <c r="L36" s="26">
        <f t="shared" si="40"/>
        <v>40825961.982361466</v>
      </c>
      <c r="M36" s="26">
        <f t="shared" si="40"/>
        <v>219237096.10592711</v>
      </c>
      <c r="N36" s="26">
        <f t="shared" si="40"/>
        <v>171661315.8937929</v>
      </c>
      <c r="O36" s="26">
        <f t="shared" si="40"/>
        <v>85668041.616742939</v>
      </c>
      <c r="P36" s="26">
        <f t="shared" si="40"/>
        <v>29356206.825274426</v>
      </c>
      <c r="Q36" s="26">
        <f t="shared" si="40"/>
        <v>107665676.66398336</v>
      </c>
      <c r="R36" s="26">
        <f t="shared" si="40"/>
        <v>80228071.869790033</v>
      </c>
      <c r="S36" s="26">
        <f t="shared" si="40"/>
        <v>54095910.650241658</v>
      </c>
      <c r="T36" s="26">
        <f t="shared" si="40"/>
        <v>23457476.58842051</v>
      </c>
      <c r="U36" s="26">
        <f t="shared" si="40"/>
        <v>40701697.299059302</v>
      </c>
      <c r="V36" s="26">
        <f t="shared" si="40"/>
        <v>39168609.740000121</v>
      </c>
      <c r="W36" s="26">
        <f t="shared" si="40"/>
        <v>22153821.826971523</v>
      </c>
      <c r="X36" s="26">
        <f t="shared" si="40"/>
        <v>15472945.558116956</v>
      </c>
      <c r="Y36" s="26">
        <f t="shared" si="40"/>
        <v>46515399.859423503</v>
      </c>
      <c r="Z36" s="26">
        <f t="shared" si="40"/>
        <v>43320572.402993225</v>
      </c>
      <c r="AA36" s="26">
        <f t="shared" si="40"/>
        <v>28541724.369233686</v>
      </c>
      <c r="AB36" s="26">
        <f t="shared" si="40"/>
        <v>11078987.920462111</v>
      </c>
      <c r="AC36" s="26">
        <f t="shared" si="40"/>
        <v>26225257.255439635</v>
      </c>
      <c r="AD36" s="26">
        <f t="shared" si="40"/>
        <v>15552396.416628677</v>
      </c>
      <c r="AE36" s="26">
        <f t="shared" si="40"/>
        <v>8246029.3462890582</v>
      </c>
      <c r="AF36" s="26">
        <f t="shared" si="40"/>
        <v>4142173.4554219344</v>
      </c>
      <c r="AG36" s="26">
        <f t="shared" si="40"/>
        <v>7021928.8315372206</v>
      </c>
      <c r="AH36" s="26">
        <f t="shared" si="40"/>
        <v>1901264.2091220438</v>
      </c>
      <c r="AI36" s="26">
        <f t="shared" si="40"/>
        <v>4772845.4781995118</v>
      </c>
      <c r="AJ36" s="26">
        <f t="shared" si="40"/>
        <v>1729929.8587703942</v>
      </c>
      <c r="AK36" s="26">
        <f t="shared" si="40"/>
        <v>8089024.5164759113</v>
      </c>
      <c r="AL36" s="26">
        <f t="shared" si="40"/>
        <v>5113186.7051680367</v>
      </c>
      <c r="AM36" s="26">
        <f t="shared" si="40"/>
        <v>3960033.2703384883</v>
      </c>
      <c r="AN36" s="26">
        <f t="shared" si="40"/>
        <v>2522287.3844329026</v>
      </c>
      <c r="AO36" s="26">
        <f t="shared" si="40"/>
        <v>7919029.6227608547</v>
      </c>
      <c r="AP36" s="26">
        <f t="shared" si="40"/>
        <v>5916566.2495742496</v>
      </c>
      <c r="AQ36" s="26">
        <f t="shared" si="40"/>
        <v>-4148247.2120598657</v>
      </c>
      <c r="AR36" s="26">
        <f t="shared" si="40"/>
        <v>-4855306.7606420415</v>
      </c>
      <c r="AS36" s="26">
        <f t="shared" si="40"/>
        <v>18484230.653633513</v>
      </c>
      <c r="AT36" s="26">
        <f t="shared" si="40"/>
        <v>17713842.889026076</v>
      </c>
      <c r="AU36" s="26">
        <f t="shared" si="40"/>
        <v>11798028.602316273</v>
      </c>
      <c r="AV36" s="26">
        <f t="shared" si="40"/>
        <v>3844693.3117893967</v>
      </c>
      <c r="AW36" s="26">
        <f t="shared" si="40"/>
        <v>4251397.4530177088</v>
      </c>
      <c r="AX36" s="26">
        <f t="shared" si="40"/>
        <v>5099684.3354210323</v>
      </c>
      <c r="AY36" s="26">
        <f t="shared" si="40"/>
        <v>4255413.0402361723</v>
      </c>
      <c r="AZ36" s="26">
        <f t="shared" si="40"/>
        <v>1493876.2487859025</v>
      </c>
      <c r="BA36" s="26">
        <f t="shared" si="40"/>
        <v>2515951.1121162083</v>
      </c>
      <c r="BB36" s="26">
        <f t="shared" si="40"/>
        <v>2366865.0281592323</v>
      </c>
      <c r="BC36" s="26">
        <f t="shared" si="40"/>
        <v>1161763.1403140568</v>
      </c>
      <c r="BD36" s="26">
        <f t="shared" si="40"/>
        <v>754031.73019581591</v>
      </c>
      <c r="BE36" s="26">
        <f t="shared" si="40"/>
        <v>2288714.0898361173</v>
      </c>
      <c r="BF36" s="26">
        <f t="shared" si="40"/>
        <v>2026935.1690913744</v>
      </c>
      <c r="BG36" s="26">
        <f t="shared" si="40"/>
        <v>598203.05927844043</v>
      </c>
      <c r="BH36" s="26">
        <f t="shared" si="40"/>
        <v>26099.44221685272</v>
      </c>
      <c r="BI36" s="26">
        <f t="shared" si="40"/>
        <v>397289.8302567841</v>
      </c>
      <c r="BJ36" s="26">
        <f t="shared" si="40"/>
        <v>-152318.50173806047</v>
      </c>
      <c r="BK36" s="26">
        <f t="shared" si="40"/>
        <v>-191638.95149837236</v>
      </c>
      <c r="BL36" s="26">
        <f t="shared" si="40"/>
        <v>-69555.968872396552</v>
      </c>
      <c r="BM36" s="26">
        <f t="shared" si="40"/>
        <v>-590168.26550017705</v>
      </c>
      <c r="BN36" s="26">
        <f t="shared" si="40"/>
        <v>-555778.21089137287</v>
      </c>
      <c r="BO36" s="26">
        <f t="shared" ref="BO36:CJ36" si="41">BO35*BO41</f>
        <v>-417543.46556151309</v>
      </c>
      <c r="BP36" s="26">
        <f t="shared" si="41"/>
        <v>-698690.5172435526</v>
      </c>
      <c r="BQ36" s="26">
        <f t="shared" si="41"/>
        <v>-189938.63207678922</v>
      </c>
      <c r="BR36" s="26">
        <f t="shared" si="41"/>
        <v>0</v>
      </c>
      <c r="BS36" s="26">
        <f t="shared" si="41"/>
        <v>-381473.67505681916</v>
      </c>
      <c r="BT36" s="26">
        <f t="shared" si="41"/>
        <v>1093659.7056470995</v>
      </c>
      <c r="BU36" s="26">
        <f t="shared" si="41"/>
        <v>815885.20390708093</v>
      </c>
      <c r="BV36" s="26">
        <f t="shared" si="41"/>
        <v>884619.65754220018</v>
      </c>
      <c r="BW36" s="26">
        <f t="shared" si="41"/>
        <v>637674.79733623029</v>
      </c>
      <c r="BX36" s="26">
        <f t="shared" si="41"/>
        <v>762044.35286265297</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518487197.18446255</v>
      </c>
      <c r="C37" s="26">
        <f t="shared" ref="C37:BN37" si="42">C35-C36</f>
        <v>328215181.73646647</v>
      </c>
      <c r="D37" s="26">
        <f t="shared" si="42"/>
        <v>191327828.36841655</v>
      </c>
      <c r="E37" s="26">
        <f t="shared" si="42"/>
        <v>748298604.5197084</v>
      </c>
      <c r="F37" s="26">
        <f t="shared" si="42"/>
        <v>566806386.90636218</v>
      </c>
      <c r="G37" s="26">
        <f t="shared" si="42"/>
        <v>352777456.047472</v>
      </c>
      <c r="H37" s="26">
        <f t="shared" si="42"/>
        <v>160152978.2924566</v>
      </c>
      <c r="I37" s="26">
        <f t="shared" si="42"/>
        <v>740608985.28517604</v>
      </c>
      <c r="J37" s="26">
        <f t="shared" si="42"/>
        <v>528821077.75372696</v>
      </c>
      <c r="K37" s="26">
        <f t="shared" si="42"/>
        <v>345564305.8673566</v>
      </c>
      <c r="L37" s="26">
        <f t="shared" si="42"/>
        <v>175465644.34763855</v>
      </c>
      <c r="M37" s="26">
        <f t="shared" si="42"/>
        <v>634286910.33407295</v>
      </c>
      <c r="N37" s="26">
        <f t="shared" si="42"/>
        <v>534554211.73620713</v>
      </c>
      <c r="O37" s="26">
        <f t="shared" si="42"/>
        <v>250337496.17325708</v>
      </c>
      <c r="P37" s="26">
        <f t="shared" si="42"/>
        <v>91724950.454725578</v>
      </c>
      <c r="Q37" s="26">
        <f t="shared" si="42"/>
        <v>357036738.35601664</v>
      </c>
      <c r="R37" s="26">
        <f t="shared" si="42"/>
        <v>252348082.02020997</v>
      </c>
      <c r="S37" s="26">
        <f t="shared" si="42"/>
        <v>174229025.84975833</v>
      </c>
      <c r="T37" s="26">
        <f t="shared" si="42"/>
        <v>82506426.751579493</v>
      </c>
      <c r="U37" s="26">
        <f t="shared" si="42"/>
        <v>235461187.41094068</v>
      </c>
      <c r="V37" s="26">
        <f t="shared" si="42"/>
        <v>201310584.64999986</v>
      </c>
      <c r="W37" s="26">
        <f t="shared" si="42"/>
        <v>110219315.75302848</v>
      </c>
      <c r="X37" s="26">
        <f t="shared" si="42"/>
        <v>75140538.341883048</v>
      </c>
      <c r="Y37" s="26">
        <f t="shared" si="42"/>
        <v>254433922.05057651</v>
      </c>
      <c r="Z37" s="26">
        <f t="shared" si="42"/>
        <v>226098683.75700679</v>
      </c>
      <c r="AA37" s="26">
        <f t="shared" si="42"/>
        <v>147852434.14076629</v>
      </c>
      <c r="AB37" s="26">
        <f t="shared" si="42"/>
        <v>56639997.099537887</v>
      </c>
      <c r="AC37" s="26">
        <f t="shared" si="42"/>
        <v>149741373.00456035</v>
      </c>
      <c r="AD37" s="26">
        <f t="shared" si="42"/>
        <v>80046685.733371332</v>
      </c>
      <c r="AE37" s="26">
        <f t="shared" si="42"/>
        <v>43444902.643710941</v>
      </c>
      <c r="AF37" s="26">
        <f t="shared" si="42"/>
        <v>21670745.254578065</v>
      </c>
      <c r="AG37" s="26">
        <f t="shared" si="42"/>
        <v>58215140.768462777</v>
      </c>
      <c r="AH37" s="26">
        <f t="shared" si="42"/>
        <v>12768599.920877958</v>
      </c>
      <c r="AI37" s="26">
        <f t="shared" si="42"/>
        <v>29755271.521800488</v>
      </c>
      <c r="AJ37" s="26">
        <f t="shared" si="42"/>
        <v>11664143.021229606</v>
      </c>
      <c r="AK37" s="26">
        <f t="shared" si="42"/>
        <v>60320237.403524093</v>
      </c>
      <c r="AL37" s="26">
        <f t="shared" si="42"/>
        <v>36874254.234831959</v>
      </c>
      <c r="AM37" s="26">
        <f t="shared" si="42"/>
        <v>32966552.609661516</v>
      </c>
      <c r="AN37" s="26">
        <f t="shared" si="42"/>
        <v>25554651.955567099</v>
      </c>
      <c r="AO37" s="26">
        <f t="shared" si="42"/>
        <v>53743971.387239143</v>
      </c>
      <c r="AP37" s="26">
        <f t="shared" si="42"/>
        <v>20806662.110425748</v>
      </c>
      <c r="AQ37" s="26">
        <f t="shared" si="42"/>
        <v>-13816103.437940132</v>
      </c>
      <c r="AR37" s="26">
        <f t="shared" si="42"/>
        <v>-14349370.87935796</v>
      </c>
      <c r="AS37" s="26">
        <f t="shared" si="42"/>
        <v>41637647.856366493</v>
      </c>
      <c r="AT37" s="26">
        <f t="shared" si="42"/>
        <v>41161668.800973922</v>
      </c>
      <c r="AU37" s="26">
        <f t="shared" si="42"/>
        <v>25043150.817683727</v>
      </c>
      <c r="AV37" s="26">
        <f t="shared" si="42"/>
        <v>8858844.3382106032</v>
      </c>
      <c r="AW37" s="26">
        <f t="shared" si="42"/>
        <v>9942855.8169822916</v>
      </c>
      <c r="AX37" s="26">
        <f t="shared" si="42"/>
        <v>10376334.684578966</v>
      </c>
      <c r="AY37" s="26">
        <f t="shared" si="42"/>
        <v>7545183.159763827</v>
      </c>
      <c r="AZ37" s="26">
        <f t="shared" si="42"/>
        <v>2949139.011214097</v>
      </c>
      <c r="BA37" s="26">
        <f t="shared" si="42"/>
        <v>6242927.3778837919</v>
      </c>
      <c r="BB37" s="26">
        <f t="shared" si="42"/>
        <v>4815380.2918407675</v>
      </c>
      <c r="BC37" s="26">
        <f t="shared" si="42"/>
        <v>2353354.6696859431</v>
      </c>
      <c r="BD37" s="26">
        <f t="shared" si="42"/>
        <v>1532595.209804184</v>
      </c>
      <c r="BE37" s="26">
        <f t="shared" si="42"/>
        <v>8320174.7901638839</v>
      </c>
      <c r="BF37" s="26">
        <f t="shared" si="42"/>
        <v>4080584.890908625</v>
      </c>
      <c r="BG37" s="26">
        <f t="shared" si="42"/>
        <v>1202443.6207215595</v>
      </c>
      <c r="BH37" s="26">
        <f t="shared" si="42"/>
        <v>52391.637783147278</v>
      </c>
      <c r="BI37" s="26">
        <f t="shared" si="42"/>
        <v>1320466.1797432159</v>
      </c>
      <c r="BJ37" s="26">
        <f t="shared" si="42"/>
        <v>-340613.31826193957</v>
      </c>
      <c r="BK37" s="26">
        <f t="shared" si="42"/>
        <v>-411365.93850162765</v>
      </c>
      <c r="BL37" s="26">
        <f t="shared" si="42"/>
        <v>-143528.67112760345</v>
      </c>
      <c r="BM37" s="26">
        <f t="shared" si="42"/>
        <v>-2554222.5344998227</v>
      </c>
      <c r="BN37" s="26">
        <f t="shared" si="42"/>
        <v>-2000637.329108627</v>
      </c>
      <c r="BO37" s="26">
        <f t="shared" ref="BO37:CJ37" si="43">BO35-BO36</f>
        <v>-2036243.3144384867</v>
      </c>
      <c r="BP37" s="26">
        <f t="shared" si="43"/>
        <v>-1414473.8427564474</v>
      </c>
      <c r="BQ37" s="26">
        <f t="shared" si="43"/>
        <v>-1395301.1179232108</v>
      </c>
      <c r="BR37" s="26">
        <f t="shared" si="43"/>
        <v>0</v>
      </c>
      <c r="BS37" s="26">
        <f t="shared" si="43"/>
        <v>-1922872.7449431808</v>
      </c>
      <c r="BT37" s="26">
        <f t="shared" si="43"/>
        <v>4856667.8943528999</v>
      </c>
      <c r="BU37" s="26">
        <f t="shared" si="43"/>
        <v>1614567.7260929192</v>
      </c>
      <c r="BV37" s="26">
        <f t="shared" si="43"/>
        <v>1704587.7924577999</v>
      </c>
      <c r="BW37" s="26">
        <f t="shared" si="43"/>
        <v>3405626.8126637693</v>
      </c>
      <c r="BX37" s="26">
        <f t="shared" si="43"/>
        <v>2610228.1771373469</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13783851245.759998</v>
      </c>
      <c r="C38" s="28">
        <f t="shared" ref="C38:BN38" si="44">C31-C35</f>
        <v>9443421115.9299984</v>
      </c>
      <c r="D38" s="28">
        <f t="shared" si="44"/>
        <v>4597886494.3200016</v>
      </c>
      <c r="E38" s="28">
        <f t="shared" si="44"/>
        <v>15743517896.349997</v>
      </c>
      <c r="F38" s="28">
        <f t="shared" si="44"/>
        <v>11562383864.239998</v>
      </c>
      <c r="G38" s="28">
        <f t="shared" si="44"/>
        <v>7289927872.1000013</v>
      </c>
      <c r="H38" s="28">
        <f t="shared" si="44"/>
        <v>3356669918.9100008</v>
      </c>
      <c r="I38" s="28">
        <f t="shared" si="44"/>
        <v>5696745034.8899984</v>
      </c>
      <c r="J38" s="28">
        <f t="shared" si="44"/>
        <v>3701630802.0899997</v>
      </c>
      <c r="K38" s="28">
        <f t="shared" si="44"/>
        <v>2023015803.9099989</v>
      </c>
      <c r="L38" s="28">
        <f t="shared" si="44"/>
        <v>668951399.84999967</v>
      </c>
      <c r="M38" s="28">
        <f t="shared" si="44"/>
        <v>2627443505.7999978</v>
      </c>
      <c r="N38" s="28">
        <f t="shared" si="44"/>
        <v>2569741465.7400002</v>
      </c>
      <c r="O38" s="28">
        <f t="shared" si="44"/>
        <v>1866471973.1900001</v>
      </c>
      <c r="P38" s="28">
        <f t="shared" si="44"/>
        <v>828586792.04000008</v>
      </c>
      <c r="Q38" s="28">
        <f t="shared" si="44"/>
        <v>4104584025.5000024</v>
      </c>
      <c r="R38" s="28">
        <f t="shared" si="44"/>
        <v>3591491753.1800008</v>
      </c>
      <c r="S38" s="28">
        <f t="shared" si="44"/>
        <v>2365129286.8199997</v>
      </c>
      <c r="T38" s="28">
        <f t="shared" si="44"/>
        <v>1188889057.3099999</v>
      </c>
      <c r="U38" s="28">
        <f t="shared" si="44"/>
        <v>4477452074.000001</v>
      </c>
      <c r="V38" s="28">
        <f t="shared" si="44"/>
        <v>3610570337.8299999</v>
      </c>
      <c r="W38" s="28">
        <f t="shared" si="44"/>
        <v>2365778129.7099991</v>
      </c>
      <c r="X38" s="28">
        <f t="shared" si="44"/>
        <v>1153241986.5200002</v>
      </c>
      <c r="Y38" s="28">
        <f t="shared" si="44"/>
        <v>3532419573.8500009</v>
      </c>
      <c r="Z38" s="28">
        <f t="shared" si="44"/>
        <v>2485904999.6400018</v>
      </c>
      <c r="AA38" s="28">
        <f t="shared" si="44"/>
        <v>1489319230.289999</v>
      </c>
      <c r="AB38" s="28">
        <f t="shared" si="44"/>
        <v>675855596.93999994</v>
      </c>
      <c r="AC38" s="28">
        <f t="shared" si="44"/>
        <v>2815038129.2799988</v>
      </c>
      <c r="AD38" s="28">
        <f t="shared" si="44"/>
        <v>2315480621.4000006</v>
      </c>
      <c r="AE38" s="28">
        <f t="shared" si="44"/>
        <v>1502530516.3099997</v>
      </c>
      <c r="AF38" s="28">
        <f t="shared" si="44"/>
        <v>701526867.46000004</v>
      </c>
      <c r="AG38" s="28">
        <f t="shared" si="44"/>
        <v>2015214770.8100009</v>
      </c>
      <c r="AH38" s="28">
        <f t="shared" si="44"/>
        <v>1307760247.3300006</v>
      </c>
      <c r="AI38" s="28">
        <f t="shared" si="44"/>
        <v>817165669.16000032</v>
      </c>
      <c r="AJ38" s="28">
        <f t="shared" si="44"/>
        <v>366267101.94000012</v>
      </c>
      <c r="AK38" s="28">
        <f t="shared" si="44"/>
        <v>1440071913.4100006</v>
      </c>
      <c r="AL38" s="28">
        <f t="shared" si="44"/>
        <v>1174882397.8499999</v>
      </c>
      <c r="AM38" s="28">
        <f t="shared" si="44"/>
        <v>660975960.62</v>
      </c>
      <c r="AN38" s="28">
        <f t="shared" si="44"/>
        <v>241632533.57000008</v>
      </c>
      <c r="AO38" s="28">
        <f t="shared" si="44"/>
        <v>2083420276.3599997</v>
      </c>
      <c r="AP38" s="28">
        <f t="shared" si="44"/>
        <v>1794101141.9299998</v>
      </c>
      <c r="AQ38" s="28">
        <f t="shared" si="44"/>
        <v>1313870023.5200005</v>
      </c>
      <c r="AR38" s="28">
        <f t="shared" si="44"/>
        <v>577382326.12999988</v>
      </c>
      <c r="AS38" s="28">
        <f t="shared" si="44"/>
        <v>2554438870.9300003</v>
      </c>
      <c r="AT38" s="28">
        <f t="shared" si="44"/>
        <v>1779391185.3900003</v>
      </c>
      <c r="AU38" s="28">
        <f t="shared" si="44"/>
        <v>1032962378.7100006</v>
      </c>
      <c r="AV38" s="28">
        <f t="shared" si="44"/>
        <v>526097731.23000014</v>
      </c>
      <c r="AW38" s="28">
        <f t="shared" si="44"/>
        <v>1320482169.5799994</v>
      </c>
      <c r="AX38" s="28">
        <f t="shared" si="44"/>
        <v>949759925.34000003</v>
      </c>
      <c r="AY38" s="28">
        <f t="shared" si="44"/>
        <v>519134029.45000005</v>
      </c>
      <c r="AZ38" s="28">
        <f t="shared" si="44"/>
        <v>275821349.10999995</v>
      </c>
      <c r="BA38" s="28">
        <f t="shared" si="44"/>
        <v>860735226.22999978</v>
      </c>
      <c r="BB38" s="28">
        <f t="shared" si="44"/>
        <v>727311822.78999972</v>
      </c>
      <c r="BC38" s="28">
        <f t="shared" si="44"/>
        <v>496010901.81000006</v>
      </c>
      <c r="BD38" s="28">
        <f t="shared" si="44"/>
        <v>233695292.22000006</v>
      </c>
      <c r="BE38" s="28">
        <f t="shared" si="44"/>
        <v>510556894.31999987</v>
      </c>
      <c r="BF38" s="28">
        <f t="shared" si="44"/>
        <v>469049687.60999984</v>
      </c>
      <c r="BG38" s="28">
        <f t="shared" si="44"/>
        <v>320252599.36000001</v>
      </c>
      <c r="BH38" s="28">
        <f t="shared" si="44"/>
        <v>144104748.75000003</v>
      </c>
      <c r="BI38" s="28">
        <f t="shared" si="44"/>
        <v>301910737.31</v>
      </c>
      <c r="BJ38" s="28">
        <f t="shared" si="44"/>
        <v>269949748.20000005</v>
      </c>
      <c r="BK38" s="28">
        <f t="shared" si="44"/>
        <v>202565479.35000005</v>
      </c>
      <c r="BL38" s="28">
        <f t="shared" si="44"/>
        <v>87497093.169999987</v>
      </c>
      <c r="BM38" s="28">
        <f t="shared" si="44"/>
        <v>189797831.46000007</v>
      </c>
      <c r="BN38" s="28">
        <f t="shared" si="44"/>
        <v>158615377.20999998</v>
      </c>
      <c r="BO38" s="28">
        <f t="shared" ref="BO38:CJ38" si="45">BO31-BO35</f>
        <v>111980680.08000003</v>
      </c>
      <c r="BP38" s="28">
        <f t="shared" si="45"/>
        <v>53171178.090000004</v>
      </c>
      <c r="BQ38" s="28">
        <f t="shared" si="45"/>
        <v>114032318.35999998</v>
      </c>
      <c r="BR38" s="28">
        <f t="shared" si="45"/>
        <v>477436000</v>
      </c>
      <c r="BS38" s="28">
        <f t="shared" si="45"/>
        <v>75012535.080000013</v>
      </c>
      <c r="BT38" s="28">
        <f t="shared" si="45"/>
        <v>56870014.540000021</v>
      </c>
      <c r="BU38" s="28">
        <f t="shared" si="45"/>
        <v>39462722.670000009</v>
      </c>
      <c r="BV38" s="28">
        <f t="shared" si="45"/>
        <v>30593906.569999993</v>
      </c>
      <c r="BW38" s="28">
        <f t="shared" si="45"/>
        <v>23597489.070000008</v>
      </c>
      <c r="BX38" s="28">
        <f t="shared" si="45"/>
        <v>16821063.929999992</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30.014983314477771</v>
      </c>
      <c r="C39" s="57">
        <f t="shared" ref="C39:D39" si="46">C38/C4*100</f>
        <v>31.421329081365734</v>
      </c>
      <c r="D39" s="57">
        <f t="shared" si="46"/>
        <v>33.803232827336892</v>
      </c>
      <c r="E39" s="57">
        <f>E38/E4</f>
        <v>0.29635876267498906</v>
      </c>
      <c r="F39" s="57">
        <f t="shared" ref="F39:BQ39" si="47">F38/F4</f>
        <v>0.29674907778403936</v>
      </c>
      <c r="G39" s="57">
        <f t="shared" si="47"/>
        <v>0.29839959342885763</v>
      </c>
      <c r="H39" s="57">
        <f t="shared" si="47"/>
        <v>0.3049563996068102</v>
      </c>
      <c r="I39" s="57">
        <f t="shared" si="47"/>
        <v>0.18926150305139705</v>
      </c>
      <c r="J39" s="57">
        <f t="shared" si="47"/>
        <v>0.17683922386145809</v>
      </c>
      <c r="K39" s="57">
        <f t="shared" si="47"/>
        <v>0.16215558669348476</v>
      </c>
      <c r="L39" s="57">
        <f t="shared" si="47"/>
        <v>0.12622650644395678</v>
      </c>
      <c r="M39" s="57">
        <f t="shared" si="47"/>
        <v>0.13479334572333301</v>
      </c>
      <c r="N39" s="57">
        <f t="shared" si="47"/>
        <v>0.17376826278739785</v>
      </c>
      <c r="O39" s="57">
        <f t="shared" si="47"/>
        <v>0.18586168324886229</v>
      </c>
      <c r="P39" s="57">
        <f t="shared" si="47"/>
        <v>0.18268902074421822</v>
      </c>
      <c r="Q39" s="57">
        <f t="shared" si="47"/>
        <v>0.18582558633030766</v>
      </c>
      <c r="R39" s="57">
        <f t="shared" si="47"/>
        <v>0.20222135023262128</v>
      </c>
      <c r="S39" s="57">
        <f t="shared" si="47"/>
        <v>0.20275744350573852</v>
      </c>
      <c r="T39" s="57">
        <f t="shared" si="47"/>
        <v>0.2314610824148963</v>
      </c>
      <c r="U39" s="57">
        <f t="shared" si="47"/>
        <v>0.22124014226977484</v>
      </c>
      <c r="V39" s="57">
        <f t="shared" si="47"/>
        <v>0.23484572163101716</v>
      </c>
      <c r="W39" s="57">
        <f t="shared" si="47"/>
        <v>0.23714928177777855</v>
      </c>
      <c r="X39" s="57">
        <f t="shared" si="47"/>
        <v>0.24144896298396409</v>
      </c>
      <c r="Y39" s="57">
        <f t="shared" si="47"/>
        <v>0.22157769041223649</v>
      </c>
      <c r="Z39" s="57">
        <f t="shared" si="47"/>
        <v>0.21767301160773508</v>
      </c>
      <c r="AA39" s="57">
        <f t="shared" si="47"/>
        <v>0.20800054415498892</v>
      </c>
      <c r="AB39" s="57">
        <f t="shared" si="47"/>
        <v>0.20598211119022131</v>
      </c>
      <c r="AC39" s="57">
        <f t="shared" si="47"/>
        <v>0.20604412266191535</v>
      </c>
      <c r="AD39" s="57">
        <f t="shared" si="47"/>
        <v>0.22033286739307154</v>
      </c>
      <c r="AE39" s="57">
        <f t="shared" si="47"/>
        <v>0.21844041425436844</v>
      </c>
      <c r="AF39" s="57">
        <f t="shared" si="47"/>
        <v>0.22035137777431449</v>
      </c>
      <c r="AG39" s="57">
        <f t="shared" si="47"/>
        <v>0.21370757768076032</v>
      </c>
      <c r="AH39" s="57">
        <f t="shared" si="47"/>
        <v>0.19502141170289777</v>
      </c>
      <c r="AI39" s="57">
        <f t="shared" si="47"/>
        <v>0.18655328328518311</v>
      </c>
      <c r="AJ39" s="57">
        <f t="shared" si="47"/>
        <v>0.17873420495378428</v>
      </c>
      <c r="AK39" s="57">
        <f t="shared" si="47"/>
        <v>0.2217911171221349</v>
      </c>
      <c r="AL39" s="57">
        <f t="shared" si="47"/>
        <v>0.25242074429719918</v>
      </c>
      <c r="AM39" s="57">
        <f t="shared" si="47"/>
        <v>0.24035848036792273</v>
      </c>
      <c r="AN39" s="57">
        <f t="shared" si="47"/>
        <v>0.19940140885862589</v>
      </c>
      <c r="AO39" s="57">
        <f t="shared" si="47"/>
        <v>0.27041978119417465</v>
      </c>
      <c r="AP39" s="57">
        <f t="shared" si="47"/>
        <v>0.29065845983333238</v>
      </c>
      <c r="AQ39" s="57">
        <f t="shared" si="47"/>
        <v>0.315247876648446</v>
      </c>
      <c r="AR39" s="57">
        <f t="shared" si="47"/>
        <v>0.29382051850830021</v>
      </c>
      <c r="AS39" s="57">
        <f t="shared" si="47"/>
        <v>0.32734176930961717</v>
      </c>
      <c r="AT39" s="57">
        <f t="shared" si="47"/>
        <v>0.30337172788374017</v>
      </c>
      <c r="AU39" s="57">
        <f t="shared" si="47"/>
        <v>0.29274085355696794</v>
      </c>
      <c r="AV39" s="57">
        <f t="shared" si="47"/>
        <v>0.30447615833046937</v>
      </c>
      <c r="AW39" s="57">
        <f t="shared" si="47"/>
        <v>0.26907036830152981</v>
      </c>
      <c r="AX39" s="57">
        <f t="shared" si="47"/>
        <v>0.26771711858173908</v>
      </c>
      <c r="AY39" s="57">
        <f t="shared" si="47"/>
        <v>0.24699580480177186</v>
      </c>
      <c r="AZ39" s="57">
        <f t="shared" si="47"/>
        <v>0.26146111824327745</v>
      </c>
      <c r="BA39" s="57">
        <f t="shared" si="47"/>
        <v>0.26007694341354542</v>
      </c>
      <c r="BB39" s="57">
        <f t="shared" si="47"/>
        <v>0.2850799310707498</v>
      </c>
      <c r="BC39" s="57">
        <f t="shared" si="47"/>
        <v>0.30628068664946762</v>
      </c>
      <c r="BD39" s="57">
        <f t="shared" si="47"/>
        <v>0.29392344092828321</v>
      </c>
      <c r="BE39" s="57">
        <f t="shared" si="47"/>
        <v>0.24263374554850153</v>
      </c>
      <c r="BF39" s="57">
        <f t="shared" si="47"/>
        <v>0.27661196744065092</v>
      </c>
      <c r="BG39" s="57">
        <f t="shared" si="47"/>
        <v>0.30382903716075416</v>
      </c>
      <c r="BH39" s="57">
        <f t="shared" si="47"/>
        <v>0.28783734678003375</v>
      </c>
      <c r="BI39" s="57">
        <f t="shared" si="47"/>
        <v>0.22468521119493451</v>
      </c>
      <c r="BJ39" s="57">
        <f t="shared" si="47"/>
        <v>0.26708511012382652</v>
      </c>
      <c r="BK39" s="57">
        <f t="shared" si="47"/>
        <v>0.27792941395005766</v>
      </c>
      <c r="BL39" s="57">
        <f t="shared" si="47"/>
        <v>0.23944610857961116</v>
      </c>
      <c r="BM39" s="57">
        <f t="shared" si="47"/>
        <v>0.21525275655509424</v>
      </c>
      <c r="BN39" s="57">
        <f t="shared" si="47"/>
        <v>0.21683302329581347</v>
      </c>
      <c r="BO39" s="57">
        <f t="shared" si="47"/>
        <v>0.25476259612655627</v>
      </c>
      <c r="BP39" s="57">
        <f t="shared" si="47"/>
        <v>0.24267686618304479</v>
      </c>
      <c r="BQ39" s="57">
        <f t="shared" si="47"/>
        <v>0.1996055006687304</v>
      </c>
      <c r="BR39" s="57">
        <f t="shared" ref="BR39:CK39" si="48">BR38/BR4</f>
        <v>0.99907549586944611</v>
      </c>
      <c r="BS39" s="57">
        <f t="shared" si="48"/>
        <v>0.2585172593048144</v>
      </c>
      <c r="BT39" s="57">
        <f t="shared" si="48"/>
        <v>0.16491084535278661</v>
      </c>
      <c r="BU39" s="57">
        <f t="shared" si="48"/>
        <v>0.24527945878730389</v>
      </c>
      <c r="BV39" s="57">
        <f t="shared" si="48"/>
        <v>0.14540408354373752</v>
      </c>
      <c r="BW39" s="57">
        <f t="shared" si="48"/>
        <v>0.13059140876804623</v>
      </c>
      <c r="BX39" s="57">
        <f t="shared" si="48"/>
        <v>0.12014656410014579</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2828152344.0799999</v>
      </c>
      <c r="C40" s="26">
        <f t="shared" ref="C40:BN40" si="49">C60</f>
        <v>2075315522.8900001</v>
      </c>
      <c r="D40" s="26">
        <f t="shared" si="49"/>
        <v>1050542707</v>
      </c>
      <c r="E40" s="26">
        <f t="shared" si="49"/>
        <v>3440416082.3000002</v>
      </c>
      <c r="F40" s="26">
        <f t="shared" si="49"/>
        <v>2427384390.1100001</v>
      </c>
      <c r="G40" s="26">
        <f t="shared" si="49"/>
        <v>1580614505.98</v>
      </c>
      <c r="H40" s="26">
        <f t="shared" si="49"/>
        <v>763562067.22000003</v>
      </c>
      <c r="I40" s="26">
        <f t="shared" si="49"/>
        <v>1105009965.22</v>
      </c>
      <c r="J40" s="26">
        <f t="shared" si="49"/>
        <v>727221559.33000004</v>
      </c>
      <c r="K40" s="26">
        <f t="shared" si="49"/>
        <v>388388335.63999999</v>
      </c>
      <c r="L40" s="26">
        <f t="shared" si="49"/>
        <v>126267426.09999999</v>
      </c>
      <c r="M40" s="26">
        <f t="shared" si="49"/>
        <v>674887970.39999998</v>
      </c>
      <c r="N40" s="26">
        <f t="shared" si="49"/>
        <v>624632543.83000004</v>
      </c>
      <c r="O40" s="26">
        <f t="shared" si="49"/>
        <v>475876081.47000003</v>
      </c>
      <c r="P40" s="26">
        <f t="shared" si="49"/>
        <v>200891416.84999999</v>
      </c>
      <c r="Q40" s="26">
        <f t="shared" si="49"/>
        <v>950980245.09000003</v>
      </c>
      <c r="R40" s="26">
        <f t="shared" si="49"/>
        <v>866383398.58000004</v>
      </c>
      <c r="S40" s="26">
        <f t="shared" si="49"/>
        <v>560358515.97000003</v>
      </c>
      <c r="T40" s="26">
        <f t="shared" si="49"/>
        <v>263187145.33000001</v>
      </c>
      <c r="U40" s="26">
        <f t="shared" si="49"/>
        <v>659900041.15999997</v>
      </c>
      <c r="V40" s="26">
        <f t="shared" si="49"/>
        <v>588080065.97000003</v>
      </c>
      <c r="W40" s="26">
        <f t="shared" si="49"/>
        <v>395934009.92000002</v>
      </c>
      <c r="X40" s="26">
        <f t="shared" si="49"/>
        <v>196924891.36000001</v>
      </c>
      <c r="Y40" s="26">
        <f t="shared" si="49"/>
        <v>545978664.79999995</v>
      </c>
      <c r="Z40" s="26">
        <f t="shared" si="49"/>
        <v>399714664.26999998</v>
      </c>
      <c r="AA40" s="26">
        <f t="shared" si="49"/>
        <v>240981557.03</v>
      </c>
      <c r="AB40" s="26">
        <f t="shared" si="49"/>
        <v>110571592.18000001</v>
      </c>
      <c r="AC40" s="26">
        <f t="shared" si="49"/>
        <v>419540335.66000003</v>
      </c>
      <c r="AD40" s="26">
        <f t="shared" si="49"/>
        <v>376690567.62</v>
      </c>
      <c r="AE40" s="26">
        <f t="shared" si="49"/>
        <v>239692152.06999999</v>
      </c>
      <c r="AF40" s="26">
        <f t="shared" si="49"/>
        <v>112573320.41</v>
      </c>
      <c r="AG40" s="26">
        <f t="shared" si="49"/>
        <v>216911869.09</v>
      </c>
      <c r="AH40" s="26">
        <f t="shared" si="49"/>
        <v>169490169.12</v>
      </c>
      <c r="AI40" s="26">
        <f t="shared" si="49"/>
        <v>112957375.26000001</v>
      </c>
      <c r="AJ40" s="26">
        <f t="shared" si="49"/>
        <v>47305730.049999997</v>
      </c>
      <c r="AK40" s="26">
        <f t="shared" si="49"/>
        <v>170280700.09999999</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0.20517867565858691</v>
      </c>
      <c r="C41" s="57">
        <f t="shared" ref="C41:BN41" si="51">C40/C38</f>
        <v>0.21976310252533102</v>
      </c>
      <c r="D41" s="57">
        <f t="shared" si="51"/>
        <v>0.22848382801484721</v>
      </c>
      <c r="E41" s="57">
        <f t="shared" si="51"/>
        <v>0.21852905462111694</v>
      </c>
      <c r="F41" s="57">
        <f t="shared" si="51"/>
        <v>0.2099380559070855</v>
      </c>
      <c r="G41" s="57">
        <f t="shared" si="51"/>
        <v>0.2168216933982742</v>
      </c>
      <c r="H41" s="57">
        <f t="shared" si="51"/>
        <v>0.22747606576340063</v>
      </c>
      <c r="I41" s="57">
        <f t="shared" si="51"/>
        <v>0.19397216453471439</v>
      </c>
      <c r="J41" s="57">
        <f t="shared" si="51"/>
        <v>0.19645977630167741</v>
      </c>
      <c r="K41" s="57">
        <f t="shared" si="51"/>
        <v>0.19198482527390026</v>
      </c>
      <c r="L41" s="57">
        <f t="shared" si="51"/>
        <v>0.1887542594698407</v>
      </c>
      <c r="M41" s="57">
        <f t="shared" si="51"/>
        <v>0.25686107766359439</v>
      </c>
      <c r="N41" s="57">
        <f t="shared" si="51"/>
        <v>0.24307213474882641</v>
      </c>
      <c r="O41" s="57">
        <f t="shared" si="51"/>
        <v>0.25496020744242787</v>
      </c>
      <c r="P41" s="57">
        <f t="shared" si="51"/>
        <v>0.24245066271862797</v>
      </c>
      <c r="Q41" s="57">
        <f t="shared" si="51"/>
        <v>0.23168736202791118</v>
      </c>
      <c r="R41" s="57">
        <f t="shared" si="51"/>
        <v>0.2412321837612133</v>
      </c>
      <c r="S41" s="57">
        <f t="shared" si="51"/>
        <v>0.23692510979956699</v>
      </c>
      <c r="T41" s="57">
        <f t="shared" si="51"/>
        <v>0.22137233387065702</v>
      </c>
      <c r="U41" s="57">
        <f t="shared" si="51"/>
        <v>0.14738293794186122</v>
      </c>
      <c r="V41" s="57">
        <f t="shared" si="51"/>
        <v>0.1628773326497342</v>
      </c>
      <c r="W41" s="57">
        <f t="shared" si="51"/>
        <v>0.1673588934430357</v>
      </c>
      <c r="X41" s="57">
        <f t="shared" si="51"/>
        <v>0.17075764987904801</v>
      </c>
      <c r="Y41" s="57">
        <f t="shared" si="51"/>
        <v>0.15456223514380971</v>
      </c>
      <c r="Z41" s="57">
        <f t="shared" si="51"/>
        <v>0.1607924133576645</v>
      </c>
      <c r="AA41" s="57">
        <f t="shared" si="51"/>
        <v>0.16180651678221886</v>
      </c>
      <c r="AB41" s="57">
        <f t="shared" si="51"/>
        <v>0.16360239181361128</v>
      </c>
      <c r="AC41" s="57">
        <f t="shared" si="51"/>
        <v>0.14903540072734492</v>
      </c>
      <c r="AD41" s="57">
        <f t="shared" si="51"/>
        <v>0.16268353280030604</v>
      </c>
      <c r="AE41" s="57">
        <f t="shared" si="51"/>
        <v>0.15952564654636744</v>
      </c>
      <c r="AF41" s="57">
        <f t="shared" si="51"/>
        <v>0.16046900786222382</v>
      </c>
      <c r="AG41" s="57">
        <f t="shared" si="51"/>
        <v>0.10763709765923056</v>
      </c>
      <c r="AH41" s="57">
        <f t="shared" si="51"/>
        <v>0.12960339593288678</v>
      </c>
      <c r="AI41" s="57">
        <f t="shared" si="51"/>
        <v>0.13823069118421696</v>
      </c>
      <c r="AJ41" s="57">
        <f t="shared" si="51"/>
        <v>0.12915637194669305</v>
      </c>
      <c r="AK41" s="57">
        <f t="shared" si="51"/>
        <v>0.118244581061779</v>
      </c>
      <c r="AL41" s="57">
        <f t="shared" si="51"/>
        <v>0.12177895558042641</v>
      </c>
      <c r="AM41" s="57">
        <f t="shared" si="51"/>
        <v>0.10724070953126762</v>
      </c>
      <c r="AN41" s="57">
        <f t="shared" si="51"/>
        <v>8.983484110889213E-2</v>
      </c>
      <c r="AO41" s="57">
        <f t="shared" si="51"/>
        <v>0.12842433052320323</v>
      </c>
      <c r="AP41" s="57">
        <f t="shared" si="51"/>
        <v>0.22140162744821337</v>
      </c>
      <c r="AQ41" s="57">
        <f t="shared" si="51"/>
        <v>0.23091551110754266</v>
      </c>
      <c r="AR41" s="57">
        <f t="shared" si="51"/>
        <v>0.25281896690258848</v>
      </c>
      <c r="AS41" s="57">
        <f t="shared" si="51"/>
        <v>0.30744599323454358</v>
      </c>
      <c r="AT41" s="57">
        <f t="shared" si="51"/>
        <v>0.30086945116155606</v>
      </c>
      <c r="AU41" s="57">
        <f t="shared" si="51"/>
        <v>0.32024025256670985</v>
      </c>
      <c r="AV41" s="57">
        <f t="shared" si="51"/>
        <v>0.30264745283684003</v>
      </c>
      <c r="AW41" s="57">
        <f t="shared" si="51"/>
        <v>0.29951540050389064</v>
      </c>
      <c r="AX41" s="57">
        <f t="shared" si="51"/>
        <v>0.32952171542504555</v>
      </c>
      <c r="AY41" s="57">
        <f t="shared" si="51"/>
        <v>0.36061000377558661</v>
      </c>
      <c r="AZ41" s="57">
        <f t="shared" si="51"/>
        <v>0.33623027636999442</v>
      </c>
      <c r="BA41" s="57">
        <f t="shared" si="51"/>
        <v>0.2872458060685128</v>
      </c>
      <c r="BB41" s="57">
        <f t="shared" si="51"/>
        <v>0.32954388533184109</v>
      </c>
      <c r="BC41" s="57">
        <f t="shared" si="51"/>
        <v>0.33050475207659019</v>
      </c>
      <c r="BD41" s="57">
        <f t="shared" si="51"/>
        <v>0.32975721443910561</v>
      </c>
      <c r="BE41" s="57">
        <f t="shared" si="51"/>
        <v>0.21573551346652595</v>
      </c>
      <c r="BF41" s="57">
        <f t="shared" si="51"/>
        <v>0.33187531914408064</v>
      </c>
      <c r="BG41" s="57">
        <f t="shared" si="51"/>
        <v>0.3322156789128895</v>
      </c>
      <c r="BH41" s="57">
        <f t="shared" si="51"/>
        <v>0.33251475475751791</v>
      </c>
      <c r="BI41" s="57">
        <f t="shared" si="51"/>
        <v>0.23128420331172883</v>
      </c>
      <c r="BJ41" s="57">
        <f t="shared" si="51"/>
        <v>0.30900521240049073</v>
      </c>
      <c r="BK41" s="57">
        <f t="shared" si="51"/>
        <v>0.31780662922712344</v>
      </c>
      <c r="BL41" s="57">
        <f t="shared" si="51"/>
        <v>0.32642413302242973</v>
      </c>
      <c r="BM41" s="57">
        <f t="shared" si="51"/>
        <v>0.1876892228218506</v>
      </c>
      <c r="BN41" s="57">
        <f t="shared" si="51"/>
        <v>0.21740527007255356</v>
      </c>
      <c r="BO41" s="57">
        <f t="shared" ref="BO41:CJ41" si="52">BO40/BO38</f>
        <v>0.17016289637093615</v>
      </c>
      <c r="BP41" s="57">
        <f t="shared" si="52"/>
        <v>0.33063709121213491</v>
      </c>
      <c r="BQ41" s="57">
        <f t="shared" si="52"/>
        <v>0.11981697536715769</v>
      </c>
      <c r="BR41" s="57">
        <f t="shared" si="52"/>
        <v>5.0628984827285749E-2</v>
      </c>
      <c r="BS41" s="57">
        <f t="shared" si="52"/>
        <v>0.16554528075549474</v>
      </c>
      <c r="BT41" s="57">
        <f t="shared" si="52"/>
        <v>0.18379823417572835</v>
      </c>
      <c r="BU41" s="57">
        <f t="shared" si="52"/>
        <v>0.33569265787306601</v>
      </c>
      <c r="BV41" s="57">
        <f t="shared" si="52"/>
        <v>0.34165653954927411</v>
      </c>
      <c r="BW41" s="57">
        <f t="shared" si="52"/>
        <v>0.15771140984365753</v>
      </c>
      <c r="BX41" s="57">
        <f t="shared" si="52"/>
        <v>0.22597353745388218</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10955698901.679998</v>
      </c>
      <c r="C42" s="28">
        <f t="shared" ref="C42:BN42" si="53">C38-C40</f>
        <v>7368105593.0399981</v>
      </c>
      <c r="D42" s="28">
        <f t="shared" si="53"/>
        <v>3547343787.3200016</v>
      </c>
      <c r="E42" s="28">
        <f t="shared" si="53"/>
        <v>12303101814.049995</v>
      </c>
      <c r="F42" s="28">
        <f t="shared" si="53"/>
        <v>9134999474.1299973</v>
      </c>
      <c r="G42" s="28">
        <f t="shared" si="53"/>
        <v>5709313366.1200008</v>
      </c>
      <c r="H42" s="28">
        <f t="shared" si="53"/>
        <v>2593107851.6900005</v>
      </c>
      <c r="I42" s="28">
        <f t="shared" si="53"/>
        <v>4591735069.6699982</v>
      </c>
      <c r="J42" s="28">
        <f t="shared" si="53"/>
        <v>2974409242.7599998</v>
      </c>
      <c r="K42" s="28">
        <f t="shared" si="53"/>
        <v>1634627468.269999</v>
      </c>
      <c r="L42" s="28">
        <f t="shared" si="53"/>
        <v>542683973.74999964</v>
      </c>
      <c r="M42" s="28">
        <f t="shared" si="53"/>
        <v>1952555535.3999977</v>
      </c>
      <c r="N42" s="28">
        <f t="shared" si="53"/>
        <v>1945108921.9100003</v>
      </c>
      <c r="O42" s="28">
        <f t="shared" si="53"/>
        <v>1390595891.72</v>
      </c>
      <c r="P42" s="28">
        <f t="shared" si="53"/>
        <v>627695375.19000006</v>
      </c>
      <c r="Q42" s="28">
        <f t="shared" si="53"/>
        <v>3153603780.4100022</v>
      </c>
      <c r="R42" s="28">
        <f t="shared" si="53"/>
        <v>2725108354.6000009</v>
      </c>
      <c r="S42" s="28">
        <f t="shared" si="53"/>
        <v>1804770770.8499997</v>
      </c>
      <c r="T42" s="28">
        <f t="shared" si="53"/>
        <v>925701911.9799999</v>
      </c>
      <c r="U42" s="28">
        <f t="shared" si="53"/>
        <v>3817552032.8400011</v>
      </c>
      <c r="V42" s="28">
        <f t="shared" si="53"/>
        <v>3022490271.8599997</v>
      </c>
      <c r="W42" s="28">
        <f t="shared" si="53"/>
        <v>1969844119.789999</v>
      </c>
      <c r="X42" s="28">
        <f t="shared" si="53"/>
        <v>956317095.16000021</v>
      </c>
      <c r="Y42" s="28">
        <f t="shared" si="53"/>
        <v>2986440909.0500011</v>
      </c>
      <c r="Z42" s="28">
        <f t="shared" si="53"/>
        <v>2086190335.3700018</v>
      </c>
      <c r="AA42" s="28">
        <f t="shared" si="53"/>
        <v>1248337673.259999</v>
      </c>
      <c r="AB42" s="28">
        <f t="shared" si="53"/>
        <v>565284004.75999999</v>
      </c>
      <c r="AC42" s="28">
        <f t="shared" si="53"/>
        <v>2395497793.6199989</v>
      </c>
      <c r="AD42" s="28">
        <f t="shared" si="53"/>
        <v>1938790053.7800007</v>
      </c>
      <c r="AE42" s="28">
        <f t="shared" si="53"/>
        <v>1262838364.2399998</v>
      </c>
      <c r="AF42" s="28">
        <f t="shared" si="53"/>
        <v>588953547.05000007</v>
      </c>
      <c r="AG42" s="28">
        <f t="shared" si="53"/>
        <v>1798302901.720001</v>
      </c>
      <c r="AH42" s="28">
        <f t="shared" si="53"/>
        <v>1138270078.2100005</v>
      </c>
      <c r="AI42" s="28">
        <f t="shared" si="53"/>
        <v>704208293.90000033</v>
      </c>
      <c r="AJ42" s="28">
        <f t="shared" si="53"/>
        <v>318961371.8900001</v>
      </c>
      <c r="AK42" s="28">
        <f t="shared" si="53"/>
        <v>1269791213.3100007</v>
      </c>
      <c r="AL42" s="28">
        <f t="shared" si="53"/>
        <v>1031806446.5099999</v>
      </c>
      <c r="AM42" s="28">
        <f t="shared" si="53"/>
        <v>590092429.62</v>
      </c>
      <c r="AN42" s="28">
        <f t="shared" si="53"/>
        <v>219925513.31000009</v>
      </c>
      <c r="AO42" s="28">
        <f t="shared" si="53"/>
        <v>1815858422.1699996</v>
      </c>
      <c r="AP42" s="28">
        <f t="shared" si="53"/>
        <v>1396884229.2999997</v>
      </c>
      <c r="AQ42" s="28">
        <f t="shared" si="53"/>
        <v>1010477055.5100005</v>
      </c>
      <c r="AR42" s="28">
        <f t="shared" si="53"/>
        <v>431409122.92999989</v>
      </c>
      <c r="AS42" s="28">
        <f t="shared" si="53"/>
        <v>1769086875.1000004</v>
      </c>
      <c r="AT42" s="28">
        <f t="shared" si="53"/>
        <v>1244026736.0400004</v>
      </c>
      <c r="AU42" s="28">
        <f t="shared" si="53"/>
        <v>702166245.66000056</v>
      </c>
      <c r="AV42" s="28">
        <f t="shared" si="53"/>
        <v>366875592.93000013</v>
      </c>
      <c r="AW42" s="28">
        <f t="shared" si="53"/>
        <v>924977423.69999945</v>
      </c>
      <c r="AX42" s="28">
        <f t="shared" si="53"/>
        <v>636793405.5</v>
      </c>
      <c r="AY42" s="28">
        <f t="shared" si="53"/>
        <v>331929105.13000005</v>
      </c>
      <c r="AZ42" s="28">
        <f t="shared" si="53"/>
        <v>183081860.66999996</v>
      </c>
      <c r="BA42" s="28">
        <f t="shared" si="53"/>
        <v>613492642.35999978</v>
      </c>
      <c r="BB42" s="28">
        <f t="shared" si="53"/>
        <v>487630658.85999972</v>
      </c>
      <c r="BC42" s="28">
        <f t="shared" si="53"/>
        <v>332076941.68000007</v>
      </c>
      <c r="BD42" s="28">
        <f t="shared" si="53"/>
        <v>156632583.63000005</v>
      </c>
      <c r="BE42" s="28">
        <f t="shared" si="53"/>
        <v>400411640.56999987</v>
      </c>
      <c r="BF42" s="28">
        <f t="shared" si="53"/>
        <v>313383672.83999979</v>
      </c>
      <c r="BG42" s="28">
        <f t="shared" si="53"/>
        <v>213859664.64000002</v>
      </c>
      <c r="BH42" s="28">
        <f t="shared" si="53"/>
        <v>96187793.560000032</v>
      </c>
      <c r="BI42" s="28">
        <f t="shared" si="53"/>
        <v>232083552.96000001</v>
      </c>
      <c r="BJ42" s="28">
        <f t="shared" si="53"/>
        <v>186533868.92000005</v>
      </c>
      <c r="BK42" s="28">
        <f t="shared" si="53"/>
        <v>138188827.16000006</v>
      </c>
      <c r="BL42" s="28">
        <f t="shared" si="53"/>
        <v>58935930.389999986</v>
      </c>
      <c r="BM42" s="28">
        <f t="shared" si="53"/>
        <v>154174823.98000008</v>
      </c>
      <c r="BN42" s="28">
        <f t="shared" si="53"/>
        <v>124131558.28999998</v>
      </c>
      <c r="BO42" s="28">
        <f t="shared" ref="BO42:CK42" si="54">BO38-BO40</f>
        <v>92925723.220000029</v>
      </c>
      <c r="BP42" s="28">
        <f t="shared" si="54"/>
        <v>35590814.430000007</v>
      </c>
      <c r="BQ42" s="28">
        <f t="shared" si="54"/>
        <v>100369310.87999998</v>
      </c>
      <c r="BR42" s="28">
        <f t="shared" si="54"/>
        <v>453263900</v>
      </c>
      <c r="BS42" s="28">
        <f t="shared" si="54"/>
        <v>62594563.900000013</v>
      </c>
      <c r="BT42" s="28">
        <f t="shared" si="54"/>
        <v>46417406.290000021</v>
      </c>
      <c r="BU42" s="28">
        <f t="shared" si="54"/>
        <v>26215376.410000011</v>
      </c>
      <c r="BV42" s="28">
        <f t="shared" si="54"/>
        <v>20141298.319999993</v>
      </c>
      <c r="BW42" s="28">
        <f t="shared" si="54"/>
        <v>19875895.800000008</v>
      </c>
      <c r="BX42" s="28">
        <f t="shared" si="54"/>
        <v>13019948.609999992</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23.856548788098639</v>
      </c>
      <c r="C43" s="57">
        <f t="shared" ref="C43:D43" si="55">C42/C4*100</f>
        <v>24.51608031697539</v>
      </c>
      <c r="D43" s="57">
        <f t="shared" si="55"/>
        <v>26.079740791669813</v>
      </c>
      <c r="E43" s="57">
        <f>E42/E4</f>
        <v>0.23159576243893973</v>
      </c>
      <c r="F43" s="57">
        <f t="shared" ref="F43:BQ43" si="56">F42/F4</f>
        <v>0.2344501533018376</v>
      </c>
      <c r="G43" s="57">
        <f t="shared" si="56"/>
        <v>0.23370008827225616</v>
      </c>
      <c r="H43" s="57">
        <f t="shared" si="56"/>
        <v>0.23558611759488154</v>
      </c>
      <c r="I43" s="57">
        <f t="shared" si="56"/>
        <v>0.15255003964142411</v>
      </c>
      <c r="J43" s="57">
        <f t="shared" si="56"/>
        <v>0.14209742950027379</v>
      </c>
      <c r="K43" s="57">
        <f t="shared" si="56"/>
        <v>0.13102417471494932</v>
      </c>
      <c r="L43" s="57">
        <f t="shared" si="56"/>
        <v>0.10240071569466262</v>
      </c>
      <c r="M43" s="57">
        <f t="shared" si="56"/>
        <v>0.10017018167895622</v>
      </c>
      <c r="N43" s="57">
        <f t="shared" si="56"/>
        <v>0.13153004020007</v>
      </c>
      <c r="O43" s="57">
        <f t="shared" si="56"/>
        <v>0.13847434993213353</v>
      </c>
      <c r="P43" s="57">
        <f t="shared" si="56"/>
        <v>0.13839594659336532</v>
      </c>
      <c r="Q43" s="57">
        <f t="shared" si="56"/>
        <v>0.1427721464361488</v>
      </c>
      <c r="R43" s="57">
        <f t="shared" si="56"/>
        <v>0.15343905231286492</v>
      </c>
      <c r="S43" s="57">
        <f t="shared" si="56"/>
        <v>0.15471911394046192</v>
      </c>
      <c r="T43" s="57">
        <f t="shared" si="56"/>
        <v>0.1802220024004822</v>
      </c>
      <c r="U43" s="57">
        <f t="shared" si="56"/>
        <v>0.18863312011138009</v>
      </c>
      <c r="V43" s="57">
        <f t="shared" si="56"/>
        <v>0.19659467690755511</v>
      </c>
      <c r="W43" s="57">
        <f t="shared" si="56"/>
        <v>0.19746024039863885</v>
      </c>
      <c r="X43" s="57">
        <f t="shared" si="56"/>
        <v>0.20021970549908913</v>
      </c>
      <c r="Y43" s="57">
        <f t="shared" si="56"/>
        <v>0.18733014732411812</v>
      </c>
      <c r="Z43" s="57">
        <f t="shared" si="56"/>
        <v>0.18267284274849643</v>
      </c>
      <c r="AA43" s="57">
        <f t="shared" si="56"/>
        <v>0.17434470061646407</v>
      </c>
      <c r="AB43" s="57">
        <f t="shared" si="56"/>
        <v>0.17228294512868389</v>
      </c>
      <c r="AC43" s="57">
        <f t="shared" si="56"/>
        <v>0.17533625427348259</v>
      </c>
      <c r="AD43" s="57">
        <f t="shared" si="56"/>
        <v>0.18448833813354529</v>
      </c>
      <c r="AE43" s="57">
        <f t="shared" si="56"/>
        <v>0.183593565938584</v>
      </c>
      <c r="AF43" s="57">
        <f t="shared" si="56"/>
        <v>0.18499181080179616</v>
      </c>
      <c r="AG43" s="57">
        <f t="shared" si="56"/>
        <v>0.19070471427141872</v>
      </c>
      <c r="AH43" s="57">
        <f t="shared" si="56"/>
        <v>0.16974597446657658</v>
      </c>
      <c r="AI43" s="57">
        <f t="shared" si="56"/>
        <v>0.16076589399398722</v>
      </c>
      <c r="AJ43" s="57">
        <f t="shared" si="56"/>
        <v>0.15564954349917684</v>
      </c>
      <c r="AK43" s="57">
        <f t="shared" si="56"/>
        <v>0.19556551939480413</v>
      </c>
      <c r="AL43" s="57">
        <f t="shared" si="56"/>
        <v>0.22168120968985242</v>
      </c>
      <c r="AM43" s="57">
        <f t="shared" si="56"/>
        <v>0.21458226639140943</v>
      </c>
      <c r="AN43" s="57">
        <f t="shared" si="56"/>
        <v>0.18148821497692202</v>
      </c>
      <c r="AO43" s="57">
        <f t="shared" si="56"/>
        <v>0.23569130183408166</v>
      </c>
      <c r="AP43" s="57">
        <f t="shared" si="56"/>
        <v>0.22630620379464142</v>
      </c>
      <c r="AQ43" s="57">
        <f t="shared" si="56"/>
        <v>0.24245225208660254</v>
      </c>
      <c r="AR43" s="57">
        <f t="shared" si="56"/>
        <v>0.21953711856424885</v>
      </c>
      <c r="AS43" s="57">
        <f t="shared" si="56"/>
        <v>0.22670185391706907</v>
      </c>
      <c r="AT43" s="57">
        <f t="shared" si="56"/>
        <v>0.21209644261742638</v>
      </c>
      <c r="AU43" s="57">
        <f t="shared" si="56"/>
        <v>0.1989934486772903</v>
      </c>
      <c r="AV43" s="57">
        <f t="shared" si="56"/>
        <v>0.21232722456220643</v>
      </c>
      <c r="AW43" s="57">
        <f t="shared" si="56"/>
        <v>0.18847964917596774</v>
      </c>
      <c r="AX43" s="57">
        <f t="shared" si="56"/>
        <v>0.17949851441803405</v>
      </c>
      <c r="AY43" s="57">
        <f t="shared" si="56"/>
        <v>0.15792664669965087</v>
      </c>
      <c r="AZ43" s="57">
        <f t="shared" si="56"/>
        <v>0.17354997419633247</v>
      </c>
      <c r="BA43" s="57">
        <f t="shared" si="56"/>
        <v>0.18537093216288658</v>
      </c>
      <c r="BB43" s="57">
        <f t="shared" si="56"/>
        <v>0.19113358295556146</v>
      </c>
      <c r="BC43" s="57">
        <f t="shared" si="56"/>
        <v>0.20505346424253751</v>
      </c>
      <c r="BD43" s="57">
        <f t="shared" si="56"/>
        <v>0.19700006578941553</v>
      </c>
      <c r="BE43" s="57">
        <f t="shared" si="56"/>
        <v>0.19028902986828916</v>
      </c>
      <c r="BF43" s="57">
        <f t="shared" si="56"/>
        <v>0.18481128246721285</v>
      </c>
      <c r="BG43" s="57">
        <f t="shared" si="56"/>
        <v>0.20289226730694471</v>
      </c>
      <c r="BH43" s="57">
        <f t="shared" si="56"/>
        <v>0.19212718200541617</v>
      </c>
      <c r="BI43" s="57">
        <f t="shared" si="56"/>
        <v>0.17271907112778656</v>
      </c>
      <c r="BJ43" s="57">
        <f t="shared" si="56"/>
        <v>0.18455441894100505</v>
      </c>
      <c r="BK43" s="57">
        <f t="shared" si="56"/>
        <v>0.18960160373951995</v>
      </c>
      <c r="BL43" s="57">
        <f t="shared" si="56"/>
        <v>0.16128512018091701</v>
      </c>
      <c r="BM43" s="57">
        <f t="shared" si="56"/>
        <v>0.17485213396700761</v>
      </c>
      <c r="BN43" s="57">
        <f t="shared" si="56"/>
        <v>0.16969238130553885</v>
      </c>
      <c r="BO43" s="57">
        <f t="shared" si="56"/>
        <v>0.2114114548826824</v>
      </c>
      <c r="BP43" s="57">
        <f t="shared" si="56"/>
        <v>0.16243889304380638</v>
      </c>
      <c r="BQ43" s="57">
        <f t="shared" si="56"/>
        <v>0.17568937331195594</v>
      </c>
      <c r="BR43" s="57">
        <f t="shared" ref="BR43:CK43" si="57">BR42/BR4</f>
        <v>0.94849331774775891</v>
      </c>
      <c r="BS43" s="57">
        <f t="shared" si="57"/>
        <v>0.21572094703305786</v>
      </c>
      <c r="BT43" s="57">
        <f t="shared" si="57"/>
        <v>0.13460052318051779</v>
      </c>
      <c r="BU43" s="57">
        <f t="shared" si="57"/>
        <v>0.16294094534532669</v>
      </c>
      <c r="BV43" s="57">
        <f t="shared" si="57"/>
        <v>9.5725827523850587E-2</v>
      </c>
      <c r="BW43" s="57">
        <f t="shared" si="57"/>
        <v>0.10999565357776829</v>
      </c>
      <c r="BX43" s="57">
        <f t="shared" si="57"/>
        <v>9.2996619997506233E-2</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2983146553.2656002</v>
      </c>
      <c r="C45" s="26">
        <f t="shared" ref="C45:BN45" si="58">C70*C69</f>
        <v>2766348534.0415998</v>
      </c>
      <c r="D45" s="26">
        <f t="shared" si="58"/>
        <v>2462250414.7927999</v>
      </c>
      <c r="E45" s="26">
        <f t="shared" si="58"/>
        <v>2460330124.6696</v>
      </c>
      <c r="F45" s="26">
        <f t="shared" si="58"/>
        <v>2134973927.5464003</v>
      </c>
      <c r="G45" s="26">
        <f t="shared" si="58"/>
        <v>1990900108.6072001</v>
      </c>
      <c r="H45" s="26">
        <f t="shared" si="58"/>
        <v>1870442635.8488002</v>
      </c>
      <c r="I45" s="26">
        <f t="shared" si="58"/>
        <v>1466714964.4544001</v>
      </c>
      <c r="J45" s="26">
        <f t="shared" si="58"/>
        <v>1343744763.7096002</v>
      </c>
      <c r="K45" s="26">
        <f t="shared" si="58"/>
        <v>1245922161.2952001</v>
      </c>
      <c r="L45" s="26">
        <f t="shared" si="58"/>
        <v>1194688551.5496001</v>
      </c>
      <c r="M45" s="26">
        <f t="shared" si="58"/>
        <v>1185858751.6624</v>
      </c>
      <c r="N45" s="26">
        <f t="shared" si="58"/>
        <v>1157853265.6064</v>
      </c>
      <c r="O45" s="26">
        <f t="shared" si="58"/>
        <v>1111247386.448</v>
      </c>
      <c r="P45" s="26">
        <f t="shared" si="58"/>
        <v>1108489139.7728</v>
      </c>
      <c r="Q45" s="26">
        <f t="shared" si="58"/>
        <v>1062854053.8224001</v>
      </c>
      <c r="R45" s="26">
        <f t="shared" si="58"/>
        <v>1022655705.5632001</v>
      </c>
      <c r="S45" s="26">
        <f t="shared" si="58"/>
        <v>935389349.52320004</v>
      </c>
      <c r="T45" s="26">
        <f t="shared" si="58"/>
        <v>1016646286.6744001</v>
      </c>
      <c r="U45" s="26">
        <f t="shared" si="58"/>
        <v>942476436.22240007</v>
      </c>
      <c r="V45" s="26">
        <f t="shared" si="58"/>
        <v>883443533.03999996</v>
      </c>
      <c r="W45" s="26">
        <f t="shared" si="58"/>
        <v>799175029.14320004</v>
      </c>
      <c r="X45" s="26">
        <f t="shared" si="58"/>
        <v>847272605.47520006</v>
      </c>
      <c r="Y45" s="26">
        <f t="shared" si="58"/>
        <v>787424804.24479997</v>
      </c>
      <c r="Z45" s="26">
        <f t="shared" si="58"/>
        <v>714034890.21679997</v>
      </c>
      <c r="AA45" s="26">
        <f t="shared" si="58"/>
        <v>646948358.65439999</v>
      </c>
      <c r="AB45" s="26">
        <f t="shared" si="58"/>
        <v>698820187.324</v>
      </c>
      <c r="AC45" s="26">
        <f t="shared" si="58"/>
        <v>657249929.9576</v>
      </c>
      <c r="AD45" s="26">
        <f t="shared" si="58"/>
        <v>659350303.7112</v>
      </c>
      <c r="AE45" s="26">
        <f t="shared" si="58"/>
        <v>605274168.54559994</v>
      </c>
      <c r="AF45" s="26">
        <f t="shared" si="58"/>
        <v>619533826.56560004</v>
      </c>
      <c r="AG45" s="26">
        <f t="shared" si="58"/>
        <v>572417542.8016001</v>
      </c>
      <c r="AH45" s="26">
        <f t="shared" si="58"/>
        <v>504582541.46960002</v>
      </c>
      <c r="AI45" s="26">
        <f t="shared" si="58"/>
        <v>469857598.72400004</v>
      </c>
      <c r="AJ45" s="26">
        <f t="shared" si="58"/>
        <v>491693031.12720001</v>
      </c>
      <c r="AK45" s="26">
        <f t="shared" si="58"/>
        <v>466009467.0984</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7972552348.4143982</v>
      </c>
      <c r="C47" s="28">
        <f t="shared" ref="C47:BN47" si="62">C42-C45</f>
        <v>4601757058.9983978</v>
      </c>
      <c r="D47" s="28">
        <f t="shared" si="62"/>
        <v>1085093372.5272017</v>
      </c>
      <c r="E47" s="28">
        <f t="shared" si="62"/>
        <v>9842771689.3803959</v>
      </c>
      <c r="F47" s="28">
        <f t="shared" si="62"/>
        <v>7000025546.5835972</v>
      </c>
      <c r="G47" s="28">
        <f t="shared" si="62"/>
        <v>3718413257.5128007</v>
      </c>
      <c r="H47" s="28">
        <f t="shared" si="62"/>
        <v>722665215.84120035</v>
      </c>
      <c r="I47" s="28">
        <f t="shared" si="62"/>
        <v>3125020105.2155981</v>
      </c>
      <c r="J47" s="28">
        <f t="shared" si="62"/>
        <v>1630664479.0503995</v>
      </c>
      <c r="K47" s="28">
        <f t="shared" si="62"/>
        <v>388705306.97479892</v>
      </c>
      <c r="L47" s="28">
        <f t="shared" si="62"/>
        <v>-652004577.79960048</v>
      </c>
      <c r="M47" s="28">
        <f t="shared" si="62"/>
        <v>766696783.7375977</v>
      </c>
      <c r="N47" s="28">
        <f t="shared" si="62"/>
        <v>787255656.30360031</v>
      </c>
      <c r="O47" s="28">
        <f t="shared" si="62"/>
        <v>279348505.27200007</v>
      </c>
      <c r="P47" s="28">
        <f t="shared" si="62"/>
        <v>-480793764.58279991</v>
      </c>
      <c r="Q47" s="28">
        <f t="shared" si="62"/>
        <v>2090749726.5876021</v>
      </c>
      <c r="R47" s="28">
        <f t="shared" si="62"/>
        <v>1702452649.0368009</v>
      </c>
      <c r="S47" s="28">
        <f t="shared" si="62"/>
        <v>869381421.32679963</v>
      </c>
      <c r="T47" s="28">
        <f t="shared" si="62"/>
        <v>-90944374.694400191</v>
      </c>
      <c r="U47" s="28">
        <f t="shared" si="62"/>
        <v>2875075596.6176009</v>
      </c>
      <c r="V47" s="28">
        <f t="shared" si="62"/>
        <v>2139046738.8199997</v>
      </c>
      <c r="W47" s="28">
        <f t="shared" si="62"/>
        <v>1170669090.6467991</v>
      </c>
      <c r="X47" s="28">
        <f t="shared" si="62"/>
        <v>109044489.68480015</v>
      </c>
      <c r="Y47" s="28">
        <f t="shared" si="62"/>
        <v>2199016104.8052011</v>
      </c>
      <c r="Z47" s="28">
        <f t="shared" si="62"/>
        <v>1372155445.1532018</v>
      </c>
      <c r="AA47" s="28">
        <f t="shared" si="62"/>
        <v>601389314.60559905</v>
      </c>
      <c r="AB47" s="28">
        <f t="shared" si="62"/>
        <v>-133536182.56400001</v>
      </c>
      <c r="AC47" s="28">
        <f t="shared" si="62"/>
        <v>1738247863.6623988</v>
      </c>
      <c r="AD47" s="28">
        <f t="shared" si="62"/>
        <v>1279439750.0688007</v>
      </c>
      <c r="AE47" s="28">
        <f t="shared" si="62"/>
        <v>657564195.69439983</v>
      </c>
      <c r="AF47" s="28">
        <f t="shared" si="62"/>
        <v>-30580279.515599966</v>
      </c>
      <c r="AG47" s="28">
        <f t="shared" si="62"/>
        <v>1225885358.9184008</v>
      </c>
      <c r="AH47" s="28">
        <f t="shared" si="62"/>
        <v>633687536.74040055</v>
      </c>
      <c r="AI47" s="28">
        <f t="shared" si="62"/>
        <v>234350695.1760003</v>
      </c>
      <c r="AJ47" s="28">
        <f t="shared" si="62"/>
        <v>-172731659.2371999</v>
      </c>
      <c r="AK47" s="28">
        <f t="shared" si="62"/>
        <v>803781746.21160066</v>
      </c>
      <c r="AL47" s="28">
        <f t="shared" si="62"/>
        <v>585683802.66759992</v>
      </c>
      <c r="AM47" s="28">
        <f t="shared" si="62"/>
        <v>179088471.56879997</v>
      </c>
      <c r="AN47" s="28">
        <f t="shared" si="62"/>
        <v>-157603244.00919989</v>
      </c>
      <c r="AO47" s="28">
        <f t="shared" si="62"/>
        <v>1379905283.2075996</v>
      </c>
      <c r="AP47" s="28">
        <f t="shared" si="62"/>
        <v>993121115.07999969</v>
      </c>
      <c r="AQ47" s="28">
        <f t="shared" si="62"/>
        <v>637339929.57960045</v>
      </c>
      <c r="AR47" s="28">
        <f t="shared" si="62"/>
        <v>109653060.76199991</v>
      </c>
      <c r="AS47" s="28">
        <f t="shared" si="62"/>
        <v>1414008727.1824002</v>
      </c>
      <c r="AT47" s="28">
        <f t="shared" si="62"/>
        <v>928563860.19760036</v>
      </c>
      <c r="AU47" s="28">
        <f t="shared" si="62"/>
        <v>430070635.30400056</v>
      </c>
      <c r="AV47" s="28">
        <f t="shared" si="62"/>
        <v>106383172.98520014</v>
      </c>
      <c r="AW47" s="28">
        <f t="shared" si="62"/>
        <v>699396283.44479942</v>
      </c>
      <c r="AX47" s="28">
        <f t="shared" si="62"/>
        <v>432803464.0352</v>
      </c>
      <c r="AY47" s="28">
        <f t="shared" si="62"/>
        <v>152269873.98200005</v>
      </c>
      <c r="AZ47" s="28">
        <f t="shared" si="62"/>
        <v>5209045.5859999359</v>
      </c>
      <c r="BA47" s="28">
        <f t="shared" si="62"/>
        <v>465060366.14239979</v>
      </c>
      <c r="BB47" s="28">
        <f t="shared" si="62"/>
        <v>350410349.1263997</v>
      </c>
      <c r="BC47" s="28">
        <f t="shared" si="62"/>
        <v>207021028.83040008</v>
      </c>
      <c r="BD47" s="28">
        <f t="shared" si="62"/>
        <v>34916728.708400056</v>
      </c>
      <c r="BE47" s="28">
        <f t="shared" si="62"/>
        <v>291230094.32919985</v>
      </c>
      <c r="BF47" s="28">
        <f t="shared" si="62"/>
        <v>211304163.4951998</v>
      </c>
      <c r="BG47" s="28">
        <f t="shared" si="62"/>
        <v>119749497.07760002</v>
      </c>
      <c r="BH47" s="28">
        <f t="shared" si="62"/>
        <v>5373651.9360000342</v>
      </c>
      <c r="BI47" s="28">
        <f t="shared" si="62"/>
        <v>149051674.85680002</v>
      </c>
      <c r="BJ47" s="28">
        <f t="shared" si="62"/>
        <v>107149337.15360004</v>
      </c>
      <c r="BK47" s="28">
        <f t="shared" si="62"/>
        <v>68577466.015200064</v>
      </c>
      <c r="BL47" s="28">
        <f t="shared" si="62"/>
        <v>-4251800.4772000164</v>
      </c>
      <c r="BM47" s="28">
        <f t="shared" si="62"/>
        <v>89482118.340000078</v>
      </c>
      <c r="BN47" s="28">
        <f t="shared" si="62"/>
        <v>61878347.591599971</v>
      </c>
      <c r="BO47" s="28">
        <f t="shared" ref="BO47:CJ47" si="63">BO42-BO45</f>
        <v>33178533.752800025</v>
      </c>
      <c r="BP47" s="28">
        <f t="shared" si="63"/>
        <v>-19568523.599599995</v>
      </c>
      <c r="BQ47" s="28">
        <f t="shared" si="63"/>
        <v>48065450.098399982</v>
      </c>
      <c r="BR47" s="28">
        <f t="shared" si="63"/>
        <v>453263900</v>
      </c>
      <c r="BS47" s="28">
        <f t="shared" si="63"/>
        <v>9487258.7568000183</v>
      </c>
      <c r="BT47" s="28">
        <f t="shared" si="63"/>
        <v>-1668183.0371999815</v>
      </c>
      <c r="BU47" s="28">
        <f t="shared" si="63"/>
        <v>13799161.890000012</v>
      </c>
      <c r="BV47" s="28">
        <f t="shared" si="63"/>
        <v>9876773.9815999921</v>
      </c>
      <c r="BW47" s="28">
        <f t="shared" si="63"/>
        <v>10084149.102400009</v>
      </c>
      <c r="BX47" s="28">
        <f t="shared" si="63"/>
        <v>7419282.5683999918</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5">
        <v>20180930</v>
      </c>
      <c r="C51" s="195">
        <v>20180630</v>
      </c>
      <c r="D51" s="195">
        <v>20180331</v>
      </c>
      <c r="E51" s="195">
        <v>20171231</v>
      </c>
      <c r="F51" s="195">
        <v>20170930</v>
      </c>
      <c r="G51" s="195">
        <v>20170630</v>
      </c>
      <c r="H51" s="195">
        <v>20170331</v>
      </c>
      <c r="I51" s="195">
        <v>20161231</v>
      </c>
      <c r="J51" s="195">
        <v>20160930</v>
      </c>
      <c r="K51" s="195">
        <v>20160630</v>
      </c>
      <c r="L51" s="195">
        <v>20160331</v>
      </c>
      <c r="M51" s="195">
        <v>20151231</v>
      </c>
      <c r="N51" s="195">
        <v>20150930</v>
      </c>
      <c r="O51" s="195">
        <v>20150630</v>
      </c>
      <c r="P51" s="195">
        <v>20150331</v>
      </c>
      <c r="Q51" s="195">
        <v>20141231</v>
      </c>
      <c r="R51" s="195">
        <v>20140930</v>
      </c>
      <c r="S51" s="195">
        <v>20140630</v>
      </c>
      <c r="T51" s="195">
        <v>20140331</v>
      </c>
      <c r="U51" s="195">
        <v>20131231</v>
      </c>
      <c r="V51" s="195">
        <v>20130930</v>
      </c>
      <c r="W51" s="195">
        <v>20130630</v>
      </c>
      <c r="X51" s="195">
        <v>20130331</v>
      </c>
      <c r="Y51" s="195">
        <v>20121231</v>
      </c>
      <c r="Z51" s="195">
        <v>20120930</v>
      </c>
      <c r="AA51" s="195">
        <v>20120630</v>
      </c>
      <c r="AB51" s="195">
        <v>20120331</v>
      </c>
      <c r="AC51" s="195">
        <v>20111231</v>
      </c>
      <c r="AD51" s="195">
        <v>20110930</v>
      </c>
      <c r="AE51" s="195">
        <v>20110630</v>
      </c>
      <c r="AF51" s="195">
        <v>20110331</v>
      </c>
      <c r="AG51" s="195">
        <v>20101231</v>
      </c>
      <c r="AH51" s="195">
        <v>20100930</v>
      </c>
      <c r="AI51" s="195">
        <v>20100630</v>
      </c>
      <c r="AJ51" s="195">
        <v>20100331</v>
      </c>
      <c r="AK51" s="195">
        <v>20091231</v>
      </c>
      <c r="AL51" s="195">
        <v>20090930</v>
      </c>
      <c r="AM51" s="195">
        <v>20090630</v>
      </c>
      <c r="AN51" s="195">
        <v>20090331</v>
      </c>
      <c r="AO51" s="195">
        <v>20081231</v>
      </c>
      <c r="AP51" s="195">
        <v>20080930</v>
      </c>
      <c r="AQ51" s="195">
        <v>20080630</v>
      </c>
      <c r="AR51" s="195">
        <v>20080331</v>
      </c>
      <c r="AS51" s="195">
        <v>20071231</v>
      </c>
      <c r="AT51" s="195">
        <v>20070930</v>
      </c>
      <c r="AU51" s="195">
        <v>20070630</v>
      </c>
      <c r="AV51" s="195">
        <v>20070331</v>
      </c>
      <c r="AW51" s="195">
        <v>20061231</v>
      </c>
      <c r="AX51" s="195">
        <v>20060930</v>
      </c>
      <c r="AY51" s="195">
        <v>20060630</v>
      </c>
      <c r="AZ51" s="195">
        <v>20060331</v>
      </c>
      <c r="BA51" s="195">
        <v>20051231</v>
      </c>
      <c r="BB51" s="195">
        <v>20050930</v>
      </c>
      <c r="BC51" s="195">
        <v>20050630</v>
      </c>
      <c r="BD51" s="195">
        <v>20050331</v>
      </c>
      <c r="BE51" s="195">
        <v>20041231</v>
      </c>
      <c r="BF51" s="195">
        <v>20040930</v>
      </c>
      <c r="BG51" s="195">
        <v>20040630</v>
      </c>
      <c r="BH51" s="195">
        <v>20040331</v>
      </c>
      <c r="BI51" s="195">
        <v>20031231</v>
      </c>
      <c r="BJ51" s="195">
        <v>20030930</v>
      </c>
      <c r="BK51" s="195">
        <v>20030630</v>
      </c>
      <c r="BL51" s="195">
        <v>20030331</v>
      </c>
      <c r="BM51" s="195">
        <v>20021231</v>
      </c>
      <c r="BN51" s="195">
        <v>20020930</v>
      </c>
      <c r="BO51" s="195">
        <v>20020630</v>
      </c>
      <c r="BP51" s="195">
        <v>20020331</v>
      </c>
      <c r="BQ51" s="195">
        <v>20011231</v>
      </c>
      <c r="BR51" s="195">
        <v>20010930</v>
      </c>
      <c r="BS51" s="195">
        <v>20010630</v>
      </c>
      <c r="BT51" s="195">
        <v>20001231</v>
      </c>
      <c r="BU51" s="195">
        <v>20000630</v>
      </c>
      <c r="BV51" s="195">
        <v>19991231</v>
      </c>
      <c r="BW51" s="195">
        <v>19981231</v>
      </c>
      <c r="BX51" s="195">
        <v>19971231</v>
      </c>
      <c r="BY51" s="195">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571</v>
      </c>
      <c r="B52" s="42">
        <v>-25636</v>
      </c>
      <c r="C52" s="42">
        <v>-27718</v>
      </c>
      <c r="D52" s="42">
        <v>-35317</v>
      </c>
      <c r="E52" s="42">
        <v>-28161222.41</v>
      </c>
      <c r="F52" s="42"/>
      <c r="G52" s="42"/>
      <c r="H52" s="42"/>
      <c r="I52" s="42">
        <v>-28886774.699999999</v>
      </c>
      <c r="J52" s="42"/>
      <c r="K52" s="42"/>
      <c r="M52" s="42">
        <v>-12281019.83</v>
      </c>
      <c r="Q52" s="43">
        <v>-30384408.379999999</v>
      </c>
      <c r="U52" s="43">
        <v>-18490817.920000002</v>
      </c>
      <c r="Y52" s="43">
        <v>-11539628.810000001</v>
      </c>
      <c r="AC52" s="43">
        <v>-26423222.129999999</v>
      </c>
      <c r="AG52" s="43">
        <v>-30111110.739999998</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226">
        <f>864912025.71</f>
        <v>864912025.71000004</v>
      </c>
      <c r="F53" s="42"/>
      <c r="G53" s="42"/>
      <c r="H53" s="42"/>
      <c r="I53" s="226">
        <f>1045945849.2</f>
        <v>1045945849.2</v>
      </c>
      <c r="J53" s="42"/>
      <c r="K53" s="42"/>
      <c r="L53" s="42"/>
      <c r="M53" s="226">
        <f>1075455285.26</f>
        <v>1075455285.26</v>
      </c>
      <c r="N53" s="42"/>
      <c r="O53" s="42"/>
      <c r="P53" s="42"/>
      <c r="Q53" s="42">
        <f>951072385.88</f>
        <v>951072385.88</v>
      </c>
      <c r="R53" s="42"/>
      <c r="S53" s="42"/>
      <c r="T53" s="42"/>
      <c r="U53" s="43">
        <f>509479759.36</f>
        <v>509479759.36000001</v>
      </c>
      <c r="V53" s="42"/>
      <c r="W53" s="42"/>
      <c r="X53" s="42"/>
      <c r="Y53" s="42">
        <f>402324925.74</f>
        <v>402324925.74000001</v>
      </c>
      <c r="Z53" s="42"/>
      <c r="AA53" s="42"/>
      <c r="AB53" s="42"/>
      <c r="AC53" s="43">
        <f>255782507.77</f>
        <v>255782507.77000001</v>
      </c>
      <c r="AD53" s="42"/>
      <c r="AE53" s="42"/>
      <c r="AF53" s="42"/>
      <c r="AG53" s="42">
        <f>99627289.34</f>
        <v>99627289.340000004</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226">
        <v>60255913.5</v>
      </c>
      <c r="F54" s="42"/>
      <c r="G54" s="42"/>
      <c r="H54" s="42"/>
      <c r="I54" s="226">
        <f>-80391284.52</f>
        <v>-80391284.519999996</v>
      </c>
      <c r="J54" s="42"/>
      <c r="K54" s="42"/>
      <c r="M54" s="226">
        <f>288777536.95</f>
        <v>288777536.94999999</v>
      </c>
      <c r="Q54" s="43">
        <f>31096222.16</f>
        <v>31096222.16</v>
      </c>
      <c r="U54" s="43">
        <f>-93629018.5</f>
        <v>-93629018.5</v>
      </c>
      <c r="Y54" s="43">
        <f>-10148648.81</f>
        <v>-10148648.810000001</v>
      </c>
      <c r="AC54" s="43">
        <v>-97156397.700000003</v>
      </c>
      <c r="AG54" s="43">
        <f>-27422479.71</f>
        <v>-27422479.710000001</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226">
        <f>44395019.14</f>
        <v>44395019.140000001</v>
      </c>
      <c r="F55" s="42"/>
      <c r="G55" s="42"/>
      <c r="H55" s="42"/>
      <c r="I55" s="226">
        <v>40318044.189999998</v>
      </c>
      <c r="J55" s="42"/>
      <c r="K55" s="42"/>
      <c r="M55" s="226">
        <v>54769113.090000004</v>
      </c>
      <c r="Q55" s="43">
        <v>42570352.189999998</v>
      </c>
      <c r="U55" s="43">
        <f>37617640.96</f>
        <v>37617640.960000001</v>
      </c>
      <c r="Y55" s="43">
        <f>29079492.07</f>
        <v>29079492.07</v>
      </c>
      <c r="AC55" s="43">
        <v>29497185.960000001</v>
      </c>
      <c r="AG55" s="43">
        <v>13910526.890000001</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941401735.94000006</v>
      </c>
      <c r="F56" s="44">
        <f t="shared" ref="F56:BQ56" si="65">SUM(F52:F55)</f>
        <v>0</v>
      </c>
      <c r="G56" s="44">
        <f t="shared" si="65"/>
        <v>0</v>
      </c>
      <c r="H56" s="44">
        <f t="shared" si="65"/>
        <v>0</v>
      </c>
      <c r="I56" s="44">
        <f t="shared" si="65"/>
        <v>976985834.17000008</v>
      </c>
      <c r="J56" s="44">
        <f t="shared" si="65"/>
        <v>0</v>
      </c>
      <c r="K56" s="44">
        <f t="shared" si="65"/>
        <v>0</v>
      </c>
      <c r="L56" s="44">
        <f t="shared" si="65"/>
        <v>0</v>
      </c>
      <c r="M56" s="44">
        <f t="shared" si="65"/>
        <v>1406720915.4699998</v>
      </c>
      <c r="N56" s="44">
        <f t="shared" si="65"/>
        <v>0</v>
      </c>
      <c r="O56" s="44">
        <f t="shared" si="65"/>
        <v>0</v>
      </c>
      <c r="P56" s="44">
        <f t="shared" si="65"/>
        <v>0</v>
      </c>
      <c r="Q56" s="44">
        <f t="shared" si="65"/>
        <v>994354551.8499999</v>
      </c>
      <c r="R56" s="44">
        <f t="shared" si="65"/>
        <v>0</v>
      </c>
      <c r="S56" s="44">
        <f t="shared" si="65"/>
        <v>0</v>
      </c>
      <c r="T56" s="44">
        <f t="shared" si="65"/>
        <v>0</v>
      </c>
      <c r="U56" s="44">
        <f t="shared" si="65"/>
        <v>434977563.89999998</v>
      </c>
      <c r="V56" s="44">
        <f t="shared" si="65"/>
        <v>0</v>
      </c>
      <c r="W56" s="44">
        <f t="shared" si="65"/>
        <v>0</v>
      </c>
      <c r="X56" s="44">
        <f t="shared" si="65"/>
        <v>0</v>
      </c>
      <c r="Y56" s="44">
        <f t="shared" si="65"/>
        <v>409716140.19</v>
      </c>
      <c r="Z56" s="44">
        <f t="shared" si="65"/>
        <v>0</v>
      </c>
      <c r="AA56" s="44">
        <f t="shared" si="65"/>
        <v>0</v>
      </c>
      <c r="AB56" s="44">
        <f t="shared" si="65"/>
        <v>0</v>
      </c>
      <c r="AC56" s="44">
        <f t="shared" si="65"/>
        <v>161700073.90000001</v>
      </c>
      <c r="AD56" s="44">
        <f t="shared" si="65"/>
        <v>0</v>
      </c>
      <c r="AE56" s="44">
        <f t="shared" si="65"/>
        <v>0</v>
      </c>
      <c r="AF56" s="44">
        <f t="shared" si="65"/>
        <v>0</v>
      </c>
      <c r="AG56" s="44">
        <f t="shared" si="65"/>
        <v>56004225.780000009</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5">
        <v>10857929681.16</v>
      </c>
      <c r="C59" s="195">
        <v>8230179063.6800003</v>
      </c>
      <c r="D59" s="195">
        <v>4133907599.1900001</v>
      </c>
      <c r="E59" s="195">
        <v>13309319707.98</v>
      </c>
      <c r="F59" s="195">
        <v>9262752849.2900009</v>
      </c>
      <c r="G59" s="195">
        <v>5809561228.6300001</v>
      </c>
      <c r="H59" s="195">
        <v>2587827668.6599998</v>
      </c>
      <c r="I59" s="195">
        <v>4548069435.6000004</v>
      </c>
      <c r="J59" s="195">
        <v>2973666187.0500002</v>
      </c>
      <c r="K59" s="195">
        <v>1633438803.3699999</v>
      </c>
      <c r="L59" s="195">
        <v>544780718.54999995</v>
      </c>
      <c r="M59" s="195">
        <v>2279560788.5100002</v>
      </c>
      <c r="N59" s="195">
        <v>1946276873.5899999</v>
      </c>
      <c r="O59" s="195">
        <v>1396348082.54</v>
      </c>
      <c r="P59" s="195">
        <v>633665252.80999994</v>
      </c>
      <c r="Q59" s="195">
        <v>3217547108.4099998</v>
      </c>
      <c r="R59" s="195">
        <v>2710153720.9699998</v>
      </c>
      <c r="S59" s="195">
        <v>1796367340.78</v>
      </c>
      <c r="T59" s="195">
        <v>924092102.53999996</v>
      </c>
      <c r="U59" s="195">
        <v>3765784143.8299999</v>
      </c>
      <c r="V59" s="195">
        <v>3023839726.27</v>
      </c>
      <c r="W59" s="195">
        <v>1977413554.4000001</v>
      </c>
      <c r="X59" s="195">
        <v>954048719.88</v>
      </c>
      <c r="Y59" s="195">
        <v>3019939965.8400002</v>
      </c>
      <c r="Z59" s="195">
        <v>2099130330.0799999</v>
      </c>
      <c r="AA59" s="195">
        <v>1253981130.2</v>
      </c>
      <c r="AB59" s="195">
        <v>558369040.69000006</v>
      </c>
      <c r="AC59" s="195">
        <v>2395407360.1300001</v>
      </c>
      <c r="AD59" s="195">
        <v>1986944049.75</v>
      </c>
      <c r="AE59" s="195">
        <v>1285644326.0699999</v>
      </c>
      <c r="AF59" s="195">
        <v>598315732.28999996</v>
      </c>
      <c r="AG59" s="195">
        <v>1720754010.4400001</v>
      </c>
      <c r="AH59" s="195">
        <v>1089283887.9300001</v>
      </c>
      <c r="AI59" s="195">
        <v>686781418.53999996</v>
      </c>
      <c r="AJ59" s="195">
        <v>281247832.11000001</v>
      </c>
      <c r="AK59" s="195">
        <v>1279723368.74</v>
      </c>
      <c r="AL59" s="195">
        <v>1031806446.51</v>
      </c>
      <c r="AM59" s="195">
        <v>590092429.62</v>
      </c>
      <c r="AN59" s="195">
        <v>219925513.31</v>
      </c>
      <c r="AO59" s="195">
        <v>1758096018.1600001</v>
      </c>
      <c r="AP59" s="195">
        <v>1396884229.3</v>
      </c>
      <c r="AQ59" s="195">
        <v>1010477055.51</v>
      </c>
      <c r="AR59" s="195">
        <v>431409122.93000001</v>
      </c>
      <c r="AS59" s="195">
        <v>1696860443.71</v>
      </c>
      <c r="AT59" s="195">
        <v>1244026736.04</v>
      </c>
      <c r="AU59" s="195">
        <v>702166245.65999997</v>
      </c>
      <c r="AV59" s="195">
        <v>366875592.93000001</v>
      </c>
      <c r="AW59" s="195">
        <v>913756821.69000006</v>
      </c>
      <c r="AX59" s="195">
        <v>637425641</v>
      </c>
      <c r="AY59" s="195">
        <v>333291762.04000002</v>
      </c>
      <c r="AZ59" s="195">
        <v>184970015.83000001</v>
      </c>
      <c r="BA59" s="195">
        <v>617997087.88999999</v>
      </c>
      <c r="BB59" s="195">
        <v>480597506.83999997</v>
      </c>
      <c r="BC59" s="195">
        <v>328542545.79000002</v>
      </c>
      <c r="BD59" s="195">
        <v>156678858.50999999</v>
      </c>
      <c r="BE59" s="195">
        <v>403590992.27999997</v>
      </c>
      <c r="BF59" s="195">
        <v>314895840.51999998</v>
      </c>
      <c r="BG59" s="195">
        <v>215278618.24000001</v>
      </c>
      <c r="BH59" s="195">
        <v>97278294.010000005</v>
      </c>
      <c r="BI59" s="195">
        <v>232270313.91999999</v>
      </c>
      <c r="BJ59" s="195">
        <v>186639359.16999999</v>
      </c>
      <c r="BK59" s="195">
        <v>138283193.81</v>
      </c>
      <c r="BL59" s="195">
        <v>57987815.340000004</v>
      </c>
      <c r="BM59" s="195">
        <v>154326437.19</v>
      </c>
      <c r="BN59" s="195">
        <v>124365125.93000001</v>
      </c>
      <c r="BO59" s="195">
        <v>93039860.540000007</v>
      </c>
      <c r="BP59" s="195">
        <v>35693465.600000001</v>
      </c>
      <c r="BQ59" s="195">
        <v>100728393.18000001</v>
      </c>
      <c r="BR59" s="195">
        <v>86635900</v>
      </c>
      <c r="BS59" s="195">
        <v>62771447.700000003</v>
      </c>
      <c r="BT59" s="195">
        <v>49803512.359999999</v>
      </c>
      <c r="BU59" s="195">
        <v>26896127.27</v>
      </c>
      <c r="BV59" s="195">
        <v>26280076.579999998</v>
      </c>
      <c r="BW59" s="195">
        <v>20703040.579999998</v>
      </c>
      <c r="BX59" s="195">
        <v>13752984.77</v>
      </c>
      <c r="BY59" s="195">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5">
        <v>2828152344.0799999</v>
      </c>
      <c r="C60" s="195">
        <v>2075315522.8900001</v>
      </c>
      <c r="D60" s="195">
        <v>1050542707</v>
      </c>
      <c r="E60" s="195">
        <v>3440416082.3000002</v>
      </c>
      <c r="F60" s="195">
        <v>2427384390.1100001</v>
      </c>
      <c r="G60" s="195">
        <v>1580614505.98</v>
      </c>
      <c r="H60" s="195">
        <v>763562067.22000003</v>
      </c>
      <c r="I60" s="195">
        <v>1105009965.22</v>
      </c>
      <c r="J60" s="195">
        <v>727221559.33000004</v>
      </c>
      <c r="K60" s="195">
        <v>388388335.63999999</v>
      </c>
      <c r="L60" s="195">
        <v>126267426.09999999</v>
      </c>
      <c r="M60" s="195">
        <v>674887970.39999998</v>
      </c>
      <c r="N60" s="195">
        <v>624632543.83000004</v>
      </c>
      <c r="O60" s="195">
        <v>475876081.47000003</v>
      </c>
      <c r="P60" s="195">
        <v>200891416.84999999</v>
      </c>
      <c r="Q60" s="195">
        <v>950980245.09000003</v>
      </c>
      <c r="R60" s="195">
        <v>866383398.58000004</v>
      </c>
      <c r="S60" s="195">
        <v>560358515.97000003</v>
      </c>
      <c r="T60" s="195">
        <v>263187145.33000001</v>
      </c>
      <c r="U60" s="195">
        <v>659900041.15999997</v>
      </c>
      <c r="V60" s="195">
        <v>588080065.97000003</v>
      </c>
      <c r="W60" s="195">
        <v>395934009.92000002</v>
      </c>
      <c r="X60" s="195">
        <v>196924891.36000001</v>
      </c>
      <c r="Y60" s="195">
        <v>545978664.79999995</v>
      </c>
      <c r="Z60" s="195">
        <v>399714664.26999998</v>
      </c>
      <c r="AA60" s="195">
        <v>240981557.03</v>
      </c>
      <c r="AB60" s="195">
        <v>110571592.18000001</v>
      </c>
      <c r="AC60" s="195">
        <v>419540335.66000003</v>
      </c>
      <c r="AD60" s="195">
        <v>376690567.62</v>
      </c>
      <c r="AE60" s="195">
        <v>239692152.06999999</v>
      </c>
      <c r="AF60" s="195">
        <v>112573320.41</v>
      </c>
      <c r="AG60" s="195">
        <v>216911869.09</v>
      </c>
      <c r="AH60" s="195">
        <v>169490169.12</v>
      </c>
      <c r="AI60" s="195">
        <v>112957375.26000001</v>
      </c>
      <c r="AJ60" s="195">
        <v>47305730.049999997</v>
      </c>
      <c r="AK60" s="195">
        <v>170280700.09999999</v>
      </c>
      <c r="AL60" s="195">
        <v>143075951.34</v>
      </c>
      <c r="AM60" s="195">
        <v>70883531</v>
      </c>
      <c r="AN60" s="195">
        <v>21707020.260000002</v>
      </c>
      <c r="AO60" s="195">
        <v>267561854.19</v>
      </c>
      <c r="AP60" s="195">
        <v>397216912.63</v>
      </c>
      <c r="AQ60" s="195">
        <v>303392968.00999999</v>
      </c>
      <c r="AR60" s="195">
        <v>145973203.19999999</v>
      </c>
      <c r="AS60" s="195">
        <v>785351995.83000004</v>
      </c>
      <c r="AT60" s="195">
        <v>535364449.35000002</v>
      </c>
      <c r="AU60" s="195">
        <v>330796133.05000001</v>
      </c>
      <c r="AV60" s="195">
        <v>159222138.30000001</v>
      </c>
      <c r="AW60" s="195">
        <v>395504745.88</v>
      </c>
      <c r="AX60" s="195">
        <v>312966519.83999997</v>
      </c>
      <c r="AY60" s="195">
        <v>187204924.31999999</v>
      </c>
      <c r="AZ60" s="195">
        <v>92739488.439999998</v>
      </c>
      <c r="BA60" s="195">
        <v>247242583.87</v>
      </c>
      <c r="BB60" s="195">
        <v>239681163.93000001</v>
      </c>
      <c r="BC60" s="195">
        <v>163933960.13</v>
      </c>
      <c r="BD60" s="195">
        <v>77062708.590000004</v>
      </c>
      <c r="BE60" s="195">
        <v>110145253.75</v>
      </c>
      <c r="BF60" s="195">
        <v>155666014.77000001</v>
      </c>
      <c r="BG60" s="195">
        <v>106392934.72</v>
      </c>
      <c r="BH60" s="195">
        <v>47916955.189999998</v>
      </c>
      <c r="BI60" s="195">
        <v>69827184.349999994</v>
      </c>
      <c r="BJ60" s="195">
        <v>83415879.280000001</v>
      </c>
      <c r="BK60" s="195">
        <v>64376652.189999998</v>
      </c>
      <c r="BL60" s="195">
        <v>28561162.780000001</v>
      </c>
      <c r="BM60" s="195">
        <v>35623007.479999997</v>
      </c>
      <c r="BN60" s="195">
        <v>34483818.920000002</v>
      </c>
      <c r="BO60" s="195">
        <v>19054956.859999999</v>
      </c>
      <c r="BP60" s="195">
        <v>17580363.66</v>
      </c>
      <c r="BQ60" s="195">
        <v>13663007.48</v>
      </c>
      <c r="BR60" s="195">
        <v>24172100</v>
      </c>
      <c r="BS60" s="195">
        <v>12417971.18</v>
      </c>
      <c r="BT60" s="195">
        <v>10452608.25</v>
      </c>
      <c r="BU60" s="195">
        <v>13247346.26</v>
      </c>
      <c r="BV60" s="195">
        <v>10452608.25</v>
      </c>
      <c r="BW60" s="195">
        <v>3721593.27</v>
      </c>
      <c r="BX60" s="195">
        <v>3801115.32</v>
      </c>
      <c r="BY60" s="195">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5">
        <v>13686082025.24</v>
      </c>
      <c r="C61" s="195">
        <v>10305494586.57</v>
      </c>
      <c r="D61" s="195">
        <v>5184450306.1899996</v>
      </c>
      <c r="E61" s="195">
        <v>16749735790.280001</v>
      </c>
      <c r="F61" s="195">
        <v>11690137239.4</v>
      </c>
      <c r="G61" s="195">
        <v>7390175734.6099997</v>
      </c>
      <c r="H61" s="195">
        <v>3351389735.8800001</v>
      </c>
      <c r="I61" s="195">
        <v>5653079400.8199997</v>
      </c>
      <c r="J61" s="195">
        <v>3700887746.3800001</v>
      </c>
      <c r="K61" s="195">
        <v>2021827139.01</v>
      </c>
      <c r="L61" s="195">
        <v>671048144.64999998</v>
      </c>
      <c r="M61" s="195">
        <v>2954448758.9099998</v>
      </c>
      <c r="N61" s="195">
        <v>2570909417.4200001</v>
      </c>
      <c r="O61" s="195">
        <v>1872224164.01</v>
      </c>
      <c r="P61" s="195">
        <v>834556669.65999997</v>
      </c>
      <c r="Q61" s="195">
        <v>4168527353.5</v>
      </c>
      <c r="R61" s="195">
        <v>3576537119.5500002</v>
      </c>
      <c r="S61" s="195">
        <v>2356725856.75</v>
      </c>
      <c r="T61" s="195">
        <v>1187279247.8699999</v>
      </c>
      <c r="U61" s="195">
        <v>4425684184.9899998</v>
      </c>
      <c r="V61" s="195">
        <v>3611919792.2399998</v>
      </c>
      <c r="W61" s="195">
        <v>2373347564.3200002</v>
      </c>
      <c r="X61" s="195">
        <v>1150973611.24</v>
      </c>
      <c r="Y61" s="195">
        <v>3565918630.6399999</v>
      </c>
      <c r="Z61" s="195">
        <v>2498844994.3499999</v>
      </c>
      <c r="AA61" s="195">
        <v>1494962687.23</v>
      </c>
      <c r="AB61" s="195">
        <v>668940632.87</v>
      </c>
      <c r="AC61" s="195">
        <v>2814947695.79</v>
      </c>
      <c r="AD61" s="195">
        <v>2363634617.3699999</v>
      </c>
      <c r="AE61" s="195">
        <v>1525336478.1400001</v>
      </c>
      <c r="AF61" s="195">
        <v>710889052.70000005</v>
      </c>
      <c r="AG61" s="195">
        <v>1937665879.53</v>
      </c>
      <c r="AH61" s="195">
        <v>1258774057.05</v>
      </c>
      <c r="AI61" s="195">
        <v>799738793.79999995</v>
      </c>
      <c r="AJ61" s="195">
        <v>328553562.16000003</v>
      </c>
      <c r="AK61" s="195">
        <v>1450004068.8399999</v>
      </c>
      <c r="AL61" s="195">
        <v>1174882397.8499999</v>
      </c>
      <c r="AM61" s="195">
        <v>660975960.62</v>
      </c>
      <c r="AN61" s="195">
        <v>241632533.56999999</v>
      </c>
      <c r="AO61" s="195">
        <v>2025657872.3499999</v>
      </c>
      <c r="AP61" s="195">
        <v>1794101141.9300001</v>
      </c>
      <c r="AQ61" s="195">
        <v>1313870023.52</v>
      </c>
      <c r="AR61" s="195">
        <v>577382326.13</v>
      </c>
      <c r="AS61" s="195">
        <v>2482212439.54</v>
      </c>
      <c r="AT61" s="195">
        <v>1779391185.3900001</v>
      </c>
      <c r="AU61" s="195">
        <v>1032962378.71</v>
      </c>
      <c r="AV61" s="195">
        <v>526097731.23000002</v>
      </c>
      <c r="AW61" s="195">
        <v>1309261567.5699999</v>
      </c>
      <c r="AX61" s="195">
        <v>950392160.84000003</v>
      </c>
      <c r="AY61" s="195">
        <v>520496686.36000001</v>
      </c>
      <c r="AZ61" s="195">
        <v>277709504.26999998</v>
      </c>
      <c r="BA61" s="195">
        <v>865239671.75999999</v>
      </c>
      <c r="BB61" s="195">
        <v>720278670.76999998</v>
      </c>
      <c r="BC61" s="195">
        <v>492476505.92000002</v>
      </c>
      <c r="BD61" s="195">
        <v>233741567.09999999</v>
      </c>
      <c r="BE61" s="195">
        <v>513736246.02999997</v>
      </c>
      <c r="BF61" s="195">
        <v>470561855.29000002</v>
      </c>
      <c r="BG61" s="195">
        <v>321671552.95999998</v>
      </c>
      <c r="BH61" s="195">
        <v>145195249.19999999</v>
      </c>
      <c r="BI61" s="195">
        <v>302097498.26999998</v>
      </c>
      <c r="BJ61" s="195">
        <v>270055238.44999999</v>
      </c>
      <c r="BK61" s="195">
        <v>202659846</v>
      </c>
      <c r="BL61" s="195">
        <v>86548978.120000005</v>
      </c>
      <c r="BM61" s="195">
        <v>189949444.66999999</v>
      </c>
      <c r="BN61" s="195">
        <v>158848944.84999999</v>
      </c>
      <c r="BO61" s="195">
        <v>112094817.40000001</v>
      </c>
      <c r="BP61" s="195">
        <v>53273829.259999998</v>
      </c>
      <c r="BQ61" s="195">
        <v>114391400.66</v>
      </c>
      <c r="BR61" s="195">
        <v>110808000</v>
      </c>
      <c r="BS61" s="195">
        <v>75189418.879999995</v>
      </c>
      <c r="BT61" s="195">
        <v>60256120.609999999</v>
      </c>
      <c r="BU61" s="195">
        <v>40143473.530000001</v>
      </c>
      <c r="BV61" s="195">
        <v>36732684.829999998</v>
      </c>
      <c r="BW61" s="195">
        <v>24424633.850000001</v>
      </c>
      <c r="BX61" s="195">
        <v>17554100.09</v>
      </c>
      <c r="BY61" s="195">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5">
        <v>78304929.760000005</v>
      </c>
      <c r="C65" s="195">
        <v>53855509.789999999</v>
      </c>
      <c r="D65" s="195">
        <v>29820267.109999999</v>
      </c>
      <c r="E65" s="195">
        <v>125557555.26000001</v>
      </c>
      <c r="F65" s="195">
        <v>79561569.200000003</v>
      </c>
      <c r="G65" s="195">
        <v>55661140.079999998</v>
      </c>
      <c r="H65" s="195">
        <v>22849729.07</v>
      </c>
      <c r="I65" s="195">
        <v>52752991.719999999</v>
      </c>
      <c r="J65" s="195">
        <v>36498714.939999998</v>
      </c>
      <c r="K65" s="195">
        <v>30474195.829999998</v>
      </c>
      <c r="L65" s="195">
        <v>-1417252.38</v>
      </c>
      <c r="M65" s="195">
        <v>3387514.8</v>
      </c>
      <c r="N65" s="195">
        <v>67246685.079999998</v>
      </c>
      <c r="O65" s="195">
        <v>5310621.29</v>
      </c>
      <c r="P65" s="195">
        <v>-1190517.49</v>
      </c>
      <c r="Q65" s="195">
        <v>-1257102.1200000001</v>
      </c>
      <c r="R65" s="195">
        <v>-333570.40000000002</v>
      </c>
      <c r="S65" s="195">
        <v>1302253.6000000001</v>
      </c>
      <c r="T65" s="195">
        <v>2021981.59</v>
      </c>
      <c r="U65" s="195">
        <v>-16521156.17</v>
      </c>
      <c r="V65" s="195">
        <v>-3934863.27</v>
      </c>
      <c r="W65" s="195">
        <v>-3742700.15</v>
      </c>
      <c r="X65" s="195">
        <v>-283175.13</v>
      </c>
      <c r="Y65" s="195">
        <v>4372236.96</v>
      </c>
      <c r="Z65" s="195">
        <v>4330048.58</v>
      </c>
      <c r="AA65" s="195">
        <v>4237929.08</v>
      </c>
      <c r="AB65" s="195">
        <v>2989048.27</v>
      </c>
      <c r="AC65" s="195">
        <v>9946689.4299999997</v>
      </c>
      <c r="AD65" s="195">
        <v>9059362.1600000001</v>
      </c>
      <c r="AE65" s="195">
        <v>-5937068.3200000003</v>
      </c>
      <c r="AF65" s="195">
        <v>2906442.49</v>
      </c>
      <c r="AG65" s="195">
        <v>203411497.43000001</v>
      </c>
      <c r="AH65" s="195">
        <v>14745866.02</v>
      </c>
      <c r="AI65" s="195">
        <v>12974901.699999999</v>
      </c>
      <c r="AJ65" s="195">
        <v>5679961.6200000001</v>
      </c>
      <c r="AK65" s="195">
        <v>23029725.120000001</v>
      </c>
      <c r="AL65" s="195">
        <v>12675249.279999999</v>
      </c>
      <c r="AM65" s="195">
        <v>9560969.9100000001</v>
      </c>
      <c r="AN65" s="195">
        <v>3441883.41</v>
      </c>
      <c r="AO65" s="195">
        <v>4914187.7699999996</v>
      </c>
      <c r="AP65" s="195">
        <v>-930380.59</v>
      </c>
      <c r="AQ65" s="195">
        <v>-7876342.5499999998</v>
      </c>
      <c r="AR65" s="195">
        <v>6521906.0300000003</v>
      </c>
      <c r="AS65" s="195">
        <v>148255267.41999999</v>
      </c>
      <c r="AT65" s="195">
        <v>62055871.75</v>
      </c>
      <c r="AU65" s="195">
        <v>7904137.3200000003</v>
      </c>
      <c r="AV65" s="195">
        <v>2766492.93</v>
      </c>
      <c r="AW65" s="195">
        <v>14318717.74</v>
      </c>
      <c r="AX65" s="195">
        <v>14019438.57</v>
      </c>
      <c r="AY65" s="195">
        <v>14009438.57</v>
      </c>
      <c r="AZ65" s="195">
        <v>6036022.2699999996</v>
      </c>
      <c r="BA65" s="195">
        <v>3228353.47</v>
      </c>
      <c r="BB65" s="195">
        <v>1968092.42</v>
      </c>
      <c r="BC65" s="195">
        <v>-892725.16</v>
      </c>
      <c r="BD65" s="195">
        <v>-162719.66</v>
      </c>
      <c r="BE65" s="195">
        <v>2890900.94</v>
      </c>
      <c r="BF65" s="195">
        <v>-255923.71</v>
      </c>
      <c r="BG65" s="195">
        <v>-250667.51</v>
      </c>
      <c r="BH65" s="195">
        <v>48919.87</v>
      </c>
      <c r="BI65" s="195">
        <v>946914.2</v>
      </c>
      <c r="BJ65" s="195">
        <v>98113.99</v>
      </c>
      <c r="BK65" s="195">
        <v>604187.18999999994</v>
      </c>
      <c r="BL65" s="195">
        <v>573275.71</v>
      </c>
      <c r="BM65" s="195">
        <v>-296138.87</v>
      </c>
      <c r="BN65" s="195">
        <v>225245.9</v>
      </c>
      <c r="BO65" s="195">
        <v>327855.90000000002</v>
      </c>
      <c r="BP65" s="195">
        <v>242481.5</v>
      </c>
      <c r="BQ65" s="195">
        <v>323331.55</v>
      </c>
      <c r="BR65" s="195">
        <v>1314800</v>
      </c>
      <c r="BS65" s="195">
        <v>500000</v>
      </c>
      <c r="BT65" s="195">
        <v>0</v>
      </c>
      <c r="BU65" s="195">
        <v>0</v>
      </c>
      <c r="BV65" s="195">
        <v>0</v>
      </c>
      <c r="BW65" s="195">
        <v>0</v>
      </c>
      <c r="BX65" s="195">
        <v>0</v>
      </c>
      <c r="BY65" s="195">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5">
        <v>78304929.760000005</v>
      </c>
      <c r="C66" s="195">
        <v>53855509.789999999</v>
      </c>
      <c r="D66" s="195">
        <v>29820267.109999999</v>
      </c>
      <c r="E66" s="195">
        <v>104557555.26000001</v>
      </c>
      <c r="F66" s="195">
        <v>73582078.549999997</v>
      </c>
      <c r="G66" s="195">
        <v>49677651.479999997</v>
      </c>
      <c r="H66" s="195">
        <v>22864854.079999998</v>
      </c>
      <c r="I66" s="195">
        <v>22768159.899999999</v>
      </c>
      <c r="J66" s="195">
        <v>6503727.0099999998</v>
      </c>
      <c r="K66" s="195">
        <v>474195.83</v>
      </c>
      <c r="L66" s="195">
        <v>-1417252.38</v>
      </c>
      <c r="M66" s="195">
        <v>-2612485.2000000002</v>
      </c>
      <c r="N66" s="195">
        <v>-5628039.8899999997</v>
      </c>
      <c r="O66" s="195">
        <v>-689378.71</v>
      </c>
      <c r="P66" s="195">
        <v>-1190284.95</v>
      </c>
      <c r="Q66" s="195">
        <v>-3321122.95</v>
      </c>
      <c r="R66" s="195">
        <v>-2235497.3199999998</v>
      </c>
      <c r="S66" s="195">
        <v>-1697746.4</v>
      </c>
      <c r="T66" s="195">
        <v>-978018.41</v>
      </c>
      <c r="U66" s="195">
        <v>-1986405.44</v>
      </c>
      <c r="V66" s="195">
        <v>-926748.31</v>
      </c>
      <c r="W66" s="195">
        <v>-442085.19</v>
      </c>
      <c r="X66" s="195">
        <v>-283175.13</v>
      </c>
      <c r="Y66" s="195">
        <v>45037.04</v>
      </c>
      <c r="Z66" s="195">
        <v>2848.66</v>
      </c>
      <c r="AA66" s="195">
        <v>-6070.92</v>
      </c>
      <c r="AB66" s="195">
        <v>-10951.73</v>
      </c>
      <c r="AC66" s="195">
        <v>-5583.1</v>
      </c>
      <c r="AD66" s="195">
        <v>0</v>
      </c>
      <c r="AE66" s="195">
        <v>0</v>
      </c>
      <c r="AF66" s="195">
        <v>0</v>
      </c>
      <c r="AG66" s="195">
        <v>22855763.780000001</v>
      </c>
      <c r="AH66" s="195">
        <v>9510047.1899999995</v>
      </c>
      <c r="AI66" s="195">
        <v>8301952.8799999999</v>
      </c>
      <c r="AJ66" s="195">
        <v>3320814.66</v>
      </c>
      <c r="AK66" s="195">
        <v>14509124.640000001</v>
      </c>
      <c r="AL66" s="195">
        <v>10957442.83</v>
      </c>
      <c r="AM66" s="195">
        <v>8560969.9100000001</v>
      </c>
      <c r="AN66" s="195">
        <v>3441883.41</v>
      </c>
      <c r="AO66" s="195">
        <v>11811196.189999999</v>
      </c>
      <c r="AP66" s="195">
        <v>0</v>
      </c>
      <c r="AQ66" s="195">
        <v>0</v>
      </c>
      <c r="AR66" s="195">
        <v>0</v>
      </c>
      <c r="AS66" s="195">
        <v>0</v>
      </c>
      <c r="AT66" s="195">
        <v>2000000</v>
      </c>
      <c r="AU66" s="195">
        <v>2000000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c r="BU66" s="195">
        <v>0</v>
      </c>
      <c r="BV66" s="195">
        <v>0</v>
      </c>
      <c r="BW66" s="195">
        <v>0</v>
      </c>
      <c r="BX66" s="195">
        <v>0</v>
      </c>
      <c r="BY66" s="195">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0</v>
      </c>
      <c r="C67" s="4">
        <f t="shared" ref="C67:BN67" si="67">C65-C66</f>
        <v>0</v>
      </c>
      <c r="D67" s="4">
        <f t="shared" si="67"/>
        <v>0</v>
      </c>
      <c r="E67" s="4">
        <f t="shared" si="67"/>
        <v>21000000</v>
      </c>
      <c r="F67" s="4">
        <f t="shared" si="67"/>
        <v>5979490.650000006</v>
      </c>
      <c r="G67" s="4">
        <f t="shared" si="67"/>
        <v>5983488.6000000015</v>
      </c>
      <c r="H67" s="4">
        <f t="shared" si="67"/>
        <v>-15125.009999997914</v>
      </c>
      <c r="I67" s="4">
        <f t="shared" si="67"/>
        <v>29984831.82</v>
      </c>
      <c r="J67" s="4">
        <f t="shared" si="67"/>
        <v>29994987.93</v>
      </c>
      <c r="K67" s="4">
        <f t="shared" si="67"/>
        <v>30000000</v>
      </c>
      <c r="L67" s="4">
        <f t="shared" si="67"/>
        <v>0</v>
      </c>
      <c r="M67" s="4">
        <f t="shared" si="67"/>
        <v>6000000</v>
      </c>
      <c r="N67" s="4">
        <f t="shared" si="67"/>
        <v>72874724.969999999</v>
      </c>
      <c r="O67" s="4">
        <f t="shared" si="67"/>
        <v>6000000</v>
      </c>
      <c r="P67" s="4">
        <f t="shared" si="67"/>
        <v>-232.54000000003725</v>
      </c>
      <c r="Q67" s="4">
        <f t="shared" si="67"/>
        <v>2064020.83</v>
      </c>
      <c r="R67" s="4">
        <f t="shared" si="67"/>
        <v>1901926.92</v>
      </c>
      <c r="S67" s="4">
        <f t="shared" si="67"/>
        <v>3000000</v>
      </c>
      <c r="T67" s="4">
        <f t="shared" si="67"/>
        <v>3000000</v>
      </c>
      <c r="U67" s="4">
        <f t="shared" si="67"/>
        <v>-14534750.73</v>
      </c>
      <c r="V67" s="4">
        <f t="shared" si="67"/>
        <v>-3008114.96</v>
      </c>
      <c r="W67" s="4">
        <f t="shared" si="67"/>
        <v>-3300614.96</v>
      </c>
      <c r="X67" s="4">
        <f t="shared" si="67"/>
        <v>0</v>
      </c>
      <c r="Y67" s="4">
        <f t="shared" si="67"/>
        <v>4327199.92</v>
      </c>
      <c r="Z67" s="4">
        <f t="shared" si="67"/>
        <v>4327199.92</v>
      </c>
      <c r="AA67" s="4">
        <f t="shared" si="67"/>
        <v>4244000</v>
      </c>
      <c r="AB67" s="4">
        <f t="shared" si="67"/>
        <v>3000000</v>
      </c>
      <c r="AC67" s="4">
        <f t="shared" si="67"/>
        <v>9952272.5299999993</v>
      </c>
      <c r="AD67" s="4">
        <f t="shared" si="67"/>
        <v>9059362.1600000001</v>
      </c>
      <c r="AE67" s="4">
        <f t="shared" si="67"/>
        <v>-5937068.3200000003</v>
      </c>
      <c r="AF67" s="4">
        <f t="shared" si="67"/>
        <v>2906442.49</v>
      </c>
      <c r="AG67" s="4">
        <f t="shared" si="67"/>
        <v>180555733.65000001</v>
      </c>
      <c r="AH67" s="4">
        <f t="shared" si="67"/>
        <v>5235818.83</v>
      </c>
      <c r="AI67" s="4">
        <f t="shared" si="67"/>
        <v>4672948.8199999994</v>
      </c>
      <c r="AJ67" s="4">
        <f t="shared" si="67"/>
        <v>2359146.96</v>
      </c>
      <c r="AK67" s="4">
        <f t="shared" si="67"/>
        <v>8520600.4800000004</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5">
        <v>652306128.76999998</v>
      </c>
      <c r="C68" s="195">
        <v>420633215.62</v>
      </c>
      <c r="D68" s="195">
        <v>247954077.53999999</v>
      </c>
      <c r="E68" s="195">
        <v>929390186.17999995</v>
      </c>
      <c r="F68" s="195">
        <v>717420186.02999997</v>
      </c>
      <c r="G68" s="195">
        <v>450443344.86000001</v>
      </c>
      <c r="H68" s="195">
        <v>207311348.16</v>
      </c>
      <c r="I68" s="195">
        <v>889951201.73000002</v>
      </c>
      <c r="J68" s="195">
        <v>658114008.67999995</v>
      </c>
      <c r="K68" s="195">
        <v>427670564.45999998</v>
      </c>
      <c r="L68" s="195">
        <v>216291606.33000001</v>
      </c>
      <c r="M68" s="195">
        <v>841242986.61000001</v>
      </c>
      <c r="N68" s="195">
        <v>706215527.63</v>
      </c>
      <c r="O68" s="195">
        <v>336005537.79000002</v>
      </c>
      <c r="P68" s="195">
        <v>121081157.28</v>
      </c>
      <c r="Q68" s="195">
        <v>434318006.63999999</v>
      </c>
      <c r="R68" s="195">
        <v>332576153.88999999</v>
      </c>
      <c r="S68" s="195">
        <v>228324936.5</v>
      </c>
      <c r="T68" s="195">
        <v>105963903.34</v>
      </c>
      <c r="U68" s="195">
        <v>257672066.78999999</v>
      </c>
      <c r="V68" s="195">
        <v>240479194.38999999</v>
      </c>
      <c r="W68" s="195">
        <v>132373137.58</v>
      </c>
      <c r="X68" s="195">
        <v>90613483.900000006</v>
      </c>
      <c r="Y68" s="195">
        <v>289409693.10000002</v>
      </c>
      <c r="Z68" s="195">
        <v>269419256.16000003</v>
      </c>
      <c r="AA68" s="195">
        <v>176394158.50999999</v>
      </c>
      <c r="AB68" s="195">
        <v>67718985.019999996</v>
      </c>
      <c r="AC68" s="195">
        <v>149543408.13</v>
      </c>
      <c r="AD68" s="195">
        <v>95599082.150000006</v>
      </c>
      <c r="AE68" s="195">
        <v>51690931.990000002</v>
      </c>
      <c r="AF68" s="195">
        <v>25812918.710000001</v>
      </c>
      <c r="AG68" s="195">
        <v>35125958.859999999</v>
      </c>
      <c r="AH68" s="195">
        <v>14669864.130000001</v>
      </c>
      <c r="AI68" s="195">
        <v>34528117</v>
      </c>
      <c r="AJ68" s="195">
        <v>13394072.880000001</v>
      </c>
      <c r="AK68" s="195">
        <v>53523800.299999997</v>
      </c>
      <c r="AL68" s="195">
        <v>41987440.939999998</v>
      </c>
      <c r="AM68" s="195">
        <v>36926585.880000003</v>
      </c>
      <c r="AN68" s="195">
        <v>28076939.34</v>
      </c>
      <c r="AO68" s="195">
        <v>50843495.409999996</v>
      </c>
      <c r="AP68" s="195">
        <v>26723228.359999999</v>
      </c>
      <c r="AQ68" s="195">
        <v>-17964350.649999999</v>
      </c>
      <c r="AR68" s="195">
        <v>-19204677.640000001</v>
      </c>
      <c r="AS68" s="195">
        <v>53713314.060000002</v>
      </c>
      <c r="AT68" s="195">
        <v>58875511.689999998</v>
      </c>
      <c r="AU68" s="195">
        <v>36841179.420000002</v>
      </c>
      <c r="AV68" s="195">
        <v>12703537.65</v>
      </c>
      <c r="AW68" s="195">
        <v>10769128.279999999</v>
      </c>
      <c r="AX68" s="195">
        <v>15476019.02</v>
      </c>
      <c r="AY68" s="195">
        <v>11800596.199999999</v>
      </c>
      <c r="AZ68" s="195">
        <v>4443015.26</v>
      </c>
      <c r="BA68" s="195">
        <v>5693510.9299999997</v>
      </c>
      <c r="BB68" s="195">
        <v>7182245.3200000003</v>
      </c>
      <c r="BC68" s="195">
        <v>3515117.81</v>
      </c>
      <c r="BD68" s="195">
        <v>2286626.94</v>
      </c>
      <c r="BE68" s="195">
        <v>8270832.6900000004</v>
      </c>
      <c r="BF68" s="195">
        <v>6107520.0599999996</v>
      </c>
      <c r="BG68" s="195">
        <v>1800646.68</v>
      </c>
      <c r="BH68" s="195">
        <v>78491.08</v>
      </c>
      <c r="BI68" s="195">
        <v>-638574.51</v>
      </c>
      <c r="BJ68" s="195">
        <v>-492931.82</v>
      </c>
      <c r="BK68" s="195">
        <v>-603004.89</v>
      </c>
      <c r="BL68" s="195">
        <v>-213084.64</v>
      </c>
      <c r="BM68" s="195">
        <v>-3144390.8</v>
      </c>
      <c r="BN68" s="195">
        <v>-2556415.54</v>
      </c>
      <c r="BO68" s="195">
        <v>-2453786.7799999998</v>
      </c>
      <c r="BP68" s="195">
        <v>-2113164.36</v>
      </c>
      <c r="BQ68" s="195">
        <v>-1585239.75</v>
      </c>
      <c r="BR68" s="195">
        <v>0</v>
      </c>
      <c r="BS68" s="195">
        <v>-2304346.42</v>
      </c>
      <c r="BT68" s="195">
        <v>5950327.5999999996</v>
      </c>
      <c r="BU68" s="195">
        <v>2430452.9300000002</v>
      </c>
      <c r="BV68" s="195">
        <v>2589207.4500000002</v>
      </c>
      <c r="BW68" s="195">
        <v>4043301.61</v>
      </c>
      <c r="BX68" s="195">
        <v>3372272.53</v>
      </c>
      <c r="BY68" s="195">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5">
        <v>37289331915.82</v>
      </c>
      <c r="C70" s="195">
        <v>34579356675.519997</v>
      </c>
      <c r="D70" s="195">
        <v>30778130184.91</v>
      </c>
      <c r="E70" s="195">
        <v>30754126558.369999</v>
      </c>
      <c r="F70" s="195">
        <v>26687174094.330002</v>
      </c>
      <c r="G70" s="195">
        <v>24886251357.59</v>
      </c>
      <c r="H70" s="195">
        <v>23380532948.110001</v>
      </c>
      <c r="I70" s="195">
        <v>18333937055.68</v>
      </c>
      <c r="J70" s="195">
        <v>16796809546.370001</v>
      </c>
      <c r="K70" s="195">
        <v>15574027016.190001</v>
      </c>
      <c r="L70" s="195">
        <v>14933606894.370001</v>
      </c>
      <c r="M70" s="195">
        <v>14823234395.780001</v>
      </c>
      <c r="N70" s="195">
        <v>14473165820.08</v>
      </c>
      <c r="O70" s="195">
        <v>13890592330.6</v>
      </c>
      <c r="P70" s="195">
        <v>13856114247.16</v>
      </c>
      <c r="Q70" s="195">
        <v>13285675672.780001</v>
      </c>
      <c r="R70" s="195">
        <v>12783196319.540001</v>
      </c>
      <c r="S70" s="195">
        <v>11692366869.040001</v>
      </c>
      <c r="T70" s="195">
        <v>12708078583.43</v>
      </c>
      <c r="U70" s="195">
        <v>11780955452.780001</v>
      </c>
      <c r="V70" s="195">
        <v>11043044163</v>
      </c>
      <c r="W70" s="195">
        <v>9989687864.2900009</v>
      </c>
      <c r="X70" s="195">
        <v>10590907568.440001</v>
      </c>
      <c r="Y70" s="195">
        <v>9842810053.0599995</v>
      </c>
      <c r="Z70" s="195">
        <v>8925436127.7099991</v>
      </c>
      <c r="AA70" s="195">
        <v>8086854483.1800003</v>
      </c>
      <c r="AB70" s="195">
        <v>8735252341.5499992</v>
      </c>
      <c r="AC70" s="195">
        <v>8215624124.4700003</v>
      </c>
      <c r="AD70" s="195">
        <v>8241878796.3900003</v>
      </c>
      <c r="AE70" s="195">
        <v>7565927106.8199997</v>
      </c>
      <c r="AF70" s="195">
        <v>7744172832.0699997</v>
      </c>
      <c r="AG70" s="195">
        <v>7155219285.0200005</v>
      </c>
      <c r="AH70" s="195">
        <v>6307281768.3699999</v>
      </c>
      <c r="AI70" s="195">
        <v>5873219984.0500002</v>
      </c>
      <c r="AJ70" s="195">
        <v>6146162889.0900002</v>
      </c>
      <c r="AK70" s="195">
        <v>5825118338.7299995</v>
      </c>
      <c r="AL70" s="195">
        <v>5576533048.0299997</v>
      </c>
      <c r="AM70" s="195">
        <v>5137549475.6400003</v>
      </c>
      <c r="AN70" s="195">
        <v>4719109466.4899998</v>
      </c>
      <c r="AO70" s="195">
        <v>5449414237.0299997</v>
      </c>
      <c r="AP70" s="195">
        <v>5047038927.75</v>
      </c>
      <c r="AQ70" s="195">
        <v>4664214074.1300001</v>
      </c>
      <c r="AR70" s="195">
        <v>4021950777.0999999</v>
      </c>
      <c r="AS70" s="195">
        <v>4438476848.9700003</v>
      </c>
      <c r="AT70" s="195">
        <v>3943285948.0300002</v>
      </c>
      <c r="AU70" s="195">
        <v>3401195129.4499998</v>
      </c>
      <c r="AV70" s="195">
        <v>3256155249.3099999</v>
      </c>
      <c r="AW70" s="195">
        <v>2819764253.1900001</v>
      </c>
      <c r="AX70" s="195">
        <v>2549874268.3099999</v>
      </c>
      <c r="AY70" s="195">
        <v>2245740389.3499999</v>
      </c>
      <c r="AZ70" s="195">
        <v>2223410188.5500002</v>
      </c>
      <c r="BA70" s="195">
        <v>1855403452.72</v>
      </c>
      <c r="BB70" s="195">
        <v>1715253871.6700001</v>
      </c>
      <c r="BC70" s="195">
        <v>1563198910.6199999</v>
      </c>
      <c r="BD70" s="195">
        <v>1521448186.52</v>
      </c>
      <c r="BE70" s="195">
        <v>1364769328.01</v>
      </c>
      <c r="BF70" s="195">
        <v>1275993866.8099999</v>
      </c>
      <c r="BG70" s="195">
        <v>1176377094.53</v>
      </c>
      <c r="BH70" s="195">
        <v>1135176770.3</v>
      </c>
      <c r="BI70" s="195">
        <v>1037898476.29</v>
      </c>
      <c r="BJ70" s="195">
        <v>992306647.08000004</v>
      </c>
      <c r="BK70" s="195">
        <v>870142014.30999994</v>
      </c>
      <c r="BL70" s="195">
        <v>789846635.84000003</v>
      </c>
      <c r="BM70" s="195">
        <v>808658820.5</v>
      </c>
      <c r="BN70" s="195">
        <v>778165133.73000002</v>
      </c>
      <c r="BO70" s="195">
        <v>746839868.34000003</v>
      </c>
      <c r="BP70" s="195">
        <v>689491725.37</v>
      </c>
      <c r="BQ70" s="195">
        <v>653798259.76999998</v>
      </c>
      <c r="BR70" s="195">
        <v>0</v>
      </c>
      <c r="BS70" s="195">
        <v>663841314.28999996</v>
      </c>
      <c r="BT70" s="195">
        <v>601069866.59000003</v>
      </c>
      <c r="BU70" s="195">
        <v>155202681.5</v>
      </c>
      <c r="BV70" s="195">
        <v>128306554.23</v>
      </c>
      <c r="BW70" s="195">
        <v>122396833.72</v>
      </c>
      <c r="BX70" s="195">
        <v>70008325.519999996</v>
      </c>
      <c r="BY70" s="195">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37" sqref="A37"/>
    </sheetView>
  </sheetViews>
  <sheetFormatPr defaultRowHeight="14.4" x14ac:dyDescent="0.25"/>
  <cols>
    <col min="1" max="1" width="77.44140625" style="17" bestFit="1" customWidth="1"/>
    <col min="2" max="2" width="21.44140625" hidden="1" customWidth="1"/>
    <col min="3" max="4" width="20.44140625" hidden="1" customWidth="1"/>
    <col min="5" max="5" width="21.6640625" bestFit="1" customWidth="1"/>
    <col min="6" max="8" width="20.44140625" hidden="1" customWidth="1"/>
    <col min="9" max="9" width="21.6640625" bestFit="1" customWidth="1"/>
    <col min="10" max="12" width="20.44140625" hidden="1" customWidth="1"/>
    <col min="13" max="13" width="21.5546875" bestFit="1" customWidth="1"/>
    <col min="14" max="16" width="20.44140625" hidden="1" customWidth="1"/>
    <col min="17" max="17" width="22.33203125" customWidth="1"/>
    <col min="18" max="19" width="20.44140625" hidden="1" customWidth="1"/>
    <col min="20" max="20" width="21.5546875" hidden="1" customWidth="1"/>
    <col min="21" max="21" width="22.6640625" bestFit="1" customWidth="1"/>
    <col min="22" max="24" width="20.44140625" hidden="1" customWidth="1"/>
    <col min="25" max="25" width="20.6640625" bestFit="1" customWidth="1"/>
    <col min="26" max="27" width="20.44140625" hidden="1" customWidth="1"/>
    <col min="28" max="28" width="19.33203125" hidden="1" customWidth="1"/>
    <col min="29" max="29" width="20.44140625" bestFit="1" customWidth="1"/>
    <col min="30" max="32" width="19.33203125" hidden="1" customWidth="1"/>
    <col min="33" max="33" width="20.44140625" bestFit="1" customWidth="1"/>
    <col min="34" max="34" width="19.33203125" hidden="1" customWidth="1"/>
    <col min="35" max="35" width="17.21875" hidden="1" customWidth="1"/>
    <col min="36" max="36" width="19.33203125" hidden="1" customWidth="1"/>
    <col min="37" max="37" width="20.33203125" bestFit="1" customWidth="1"/>
    <col min="38" max="40" width="19.33203125" hidden="1" customWidth="1"/>
    <col min="41" max="41" width="21.6640625" bestFit="1" customWidth="1"/>
    <col min="42" max="43" width="17.21875" hidden="1" customWidth="1"/>
    <col min="44" max="44" width="19.33203125" hidden="1" customWidth="1"/>
    <col min="45" max="45" width="20.33203125" bestFit="1" customWidth="1"/>
    <col min="46" max="46" width="19.33203125" hidden="1" customWidth="1"/>
    <col min="47" max="48" width="17.21875" hidden="1" customWidth="1"/>
    <col min="49" max="49" width="20.33203125" bestFit="1" customWidth="1"/>
    <col min="50" max="50" width="18.33203125" hidden="1" customWidth="1"/>
    <col min="51" max="52" width="17.21875" hidden="1" customWidth="1"/>
    <col min="53" max="53" width="20.33203125" bestFit="1" customWidth="1"/>
    <col min="54" max="56" width="17.21875" hidden="1" customWidth="1"/>
    <col min="57" max="57" width="20.44140625" bestFit="1" customWidth="1"/>
    <col min="58" max="60" width="17.21875" hidden="1" customWidth="1"/>
    <col min="61" max="61" width="17.44140625" bestFit="1" customWidth="1"/>
    <col min="62" max="64" width="17.21875" hidden="1" customWidth="1"/>
    <col min="65" max="65" width="17.44140625" bestFit="1" customWidth="1"/>
    <col min="66" max="66" width="17.21875" hidden="1" customWidth="1"/>
    <col min="67" max="67" width="19.44140625" bestFit="1" customWidth="1"/>
    <col min="68" max="68" width="17.21875" hidden="1" customWidth="1"/>
    <col min="69" max="69" width="18.21875" bestFit="1" customWidth="1"/>
    <col min="70" max="70" width="16.109375" hidden="1" customWidth="1"/>
    <col min="71" max="71" width="17.44140625" bestFit="1" customWidth="1"/>
    <col min="72" max="72" width="17.21875" hidden="1" customWidth="1"/>
    <col min="73" max="74" width="16.21875" bestFit="1" customWidth="1"/>
  </cols>
  <sheetData>
    <row r="1" spans="1:74" s="6" customFormat="1" x14ac:dyDescent="0.25">
      <c r="A1" s="105">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5">
        <v>7239546.8600000003</v>
      </c>
      <c r="C3" s="195">
        <v>5646783.9800000004</v>
      </c>
      <c r="D3" s="195">
        <v>700044</v>
      </c>
      <c r="E3" s="195">
        <v>35978125.93</v>
      </c>
      <c r="F3" s="195">
        <v>1227015.8</v>
      </c>
      <c r="G3" s="195">
        <v>776508.2</v>
      </c>
      <c r="H3" s="195">
        <v>532557</v>
      </c>
      <c r="I3" s="195">
        <v>1830407.09</v>
      </c>
      <c r="J3" s="195">
        <v>1111663.8999999999</v>
      </c>
      <c r="K3" s="195">
        <v>606930.04</v>
      </c>
      <c r="L3" s="195">
        <v>471668.8</v>
      </c>
      <c r="M3" s="195">
        <v>63436020.560000002</v>
      </c>
      <c r="N3" s="195">
        <v>63238545.369999997</v>
      </c>
      <c r="O3" s="195">
        <v>63234495.369999997</v>
      </c>
      <c r="P3" s="195">
        <v>500</v>
      </c>
      <c r="Q3" s="195">
        <v>634270.06999999995</v>
      </c>
      <c r="R3" s="195">
        <v>632161.06999999995</v>
      </c>
      <c r="S3" s="195">
        <v>177216.07</v>
      </c>
      <c r="T3" s="195">
        <v>26949.16</v>
      </c>
      <c r="U3" s="195">
        <v>4744265.2</v>
      </c>
      <c r="V3" s="195">
        <v>549554</v>
      </c>
      <c r="W3" s="195">
        <v>4048.84</v>
      </c>
      <c r="X3" s="195">
        <v>4048.84</v>
      </c>
      <c r="Y3" s="195">
        <v>6307703.8099999996</v>
      </c>
      <c r="Z3" s="195">
        <v>467808.54</v>
      </c>
      <c r="AA3" s="195">
        <v>277626.37</v>
      </c>
      <c r="AB3" s="195">
        <v>275391.37</v>
      </c>
      <c r="AC3" s="195">
        <v>7821352.3700000001</v>
      </c>
      <c r="AD3" s="195">
        <v>3207564.32</v>
      </c>
      <c r="AE3" s="195">
        <v>1163709.3999999999</v>
      </c>
      <c r="AF3" s="195">
        <v>731841.22</v>
      </c>
      <c r="AG3" s="195">
        <v>9296283.0099999998</v>
      </c>
      <c r="AH3" s="195">
        <v>11496783.24</v>
      </c>
      <c r="AI3" s="195">
        <v>152730.35999999999</v>
      </c>
      <c r="AJ3" s="195">
        <v>3843.14</v>
      </c>
      <c r="AK3" s="195">
        <v>20471532.02</v>
      </c>
      <c r="AL3" s="195">
        <v>17966861.809999999</v>
      </c>
      <c r="AM3" s="195">
        <v>16672791.619999999</v>
      </c>
      <c r="AN3" s="195">
        <v>18000</v>
      </c>
      <c r="AO3" s="195">
        <v>5296292.9400000004</v>
      </c>
      <c r="AP3" s="195">
        <v>186245928.28999999</v>
      </c>
      <c r="AQ3" s="195">
        <v>100218481.88</v>
      </c>
      <c r="AR3" s="195">
        <v>0</v>
      </c>
      <c r="AS3" s="195">
        <v>6800</v>
      </c>
      <c r="AT3" s="195">
        <v>6800</v>
      </c>
      <c r="AU3" s="195">
        <v>6800</v>
      </c>
      <c r="AV3" s="195">
        <v>0</v>
      </c>
      <c r="AW3" s="195">
        <v>2089109.98</v>
      </c>
      <c r="AX3" s="195">
        <v>1041309.16</v>
      </c>
      <c r="AY3" s="195">
        <v>190000</v>
      </c>
      <c r="AZ3" s="195">
        <v>0</v>
      </c>
      <c r="BA3" s="195">
        <v>1426732</v>
      </c>
      <c r="BB3" s="195">
        <v>1106732</v>
      </c>
      <c r="BC3" s="195">
        <v>1006732</v>
      </c>
      <c r="BD3" s="195">
        <v>130397.69</v>
      </c>
      <c r="BE3" s="195">
        <v>1580553.31</v>
      </c>
      <c r="BF3" s="195">
        <v>887841.4</v>
      </c>
      <c r="BG3" s="195">
        <v>521396</v>
      </c>
      <c r="BH3" s="195">
        <v>521396</v>
      </c>
      <c r="BI3" s="195">
        <v>2690057.72</v>
      </c>
      <c r="BJ3" s="195">
        <v>1577725.6</v>
      </c>
      <c r="BK3" s="195">
        <v>1571909.6</v>
      </c>
      <c r="BL3" s="195">
        <v>186713.60000000001</v>
      </c>
      <c r="BM3" s="195">
        <v>102110.7</v>
      </c>
      <c r="BN3" s="195">
        <v>373734.6</v>
      </c>
      <c r="BO3" s="195">
        <v>45792</v>
      </c>
      <c r="BP3" s="195">
        <v>70720</v>
      </c>
      <c r="BQ3" s="195">
        <v>0</v>
      </c>
      <c r="BR3" s="195">
        <v>0</v>
      </c>
      <c r="BS3" s="195">
        <v>6094878</v>
      </c>
      <c r="BT3" s="195">
        <v>0</v>
      </c>
    </row>
    <row r="4" spans="1:74" s="26" customFormat="1" x14ac:dyDescent="0.25">
      <c r="A4" s="17" t="s">
        <v>304</v>
      </c>
      <c r="B4" s="195">
        <v>7115129262.6300001</v>
      </c>
      <c r="C4" s="195">
        <v>4182790655.0599999</v>
      </c>
      <c r="D4" s="195">
        <v>1556798668.3499999</v>
      </c>
      <c r="E4" s="195">
        <v>5952652459.3000002</v>
      </c>
      <c r="F4" s="195">
        <v>3928943448.52</v>
      </c>
      <c r="G4" s="195">
        <v>2586792863.6100001</v>
      </c>
      <c r="H4" s="195">
        <v>1346302497.46</v>
      </c>
      <c r="I4" s="195">
        <v>4113460406.9899998</v>
      </c>
      <c r="J4" s="195">
        <v>2850926864.4699998</v>
      </c>
      <c r="K4" s="195">
        <v>2309195910.77</v>
      </c>
      <c r="L4" s="195">
        <v>721096610.07000005</v>
      </c>
      <c r="M4" s="195">
        <v>5160464688.7700005</v>
      </c>
      <c r="N4" s="195">
        <v>4436258095.3699999</v>
      </c>
      <c r="O4" s="195">
        <v>2365600650.98</v>
      </c>
      <c r="P4" s="195">
        <v>2265736747.4099998</v>
      </c>
      <c r="Q4" s="195">
        <v>9050286746.0400009</v>
      </c>
      <c r="R4" s="195">
        <v>7989437541.04</v>
      </c>
      <c r="S4" s="195">
        <v>4587994943.6099997</v>
      </c>
      <c r="T4" s="195">
        <v>3301619197.1100001</v>
      </c>
      <c r="U4" s="195">
        <v>6770785284.0900002</v>
      </c>
      <c r="V4" s="195">
        <v>4319310599.8699999</v>
      </c>
      <c r="W4" s="195">
        <v>2981193512.1399999</v>
      </c>
      <c r="X4" s="195">
        <v>1393455996</v>
      </c>
      <c r="Y4" s="195">
        <v>3934707866.8200002</v>
      </c>
      <c r="Z4" s="195">
        <v>3038236732.9699998</v>
      </c>
      <c r="AA4" s="195">
        <v>1663126064.77</v>
      </c>
      <c r="AB4" s="195">
        <v>837044679.60000002</v>
      </c>
      <c r="AC4" s="195">
        <v>2903727003.4499998</v>
      </c>
      <c r="AD4" s="195">
        <v>1717541570.7</v>
      </c>
      <c r="AE4" s="195">
        <v>1188936900.1600001</v>
      </c>
      <c r="AF4" s="195">
        <v>735926489.94000006</v>
      </c>
      <c r="AG4" s="195">
        <v>1299273718.24</v>
      </c>
      <c r="AH4" s="195">
        <v>977043325.42999995</v>
      </c>
      <c r="AI4" s="195">
        <v>666146461.26999998</v>
      </c>
      <c r="AJ4" s="195">
        <v>537516451.11000001</v>
      </c>
      <c r="AK4" s="195">
        <v>1758073527.3699999</v>
      </c>
      <c r="AL4" s="195">
        <v>1096741062.48</v>
      </c>
      <c r="AM4" s="195">
        <v>625148971.26999998</v>
      </c>
      <c r="AN4" s="195">
        <v>211593013.12</v>
      </c>
      <c r="AO4" s="195">
        <v>1013862444.04</v>
      </c>
      <c r="AP4" s="195">
        <v>805744641.79999995</v>
      </c>
      <c r="AQ4" s="195">
        <v>507726700.16000003</v>
      </c>
      <c r="AR4" s="195">
        <v>334280981.61000001</v>
      </c>
      <c r="AS4" s="195">
        <v>529938267.81999999</v>
      </c>
      <c r="AT4" s="195">
        <v>216766865.31999999</v>
      </c>
      <c r="AU4" s="195">
        <v>133822674.01000001</v>
      </c>
      <c r="AV4" s="195">
        <v>68071768.430000007</v>
      </c>
      <c r="AW4" s="195">
        <v>466733584.23000002</v>
      </c>
      <c r="AX4" s="195">
        <v>380718661.67000002</v>
      </c>
      <c r="AY4" s="195">
        <v>224314021.36000001</v>
      </c>
      <c r="AZ4" s="195">
        <v>220729587.88</v>
      </c>
      <c r="BA4" s="195">
        <v>1387198959.8099999</v>
      </c>
      <c r="BB4" s="195">
        <v>1033991553.46</v>
      </c>
      <c r="BC4" s="195">
        <v>769955220.71000004</v>
      </c>
      <c r="BD4" s="195">
        <v>348386218.50999999</v>
      </c>
      <c r="BE4" s="195">
        <v>1245602177.03</v>
      </c>
      <c r="BF4" s="195">
        <v>745040798.48000002</v>
      </c>
      <c r="BG4" s="195">
        <v>383826231.44</v>
      </c>
      <c r="BH4" s="195">
        <v>121970849.94</v>
      </c>
      <c r="BI4" s="195">
        <v>286377097.55000001</v>
      </c>
      <c r="BJ4" s="195">
        <v>192981786.56</v>
      </c>
      <c r="BK4" s="195">
        <v>89980888.409999996</v>
      </c>
      <c r="BL4" s="195">
        <v>39655574.289999999</v>
      </c>
      <c r="BM4" s="195">
        <v>186024499.33000001</v>
      </c>
      <c r="BN4" s="195">
        <v>49917300.07</v>
      </c>
      <c r="BO4" s="195">
        <v>224926994.28</v>
      </c>
      <c r="BP4" s="195">
        <v>103510411.12</v>
      </c>
      <c r="BQ4" s="195">
        <v>97333763.25</v>
      </c>
      <c r="BR4" s="195">
        <v>6897098.4100000001</v>
      </c>
      <c r="BS4" s="195">
        <v>41978974.149999999</v>
      </c>
      <c r="BT4" s="195">
        <v>0</v>
      </c>
    </row>
    <row r="5" spans="1:74" s="47" customFormat="1" x14ac:dyDescent="0.25">
      <c r="A5" s="136" t="s">
        <v>295</v>
      </c>
      <c r="E5" s="47">
        <f>E4-E3</f>
        <v>5916674333.3699999</v>
      </c>
      <c r="F5" s="47">
        <f t="shared" ref="F5:AR5" si="0">F4-F3</f>
        <v>3927716432.7199998</v>
      </c>
      <c r="G5" s="47">
        <f t="shared" si="0"/>
        <v>2586016355.4100003</v>
      </c>
      <c r="H5" s="47">
        <f t="shared" si="0"/>
        <v>1345769940.46</v>
      </c>
      <c r="I5" s="47">
        <f t="shared" si="0"/>
        <v>4111629999.8999996</v>
      </c>
      <c r="J5" s="47">
        <f t="shared" si="0"/>
        <v>2849815200.5699997</v>
      </c>
      <c r="K5" s="47">
        <f t="shared" si="0"/>
        <v>2308588980.73</v>
      </c>
      <c r="L5" s="47">
        <f t="shared" si="0"/>
        <v>720624941.2700001</v>
      </c>
      <c r="M5" s="47">
        <f t="shared" si="0"/>
        <v>5097028668.21</v>
      </c>
      <c r="N5" s="47">
        <f t="shared" si="0"/>
        <v>4373019550</v>
      </c>
      <c r="O5" s="47">
        <f t="shared" si="0"/>
        <v>2302366155.6100001</v>
      </c>
      <c r="P5" s="47">
        <f t="shared" si="0"/>
        <v>2265736247.4099998</v>
      </c>
      <c r="Q5" s="47">
        <f t="shared" si="0"/>
        <v>9049652475.9700012</v>
      </c>
      <c r="R5" s="47">
        <f t="shared" si="0"/>
        <v>7988805379.9700003</v>
      </c>
      <c r="S5" s="47">
        <f t="shared" si="0"/>
        <v>4587817727.54</v>
      </c>
      <c r="T5" s="47">
        <f t="shared" si="0"/>
        <v>3301592247.9500003</v>
      </c>
      <c r="U5" s="47">
        <f t="shared" si="0"/>
        <v>6766041018.8900003</v>
      </c>
      <c r="V5" s="47">
        <f t="shared" si="0"/>
        <v>4318761045.8699999</v>
      </c>
      <c r="W5" s="47">
        <f t="shared" si="0"/>
        <v>2981189463.2999997</v>
      </c>
      <c r="X5" s="47">
        <f t="shared" si="0"/>
        <v>1393451947.1600001</v>
      </c>
      <c r="Y5" s="47">
        <f t="shared" si="0"/>
        <v>3928400163.0100002</v>
      </c>
      <c r="Z5" s="47">
        <f t="shared" si="0"/>
        <v>3037768924.4299998</v>
      </c>
      <c r="AA5" s="47">
        <f t="shared" si="0"/>
        <v>1662848438.4000001</v>
      </c>
      <c r="AB5" s="47">
        <f t="shared" si="0"/>
        <v>836769288.23000002</v>
      </c>
      <c r="AC5" s="47">
        <f t="shared" si="0"/>
        <v>2895905651.0799999</v>
      </c>
      <c r="AD5" s="47">
        <f t="shared" si="0"/>
        <v>1714334006.3800001</v>
      </c>
      <c r="AE5" s="47">
        <f t="shared" si="0"/>
        <v>1187773190.76</v>
      </c>
      <c r="AF5" s="47">
        <f t="shared" si="0"/>
        <v>735194648.72000003</v>
      </c>
      <c r="AG5" s="47">
        <f t="shared" si="0"/>
        <v>1289977435.23</v>
      </c>
      <c r="AH5" s="47">
        <f t="shared" si="0"/>
        <v>965546542.18999994</v>
      </c>
      <c r="AI5" s="47">
        <f t="shared" si="0"/>
        <v>665993730.90999997</v>
      </c>
      <c r="AJ5" s="47">
        <f t="shared" si="0"/>
        <v>537512607.97000003</v>
      </c>
      <c r="AK5" s="47">
        <f t="shared" si="0"/>
        <v>1737601995.3499999</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5">
        <v>0</v>
      </c>
      <c r="C6" s="195">
        <v>1456403451.8</v>
      </c>
      <c r="D6" s="195">
        <v>0</v>
      </c>
      <c r="E6" s="195">
        <v>3033400427.5799999</v>
      </c>
      <c r="F6" s="195">
        <v>0</v>
      </c>
      <c r="G6" s="195">
        <v>1591537667.98</v>
      </c>
      <c r="H6" s="195">
        <v>0</v>
      </c>
      <c r="I6" s="195">
        <v>2629476704.1399999</v>
      </c>
      <c r="J6" s="195">
        <v>0</v>
      </c>
      <c r="K6" s="195">
        <v>1110969225.6199999</v>
      </c>
      <c r="L6" s="195">
        <v>0</v>
      </c>
      <c r="M6" s="195">
        <v>1472835738.3699999</v>
      </c>
      <c r="N6" s="195">
        <v>0</v>
      </c>
      <c r="O6" s="195">
        <v>708002707.07000005</v>
      </c>
      <c r="P6" s="195">
        <v>0</v>
      </c>
      <c r="Q6" s="195">
        <v>934105052.57000005</v>
      </c>
      <c r="R6" s="195">
        <v>0</v>
      </c>
      <c r="S6" s="195">
        <v>458008143</v>
      </c>
      <c r="T6" s="195">
        <v>0</v>
      </c>
      <c r="U6" s="195">
        <v>846134654.05999994</v>
      </c>
      <c r="V6" s="195">
        <v>0</v>
      </c>
      <c r="W6" s="195">
        <v>415088335.75</v>
      </c>
      <c r="X6" s="195">
        <v>0</v>
      </c>
      <c r="Y6" s="195">
        <v>731446804.15999997</v>
      </c>
      <c r="Z6" s="195">
        <v>0</v>
      </c>
      <c r="AA6" s="195">
        <v>359963368.70999998</v>
      </c>
      <c r="AB6" s="195">
        <v>0</v>
      </c>
      <c r="AC6" s="195">
        <v>662030069.63999999</v>
      </c>
      <c r="AD6" s="195">
        <v>0</v>
      </c>
      <c r="AE6" s="195">
        <v>323504000.81</v>
      </c>
      <c r="AF6" s="195">
        <v>0</v>
      </c>
      <c r="AG6" s="195">
        <v>313839149.94999999</v>
      </c>
      <c r="AH6" s="195">
        <v>0</v>
      </c>
      <c r="AI6" s="195">
        <v>146021728.18000001</v>
      </c>
      <c r="AJ6" s="195">
        <v>0</v>
      </c>
      <c r="AK6" s="195">
        <v>283567330.56999999</v>
      </c>
      <c r="AL6" s="195">
        <v>0</v>
      </c>
      <c r="AM6" s="195">
        <v>137627549.5</v>
      </c>
      <c r="AN6" s="195">
        <v>0</v>
      </c>
      <c r="AO6" s="195">
        <v>253356206.83000001</v>
      </c>
      <c r="AP6" s="195">
        <v>0</v>
      </c>
      <c r="AQ6" s="195">
        <v>126646106.28</v>
      </c>
      <c r="AR6" s="195">
        <v>0</v>
      </c>
      <c r="AS6" s="195">
        <v>231322064.62</v>
      </c>
      <c r="AT6" s="195">
        <v>0</v>
      </c>
      <c r="AU6" s="195">
        <v>112562604.33</v>
      </c>
      <c r="AV6" s="195">
        <v>0</v>
      </c>
      <c r="AW6" s="195">
        <v>204380088.05000001</v>
      </c>
      <c r="AX6" s="195">
        <v>144359983.11000001</v>
      </c>
      <c r="AY6" s="195">
        <v>92374534.040000007</v>
      </c>
      <c r="AZ6" s="195">
        <v>40259859.740000002</v>
      </c>
      <c r="BA6" s="195">
        <v>56981907.670000002</v>
      </c>
      <c r="BB6" s="195">
        <v>40670080.810000002</v>
      </c>
      <c r="BC6" s="195">
        <v>26784355.449999999</v>
      </c>
      <c r="BD6" s="195">
        <v>13375256.880000001</v>
      </c>
      <c r="BE6" s="195">
        <v>53332726.270000003</v>
      </c>
      <c r="BF6" s="195">
        <v>40436268.380000003</v>
      </c>
      <c r="BG6" s="195">
        <v>27749680.379999999</v>
      </c>
      <c r="BH6" s="195">
        <v>14268373.33</v>
      </c>
      <c r="BI6" s="195">
        <v>52795125.68</v>
      </c>
      <c r="BJ6" s="195">
        <v>38902998.649999999</v>
      </c>
      <c r="BK6" s="195">
        <v>25629020.780000001</v>
      </c>
      <c r="BL6" s="195">
        <v>12750860.359999999</v>
      </c>
      <c r="BM6" s="195">
        <v>40033982.590000004</v>
      </c>
      <c r="BN6" s="195">
        <v>15010963.4</v>
      </c>
      <c r="BO6" s="195">
        <v>29063705.300000001</v>
      </c>
      <c r="BP6" s="195">
        <v>15081839.289999999</v>
      </c>
      <c r="BQ6" s="195">
        <v>26279195.079999998</v>
      </c>
      <c r="BR6" s="195">
        <v>11651699.949999999</v>
      </c>
      <c r="BS6" s="195">
        <v>25058312.66</v>
      </c>
      <c r="BT6" s="195">
        <v>0</v>
      </c>
      <c r="BU6" s="26"/>
      <c r="BV6" s="26"/>
    </row>
    <row r="7" spans="1:74" s="26" customFormat="1" x14ac:dyDescent="0.25">
      <c r="A7" s="17" t="s">
        <v>306</v>
      </c>
      <c r="B7" s="195">
        <v>0</v>
      </c>
      <c r="C7" s="195">
        <v>72411758.840000004</v>
      </c>
      <c r="D7" s="195">
        <v>0</v>
      </c>
      <c r="E7" s="195">
        <v>144455456.00999999</v>
      </c>
      <c r="F7" s="195">
        <v>0</v>
      </c>
      <c r="G7" s="195">
        <v>71344038.620000005</v>
      </c>
      <c r="H7" s="195">
        <v>0</v>
      </c>
      <c r="I7" s="195">
        <v>129481556.45</v>
      </c>
      <c r="J7" s="195">
        <v>0</v>
      </c>
      <c r="K7" s="195">
        <v>62716876.490000002</v>
      </c>
      <c r="L7" s="195">
        <v>0</v>
      </c>
      <c r="M7" s="195">
        <v>73177887.930000007</v>
      </c>
      <c r="N7" s="195">
        <v>0</v>
      </c>
      <c r="O7" s="195">
        <v>31768133.359999999</v>
      </c>
      <c r="P7" s="195">
        <v>0</v>
      </c>
      <c r="Q7" s="195">
        <v>44525724.490000002</v>
      </c>
      <c r="R7" s="195">
        <v>0</v>
      </c>
      <c r="S7" s="195">
        <v>20666421.93</v>
      </c>
      <c r="T7" s="195">
        <v>0</v>
      </c>
      <c r="U7" s="195">
        <v>21047696.329999998</v>
      </c>
      <c r="V7" s="195">
        <v>0</v>
      </c>
      <c r="W7" s="195">
        <v>9541290.6699999999</v>
      </c>
      <c r="X7" s="195">
        <v>0</v>
      </c>
      <c r="Y7" s="195">
        <v>11856701.32</v>
      </c>
      <c r="Z7" s="195">
        <v>0</v>
      </c>
      <c r="AA7" s="195">
        <v>5247777.24</v>
      </c>
      <c r="AB7" s="195">
        <v>0</v>
      </c>
      <c r="AC7" s="195">
        <v>9095737.5399999991</v>
      </c>
      <c r="AD7" s="195">
        <v>0</v>
      </c>
      <c r="AE7" s="195">
        <v>10299595.82</v>
      </c>
      <c r="AF7" s="195">
        <v>0</v>
      </c>
      <c r="AG7" s="195">
        <v>6777988.4100000001</v>
      </c>
      <c r="AH7" s="195">
        <v>0</v>
      </c>
      <c r="AI7" s="195">
        <v>3062577.81</v>
      </c>
      <c r="AJ7" s="195">
        <v>0</v>
      </c>
      <c r="AK7" s="195">
        <v>5706797.6100000003</v>
      </c>
      <c r="AL7" s="195">
        <v>0</v>
      </c>
      <c r="AM7" s="195">
        <v>2973593.93</v>
      </c>
      <c r="AN7" s="195">
        <v>0</v>
      </c>
      <c r="AO7" s="195">
        <v>4231832.26</v>
      </c>
      <c r="AP7" s="195">
        <v>0</v>
      </c>
      <c r="AQ7" s="195">
        <v>2044918.31</v>
      </c>
      <c r="AR7" s="195">
        <v>0</v>
      </c>
      <c r="AS7" s="195">
        <v>3246986.34</v>
      </c>
      <c r="AT7" s="195">
        <v>0</v>
      </c>
      <c r="AU7" s="195">
        <v>1534655.5</v>
      </c>
      <c r="AV7" s="195">
        <v>0</v>
      </c>
      <c r="AW7" s="195">
        <v>83416.679999999993</v>
      </c>
      <c r="AX7" s="195">
        <v>55917.67</v>
      </c>
      <c r="AY7" s="195">
        <v>8550</v>
      </c>
      <c r="AZ7" s="195">
        <v>3975</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row>
    <row r="8" spans="1:74" s="26" customFormat="1" x14ac:dyDescent="0.25">
      <c r="A8" s="17" t="s">
        <v>307</v>
      </c>
      <c r="B8" s="195">
        <v>0</v>
      </c>
      <c r="C8" s="195">
        <v>3772512.4</v>
      </c>
      <c r="D8" s="195">
        <v>0</v>
      </c>
      <c r="E8" s="195">
        <v>7778750.04</v>
      </c>
      <c r="F8" s="195">
        <v>0</v>
      </c>
      <c r="G8" s="195">
        <v>3606036.42</v>
      </c>
      <c r="H8" s="195">
        <v>0</v>
      </c>
      <c r="I8" s="195">
        <v>3511454.08</v>
      </c>
      <c r="J8" s="195">
        <v>0</v>
      </c>
      <c r="K8" s="195">
        <v>0</v>
      </c>
      <c r="L8" s="195">
        <v>0</v>
      </c>
      <c r="M8" s="195">
        <v>0</v>
      </c>
      <c r="N8" s="195">
        <v>0</v>
      </c>
      <c r="O8" s="195">
        <v>9741775.0500000007</v>
      </c>
      <c r="P8" s="195">
        <v>0</v>
      </c>
      <c r="Q8" s="195">
        <v>10132085.16</v>
      </c>
      <c r="R8" s="195">
        <v>0</v>
      </c>
      <c r="S8" s="195">
        <v>4607612.63</v>
      </c>
      <c r="T8" s="195">
        <v>0</v>
      </c>
      <c r="U8" s="195">
        <v>10018624.59</v>
      </c>
      <c r="V8" s="195">
        <v>0</v>
      </c>
      <c r="W8" s="195">
        <v>4506073.7</v>
      </c>
      <c r="X8" s="195">
        <v>0</v>
      </c>
      <c r="Y8" s="195">
        <v>7665166.2300000004</v>
      </c>
      <c r="Z8" s="195">
        <v>0</v>
      </c>
      <c r="AA8" s="195">
        <v>3163278.78</v>
      </c>
      <c r="AB8" s="195">
        <v>0</v>
      </c>
      <c r="AC8" s="195">
        <v>4722874.75</v>
      </c>
      <c r="AD8" s="195">
        <v>4722874.75</v>
      </c>
      <c r="AE8" s="195">
        <v>4722874.75</v>
      </c>
      <c r="AF8" s="195">
        <v>4722874.75</v>
      </c>
      <c r="AG8" s="195">
        <v>4722874.75</v>
      </c>
      <c r="AH8" s="195">
        <v>4722874.75</v>
      </c>
      <c r="AI8" s="195">
        <v>4722874.75</v>
      </c>
      <c r="AJ8" s="195">
        <v>4722874.75</v>
      </c>
      <c r="AK8" s="195">
        <v>4722874.75</v>
      </c>
      <c r="AL8" s="195">
        <v>4722874.75</v>
      </c>
      <c r="AM8" s="195">
        <v>4722874.75</v>
      </c>
      <c r="AN8" s="195">
        <v>4722874.75</v>
      </c>
      <c r="AO8" s="195">
        <v>4722874.75</v>
      </c>
      <c r="AP8" s="195">
        <v>0</v>
      </c>
      <c r="AQ8" s="195">
        <v>0</v>
      </c>
      <c r="AR8" s="195">
        <v>0</v>
      </c>
      <c r="AS8" s="195">
        <v>0</v>
      </c>
      <c r="AT8" s="195">
        <v>0</v>
      </c>
      <c r="AU8" s="195">
        <v>0</v>
      </c>
      <c r="AV8" s="195">
        <v>0</v>
      </c>
      <c r="AW8" s="195">
        <v>1292188.47</v>
      </c>
      <c r="AX8" s="195">
        <v>1292188.47</v>
      </c>
      <c r="AY8" s="195">
        <v>1292188.47</v>
      </c>
      <c r="AZ8" s="195">
        <v>1292188.47</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row>
    <row r="9" spans="1:74" s="26" customFormat="1" x14ac:dyDescent="0.25">
      <c r="A9" s="17" t="s">
        <v>308</v>
      </c>
      <c r="B9" s="195">
        <v>0</v>
      </c>
      <c r="C9" s="195">
        <v>12720853.210000001</v>
      </c>
      <c r="D9" s="195">
        <v>0</v>
      </c>
      <c r="E9" s="195">
        <v>217695299.03999999</v>
      </c>
      <c r="F9" s="195">
        <v>0</v>
      </c>
      <c r="G9" s="195">
        <v>7012092.5800000001</v>
      </c>
      <c r="H9" s="195">
        <v>0</v>
      </c>
      <c r="I9" s="195">
        <v>85025534.540000007</v>
      </c>
      <c r="J9" s="195">
        <v>0</v>
      </c>
      <c r="K9" s="195">
        <v>7626238.3899999997</v>
      </c>
      <c r="L9" s="195">
        <v>0</v>
      </c>
      <c r="M9" s="195">
        <v>160020095.77000001</v>
      </c>
      <c r="N9" s="195">
        <v>0</v>
      </c>
      <c r="O9" s="195">
        <v>43234921.350000001</v>
      </c>
      <c r="P9" s="195">
        <v>0</v>
      </c>
      <c r="Q9" s="195">
        <v>222802522.16</v>
      </c>
      <c r="R9" s="195">
        <v>0</v>
      </c>
      <c r="S9" s="195">
        <v>6636947.9699999997</v>
      </c>
      <c r="T9" s="195">
        <v>0</v>
      </c>
      <c r="U9" s="195">
        <v>29437420.260000002</v>
      </c>
      <c r="V9" s="195">
        <v>0</v>
      </c>
      <c r="W9" s="195">
        <v>11004224.07</v>
      </c>
      <c r="X9" s="195">
        <v>0</v>
      </c>
      <c r="Y9" s="195">
        <v>169821788.24000001</v>
      </c>
      <c r="Z9" s="195">
        <v>0</v>
      </c>
      <c r="AA9" s="195">
        <v>3315410.2</v>
      </c>
      <c r="AB9" s="195">
        <v>0</v>
      </c>
      <c r="AC9" s="195">
        <v>13870045.960000001</v>
      </c>
      <c r="AD9" s="195">
        <v>0</v>
      </c>
      <c r="AE9" s="195">
        <v>-659460.93000000005</v>
      </c>
      <c r="AF9" s="195">
        <v>0</v>
      </c>
      <c r="AG9" s="195">
        <v>101329.63</v>
      </c>
      <c r="AH9" s="195">
        <v>0</v>
      </c>
      <c r="AI9" s="195">
        <v>-83554.84</v>
      </c>
      <c r="AJ9" s="195">
        <v>0</v>
      </c>
      <c r="AK9" s="195">
        <v>5038032.1900000004</v>
      </c>
      <c r="AL9" s="195">
        <v>0</v>
      </c>
      <c r="AM9" s="195">
        <v>-532937.68999999994</v>
      </c>
      <c r="AN9" s="195">
        <v>0</v>
      </c>
      <c r="AO9" s="195">
        <v>10026659.689999999</v>
      </c>
      <c r="AP9" s="195">
        <v>0</v>
      </c>
      <c r="AQ9" s="195">
        <v>347872.53</v>
      </c>
      <c r="AR9" s="195">
        <v>0</v>
      </c>
      <c r="AS9" s="195">
        <v>5731565.3700000001</v>
      </c>
      <c r="AT9" s="195">
        <v>0</v>
      </c>
      <c r="AU9" s="195">
        <v>879570.05</v>
      </c>
      <c r="AV9" s="195">
        <v>0</v>
      </c>
      <c r="AW9" s="195">
        <v>105935.61</v>
      </c>
      <c r="AX9" s="195">
        <v>31527.4</v>
      </c>
      <c r="AY9" s="195">
        <v>93261</v>
      </c>
      <c r="AZ9" s="195">
        <v>0</v>
      </c>
      <c r="BA9" s="195">
        <v>-89497.4</v>
      </c>
      <c r="BB9" s="195">
        <v>130232.2</v>
      </c>
      <c r="BC9" s="195">
        <v>-3657.4</v>
      </c>
      <c r="BD9" s="195">
        <v>0</v>
      </c>
      <c r="BE9" s="195">
        <v>-690882.01</v>
      </c>
      <c r="BF9" s="195">
        <v>-887841.4</v>
      </c>
      <c r="BG9" s="195">
        <v>-521396</v>
      </c>
      <c r="BH9" s="195">
        <v>-521396</v>
      </c>
      <c r="BI9" s="195">
        <v>580461.34</v>
      </c>
      <c r="BJ9" s="195">
        <v>623606.48</v>
      </c>
      <c r="BK9" s="195">
        <v>622822.48</v>
      </c>
      <c r="BL9" s="195">
        <v>-186713.60000000001</v>
      </c>
      <c r="BM9" s="195">
        <v>-493302.9</v>
      </c>
      <c r="BN9" s="195">
        <v>-376234.6</v>
      </c>
      <c r="BO9" s="195">
        <v>-71720</v>
      </c>
      <c r="BP9" s="195">
        <v>2641.32</v>
      </c>
      <c r="BQ9" s="195">
        <v>0</v>
      </c>
      <c r="BR9" s="195">
        <v>0</v>
      </c>
      <c r="BS9" s="195">
        <v>2632395.2000000002</v>
      </c>
      <c r="BT9" s="195">
        <v>0</v>
      </c>
    </row>
    <row r="10" spans="1:74" s="26" customFormat="1" x14ac:dyDescent="0.25">
      <c r="A10" s="17" t="s">
        <v>309</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123405.18</v>
      </c>
      <c r="AN10" s="195">
        <v>0</v>
      </c>
      <c r="AO10" s="195">
        <v>0</v>
      </c>
      <c r="AP10" s="195">
        <v>0</v>
      </c>
      <c r="AQ10" s="195">
        <v>107395.47</v>
      </c>
      <c r="AR10" s="195">
        <v>0</v>
      </c>
      <c r="AS10" s="195">
        <v>0</v>
      </c>
      <c r="AT10" s="195">
        <v>0</v>
      </c>
      <c r="AU10" s="195">
        <v>0</v>
      </c>
      <c r="AV10" s="195">
        <v>0</v>
      </c>
      <c r="AW10" s="195">
        <v>0</v>
      </c>
      <c r="AX10" s="195">
        <v>1028</v>
      </c>
      <c r="AY10" s="195">
        <v>18303.43</v>
      </c>
      <c r="AZ10" s="195">
        <v>93289.43</v>
      </c>
      <c r="BA10" s="195">
        <v>42947069.979999997</v>
      </c>
      <c r="BB10" s="195">
        <v>5243.43</v>
      </c>
      <c r="BC10" s="195">
        <v>5243.43</v>
      </c>
      <c r="BD10" s="195">
        <v>0</v>
      </c>
      <c r="BE10" s="195">
        <v>44229863.509999998</v>
      </c>
      <c r="BF10" s="195">
        <v>23687135.710000001</v>
      </c>
      <c r="BG10" s="195">
        <v>23687135.710000001</v>
      </c>
      <c r="BH10" s="195">
        <v>0</v>
      </c>
      <c r="BI10" s="195">
        <v>0</v>
      </c>
      <c r="BJ10" s="195">
        <v>0</v>
      </c>
      <c r="BK10" s="195">
        <v>0</v>
      </c>
      <c r="BL10" s="195">
        <v>0</v>
      </c>
      <c r="BM10" s="195">
        <v>1148086.6100000001</v>
      </c>
      <c r="BN10" s="195">
        <v>0</v>
      </c>
      <c r="BO10" s="195">
        <v>6562457.6100000003</v>
      </c>
      <c r="BP10" s="195">
        <v>0</v>
      </c>
      <c r="BQ10" s="195">
        <v>9345588.9199999999</v>
      </c>
      <c r="BR10" s="195">
        <v>0</v>
      </c>
      <c r="BS10" s="195">
        <v>0</v>
      </c>
      <c r="BT10" s="195">
        <v>0</v>
      </c>
    </row>
    <row r="11" spans="1:74" s="47" customFormat="1" x14ac:dyDescent="0.25">
      <c r="A11" s="136" t="s">
        <v>296</v>
      </c>
      <c r="E11" s="47">
        <f>E5-E6-E7-E8-E9-E10</f>
        <v>2513344400.6999998</v>
      </c>
      <c r="F11" s="47">
        <f t="shared" ref="F11:BQ11" si="1">F5-F6-F7-F8-F9-F10</f>
        <v>3927716432.7199998</v>
      </c>
      <c r="G11" s="47">
        <f t="shared" si="1"/>
        <v>912516519.8100003</v>
      </c>
      <c r="H11" s="47">
        <f t="shared" si="1"/>
        <v>1345769940.46</v>
      </c>
      <c r="I11" s="47">
        <f t="shared" si="1"/>
        <v>1264134750.6899998</v>
      </c>
      <c r="J11" s="47">
        <f t="shared" si="1"/>
        <v>2849815200.5699997</v>
      </c>
      <c r="K11" s="47">
        <f t="shared" si="1"/>
        <v>1127276640.23</v>
      </c>
      <c r="L11" s="47">
        <f t="shared" si="1"/>
        <v>720624941.2700001</v>
      </c>
      <c r="M11" s="47">
        <f t="shared" si="1"/>
        <v>3390994946.1400003</v>
      </c>
      <c r="N11" s="47">
        <f t="shared" si="1"/>
        <v>4373019550</v>
      </c>
      <c r="O11" s="47">
        <f t="shared" si="1"/>
        <v>1509618618.7800002</v>
      </c>
      <c r="P11" s="47">
        <f t="shared" si="1"/>
        <v>2265736247.4099998</v>
      </c>
      <c r="Q11" s="47">
        <f t="shared" si="1"/>
        <v>7838087091.5900021</v>
      </c>
      <c r="R11" s="47">
        <f t="shared" si="1"/>
        <v>7988805379.9700003</v>
      </c>
      <c r="S11" s="47">
        <f t="shared" si="1"/>
        <v>4097898602.0100002</v>
      </c>
      <c r="T11" s="47">
        <f t="shared" si="1"/>
        <v>3301592247.9500003</v>
      </c>
      <c r="U11" s="47">
        <f t="shared" si="1"/>
        <v>5859402623.6499996</v>
      </c>
      <c r="V11" s="47">
        <f t="shared" si="1"/>
        <v>4318761045.8699999</v>
      </c>
      <c r="W11" s="47">
        <f t="shared" si="1"/>
        <v>2541049539.1099997</v>
      </c>
      <c r="X11" s="47">
        <f t="shared" si="1"/>
        <v>1393451947.1600001</v>
      </c>
      <c r="Y11" s="47">
        <f t="shared" si="1"/>
        <v>3007609703.0600004</v>
      </c>
      <c r="Z11" s="47">
        <f t="shared" si="1"/>
        <v>3037768924.4299998</v>
      </c>
      <c r="AA11" s="47">
        <f t="shared" si="1"/>
        <v>1291158603.47</v>
      </c>
      <c r="AB11" s="47">
        <f t="shared" si="1"/>
        <v>836769288.23000002</v>
      </c>
      <c r="AC11" s="47">
        <f t="shared" si="1"/>
        <v>2206186923.1900001</v>
      </c>
      <c r="AD11" s="47">
        <f t="shared" si="1"/>
        <v>1709611131.6300001</v>
      </c>
      <c r="AE11" s="47">
        <f t="shared" si="1"/>
        <v>849906180.30999994</v>
      </c>
      <c r="AF11" s="47">
        <f t="shared" si="1"/>
        <v>730471773.97000003</v>
      </c>
      <c r="AG11" s="47">
        <f t="shared" si="1"/>
        <v>964536092.49000001</v>
      </c>
      <c r="AH11" s="47">
        <f t="shared" si="1"/>
        <v>960823667.43999994</v>
      </c>
      <c r="AI11" s="47">
        <f t="shared" si="1"/>
        <v>512270105.00999993</v>
      </c>
      <c r="AJ11" s="47">
        <f t="shared" si="1"/>
        <v>532789733.22000003</v>
      </c>
      <c r="AK11" s="47">
        <f t="shared" si="1"/>
        <v>1438566960.23</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37231700360.709999</v>
      </c>
      <c r="F12" s="26">
        <f t="shared" si="3"/>
        <v>37065671349.32</v>
      </c>
      <c r="G12" s="26">
        <f t="shared" si="3"/>
        <v>37523142802.980003</v>
      </c>
      <c r="H12" s="26">
        <f t="shared" si="3"/>
        <v>37004462639.419998</v>
      </c>
      <c r="I12" s="26">
        <f t="shared" si="3"/>
        <v>36480311463.849998</v>
      </c>
      <c r="J12" s="26">
        <f t="shared" si="3"/>
        <v>35011582105.75</v>
      </c>
      <c r="K12" s="26">
        <f t="shared" si="3"/>
        <v>33904269426.460003</v>
      </c>
      <c r="L12" s="26">
        <f t="shared" si="3"/>
        <v>32708834688.040001</v>
      </c>
      <c r="M12" s="26">
        <f t="shared" si="3"/>
        <v>31538036431.02</v>
      </c>
      <c r="N12" s="26">
        <f t="shared" si="3"/>
        <v>29219530611.060001</v>
      </c>
      <c r="O12" s="26">
        <f t="shared" si="3"/>
        <v>25661943748.800003</v>
      </c>
      <c r="P12" s="26">
        <f t="shared" si="3"/>
        <v>24626719058.690002</v>
      </c>
      <c r="Q12" s="26">
        <f t="shared" si="3"/>
        <v>22600570678</v>
      </c>
      <c r="R12" s="198">
        <f t="shared" ref="R12" si="4">V34</f>
        <v>18883648552.460003</v>
      </c>
      <c r="S12" s="198">
        <f t="shared" ref="S12" si="5">W34</f>
        <v>16805848475.17</v>
      </c>
      <c r="T12" s="198">
        <f t="shared" ref="T12" si="6">X34</f>
        <v>15091685022.139999</v>
      </c>
      <c r="U12" s="198">
        <f t="shared" ref="U12" si="7">Y34</f>
        <v>13820489029.26</v>
      </c>
      <c r="V12" s="198">
        <f t="shared" ref="V12" si="8">Z34</f>
        <v>11298006815.799999</v>
      </c>
      <c r="W12" s="198">
        <f t="shared" ref="W12" si="9">AA34</f>
        <v>10500554237.57</v>
      </c>
      <c r="X12" s="198">
        <f t="shared" ref="X12" si="10">AB34</f>
        <v>9970068394.8899994</v>
      </c>
      <c r="Y12" s="198">
        <f t="shared" ref="Y12" si="11">AC34</f>
        <v>9405066611.0499992</v>
      </c>
      <c r="Z12" s="198">
        <f t="shared" ref="Z12" si="12">AD34</f>
        <v>8729930026.1800003</v>
      </c>
      <c r="AA12" s="198">
        <f t="shared" ref="AA12" si="13">AE34</f>
        <v>8451885516.9400005</v>
      </c>
      <c r="AB12" s="198">
        <f t="shared" ref="AB12" si="14">AF34</f>
        <v>8266858016.5699997</v>
      </c>
      <c r="AC12" s="198">
        <f t="shared" ref="AC12" si="15">AG34</f>
        <v>7691188495.5699997</v>
      </c>
      <c r="AD12" s="198">
        <f t="shared" ref="AD12" si="16">AH34</f>
        <v>6833147835.5</v>
      </c>
      <c r="AE12" s="198">
        <f t="shared" ref="AE12" si="17">AI34</f>
        <v>6602177190.8900003</v>
      </c>
      <c r="AF12" s="198">
        <f t="shared" ref="AF12" si="18">AJ34</f>
        <v>6328094050.3900003</v>
      </c>
      <c r="AG12" s="198">
        <f t="shared" ref="AG12" si="19">AK34</f>
        <v>5726640877.1899996</v>
      </c>
      <c r="AH12" s="198">
        <f t="shared" ref="AH12" si="20">AL34</f>
        <v>4763362487.9099998</v>
      </c>
      <c r="AI12" s="198">
        <f t="shared" ref="AI12" si="21">AM34</f>
        <v>4083294770.3899999</v>
      </c>
      <c r="AJ12" s="198">
        <f t="shared" ref="AJ12" si="22">AN34</f>
        <v>3906127048.1799998</v>
      </c>
      <c r="AK12" s="198">
        <f t="shared" ref="AK12" si="23">AO34</f>
        <v>3854504724.2399998</v>
      </c>
      <c r="AL12" s="198">
        <f t="shared" ref="AL12" si="24">AP34</f>
        <v>3677296943.1199999</v>
      </c>
      <c r="AM12" s="198">
        <f t="shared" ref="AM12" si="25">AQ34</f>
        <v>3375696340.1199999</v>
      </c>
      <c r="AN12" s="198">
        <f t="shared" ref="AN12" si="26">AR34</f>
        <v>3400082080.6599998</v>
      </c>
      <c r="AO12" s="198">
        <f t="shared" ref="AO12" si="27">AS34</f>
        <v>3358536216.3299999</v>
      </c>
      <c r="AP12" s="198">
        <f t="shared" ref="AP12" si="28">AT34</f>
        <v>3307763208.5799999</v>
      </c>
      <c r="AQ12" s="198">
        <f t="shared" ref="AQ12" si="29">AU34</f>
        <v>3300541529.6399999</v>
      </c>
      <c r="AR12" s="198">
        <f t="shared" ref="AR12" si="30">AV34</f>
        <v>3282300476.4299998</v>
      </c>
      <c r="AS12" s="198">
        <f t="shared" ref="AS12" si="31">AW34</f>
        <v>3561990867.2600002</v>
      </c>
      <c r="AT12" s="198">
        <f t="shared" ref="AT12" si="32">AX34</f>
        <v>3393306519.4499998</v>
      </c>
      <c r="AU12" s="198">
        <f t="shared" ref="AU12" si="33">AY34</f>
        <v>3380614536.4499998</v>
      </c>
      <c r="AV12" s="198">
        <f t="shared" ref="AV12" si="34">AZ34</f>
        <v>3387405050.9299998</v>
      </c>
      <c r="AW12" s="198">
        <f t="shared" ref="AW12" si="35">BA34</f>
        <v>3315377610.9499998</v>
      </c>
      <c r="AX12" s="198">
        <f t="shared" ref="AX12" si="36">BB34</f>
        <v>2977168063.4000001</v>
      </c>
      <c r="AY12" s="198">
        <f t="shared" ref="AY12" si="37">BC34</f>
        <v>2730481853.6799998</v>
      </c>
      <c r="AZ12" s="198">
        <f t="shared" ref="AZ12" si="38">BD34</f>
        <v>2255325807.1500001</v>
      </c>
      <c r="BA12" s="198">
        <f t="shared" ref="BA12" si="39">BE34</f>
        <v>1916581818.3599999</v>
      </c>
      <c r="BB12" s="198">
        <f t="shared" ref="BB12" si="40">BF34</f>
        <v>1419531129.03</v>
      </c>
      <c r="BC12" s="198">
        <f t="shared" ref="BC12" si="41">BG34</f>
        <v>1069835224.3900001</v>
      </c>
      <c r="BD12" s="198">
        <f t="shared" ref="BD12" si="42">BH34</f>
        <v>843918677.71000004</v>
      </c>
      <c r="BE12" s="198">
        <f t="shared" ref="BE12" si="43">BI34</f>
        <v>736163016.33000004</v>
      </c>
      <c r="BF12" s="198">
        <f t="shared" ref="BF12" si="44">BJ34</f>
        <v>557671110.63999999</v>
      </c>
      <c r="BG12" s="198">
        <f t="shared" ref="BG12" si="45">BK34</f>
        <v>467974029.53999996</v>
      </c>
      <c r="BH12" s="198">
        <f t="shared" ref="BH12" si="46">BL34</f>
        <v>432786363.17999995</v>
      </c>
      <c r="BI12" s="198">
        <f t="shared" ref="BI12" si="47">BM34</f>
        <v>405881649.25</v>
      </c>
      <c r="BJ12" s="198">
        <f t="shared" ref="BJ12" si="48">BN34</f>
        <v>341778130.64999998</v>
      </c>
      <c r="BK12" s="198">
        <f t="shared" ref="BK12" si="49">BO34</f>
        <v>298253766.31999999</v>
      </c>
      <c r="BL12" s="198">
        <f t="shared" ref="BL12" si="50">BP34</f>
        <v>279440792.93000001</v>
      </c>
      <c r="BM12" s="198">
        <f t="shared" ref="BM12" si="51">BQ34</f>
        <v>3677296943.1199999</v>
      </c>
      <c r="BN12" s="198">
        <f t="shared" ref="BN12" si="52">BR34</f>
        <v>3375696340.1199999</v>
      </c>
    </row>
    <row r="13" spans="1:74" s="227" customFormat="1" x14ac:dyDescent="0.25">
      <c r="A13" s="227" t="s">
        <v>351</v>
      </c>
      <c r="E13" s="227">
        <f>E11/E12</f>
        <v>6.7505496024895251E-2</v>
      </c>
      <c r="F13" s="227">
        <f t="shared" ref="F13:AR13" si="53">F11/F12</f>
        <v>0.10596641824462885</v>
      </c>
      <c r="G13" s="227">
        <f t="shared" si="53"/>
        <v>2.4318765744151108E-2</v>
      </c>
      <c r="H13" s="227">
        <f t="shared" si="53"/>
        <v>3.6367774167496827E-2</v>
      </c>
      <c r="I13" s="227">
        <f t="shared" si="53"/>
        <v>3.4652520769804518E-2</v>
      </c>
      <c r="J13" s="227">
        <f t="shared" si="53"/>
        <v>8.1396355981924351E-2</v>
      </c>
      <c r="K13" s="227">
        <f t="shared" si="53"/>
        <v>3.3248810822339575E-2</v>
      </c>
      <c r="L13" s="227">
        <f t="shared" si="53"/>
        <v>2.2031507638316964E-2</v>
      </c>
      <c r="M13" s="227">
        <f t="shared" si="53"/>
        <v>0.10752080122542775</v>
      </c>
      <c r="N13" s="227">
        <f t="shared" si="53"/>
        <v>0.14966084185981929</v>
      </c>
      <c r="O13" s="227">
        <f t="shared" si="53"/>
        <v>5.8827134591104099E-2</v>
      </c>
      <c r="P13" s="227">
        <f t="shared" si="53"/>
        <v>9.2003171109002926E-2</v>
      </c>
      <c r="Q13" s="227">
        <f t="shared" si="53"/>
        <v>0.34680925553883496</v>
      </c>
      <c r="R13" s="227">
        <f t="shared" si="53"/>
        <v>0.4230541231360338</v>
      </c>
      <c r="S13" s="227">
        <f t="shared" si="53"/>
        <v>0.24383765021233467</v>
      </c>
      <c r="T13" s="227">
        <f t="shared" si="53"/>
        <v>0.21876896072946497</v>
      </c>
      <c r="U13" s="227">
        <f t="shared" si="53"/>
        <v>0.42396492709084216</v>
      </c>
      <c r="V13" s="227">
        <f t="shared" si="53"/>
        <v>0.38225866883265758</v>
      </c>
      <c r="W13" s="227">
        <f t="shared" si="53"/>
        <v>0.24199194457930254</v>
      </c>
      <c r="X13" s="227">
        <f t="shared" si="53"/>
        <v>0.13976352939305731</v>
      </c>
      <c r="Y13" s="227">
        <f t="shared" si="53"/>
        <v>0.31978611395759432</v>
      </c>
      <c r="Z13" s="227">
        <f t="shared" si="53"/>
        <v>0.34797173806893061</v>
      </c>
      <c r="AA13" s="227">
        <f t="shared" si="53"/>
        <v>0.15276574687176586</v>
      </c>
      <c r="AB13" s="227">
        <f t="shared" si="53"/>
        <v>0.10121974836785497</v>
      </c>
      <c r="AC13" s="227">
        <f t="shared" si="53"/>
        <v>0.28684603484373422</v>
      </c>
      <c r="AD13" s="227">
        <f t="shared" si="53"/>
        <v>0.25019378663931735</v>
      </c>
      <c r="AE13" s="227">
        <f t="shared" si="53"/>
        <v>0.12873119816940706</v>
      </c>
      <c r="AF13" s="227">
        <f t="shared" si="53"/>
        <v>0.11543314118806136</v>
      </c>
      <c r="AG13" s="227">
        <f t="shared" si="53"/>
        <v>0.16842964543697517</v>
      </c>
      <c r="AH13" s="227">
        <f t="shared" si="53"/>
        <v>0.20171122182674289</v>
      </c>
      <c r="AI13" s="227">
        <f t="shared" si="53"/>
        <v>0.12545508806386577</v>
      </c>
      <c r="AJ13" s="227">
        <f t="shared" si="53"/>
        <v>0.13639846493683436</v>
      </c>
      <c r="AK13" s="227">
        <f t="shared" si="53"/>
        <v>0.37321707019405587</v>
      </c>
      <c r="AL13" s="227">
        <f t="shared" si="53"/>
        <v>0.29207631108754628</v>
      </c>
      <c r="AM13" s="227">
        <f t="shared" si="53"/>
        <v>0.13732328008019856</v>
      </c>
      <c r="AN13" s="227">
        <f t="shared" si="53"/>
        <v>6.0837395528359518E-2</v>
      </c>
      <c r="AO13" s="227">
        <f t="shared" si="53"/>
        <v>0.21921114740114511</v>
      </c>
      <c r="AP13" s="227">
        <f t="shared" si="53"/>
        <v>0.18728629422537973</v>
      </c>
      <c r="AQ13" s="227">
        <f t="shared" si="53"/>
        <v>8.4338258794871696E-2</v>
      </c>
      <c r="AR13" s="227">
        <f t="shared" si="53"/>
        <v>0.1018435039724277</v>
      </c>
    </row>
    <row r="14" spans="1:74" s="48" customFormat="1" x14ac:dyDescent="0.25">
      <c r="A14" s="46" t="s">
        <v>293</v>
      </c>
    </row>
    <row r="15" spans="1:74" s="26" customFormat="1" x14ac:dyDescent="0.25">
      <c r="A15" s="17" t="s">
        <v>313</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20585000</v>
      </c>
      <c r="AT15" s="195">
        <v>20585000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row>
    <row r="16" spans="1:74" s="26" customFormat="1" x14ac:dyDescent="0.25">
      <c r="A16" s="17" t="s">
        <v>314</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72979056.739999995</v>
      </c>
      <c r="R16" s="195">
        <v>72979056.739999995</v>
      </c>
      <c r="S16" s="195">
        <v>72979056.739999995</v>
      </c>
      <c r="T16" s="195">
        <v>72979056.739999995</v>
      </c>
      <c r="U16" s="195">
        <v>72979056.739999995</v>
      </c>
      <c r="V16" s="195">
        <v>72979056.739999995</v>
      </c>
      <c r="W16" s="195">
        <v>72979056.739999995</v>
      </c>
      <c r="X16" s="195">
        <v>72979056.739999995</v>
      </c>
      <c r="Y16" s="195">
        <v>72979056.739999995</v>
      </c>
      <c r="Z16" s="195">
        <v>72979056.739999995</v>
      </c>
      <c r="AA16" s="195">
        <v>72979056.739999995</v>
      </c>
      <c r="AB16" s="195">
        <v>72979056.739999995</v>
      </c>
      <c r="AC16" s="195">
        <v>72979056.739999995</v>
      </c>
      <c r="AD16" s="195">
        <v>72979056.739999995</v>
      </c>
      <c r="AE16" s="195">
        <v>72979056.739999995</v>
      </c>
      <c r="AF16" s="195">
        <v>72979056.739999995</v>
      </c>
      <c r="AG16" s="195">
        <v>72979056.739999995</v>
      </c>
      <c r="AH16" s="195">
        <v>72979056.739999995</v>
      </c>
      <c r="AI16" s="195">
        <v>72979056.739999995</v>
      </c>
      <c r="AJ16" s="195">
        <v>72979056.739999995</v>
      </c>
      <c r="AK16" s="195">
        <v>72979056.739999995</v>
      </c>
      <c r="AL16" s="195">
        <v>72979056.739999995</v>
      </c>
      <c r="AM16" s="195">
        <v>72979056.739999995</v>
      </c>
      <c r="AN16" s="195">
        <v>72979056.739999995</v>
      </c>
      <c r="AO16" s="195">
        <v>72979056.739999995</v>
      </c>
      <c r="AP16" s="195">
        <v>72979056.739999995</v>
      </c>
      <c r="AQ16" s="195">
        <v>72979056.739999995</v>
      </c>
      <c r="AR16" s="195">
        <v>72979056.739999995</v>
      </c>
      <c r="AS16" s="195">
        <v>72979056.739999995</v>
      </c>
      <c r="AT16" s="195">
        <v>72979056.739999995</v>
      </c>
      <c r="AU16" s="195">
        <v>72979056.739999995</v>
      </c>
      <c r="AV16" s="195">
        <v>72979056.739999995</v>
      </c>
      <c r="AW16" s="195">
        <v>72979056.739999995</v>
      </c>
      <c r="AX16" s="195">
        <v>72979056.739999995</v>
      </c>
      <c r="AY16" s="195">
        <v>72979056.739999995</v>
      </c>
      <c r="AZ16" s="195">
        <v>72979056.739999995</v>
      </c>
      <c r="BA16" s="195">
        <v>72979056.739999995</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row>
    <row r="17" spans="1:74" s="47" customFormat="1" x14ac:dyDescent="0.25">
      <c r="A17" s="136"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72979056.739999995</v>
      </c>
      <c r="R17" s="47">
        <f t="shared" si="54"/>
        <v>72979056.739999995</v>
      </c>
      <c r="S17" s="47">
        <f t="shared" si="54"/>
        <v>72979056.739999995</v>
      </c>
      <c r="T17" s="47">
        <f t="shared" si="54"/>
        <v>72979056.739999995</v>
      </c>
      <c r="U17" s="47">
        <f t="shared" si="54"/>
        <v>72979056.739999995</v>
      </c>
      <c r="V17" s="47">
        <f t="shared" si="54"/>
        <v>72979056.739999995</v>
      </c>
      <c r="W17" s="47">
        <f t="shared" si="54"/>
        <v>72979056.739999995</v>
      </c>
      <c r="X17" s="47">
        <f t="shared" si="54"/>
        <v>72979056.739999995</v>
      </c>
      <c r="Y17" s="47">
        <f t="shared" si="54"/>
        <v>72979056.739999995</v>
      </c>
      <c r="Z17" s="47">
        <f t="shared" si="54"/>
        <v>72979056.739999995</v>
      </c>
      <c r="AA17" s="47">
        <f t="shared" si="54"/>
        <v>72979056.739999995</v>
      </c>
      <c r="AB17" s="47">
        <f t="shared" si="54"/>
        <v>72979056.739999995</v>
      </c>
      <c r="AC17" s="47">
        <f t="shared" si="54"/>
        <v>72979056.739999995</v>
      </c>
      <c r="AD17" s="47">
        <f t="shared" si="54"/>
        <v>72979056.739999995</v>
      </c>
      <c r="AE17" s="47">
        <f t="shared" si="54"/>
        <v>72979056.739999995</v>
      </c>
      <c r="AF17" s="47">
        <f t="shared" si="54"/>
        <v>72979056.739999995</v>
      </c>
      <c r="AG17" s="47">
        <f t="shared" si="54"/>
        <v>72979056.739999995</v>
      </c>
      <c r="AH17" s="47">
        <f t="shared" si="54"/>
        <v>72979056.739999995</v>
      </c>
      <c r="AI17" s="47">
        <f t="shared" si="54"/>
        <v>72979056.739999995</v>
      </c>
      <c r="AJ17" s="47">
        <f t="shared" si="54"/>
        <v>72979056.739999995</v>
      </c>
      <c r="AK17" s="47">
        <f t="shared" si="54"/>
        <v>72979056.739999995</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26" customFormat="1" x14ac:dyDescent="0.25">
      <c r="A19" s="17" t="s">
        <v>299</v>
      </c>
      <c r="E19" s="26">
        <f>E5+E17</f>
        <v>5916674333.3699999</v>
      </c>
      <c r="F19" s="26">
        <f t="shared" ref="F19:AS19" si="55">F5+F17</f>
        <v>3927716432.7199998</v>
      </c>
      <c r="G19" s="26">
        <f t="shared" si="55"/>
        <v>2586016355.4100003</v>
      </c>
      <c r="H19" s="26">
        <f t="shared" si="55"/>
        <v>1345769940.46</v>
      </c>
      <c r="I19" s="26">
        <f t="shared" si="55"/>
        <v>4111629999.8999996</v>
      </c>
      <c r="J19" s="26">
        <f t="shared" si="55"/>
        <v>2849815200.5699997</v>
      </c>
      <c r="K19" s="26">
        <f t="shared" si="55"/>
        <v>2308588980.73</v>
      </c>
      <c r="L19" s="26">
        <f t="shared" si="55"/>
        <v>720624941.2700001</v>
      </c>
      <c r="M19" s="26">
        <f t="shared" si="55"/>
        <v>5097028668.21</v>
      </c>
      <c r="N19" s="26">
        <f t="shared" si="55"/>
        <v>4373019550</v>
      </c>
      <c r="O19" s="26">
        <f t="shared" si="55"/>
        <v>2302366155.6100001</v>
      </c>
      <c r="P19" s="26">
        <f t="shared" si="55"/>
        <v>2265736247.4099998</v>
      </c>
      <c r="Q19" s="26">
        <f t="shared" si="55"/>
        <v>9122631532.710001</v>
      </c>
      <c r="R19" s="26">
        <f t="shared" si="55"/>
        <v>8061784436.71</v>
      </c>
      <c r="S19" s="26">
        <f t="shared" si="55"/>
        <v>4660796784.2799997</v>
      </c>
      <c r="T19" s="26">
        <f t="shared" si="55"/>
        <v>3374571304.6900001</v>
      </c>
      <c r="U19" s="26">
        <f t="shared" si="55"/>
        <v>6839020075.6300001</v>
      </c>
      <c r="V19" s="26">
        <f t="shared" si="55"/>
        <v>4391740102.6099997</v>
      </c>
      <c r="W19" s="26">
        <f t="shared" si="55"/>
        <v>3054168520.0399995</v>
      </c>
      <c r="X19" s="26">
        <f t="shared" si="55"/>
        <v>1466431003.9000001</v>
      </c>
      <c r="Y19" s="26">
        <f t="shared" si="55"/>
        <v>4001379219.75</v>
      </c>
      <c r="Z19" s="198">
        <f t="shared" si="55"/>
        <v>3110747981.1699996</v>
      </c>
      <c r="AA19" s="198">
        <f t="shared" si="55"/>
        <v>1735827495.1400001</v>
      </c>
      <c r="AB19" s="198">
        <f t="shared" si="55"/>
        <v>909748344.97000003</v>
      </c>
      <c r="AC19" s="198">
        <f t="shared" si="55"/>
        <v>2968884707.8199997</v>
      </c>
      <c r="AD19" s="198">
        <f t="shared" si="55"/>
        <v>1787313063.1200001</v>
      </c>
      <c r="AE19" s="198">
        <f t="shared" si="55"/>
        <v>1260752247.5</v>
      </c>
      <c r="AF19" s="198">
        <f t="shared" si="55"/>
        <v>808173705.46000004</v>
      </c>
      <c r="AG19" s="198">
        <f t="shared" si="55"/>
        <v>1362956491.97</v>
      </c>
      <c r="AH19" s="198">
        <f t="shared" si="55"/>
        <v>1038525598.9299999</v>
      </c>
      <c r="AI19" s="198">
        <f t="shared" si="55"/>
        <v>738972787.64999998</v>
      </c>
      <c r="AJ19" s="198">
        <f t="shared" si="55"/>
        <v>610491664.71000004</v>
      </c>
      <c r="AK19" s="198">
        <f t="shared" si="55"/>
        <v>1810581052.0899999</v>
      </c>
      <c r="AL19" s="198">
        <f t="shared" si="55"/>
        <v>1151753257.4100001</v>
      </c>
      <c r="AM19" s="198">
        <f t="shared" si="55"/>
        <v>681455236.38999999</v>
      </c>
      <c r="AN19" s="198">
        <f t="shared" si="55"/>
        <v>284554069.86000001</v>
      </c>
      <c r="AO19" s="198">
        <f t="shared" si="55"/>
        <v>1081545207.8399999</v>
      </c>
      <c r="AP19" s="198">
        <f t="shared" si="55"/>
        <v>692477770.25</v>
      </c>
      <c r="AQ19" s="198">
        <f t="shared" si="55"/>
        <v>480487275.02000004</v>
      </c>
      <c r="AR19" s="198">
        <f t="shared" si="55"/>
        <v>407260038.35000002</v>
      </c>
      <c r="AS19" s="198">
        <f t="shared" si="55"/>
        <v>52394056.739999995</v>
      </c>
    </row>
    <row r="20" spans="1:74" s="26" customFormat="1" x14ac:dyDescent="0.25">
      <c r="A20" s="17" t="s">
        <v>300</v>
      </c>
      <c r="B20" s="195">
        <v>15519427614.9</v>
      </c>
      <c r="C20" s="195">
        <v>8445172019.4899998</v>
      </c>
      <c r="D20" s="195">
        <v>3590001796.8600001</v>
      </c>
      <c r="E20" s="195">
        <v>10212146595.4</v>
      </c>
      <c r="F20" s="195">
        <v>5631450899.3100004</v>
      </c>
      <c r="G20" s="195">
        <v>1448528030.7</v>
      </c>
      <c r="H20" s="195">
        <v>473064821.51999998</v>
      </c>
      <c r="I20" s="195">
        <v>7348843878.8299999</v>
      </c>
      <c r="J20" s="195">
        <v>5213297121.1899996</v>
      </c>
      <c r="K20" s="195">
        <v>3196955963.5300002</v>
      </c>
      <c r="L20" s="195">
        <v>1797738710.79</v>
      </c>
      <c r="M20" s="195">
        <v>4602393725.9200001</v>
      </c>
      <c r="N20" s="195">
        <v>3261934933.6900001</v>
      </c>
      <c r="O20" s="195">
        <v>1938355948.03</v>
      </c>
      <c r="P20" s="195">
        <v>744388968.48000002</v>
      </c>
      <c r="Q20" s="195">
        <v>4020514862.8299999</v>
      </c>
      <c r="R20" s="195">
        <v>4001156726.0300002</v>
      </c>
      <c r="S20" s="195">
        <v>1817062217.95</v>
      </c>
      <c r="T20" s="195">
        <v>1041438665.5</v>
      </c>
      <c r="U20" s="195">
        <v>3869262970.0700002</v>
      </c>
      <c r="V20" s="195">
        <v>2431011526.1799998</v>
      </c>
      <c r="W20" s="195">
        <v>1784057088.8699999</v>
      </c>
      <c r="X20" s="195">
        <v>771350227.17999995</v>
      </c>
      <c r="Y20" s="195">
        <v>3806178738.5300002</v>
      </c>
      <c r="Z20" s="195">
        <v>2768175671.1700001</v>
      </c>
      <c r="AA20" s="195">
        <v>1894122384.52</v>
      </c>
      <c r="AB20" s="195">
        <v>941760962.99000001</v>
      </c>
      <c r="AC20" s="195">
        <v>2012433377.9000001</v>
      </c>
      <c r="AD20" s="195">
        <v>1030715391.98</v>
      </c>
      <c r="AE20" s="195">
        <v>947645195.47000003</v>
      </c>
      <c r="AF20" s="195">
        <v>245090015.16999999</v>
      </c>
      <c r="AG20" s="195">
        <v>413358406.20999998</v>
      </c>
      <c r="AH20" s="195">
        <v>217249909.44999999</v>
      </c>
      <c r="AI20" s="195">
        <v>224549233.96000001</v>
      </c>
      <c r="AJ20" s="195">
        <v>221686829.78999999</v>
      </c>
      <c r="AK20" s="195">
        <v>1454378028.8499999</v>
      </c>
      <c r="AL20" s="195">
        <v>971572847.78999996</v>
      </c>
      <c r="AM20" s="195">
        <v>1037731137.3200001</v>
      </c>
      <c r="AN20" s="195">
        <v>500247022.56</v>
      </c>
      <c r="AO20" s="195">
        <v>2000204491.3900001</v>
      </c>
      <c r="AP20" s="195">
        <v>892259381.87</v>
      </c>
      <c r="AQ20" s="195">
        <v>477364493.25</v>
      </c>
      <c r="AR20" s="195">
        <v>25279397.539999999</v>
      </c>
      <c r="AS20" s="195">
        <v>1282377054.47</v>
      </c>
      <c r="AT20" s="195">
        <v>1160994477.8499999</v>
      </c>
      <c r="AU20" s="195">
        <v>569187150.11000001</v>
      </c>
      <c r="AV20" s="195">
        <v>96061223.269999996</v>
      </c>
      <c r="AW20" s="195">
        <v>932348065.53999996</v>
      </c>
      <c r="AX20" s="195">
        <v>688901516.20000005</v>
      </c>
      <c r="AY20" s="195">
        <v>374889372.88</v>
      </c>
      <c r="AZ20" s="195">
        <v>96915024.75</v>
      </c>
      <c r="BA20" s="195">
        <v>827396286.11000001</v>
      </c>
      <c r="BB20" s="195">
        <v>563138867.80999994</v>
      </c>
      <c r="BC20" s="195">
        <v>307046407.83999997</v>
      </c>
      <c r="BD20" s="195">
        <v>279545545.48000002</v>
      </c>
      <c r="BE20" s="195">
        <v>203227700.44999999</v>
      </c>
      <c r="BF20" s="195">
        <v>284809595.38999999</v>
      </c>
      <c r="BG20" s="195">
        <v>289387069.45999998</v>
      </c>
      <c r="BH20" s="195">
        <v>80152588.599999994</v>
      </c>
      <c r="BI20" s="195">
        <v>374222722.25</v>
      </c>
      <c r="BJ20" s="195">
        <v>316474185.83999997</v>
      </c>
      <c r="BK20" s="195">
        <v>126099964.81999999</v>
      </c>
      <c r="BL20" s="195">
        <v>34925382.18</v>
      </c>
      <c r="BM20" s="195">
        <v>123979697.90000001</v>
      </c>
      <c r="BN20" s="195">
        <v>727757.03</v>
      </c>
      <c r="BO20" s="195">
        <v>84766521.489999995</v>
      </c>
      <c r="BP20" s="195">
        <v>32597122.539999999</v>
      </c>
      <c r="BQ20" s="195">
        <v>84086054.370000005</v>
      </c>
      <c r="BR20" s="195">
        <v>-11879172.720000001</v>
      </c>
      <c r="BS20" s="195">
        <v>54437569.759999998</v>
      </c>
      <c r="BT20" s="195">
        <v>0</v>
      </c>
    </row>
    <row r="21" spans="1:74" s="250" customFormat="1" x14ac:dyDescent="0.25">
      <c r="A21" s="250" t="s">
        <v>670</v>
      </c>
      <c r="E21" s="250">
        <f>E20/E19</f>
        <v>1.7259943711627945</v>
      </c>
      <c r="F21" s="250">
        <f t="shared" ref="F21:AS21" si="56">F20/F19</f>
        <v>1.4337722683839831</v>
      </c>
      <c r="G21" s="250">
        <f t="shared" si="56"/>
        <v>0.56013877393685041</v>
      </c>
      <c r="H21" s="250">
        <f t="shared" si="56"/>
        <v>0.35151983061703762</v>
      </c>
      <c r="I21" s="250">
        <f t="shared" si="56"/>
        <v>1.787331029058727</v>
      </c>
      <c r="J21" s="250">
        <f t="shared" si="56"/>
        <v>1.8293456783258344</v>
      </c>
      <c r="K21" s="250">
        <f t="shared" si="56"/>
        <v>1.3848095049466489</v>
      </c>
      <c r="L21" s="250">
        <f t="shared" si="56"/>
        <v>2.4946939910541235</v>
      </c>
      <c r="M21" s="250">
        <f t="shared" si="56"/>
        <v>0.90295621733991382</v>
      </c>
      <c r="N21" s="250">
        <f t="shared" si="56"/>
        <v>0.7459227877657213</v>
      </c>
      <c r="O21" s="250">
        <f t="shared" si="56"/>
        <v>0.84189734256949345</v>
      </c>
      <c r="P21" s="250">
        <f t="shared" si="56"/>
        <v>0.32854175737839003</v>
      </c>
      <c r="Q21" s="250">
        <f t="shared" si="56"/>
        <v>0.44071876063546894</v>
      </c>
      <c r="R21" s="250">
        <f t="shared" si="56"/>
        <v>0.49631154956344442</v>
      </c>
      <c r="S21" s="250">
        <f t="shared" si="56"/>
        <v>0.38986085471021026</v>
      </c>
      <c r="T21" s="250">
        <f t="shared" si="56"/>
        <v>0.30861361976633955</v>
      </c>
      <c r="U21" s="250">
        <f t="shared" si="56"/>
        <v>0.56576277409356335</v>
      </c>
      <c r="V21" s="250">
        <f t="shared" si="56"/>
        <v>0.55354175551856</v>
      </c>
      <c r="W21" s="250">
        <f t="shared" si="56"/>
        <v>0.58413839222160358</v>
      </c>
      <c r="X21" s="250">
        <f t="shared" si="56"/>
        <v>0.52600512750247364</v>
      </c>
      <c r="Y21" s="250">
        <f t="shared" si="56"/>
        <v>0.95121670041756357</v>
      </c>
      <c r="Z21" s="250">
        <f t="shared" si="56"/>
        <v>0.88987461791387135</v>
      </c>
      <c r="AA21" s="250">
        <f t="shared" si="56"/>
        <v>1.0911927537864199</v>
      </c>
      <c r="AB21" s="250">
        <f t="shared" si="56"/>
        <v>1.0351884322703062</v>
      </c>
      <c r="AC21" s="250">
        <f t="shared" si="56"/>
        <v>0.67784153847378426</v>
      </c>
      <c r="AD21" s="250">
        <f t="shared" si="56"/>
        <v>0.57668430519986513</v>
      </c>
      <c r="AE21" s="250">
        <f t="shared" si="56"/>
        <v>0.75165060966508412</v>
      </c>
      <c r="AF21" s="250">
        <f t="shared" si="56"/>
        <v>0.30326403038626271</v>
      </c>
      <c r="AG21" s="250">
        <f t="shared" si="56"/>
        <v>0.30328070532356977</v>
      </c>
      <c r="AH21" s="250">
        <f t="shared" si="56"/>
        <v>0.20919071198036338</v>
      </c>
      <c r="AI21" s="250">
        <f t="shared" si="56"/>
        <v>0.30386671567986528</v>
      </c>
      <c r="AJ21" s="250">
        <f t="shared" si="56"/>
        <v>0.36312834819015455</v>
      </c>
      <c r="AK21" s="250">
        <f t="shared" si="56"/>
        <v>0.80326590581027801</v>
      </c>
      <c r="AL21" s="250">
        <f t="shared" si="56"/>
        <v>0.84355988710187801</v>
      </c>
      <c r="AM21" s="250">
        <f t="shared" si="56"/>
        <v>1.5228162935798497</v>
      </c>
      <c r="AN21" s="250">
        <f t="shared" si="56"/>
        <v>1.7580034009217316</v>
      </c>
      <c r="AO21" s="250">
        <f t="shared" si="56"/>
        <v>1.8493951772803783</v>
      </c>
      <c r="AP21" s="250">
        <f t="shared" si="56"/>
        <v>1.2885025631189206</v>
      </c>
      <c r="AQ21" s="250">
        <f t="shared" si="56"/>
        <v>0.99350080234722127</v>
      </c>
      <c r="AR21" s="250">
        <f t="shared" si="56"/>
        <v>6.2071883218443445E-2</v>
      </c>
      <c r="AS21" s="250">
        <f t="shared" si="56"/>
        <v>24.475620600131453</v>
      </c>
    </row>
    <row r="22" spans="1:74" s="26" customFormat="1" x14ac:dyDescent="0.25">
      <c r="A22" s="17" t="s">
        <v>301</v>
      </c>
      <c r="E22" s="26">
        <f>I35</f>
        <v>2006803439.1900001</v>
      </c>
      <c r="F22" s="26">
        <f t="shared" ref="F22:Y22" si="57">J35</f>
        <v>2450345859.8299999</v>
      </c>
      <c r="G22" s="26">
        <f t="shared" si="57"/>
        <v>1980750668.1900001</v>
      </c>
      <c r="H22" s="26">
        <f t="shared" si="57"/>
        <v>2560873154.1500001</v>
      </c>
      <c r="I22" s="26">
        <f t="shared" si="57"/>
        <v>2086361762.97</v>
      </c>
      <c r="J22" s="26">
        <f t="shared" si="57"/>
        <v>1295053147.9300001</v>
      </c>
      <c r="K22" s="26">
        <f t="shared" si="57"/>
        <v>1077010529.8699999</v>
      </c>
      <c r="L22" s="26">
        <f t="shared" si="57"/>
        <v>1193649598.96</v>
      </c>
      <c r="M22" s="26">
        <f t="shared" si="57"/>
        <v>1052235238.01</v>
      </c>
      <c r="N22" s="26">
        <f t="shared" si="57"/>
        <v>1112477936.96</v>
      </c>
      <c r="O22" s="26">
        <f t="shared" si="57"/>
        <v>1738615276.3199999</v>
      </c>
      <c r="P22" s="26">
        <f t="shared" si="57"/>
        <v>1733239725.05</v>
      </c>
      <c r="Q22" s="26">
        <f t="shared" si="57"/>
        <v>1065182382.29</v>
      </c>
      <c r="R22" s="26">
        <f t="shared" si="57"/>
        <v>1147001980.8299999</v>
      </c>
      <c r="S22" s="26">
        <f t="shared" si="57"/>
        <v>1476191069.95</v>
      </c>
      <c r="T22" s="26">
        <f t="shared" si="57"/>
        <v>1912137275.99</v>
      </c>
      <c r="U22" s="26">
        <f t="shared" si="57"/>
        <v>1481246941.1800001</v>
      </c>
      <c r="V22" s="26">
        <f t="shared" si="57"/>
        <v>618164410.21000004</v>
      </c>
      <c r="W22" s="26">
        <f t="shared" si="57"/>
        <v>825454040.50999999</v>
      </c>
      <c r="X22" s="26">
        <f t="shared" si="57"/>
        <v>1379366488.8800001</v>
      </c>
      <c r="Y22" s="26">
        <f t="shared" si="57"/>
        <v>1912246999.96</v>
      </c>
      <c r="Z22" s="198">
        <f t="shared" ref="Z22" si="58">AD35</f>
        <v>789220917.44000006</v>
      </c>
      <c r="AA22" s="198">
        <f t="shared" ref="AA22" si="59">AE35</f>
        <v>1313623838.04</v>
      </c>
      <c r="AB22" s="198">
        <f t="shared" ref="AB22" si="60">AF35</f>
        <v>1694630766.6800001</v>
      </c>
      <c r="AC22" s="198">
        <f t="shared" ref="AC22" si="61">AG35</f>
        <v>1111080540.1500001</v>
      </c>
      <c r="AD22" s="198">
        <f t="shared" ref="AD22" si="62">AH35</f>
        <v>864133411.05999994</v>
      </c>
      <c r="AE22" s="198">
        <f t="shared" ref="AE22" si="63">AI35</f>
        <v>739865397.36000001</v>
      </c>
      <c r="AF22" s="198">
        <f t="shared" ref="AF22" si="64">AJ35</f>
        <v>1146944429.9400001</v>
      </c>
      <c r="AG22" s="198">
        <f t="shared" ref="AG22" si="65">AK35</f>
        <v>1234629727.6500001</v>
      </c>
      <c r="AH22" s="198">
        <f t="shared" ref="AH22" si="66">AL35</f>
        <v>1748838379.75</v>
      </c>
      <c r="AI22" s="198">
        <f t="shared" ref="AI22" si="67">AM35</f>
        <v>2256342309.7199998</v>
      </c>
      <c r="AJ22" s="198">
        <f t="shared" ref="AJ22" si="68">AN35</f>
        <v>2572933186.6399999</v>
      </c>
      <c r="AK22" s="198">
        <f t="shared" ref="AK22" si="69">AO35</f>
        <v>1276618727.3699999</v>
      </c>
      <c r="AL22" s="198">
        <f t="shared" ref="AL22" si="70">AP35</f>
        <v>629236293.90999997</v>
      </c>
      <c r="AM22" s="198">
        <f t="shared" ref="AM22" si="71">AQ35</f>
        <v>599296571.35000002</v>
      </c>
      <c r="AN22" s="198">
        <f t="shared" ref="AN22" si="72">AR35</f>
        <v>1067880744.47</v>
      </c>
      <c r="AO22" s="198">
        <f t="shared" ref="AO22" si="73">AS35</f>
        <v>1429453629.1199999</v>
      </c>
      <c r="AP22" s="198">
        <f t="shared" ref="AP22" si="74">AT35</f>
        <v>1413103676.4000001</v>
      </c>
      <c r="AQ22" s="198">
        <f t="shared" ref="AQ22" si="75">AU35</f>
        <v>850706200.61999989</v>
      </c>
      <c r="AR22" s="198">
        <f t="shared" ref="AR22" si="76">AV35</f>
        <v>389709284.85000002</v>
      </c>
      <c r="AS22" s="198">
        <f t="shared" ref="AS22" si="77">AW35</f>
        <v>288932115.06</v>
      </c>
    </row>
    <row r="23" spans="1:74" s="26" customFormat="1" x14ac:dyDescent="0.25">
      <c r="A23" s="17" t="s">
        <v>302</v>
      </c>
      <c r="E23" s="26">
        <f>E20+E22-E19</f>
        <v>6302275701.2200003</v>
      </c>
      <c r="F23" s="26">
        <f t="shared" ref="F23:AS23" si="78">F20+F22-F19</f>
        <v>4154080326.4200006</v>
      </c>
      <c r="G23" s="26">
        <f t="shared" si="78"/>
        <v>843262343.48000002</v>
      </c>
      <c r="H23" s="26">
        <f t="shared" si="78"/>
        <v>1688168035.21</v>
      </c>
      <c r="I23" s="26">
        <f t="shared" si="78"/>
        <v>5323575641.8999996</v>
      </c>
      <c r="J23" s="26">
        <f t="shared" si="78"/>
        <v>3658535068.5500002</v>
      </c>
      <c r="K23" s="26">
        <f t="shared" si="78"/>
        <v>1965377512.6700001</v>
      </c>
      <c r="L23" s="26">
        <f t="shared" si="78"/>
        <v>2270763368.48</v>
      </c>
      <c r="M23" s="26">
        <f t="shared" si="78"/>
        <v>557600295.72000027</v>
      </c>
      <c r="N23" s="26">
        <f t="shared" si="78"/>
        <v>1393320.6499996185</v>
      </c>
      <c r="O23" s="26">
        <f t="shared" si="78"/>
        <v>1374605068.7399998</v>
      </c>
      <c r="P23" s="26">
        <f t="shared" si="78"/>
        <v>211892446.11999989</v>
      </c>
      <c r="Q23" s="26">
        <f t="shared" si="78"/>
        <v>-4036934287.5900011</v>
      </c>
      <c r="R23" s="26">
        <f t="shared" si="78"/>
        <v>-2913625729.8499994</v>
      </c>
      <c r="S23" s="26">
        <f t="shared" si="78"/>
        <v>-1367543496.3799996</v>
      </c>
      <c r="T23" s="26">
        <f t="shared" si="78"/>
        <v>-420995363.20000029</v>
      </c>
      <c r="U23" s="26">
        <f t="shared" si="78"/>
        <v>-1488510164.3800001</v>
      </c>
      <c r="V23" s="26">
        <f t="shared" si="78"/>
        <v>-1342564166.2199998</v>
      </c>
      <c r="W23" s="26">
        <f t="shared" si="78"/>
        <v>-444657390.65999937</v>
      </c>
      <c r="X23" s="26">
        <f t="shared" si="78"/>
        <v>684285712.15999985</v>
      </c>
      <c r="Y23" s="26">
        <f t="shared" si="78"/>
        <v>1717046518.7399998</v>
      </c>
      <c r="Z23" s="198">
        <f t="shared" si="78"/>
        <v>446648607.44000053</v>
      </c>
      <c r="AA23" s="198">
        <f t="shared" si="78"/>
        <v>1471918727.4199998</v>
      </c>
      <c r="AB23" s="198">
        <f t="shared" si="78"/>
        <v>1726643384.7</v>
      </c>
      <c r="AC23" s="198">
        <f t="shared" si="78"/>
        <v>154629210.2300005</v>
      </c>
      <c r="AD23" s="198">
        <f t="shared" si="78"/>
        <v>107535739.91999984</v>
      </c>
      <c r="AE23" s="198">
        <f t="shared" si="78"/>
        <v>426758345.32999992</v>
      </c>
      <c r="AF23" s="198">
        <f t="shared" si="78"/>
        <v>583860739.6500001</v>
      </c>
      <c r="AG23" s="198">
        <f t="shared" si="78"/>
        <v>285031641.8900001</v>
      </c>
      <c r="AH23" s="198">
        <f t="shared" si="78"/>
        <v>927562690.2700001</v>
      </c>
      <c r="AI23" s="198">
        <f t="shared" si="78"/>
        <v>1741918756.0299997</v>
      </c>
      <c r="AJ23" s="198">
        <f t="shared" si="78"/>
        <v>2184128351.7199998</v>
      </c>
      <c r="AK23" s="198">
        <f t="shared" si="78"/>
        <v>920415704.12999988</v>
      </c>
      <c r="AL23" s="198">
        <f t="shared" si="78"/>
        <v>449055884.28999972</v>
      </c>
      <c r="AM23" s="198">
        <f t="shared" si="78"/>
        <v>955572472.28000009</v>
      </c>
      <c r="AN23" s="198">
        <f t="shared" si="78"/>
        <v>1283573697.1700001</v>
      </c>
      <c r="AO23" s="198">
        <f t="shared" si="78"/>
        <v>2348112912.6700001</v>
      </c>
      <c r="AP23" s="198">
        <f t="shared" si="78"/>
        <v>1612885288.02</v>
      </c>
      <c r="AQ23" s="198">
        <f t="shared" si="78"/>
        <v>847583418.8499999</v>
      </c>
      <c r="AR23" s="198">
        <f t="shared" si="78"/>
        <v>7728644.0400000215</v>
      </c>
      <c r="AS23" s="198">
        <f t="shared" si="78"/>
        <v>1518915112.79</v>
      </c>
    </row>
    <row r="24" spans="1:74" s="228" customFormat="1" x14ac:dyDescent="0.25">
      <c r="A24" s="228" t="s">
        <v>303</v>
      </c>
      <c r="B24" s="228">
        <v>-8052842799.9799995</v>
      </c>
      <c r="C24" s="228">
        <v>-4379946694.79</v>
      </c>
      <c r="D24" s="228">
        <v>-2258176969.52</v>
      </c>
      <c r="E24" s="228">
        <v>-3659933147.1599998</v>
      </c>
      <c r="F24" s="228">
        <v>-1310222489.0999999</v>
      </c>
      <c r="G24" s="228">
        <v>1212522035.73</v>
      </c>
      <c r="H24" s="228">
        <v>1917360757.8399999</v>
      </c>
      <c r="I24" s="228">
        <v>-3504270910.29</v>
      </c>
      <c r="J24" s="228">
        <v>-1963239775.8199999</v>
      </c>
      <c r="K24" s="228">
        <v>-1011795613.0599999</v>
      </c>
      <c r="L24" s="228">
        <v>-563744125.88999999</v>
      </c>
      <c r="M24" s="228">
        <v>1756280982.79</v>
      </c>
      <c r="N24" s="228">
        <v>1455998369.01</v>
      </c>
      <c r="O24" s="228">
        <v>350550009.19999999</v>
      </c>
      <c r="P24" s="228">
        <v>1606675466.1600001</v>
      </c>
      <c r="Q24" s="228">
        <v>5001211226.8699999</v>
      </c>
      <c r="R24" s="228">
        <v>3976765129.5799999</v>
      </c>
      <c r="S24" s="228">
        <v>3418248739.3299999</v>
      </c>
      <c r="T24" s="228">
        <v>2952370297.8099999</v>
      </c>
      <c r="U24" s="228">
        <v>2607456782.3699999</v>
      </c>
      <c r="V24" s="228">
        <v>1649250173.51</v>
      </c>
      <c r="W24" s="228">
        <v>1075358010.1800001</v>
      </c>
      <c r="X24" s="228">
        <v>1114829314.1099999</v>
      </c>
      <c r="Y24" s="228">
        <v>-292331569.18000001</v>
      </c>
      <c r="Z24" s="228">
        <v>-993580774.29999995</v>
      </c>
      <c r="AA24" s="228">
        <v>-1274481910.1900001</v>
      </c>
      <c r="AB24" s="228">
        <v>-640951839.41999996</v>
      </c>
      <c r="AC24" s="228">
        <v>1750730656.1800001</v>
      </c>
      <c r="AD24" s="228">
        <v>428493992.19</v>
      </c>
      <c r="AE24" s="228">
        <v>473473831.93000001</v>
      </c>
      <c r="AF24" s="228">
        <v>1084131606.6199999</v>
      </c>
      <c r="AG24" s="228">
        <v>1586828702.28</v>
      </c>
      <c r="AH24" s="228">
        <v>1299445679.3800001</v>
      </c>
      <c r="AI24" s="228">
        <v>763611222.38999999</v>
      </c>
      <c r="AJ24" s="228">
        <v>795431895.69000006</v>
      </c>
      <c r="AK24" s="228">
        <v>-609532250.52999997</v>
      </c>
      <c r="AL24" s="228">
        <v>878115980.08000004</v>
      </c>
      <c r="AM24" s="228">
        <v>848464475.28999996</v>
      </c>
      <c r="AN24" s="228">
        <v>1005339550.22</v>
      </c>
      <c r="AO24" s="228">
        <v>-1164027199.5899999</v>
      </c>
      <c r="AP24" s="228">
        <v>-910105478.90999997</v>
      </c>
      <c r="AQ24" s="228">
        <v>-824271871.38999999</v>
      </c>
      <c r="AR24" s="228">
        <v>13317634.869999999</v>
      </c>
      <c r="AS24" s="228">
        <v>232303057.16999999</v>
      </c>
      <c r="AT24" s="228">
        <v>102340429.64</v>
      </c>
      <c r="AU24" s="228">
        <v>114682289.03</v>
      </c>
      <c r="AV24" s="228">
        <v>67733183.680000007</v>
      </c>
      <c r="AW24" s="228">
        <v>-377094583.62</v>
      </c>
      <c r="AX24" s="228">
        <v>-162665891.11000001</v>
      </c>
      <c r="AY24" s="228">
        <v>-96314213.319999993</v>
      </c>
      <c r="AZ24" s="228">
        <v>159510136.62</v>
      </c>
      <c r="BA24" s="228">
        <v>387539526.37</v>
      </c>
      <c r="BB24" s="228">
        <v>481367622.10000002</v>
      </c>
      <c r="BC24" s="228">
        <v>542189012.48000002</v>
      </c>
      <c r="BD24" s="228">
        <v>300535070.19999999</v>
      </c>
      <c r="BE24" s="228">
        <v>1164549226.24</v>
      </c>
      <c r="BF24" s="228">
        <v>641801556.5</v>
      </c>
      <c r="BG24" s="228">
        <v>423316961.5</v>
      </c>
      <c r="BH24" s="228">
        <v>46918681.5</v>
      </c>
      <c r="BI24" s="228">
        <v>60358944.159999996</v>
      </c>
      <c r="BJ24" s="228">
        <v>73839976.620000005</v>
      </c>
      <c r="BK24" s="228">
        <v>-63206828.630000003</v>
      </c>
      <c r="BL24" s="228">
        <v>14520783.07</v>
      </c>
      <c r="BM24" s="228">
        <v>30398650</v>
      </c>
      <c r="BN24" s="228">
        <v>-48000000</v>
      </c>
      <c r="BO24" s="228">
        <v>-102155502.83</v>
      </c>
      <c r="BP24" s="228">
        <v>-96355930.5</v>
      </c>
      <c r="BQ24" s="228">
        <v>432373011.86000001</v>
      </c>
      <c r="BR24" s="228">
        <v>15390719.83</v>
      </c>
      <c r="BS24" s="228">
        <v>2453913.44</v>
      </c>
      <c r="BT24" s="228">
        <v>0</v>
      </c>
    </row>
    <row r="25" spans="1:74" s="249" customFormat="1" ht="138.6" customHeight="1" x14ac:dyDescent="0.25">
      <c r="A25" s="274" t="s">
        <v>671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96833251.590000004</v>
      </c>
      <c r="R26" s="26">
        <f>现金流量表!R15</f>
        <v>44675273.07</v>
      </c>
      <c r="S26" s="26">
        <f>现金流量表!S15</f>
        <v>0</v>
      </c>
      <c r="T26" s="26">
        <f>现金流量表!T15</f>
        <v>0</v>
      </c>
      <c r="U26" s="26">
        <f>现金流量表!U15</f>
        <v>25788610.579999998</v>
      </c>
      <c r="V26" s="26">
        <f>现金流量表!V15</f>
        <v>13343072.43</v>
      </c>
      <c r="W26" s="26">
        <f>现金流量表!W15</f>
        <v>13343072.43</v>
      </c>
      <c r="X26" s="26">
        <f>现金流量表!X15</f>
        <v>0</v>
      </c>
      <c r="Y26" s="26">
        <f>现金流量表!Y15</f>
        <v>0</v>
      </c>
      <c r="Z26" s="26">
        <f>现金流量表!Z15</f>
        <v>0</v>
      </c>
      <c r="AA26" s="26">
        <f>现金流量表!AA15</f>
        <v>0</v>
      </c>
      <c r="AB26" s="26">
        <f>现金流量表!AB15</f>
        <v>0</v>
      </c>
      <c r="AC26" s="26">
        <f>现金流量表!AC15</f>
        <v>9345451.2200000007</v>
      </c>
      <c r="AD26" s="26">
        <f>现金流量表!AD15</f>
        <v>11700178.699999999</v>
      </c>
      <c r="AE26" s="26">
        <f>现金流量表!AE15</f>
        <v>11700178.699999999</v>
      </c>
      <c r="AF26" s="26">
        <f>现金流量表!AF15</f>
        <v>8092626.0800000001</v>
      </c>
      <c r="AG26" s="26">
        <f>现金流量表!AG15</f>
        <v>32915905</v>
      </c>
      <c r="AH26" s="26">
        <f>现金流量表!AH15</f>
        <v>31520666.93</v>
      </c>
      <c r="AI26" s="26">
        <f>现金流量表!AI15</f>
        <v>29722754.219999999</v>
      </c>
      <c r="AJ26" s="26">
        <f>现金流量表!AJ15</f>
        <v>26549150.609999999</v>
      </c>
      <c r="AK26" s="26">
        <f>现金流量表!AK15</f>
        <v>304013619.31999999</v>
      </c>
      <c r="AL26" s="26">
        <f>现金流量表!AL15</f>
        <v>2337056.4500000002</v>
      </c>
      <c r="AM26" s="26">
        <f>现金流量表!AM15</f>
        <v>0</v>
      </c>
      <c r="AN26" s="26">
        <f>现金流量表!AN15</f>
        <v>0</v>
      </c>
      <c r="AO26" s="26">
        <f>现金流量表!AO15</f>
        <v>67412276.469999999</v>
      </c>
      <c r="AP26" s="26">
        <f>现金流量表!AP15</f>
        <v>58175592.25</v>
      </c>
      <c r="AQ26" s="26">
        <f>现金流量表!AQ15</f>
        <v>58042460.18</v>
      </c>
      <c r="AR26" s="26">
        <f>现金流量表!AR15</f>
        <v>17486179.210000001</v>
      </c>
      <c r="AS26" s="26">
        <f>现金流量表!AS15</f>
        <v>285592409.08999997</v>
      </c>
      <c r="AT26" s="26">
        <f>现金流量表!AT15</f>
        <v>106549791.37</v>
      </c>
      <c r="AU26" s="26">
        <f>现金流量表!AU15</f>
        <v>50629565.710000001</v>
      </c>
      <c r="AV26" s="26">
        <f>现金流量表!AV15</f>
        <v>21000000</v>
      </c>
      <c r="AW26" s="26">
        <f>现金流量表!AW15</f>
        <v>104464682.98</v>
      </c>
      <c r="AX26" s="26">
        <f>现金流量表!AX15</f>
        <v>47551485.210000001</v>
      </c>
      <c r="AY26" s="26">
        <f>现金流量表!AY15</f>
        <v>33941804.909999996</v>
      </c>
      <c r="AZ26" s="26">
        <f>现金流量表!AZ15</f>
        <v>27572826.27</v>
      </c>
      <c r="BA26" s="26">
        <f>现金流量表!BA15</f>
        <v>132983808.13</v>
      </c>
      <c r="BB26" s="26">
        <f>现金流量表!BB15</f>
        <v>83577739.650000006</v>
      </c>
      <c r="BC26" s="26">
        <f>现金流量表!BC15</f>
        <v>62723578</v>
      </c>
      <c r="BD26" s="26">
        <f>现金流量表!BD15</f>
        <v>37723578</v>
      </c>
      <c r="BE26" s="26">
        <f>现金流量表!BE15</f>
        <v>31101076.32</v>
      </c>
      <c r="BF26" s="26">
        <f>现金流量表!BF15</f>
        <v>2733441.13</v>
      </c>
      <c r="BG26" s="26">
        <f>现金流量表!BG15</f>
        <v>2733441.13</v>
      </c>
      <c r="BH26" s="26">
        <f>现金流量表!BH15</f>
        <v>1903949.48</v>
      </c>
      <c r="BI26" s="26">
        <f>现金流量表!BI15</f>
        <v>1344087.27</v>
      </c>
      <c r="BJ26" s="26">
        <f>现金流量表!BJ15</f>
        <v>1207353.2</v>
      </c>
      <c r="BK26" s="26">
        <f>现金流量表!BK15</f>
        <v>1207353.2</v>
      </c>
      <c r="BL26" s="26">
        <f>现金流量表!BL15</f>
        <v>0</v>
      </c>
      <c r="BM26" s="26">
        <f>现金流量表!BM15</f>
        <v>3530750.04</v>
      </c>
      <c r="BN26" s="26">
        <f>现金流量表!BN15</f>
        <v>3719417.55</v>
      </c>
      <c r="BO26" s="26">
        <f>现金流量表!BO15</f>
        <v>76103114.420000002</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65800000</v>
      </c>
      <c r="F27" s="26">
        <f>现金流量表!F22</f>
        <v>10000000</v>
      </c>
      <c r="G27" s="26">
        <f>现金流量表!G22</f>
        <v>10000000</v>
      </c>
      <c r="H27" s="26">
        <f>现金流量表!H22</f>
        <v>10000000</v>
      </c>
      <c r="I27" s="26">
        <f>现金流量表!I22</f>
        <v>15000000</v>
      </c>
      <c r="J27" s="26">
        <f>现金流量表!J22</f>
        <v>15000000</v>
      </c>
      <c r="K27" s="26">
        <f>现金流量表!K22</f>
        <v>15000000</v>
      </c>
      <c r="L27" s="26">
        <f>现金流量表!L22</f>
        <v>15000000</v>
      </c>
      <c r="M27" s="26">
        <f>现金流量表!M22</f>
        <v>100000000</v>
      </c>
      <c r="N27" s="26">
        <f>现金流量表!N22</f>
        <v>100000000</v>
      </c>
      <c r="O27" s="26">
        <f>现金流量表!O22</f>
        <v>0</v>
      </c>
      <c r="P27" s="26">
        <f>现金流量表!P22</f>
        <v>0</v>
      </c>
      <c r="Q27" s="26">
        <f>现金流量表!Q22</f>
        <v>0</v>
      </c>
      <c r="R27" s="26">
        <f>现金流量表!R22</f>
        <v>0</v>
      </c>
      <c r="S27" s="26">
        <f>现金流量表!S22</f>
        <v>0</v>
      </c>
      <c r="T27" s="26">
        <f>现金流量表!T22</f>
        <v>0</v>
      </c>
      <c r="U27" s="26">
        <f>现金流量表!U22</f>
        <v>68866000</v>
      </c>
      <c r="V27" s="26">
        <f>现金流量表!V22</f>
        <v>60000000</v>
      </c>
      <c r="W27" s="26">
        <f>现金流量表!W22</f>
        <v>60000000</v>
      </c>
      <c r="X27" s="26">
        <f>现金流量表!X22</f>
        <v>60000000</v>
      </c>
      <c r="Y27" s="26">
        <f>现金流量表!Y22</f>
        <v>20034000</v>
      </c>
      <c r="Z27" s="26">
        <f>现金流量表!Z22</f>
        <v>14490000</v>
      </c>
      <c r="AA27" s="26">
        <f>现金流量表!AA22</f>
        <v>14490000</v>
      </c>
      <c r="AB27" s="26">
        <f>现金流量表!AB22</f>
        <v>0</v>
      </c>
      <c r="AC27" s="26">
        <f>现金流量表!AC22</f>
        <v>5100000</v>
      </c>
      <c r="AD27" s="26">
        <f>现金流量表!AD22</f>
        <v>0</v>
      </c>
      <c r="AE27" s="26">
        <f>现金流量表!AE22</f>
        <v>0</v>
      </c>
      <c r="AF27" s="26">
        <f>现金流量表!AF22</f>
        <v>0</v>
      </c>
      <c r="AG27" s="26">
        <f>现金流量表!AG22</f>
        <v>117902067.36</v>
      </c>
      <c r="AH27" s="26">
        <f>现金流量表!AH22</f>
        <v>265515493.13</v>
      </c>
      <c r="AI27" s="26">
        <f>现金流量表!AI22</f>
        <v>116835947.36</v>
      </c>
      <c r="AJ27" s="26">
        <f>现金流量表!AJ22</f>
        <v>114727526</v>
      </c>
      <c r="AK27" s="26">
        <f>现金流量表!AK22</f>
        <v>355692990.93000001</v>
      </c>
      <c r="AL27" s="26">
        <f>现金流量表!AL22</f>
        <v>321866149.89999998</v>
      </c>
      <c r="AM27" s="26">
        <f>现金流量表!AM22</f>
        <v>300000000</v>
      </c>
      <c r="AN27" s="26">
        <f>现金流量表!AN22</f>
        <v>0</v>
      </c>
      <c r="AO27" s="26">
        <f>现金流量表!AO22</f>
        <v>161756368.61000001</v>
      </c>
      <c r="AP27" s="26">
        <f>现金流量表!AP22</f>
        <v>160528847.93000001</v>
      </c>
      <c r="AQ27" s="26">
        <f>现金流量表!AQ22</f>
        <v>10389050</v>
      </c>
      <c r="AR27" s="26">
        <f>现金流量表!AR22</f>
        <v>9311075</v>
      </c>
      <c r="AS27" s="26">
        <f>现金流量表!AS22</f>
        <v>137554668.91</v>
      </c>
      <c r="AT27" s="26">
        <f>现金流量表!AT22</f>
        <v>158310049.96000001</v>
      </c>
      <c r="AU27" s="26">
        <f>现金流量表!AU22</f>
        <v>62640843.119999997</v>
      </c>
      <c r="AV27" s="26">
        <f>现金流量表!AV22</f>
        <v>26344234.940000001</v>
      </c>
      <c r="AW27" s="26">
        <f>现金流量表!AW22</f>
        <v>112723810.39</v>
      </c>
      <c r="AX27" s="26">
        <f>现金流量表!AX22</f>
        <v>35815904.390000001</v>
      </c>
      <c r="AY27" s="26">
        <f>现金流量表!AY22</f>
        <v>22736000</v>
      </c>
      <c r="AZ27" s="26">
        <f>现金流量表!AZ22</f>
        <v>26489000</v>
      </c>
      <c r="BA27" s="26">
        <f>现金流量表!BA22</f>
        <v>145206283.91</v>
      </c>
      <c r="BB27" s="26">
        <f>现金流量表!BB22</f>
        <v>98922184.510000005</v>
      </c>
      <c r="BC27" s="26">
        <f>现金流量表!BC22</f>
        <v>77700200.5</v>
      </c>
      <c r="BD27" s="26">
        <f>现金流量表!BD22</f>
        <v>3000000</v>
      </c>
      <c r="BE27" s="26">
        <f>现金流量表!BE22</f>
        <v>41525004.090000004</v>
      </c>
      <c r="BF27" s="26">
        <f>现金流量表!BF22</f>
        <v>6192525.79</v>
      </c>
      <c r="BG27" s="26">
        <f>现金流量表!BG22</f>
        <v>2192525.79</v>
      </c>
      <c r="BH27" s="26">
        <f>现金流量表!BH22</f>
        <v>2000000</v>
      </c>
      <c r="BI27" s="26">
        <f>现金流量表!BI22</f>
        <v>45270274.770000003</v>
      </c>
      <c r="BJ27" s="26">
        <f>现金流量表!BJ22</f>
        <v>5267874.7699999996</v>
      </c>
      <c r="BK27" s="26">
        <f>现金流量表!BK22</f>
        <v>5267874.7699999996</v>
      </c>
      <c r="BL27" s="26">
        <f>现金流量表!BL22</f>
        <v>0</v>
      </c>
      <c r="BM27" s="26">
        <f>现金流量表!BM22</f>
        <v>0</v>
      </c>
      <c r="BN27" s="26">
        <f>现金流量表!BN22</f>
        <v>7390</v>
      </c>
      <c r="BO27" s="26">
        <f>现金流量表!BO22</f>
        <v>100140432.90000001</v>
      </c>
      <c r="BP27" s="26">
        <f>现金流量表!BP22</f>
        <v>74479832.010000005</v>
      </c>
      <c r="BQ27" s="26">
        <f>现金流量表!BQ22</f>
        <v>10000000</v>
      </c>
      <c r="BR27" s="26">
        <f>现金流量表!BR22</f>
        <v>10000000</v>
      </c>
      <c r="BS27" s="26">
        <f>现金流量表!BS22</f>
        <v>0</v>
      </c>
      <c r="BT27" s="26">
        <f>现金流量表!BT22</f>
        <v>0</v>
      </c>
      <c r="BU27" s="26">
        <f>现金流量表!BU22</f>
        <v>0</v>
      </c>
      <c r="BV27" s="26">
        <f>现金流量表!BV22</f>
        <v>0</v>
      </c>
    </row>
    <row r="28" spans="1:74" s="26" customFormat="1" x14ac:dyDescent="0.25">
      <c r="A28" s="17" t="s">
        <v>632</v>
      </c>
      <c r="E28" s="26">
        <f>E27-E26</f>
        <v>65800000</v>
      </c>
      <c r="F28" s="26">
        <f t="shared" ref="F28:BQ28" si="79">F27-F26</f>
        <v>10000000</v>
      </c>
      <c r="G28" s="26">
        <f t="shared" si="79"/>
        <v>10000000</v>
      </c>
      <c r="H28" s="26">
        <f t="shared" si="79"/>
        <v>10000000</v>
      </c>
      <c r="I28" s="26">
        <f t="shared" si="79"/>
        <v>15000000</v>
      </c>
      <c r="J28" s="26">
        <f t="shared" si="79"/>
        <v>15000000</v>
      </c>
      <c r="K28" s="26">
        <f t="shared" si="79"/>
        <v>15000000</v>
      </c>
      <c r="L28" s="26">
        <f t="shared" si="79"/>
        <v>15000000</v>
      </c>
      <c r="M28" s="26">
        <f t="shared" si="79"/>
        <v>100000000</v>
      </c>
      <c r="N28" s="26">
        <f t="shared" si="79"/>
        <v>100000000</v>
      </c>
      <c r="O28" s="26">
        <f t="shared" si="79"/>
        <v>0</v>
      </c>
      <c r="P28" s="26">
        <f t="shared" si="79"/>
        <v>0</v>
      </c>
      <c r="Q28" s="26">
        <f t="shared" si="79"/>
        <v>-96833251.590000004</v>
      </c>
      <c r="R28" s="26">
        <f t="shared" si="79"/>
        <v>-44675273.07</v>
      </c>
      <c r="S28" s="26">
        <f t="shared" si="79"/>
        <v>0</v>
      </c>
      <c r="T28" s="26">
        <f t="shared" si="79"/>
        <v>0</v>
      </c>
      <c r="U28" s="26">
        <f t="shared" si="79"/>
        <v>43077389.420000002</v>
      </c>
      <c r="V28" s="26">
        <f t="shared" si="79"/>
        <v>46656927.57</v>
      </c>
      <c r="W28" s="26">
        <f t="shared" si="79"/>
        <v>46656927.57</v>
      </c>
      <c r="X28" s="26">
        <f t="shared" si="79"/>
        <v>60000000</v>
      </c>
      <c r="Y28" s="26">
        <f t="shared" si="79"/>
        <v>20034000</v>
      </c>
      <c r="Z28" s="26">
        <f t="shared" si="79"/>
        <v>14490000</v>
      </c>
      <c r="AA28" s="26">
        <f t="shared" si="79"/>
        <v>14490000</v>
      </c>
      <c r="AB28" s="26">
        <f t="shared" si="79"/>
        <v>0</v>
      </c>
      <c r="AC28" s="26">
        <f t="shared" si="79"/>
        <v>-4245451.2200000007</v>
      </c>
      <c r="AD28" s="26">
        <f t="shared" si="79"/>
        <v>-11700178.699999999</v>
      </c>
      <c r="AE28" s="26">
        <f t="shared" si="79"/>
        <v>-11700178.699999999</v>
      </c>
      <c r="AF28" s="26">
        <f t="shared" si="79"/>
        <v>-8092626.0800000001</v>
      </c>
      <c r="AG28" s="26">
        <f t="shared" si="79"/>
        <v>84986162.359999999</v>
      </c>
      <c r="AH28" s="26">
        <f t="shared" si="79"/>
        <v>233994826.19999999</v>
      </c>
      <c r="AI28" s="26">
        <f t="shared" si="79"/>
        <v>87113193.140000001</v>
      </c>
      <c r="AJ28" s="26">
        <f t="shared" si="79"/>
        <v>88178375.390000001</v>
      </c>
      <c r="AK28" s="26">
        <f t="shared" si="79"/>
        <v>51679371.610000014</v>
      </c>
      <c r="AL28" s="26">
        <f t="shared" si="79"/>
        <v>319529093.44999999</v>
      </c>
      <c r="AM28" s="26">
        <f t="shared" si="79"/>
        <v>300000000</v>
      </c>
      <c r="AN28" s="26">
        <f t="shared" si="79"/>
        <v>0</v>
      </c>
      <c r="AO28" s="26">
        <f t="shared" si="79"/>
        <v>94344092.140000015</v>
      </c>
      <c r="AP28" s="26">
        <f t="shared" si="79"/>
        <v>102353255.68000001</v>
      </c>
      <c r="AQ28" s="26">
        <f t="shared" si="79"/>
        <v>-47653410.18</v>
      </c>
      <c r="AR28" s="26">
        <f t="shared" si="79"/>
        <v>-8175104.2100000009</v>
      </c>
      <c r="AS28" s="26">
        <f t="shared" si="79"/>
        <v>-148037740.17999998</v>
      </c>
      <c r="AT28" s="26">
        <f t="shared" si="79"/>
        <v>51760258.590000004</v>
      </c>
      <c r="AU28" s="26">
        <f t="shared" si="79"/>
        <v>12011277.409999996</v>
      </c>
      <c r="AV28" s="26">
        <f t="shared" si="79"/>
        <v>5344234.9400000013</v>
      </c>
      <c r="AW28" s="26">
        <f t="shared" si="79"/>
        <v>8259127.4099999964</v>
      </c>
      <c r="AX28" s="26">
        <f t="shared" si="79"/>
        <v>-11735580.82</v>
      </c>
      <c r="AY28" s="26">
        <f t="shared" si="79"/>
        <v>-11205804.909999996</v>
      </c>
      <c r="AZ28" s="26">
        <f t="shared" si="79"/>
        <v>-1083826.2699999996</v>
      </c>
      <c r="BA28" s="26">
        <f t="shared" si="79"/>
        <v>12222475.780000001</v>
      </c>
      <c r="BB28" s="26">
        <f t="shared" si="79"/>
        <v>15344444.859999999</v>
      </c>
      <c r="BC28" s="26">
        <f t="shared" si="79"/>
        <v>14976622.5</v>
      </c>
      <c r="BD28" s="26">
        <f t="shared" si="79"/>
        <v>-34723578</v>
      </c>
      <c r="BE28" s="26">
        <f t="shared" si="79"/>
        <v>10423927.770000003</v>
      </c>
      <c r="BF28" s="26">
        <f t="shared" si="79"/>
        <v>3459084.66</v>
      </c>
      <c r="BG28" s="26">
        <f t="shared" si="79"/>
        <v>-540915.33999999985</v>
      </c>
      <c r="BH28" s="26">
        <f t="shared" si="79"/>
        <v>96050.520000000019</v>
      </c>
      <c r="BI28" s="26">
        <f t="shared" si="79"/>
        <v>43926187.5</v>
      </c>
      <c r="BJ28" s="26">
        <f t="shared" si="79"/>
        <v>4060521.5699999994</v>
      </c>
      <c r="BK28" s="26">
        <f t="shared" si="79"/>
        <v>4060521.5699999994</v>
      </c>
      <c r="BL28" s="26">
        <f t="shared" si="79"/>
        <v>0</v>
      </c>
      <c r="BM28" s="26">
        <f t="shared" si="79"/>
        <v>-3530750.04</v>
      </c>
      <c r="BN28" s="26">
        <f t="shared" si="79"/>
        <v>-3712027.55</v>
      </c>
      <c r="BO28" s="26">
        <f t="shared" si="79"/>
        <v>24037318.480000004</v>
      </c>
      <c r="BP28" s="26">
        <f t="shared" si="79"/>
        <v>74479832.010000005</v>
      </c>
      <c r="BQ28" s="26">
        <f t="shared" si="79"/>
        <v>10000000</v>
      </c>
      <c r="BR28" s="26">
        <f t="shared" ref="BR28:BV28" si="80">BR27-BR26</f>
        <v>10000000</v>
      </c>
      <c r="BS28" s="26">
        <f t="shared" si="80"/>
        <v>0</v>
      </c>
      <c r="BT28" s="26">
        <f t="shared" si="80"/>
        <v>0</v>
      </c>
      <c r="BU28" s="26">
        <f t="shared" si="80"/>
        <v>0</v>
      </c>
      <c r="BV28" s="26">
        <f t="shared" si="80"/>
        <v>0</v>
      </c>
    </row>
    <row r="29" spans="1:74" s="26" customFormat="1" ht="16.2" customHeight="1" x14ac:dyDescent="0.25">
      <c r="A29" s="186" t="s">
        <v>633</v>
      </c>
      <c r="E29" s="187">
        <f>POWER(E28/U28,1/5)-1</f>
        <v>8.8416967562513715E-2</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5">
        <v>45644114579.849998</v>
      </c>
      <c r="C31" s="195">
        <v>42958235612.330002</v>
      </c>
      <c r="D31" s="195">
        <v>41257405764.989998</v>
      </c>
      <c r="E31" s="195">
        <v>40627517624.550003</v>
      </c>
      <c r="F31" s="195">
        <v>39056695988.730003</v>
      </c>
      <c r="G31" s="195">
        <v>38295980773.190002</v>
      </c>
      <c r="H31" s="195">
        <v>37879701377.449997</v>
      </c>
      <c r="I31" s="195">
        <v>37529218946.059998</v>
      </c>
      <c r="J31" s="195">
        <v>37363189934.669998</v>
      </c>
      <c r="K31" s="195">
        <v>37820661388.330002</v>
      </c>
      <c r="L31" s="195">
        <v>37301981224.769997</v>
      </c>
      <c r="M31" s="195">
        <v>36777830049.199997</v>
      </c>
      <c r="N31" s="195">
        <v>35309100691.099998</v>
      </c>
      <c r="O31" s="195">
        <v>34201788011.810001</v>
      </c>
      <c r="P31" s="195">
        <v>33006353273.389999</v>
      </c>
      <c r="Q31" s="195">
        <v>31835555016.369999</v>
      </c>
      <c r="R31" s="195">
        <v>29570399510.41</v>
      </c>
      <c r="S31" s="195">
        <v>26025270334.150002</v>
      </c>
      <c r="T31" s="195">
        <v>24980373644.040001</v>
      </c>
      <c r="U31" s="195">
        <v>22954349263.349998</v>
      </c>
      <c r="V31" s="195">
        <v>19241529537.810001</v>
      </c>
      <c r="W31" s="195">
        <v>17159126660.52</v>
      </c>
      <c r="X31" s="195">
        <v>15457154407.49</v>
      </c>
      <c r="Y31" s="195">
        <v>14178743214.610001</v>
      </c>
      <c r="Z31" s="195">
        <v>11658997801.15</v>
      </c>
      <c r="AA31" s="195">
        <v>10873238822.92</v>
      </c>
      <c r="AB31" s="195">
        <v>10348599780.24</v>
      </c>
      <c r="AC31" s="195">
        <v>9780736796.3999996</v>
      </c>
      <c r="AD31" s="195">
        <v>9118662211.5300007</v>
      </c>
      <c r="AE31" s="195">
        <v>8866990502.2900009</v>
      </c>
      <c r="AF31" s="195">
        <v>8700990801.9200001</v>
      </c>
      <c r="AG31" s="195">
        <v>8142257080.9200001</v>
      </c>
      <c r="AH31" s="195">
        <v>7006697835.5</v>
      </c>
      <c r="AI31" s="195">
        <v>6775727190.8900003</v>
      </c>
      <c r="AJ31" s="195">
        <v>6501644050.3900003</v>
      </c>
      <c r="AK31" s="195">
        <v>5900190877.1899996</v>
      </c>
      <c r="AL31" s="195">
        <v>4936912487.9099998</v>
      </c>
      <c r="AM31" s="195">
        <v>4256844770.3899999</v>
      </c>
      <c r="AN31" s="195">
        <v>4079677048.1799998</v>
      </c>
      <c r="AO31" s="195">
        <v>4028054724.2399998</v>
      </c>
      <c r="AP31" s="195">
        <v>3850846943.1199999</v>
      </c>
      <c r="AQ31" s="195">
        <v>3549246340.1199999</v>
      </c>
      <c r="AR31" s="195">
        <v>3573632080.6599998</v>
      </c>
      <c r="AS31" s="195">
        <v>3532086216.3299999</v>
      </c>
      <c r="AT31" s="195">
        <v>3481313208.5799999</v>
      </c>
      <c r="AU31" s="195">
        <v>3474091529.6399999</v>
      </c>
      <c r="AV31" s="195">
        <v>3455850476.4299998</v>
      </c>
      <c r="AW31" s="195">
        <v>3735540867.2600002</v>
      </c>
      <c r="AX31" s="195">
        <v>3566856519.4499998</v>
      </c>
      <c r="AY31" s="195">
        <v>3554164536.4499998</v>
      </c>
      <c r="AZ31" s="195">
        <v>3560955050.9299998</v>
      </c>
      <c r="BA31" s="195">
        <v>3488927610.9499998</v>
      </c>
      <c r="BB31" s="195">
        <v>3150718063.4000001</v>
      </c>
      <c r="BC31" s="195">
        <v>2904031853.6799998</v>
      </c>
      <c r="BD31" s="195">
        <v>2428875807.1500001</v>
      </c>
      <c r="BE31" s="195">
        <v>2090131818.3599999</v>
      </c>
      <c r="BF31" s="195">
        <v>1593081129.03</v>
      </c>
      <c r="BG31" s="195">
        <v>1243385224.3900001</v>
      </c>
      <c r="BH31" s="195">
        <v>1017468677.71</v>
      </c>
      <c r="BI31" s="195">
        <v>909713016.33000004</v>
      </c>
      <c r="BJ31" s="195">
        <v>731221110.63999999</v>
      </c>
      <c r="BK31" s="195">
        <v>641524029.53999996</v>
      </c>
      <c r="BL31" s="195">
        <v>606336363.17999995</v>
      </c>
      <c r="BM31" s="195">
        <v>579431649.25</v>
      </c>
      <c r="BN31" s="195">
        <v>515328130.64999998</v>
      </c>
      <c r="BO31" s="195">
        <v>471803766.31999999</v>
      </c>
      <c r="BP31" s="195">
        <v>452990792.93000001</v>
      </c>
      <c r="BQ31" s="195">
        <v>434138790.76999998</v>
      </c>
      <c r="BR31" s="195">
        <v>0</v>
      </c>
      <c r="BS31" s="195">
        <v>331335659.87</v>
      </c>
      <c r="BT31" s="195">
        <v>234672437.96000001</v>
      </c>
      <c r="BU31" s="40"/>
      <c r="BV31" s="40">
        <v>1207621496.74</v>
      </c>
    </row>
    <row r="32" spans="1:74" s="54" customFormat="1" ht="15" customHeight="1" x14ac:dyDescent="0.25">
      <c r="A32" s="139" t="s">
        <v>311</v>
      </c>
      <c r="B32" s="195">
        <v>277518585.35000002</v>
      </c>
      <c r="C32" s="195">
        <v>277518585.35000002</v>
      </c>
      <c r="D32" s="195">
        <v>277518585.35000002</v>
      </c>
      <c r="E32" s="195">
        <v>277518585.35000002</v>
      </c>
      <c r="F32" s="195">
        <v>277518585.35000002</v>
      </c>
      <c r="G32" s="195">
        <v>277518585.35000002</v>
      </c>
      <c r="H32" s="195">
        <v>277518585.35000002</v>
      </c>
      <c r="I32" s="195">
        <v>277518585.35000002</v>
      </c>
      <c r="J32" s="195">
        <v>277518585.35000002</v>
      </c>
      <c r="K32" s="195">
        <v>277518585.35000002</v>
      </c>
      <c r="L32" s="195">
        <v>277518585.35000002</v>
      </c>
      <c r="M32" s="195">
        <v>277518585.35000002</v>
      </c>
      <c r="N32" s="195">
        <v>277518585.35000002</v>
      </c>
      <c r="O32" s="195">
        <v>277518585.35000002</v>
      </c>
      <c r="P32" s="195">
        <v>277518585.35000002</v>
      </c>
      <c r="Q32" s="195">
        <v>277518585.35000002</v>
      </c>
      <c r="R32" s="195">
        <v>277518585.35000002</v>
      </c>
      <c r="S32" s="195">
        <v>277518585.35000002</v>
      </c>
      <c r="T32" s="195">
        <v>277518585.35000002</v>
      </c>
      <c r="U32" s="195">
        <v>277518585.35000002</v>
      </c>
      <c r="V32" s="195">
        <v>277518585.35000002</v>
      </c>
      <c r="W32" s="195">
        <v>277518585.35000002</v>
      </c>
      <c r="X32" s="195">
        <v>277518585.35000002</v>
      </c>
      <c r="Y32" s="195">
        <v>277518585.35000002</v>
      </c>
      <c r="Z32" s="195">
        <v>277518585.35000002</v>
      </c>
      <c r="AA32" s="195">
        <v>277518585.35000002</v>
      </c>
      <c r="AB32" s="195">
        <v>277518585.35000002</v>
      </c>
      <c r="AC32" s="195">
        <v>277518585.35000002</v>
      </c>
      <c r="AD32" s="195">
        <v>277518585.35000002</v>
      </c>
      <c r="AE32" s="195">
        <v>277518585.35000002</v>
      </c>
      <c r="AF32" s="195">
        <v>277518585.35000002</v>
      </c>
      <c r="AG32" s="195">
        <v>277518585.35000002</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40"/>
      <c r="BV32" s="40">
        <v>0</v>
      </c>
    </row>
    <row r="33" spans="1:74" s="54" customFormat="1" ht="19.2" customHeight="1" x14ac:dyDescent="0.25">
      <c r="A33" s="139" t="s">
        <v>312</v>
      </c>
      <c r="B33" s="195">
        <v>20000000</v>
      </c>
      <c r="C33" s="195">
        <v>20000000</v>
      </c>
      <c r="D33" s="195">
        <v>20000000</v>
      </c>
      <c r="E33" s="195">
        <v>20000000</v>
      </c>
      <c r="F33" s="195">
        <v>20000000</v>
      </c>
      <c r="G33" s="195">
        <v>20000000</v>
      </c>
      <c r="H33" s="195">
        <v>20000000</v>
      </c>
      <c r="I33" s="195">
        <v>20000000</v>
      </c>
      <c r="J33" s="195">
        <v>20000000</v>
      </c>
      <c r="K33" s="195">
        <v>20000000</v>
      </c>
      <c r="L33" s="195">
        <v>20000000</v>
      </c>
      <c r="M33" s="195">
        <v>20000000</v>
      </c>
      <c r="N33" s="195">
        <v>20000000</v>
      </c>
      <c r="O33" s="195">
        <v>20000000</v>
      </c>
      <c r="P33" s="195">
        <v>20000000</v>
      </c>
      <c r="Q33" s="195">
        <v>20000000</v>
      </c>
      <c r="R33" s="195">
        <v>73350314</v>
      </c>
      <c r="S33" s="195">
        <v>85808000</v>
      </c>
      <c r="T33" s="195">
        <v>76136000</v>
      </c>
      <c r="U33" s="195">
        <v>76260000</v>
      </c>
      <c r="V33" s="195">
        <v>80362400</v>
      </c>
      <c r="W33" s="195">
        <v>75759600</v>
      </c>
      <c r="X33" s="195">
        <v>87950800</v>
      </c>
      <c r="Y33" s="195">
        <v>80735600</v>
      </c>
      <c r="Z33" s="195">
        <v>83472400</v>
      </c>
      <c r="AA33" s="195">
        <v>95166000</v>
      </c>
      <c r="AB33" s="195">
        <v>101012800</v>
      </c>
      <c r="AC33" s="195">
        <v>98151600</v>
      </c>
      <c r="AD33" s="195">
        <v>111213600</v>
      </c>
      <c r="AE33" s="195">
        <v>137586400</v>
      </c>
      <c r="AF33" s="195">
        <v>156614200</v>
      </c>
      <c r="AG33" s="195">
        <v>173550000</v>
      </c>
      <c r="AH33" s="195">
        <v>173550000</v>
      </c>
      <c r="AI33" s="195">
        <v>173550000</v>
      </c>
      <c r="AJ33" s="195">
        <v>173550000</v>
      </c>
      <c r="AK33" s="195">
        <v>173550000</v>
      </c>
      <c r="AL33" s="195">
        <v>173550000</v>
      </c>
      <c r="AM33" s="195">
        <v>173550000</v>
      </c>
      <c r="AN33" s="195">
        <v>173550000</v>
      </c>
      <c r="AO33" s="195">
        <v>173550000</v>
      </c>
      <c r="AP33" s="195">
        <v>173550000</v>
      </c>
      <c r="AQ33" s="195">
        <v>173550000</v>
      </c>
      <c r="AR33" s="195">
        <v>173550000</v>
      </c>
      <c r="AS33" s="195">
        <v>173550000</v>
      </c>
      <c r="AT33" s="195">
        <v>173550000</v>
      </c>
      <c r="AU33" s="195">
        <v>173550000</v>
      </c>
      <c r="AV33" s="195">
        <v>173550000</v>
      </c>
      <c r="AW33" s="195">
        <v>173550000</v>
      </c>
      <c r="AX33" s="195">
        <v>173550000</v>
      </c>
      <c r="AY33" s="195">
        <v>173550000</v>
      </c>
      <c r="AZ33" s="195">
        <v>173550000</v>
      </c>
      <c r="BA33" s="195">
        <v>173550000</v>
      </c>
      <c r="BB33" s="195">
        <v>173550000</v>
      </c>
      <c r="BC33" s="195">
        <v>173550000</v>
      </c>
      <c r="BD33" s="195">
        <v>173550000</v>
      </c>
      <c r="BE33" s="195">
        <v>173550000</v>
      </c>
      <c r="BF33" s="195">
        <v>173550000</v>
      </c>
      <c r="BG33" s="195">
        <v>173550000</v>
      </c>
      <c r="BH33" s="195">
        <v>173550000</v>
      </c>
      <c r="BI33" s="195">
        <v>173550000</v>
      </c>
      <c r="BJ33" s="195">
        <v>173550000</v>
      </c>
      <c r="BK33" s="195">
        <v>173550000</v>
      </c>
      <c r="BL33" s="195">
        <v>173550000</v>
      </c>
      <c r="BM33" s="195">
        <v>173550000</v>
      </c>
      <c r="BN33" s="195">
        <v>173550000</v>
      </c>
      <c r="BO33" s="195">
        <v>173550000</v>
      </c>
      <c r="BP33" s="195">
        <v>173550000</v>
      </c>
      <c r="BQ33" s="195">
        <v>173550000</v>
      </c>
      <c r="BR33" s="195">
        <v>173550000</v>
      </c>
      <c r="BS33" s="195">
        <v>173550000</v>
      </c>
      <c r="BT33" s="195">
        <v>173550000</v>
      </c>
      <c r="BU33" s="195">
        <v>173550000</v>
      </c>
      <c r="BV33" s="40">
        <v>0</v>
      </c>
    </row>
    <row r="34" spans="1:74" s="44" customFormat="1" ht="15" thickBot="1" x14ac:dyDescent="0.3">
      <c r="A34" s="140" t="s">
        <v>315</v>
      </c>
      <c r="B34" s="49"/>
      <c r="C34" s="49"/>
      <c r="D34" s="49"/>
      <c r="E34" s="49">
        <f>E31-E32-E33</f>
        <v>40329999039.200005</v>
      </c>
      <c r="F34" s="49">
        <f t="shared" ref="F34:BP34" si="81">F31-F32-F33</f>
        <v>38759177403.380005</v>
      </c>
      <c r="G34" s="49">
        <f t="shared" si="81"/>
        <v>37998462187.840004</v>
      </c>
      <c r="H34" s="49">
        <f t="shared" si="81"/>
        <v>37582182792.099998</v>
      </c>
      <c r="I34" s="49">
        <f t="shared" si="81"/>
        <v>37231700360.709999</v>
      </c>
      <c r="J34" s="49">
        <f t="shared" si="81"/>
        <v>37065671349.32</v>
      </c>
      <c r="K34" s="49">
        <f t="shared" si="81"/>
        <v>37523142802.980003</v>
      </c>
      <c r="L34" s="49">
        <f t="shared" si="81"/>
        <v>37004462639.419998</v>
      </c>
      <c r="M34" s="49">
        <f t="shared" si="81"/>
        <v>36480311463.849998</v>
      </c>
      <c r="N34" s="49">
        <f t="shared" si="81"/>
        <v>35011582105.75</v>
      </c>
      <c r="O34" s="49">
        <f t="shared" si="81"/>
        <v>33904269426.460003</v>
      </c>
      <c r="P34" s="49">
        <f t="shared" si="81"/>
        <v>32708834688.040001</v>
      </c>
      <c r="Q34" s="49">
        <f t="shared" si="81"/>
        <v>31538036431.02</v>
      </c>
      <c r="R34" s="49">
        <f t="shared" si="81"/>
        <v>29219530611.060001</v>
      </c>
      <c r="S34" s="49">
        <f t="shared" si="81"/>
        <v>25661943748.800003</v>
      </c>
      <c r="T34" s="49">
        <f t="shared" si="81"/>
        <v>24626719058.690002</v>
      </c>
      <c r="U34" s="49">
        <f t="shared" si="81"/>
        <v>22600570678</v>
      </c>
      <c r="V34" s="49">
        <f t="shared" si="81"/>
        <v>18883648552.460003</v>
      </c>
      <c r="W34" s="49">
        <f t="shared" si="81"/>
        <v>16805848475.17</v>
      </c>
      <c r="X34" s="49">
        <f t="shared" si="81"/>
        <v>15091685022.139999</v>
      </c>
      <c r="Y34" s="49">
        <f t="shared" si="81"/>
        <v>13820489029.26</v>
      </c>
      <c r="Z34" s="49">
        <f t="shared" si="81"/>
        <v>11298006815.799999</v>
      </c>
      <c r="AA34" s="49">
        <f t="shared" si="81"/>
        <v>10500554237.57</v>
      </c>
      <c r="AB34" s="49">
        <f t="shared" si="81"/>
        <v>9970068394.8899994</v>
      </c>
      <c r="AC34" s="49">
        <f t="shared" si="81"/>
        <v>9405066611.0499992</v>
      </c>
      <c r="AD34" s="49">
        <f t="shared" si="81"/>
        <v>8729930026.1800003</v>
      </c>
      <c r="AE34" s="49">
        <f t="shared" si="81"/>
        <v>8451885516.9400005</v>
      </c>
      <c r="AF34" s="49">
        <f t="shared" si="81"/>
        <v>8266858016.5699997</v>
      </c>
      <c r="AG34" s="49">
        <f t="shared" si="81"/>
        <v>7691188495.5699997</v>
      </c>
      <c r="AH34" s="49">
        <f t="shared" si="81"/>
        <v>6833147835.5</v>
      </c>
      <c r="AI34" s="49">
        <f t="shared" si="81"/>
        <v>6602177190.8900003</v>
      </c>
      <c r="AJ34" s="49">
        <f t="shared" si="81"/>
        <v>6328094050.3900003</v>
      </c>
      <c r="AK34" s="49">
        <f t="shared" si="81"/>
        <v>5726640877.1899996</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37591315152.869995</v>
      </c>
      <c r="C35" s="33">
        <f>SUM(C22:C31)</f>
        <v>38578332198.540001</v>
      </c>
      <c r="D35" s="33">
        <f>SUM(D22:D31)</f>
        <v>38999271985.470001</v>
      </c>
      <c r="E35" s="33">
        <f>资产资本表!E17</f>
        <v>3082974654.1799998</v>
      </c>
      <c r="F35" s="33">
        <f>资产资本表!F17</f>
        <v>2774797102.4400001</v>
      </c>
      <c r="G35" s="33">
        <f>资产资本表!G17</f>
        <v>2413037124.25</v>
      </c>
      <c r="H35" s="33">
        <f>资产资本表!H17</f>
        <v>3018524978.0999999</v>
      </c>
      <c r="I35" s="33">
        <f>资产资本表!I17</f>
        <v>2006803439.1900001</v>
      </c>
      <c r="J35" s="33">
        <f>资产资本表!J17</f>
        <v>2450345859.8299999</v>
      </c>
      <c r="K35" s="33">
        <f>资产资本表!K17</f>
        <v>1980750668.1900001</v>
      </c>
      <c r="L35" s="33">
        <f>资产资本表!L17</f>
        <v>2560873154.1500001</v>
      </c>
      <c r="M35" s="33">
        <f>资产资本表!M17</f>
        <v>2086361762.97</v>
      </c>
      <c r="N35" s="33">
        <f>资产资本表!N17</f>
        <v>1295053147.9300001</v>
      </c>
      <c r="O35" s="33">
        <f>资产资本表!O17</f>
        <v>1077010529.8699999</v>
      </c>
      <c r="P35" s="33">
        <f>资产资本表!P17</f>
        <v>1193649598.96</v>
      </c>
      <c r="Q35" s="33">
        <f>资产资本表!Q17</f>
        <v>1052235238.01</v>
      </c>
      <c r="R35" s="33">
        <f>资产资本表!R17</f>
        <v>1112477936.96</v>
      </c>
      <c r="S35" s="33">
        <f>资产资本表!S17</f>
        <v>1738615276.3199999</v>
      </c>
      <c r="T35" s="33">
        <f>资产资本表!T17</f>
        <v>1733239725.05</v>
      </c>
      <c r="U35" s="33">
        <f>资产资本表!U17</f>
        <v>1065182382.29</v>
      </c>
      <c r="V35" s="33">
        <f>资产资本表!V17</f>
        <v>1147001980.8299999</v>
      </c>
      <c r="W35" s="33">
        <f>资产资本表!W17</f>
        <v>1476191069.95</v>
      </c>
      <c r="X35" s="33">
        <f>资产资本表!X17</f>
        <v>1912137275.99</v>
      </c>
      <c r="Y35" s="33">
        <f>资产资本表!Y17</f>
        <v>1481246941.1800001</v>
      </c>
      <c r="Z35" s="33">
        <f>资产资本表!Z17</f>
        <v>618164410.21000004</v>
      </c>
      <c r="AA35" s="33">
        <f>资产资本表!AA17</f>
        <v>825454040.50999999</v>
      </c>
      <c r="AB35" s="33">
        <f>资产资本表!AB17</f>
        <v>1379366488.8800001</v>
      </c>
      <c r="AC35" s="33">
        <f>资产资本表!AC17</f>
        <v>1912246999.96</v>
      </c>
      <c r="AD35" s="33">
        <f>资产资本表!AD17</f>
        <v>789220917.44000006</v>
      </c>
      <c r="AE35" s="33">
        <f>资产资本表!AE17</f>
        <v>1313623838.04</v>
      </c>
      <c r="AF35" s="33">
        <f>资产资本表!AF17</f>
        <v>1694630766.6800001</v>
      </c>
      <c r="AG35" s="33">
        <f>资产资本表!AG17</f>
        <v>1111080540.1500001</v>
      </c>
      <c r="AH35" s="33">
        <f>资产资本表!AH17</f>
        <v>864133411.05999994</v>
      </c>
      <c r="AI35" s="33">
        <f>资产资本表!AI17</f>
        <v>739865397.36000001</v>
      </c>
      <c r="AJ35" s="33">
        <f>资产资本表!AJ17</f>
        <v>1146944429.9400001</v>
      </c>
      <c r="AK35" s="33">
        <f>资产资本表!AK17</f>
        <v>1234629727.6500001</v>
      </c>
      <c r="AL35" s="33">
        <f>资产资本表!AL17</f>
        <v>1748838379.75</v>
      </c>
      <c r="AM35" s="33">
        <f>资产资本表!AM17</f>
        <v>2256342309.7199998</v>
      </c>
      <c r="AN35" s="33">
        <f>资产资本表!AN17</f>
        <v>2572933186.6399999</v>
      </c>
      <c r="AO35" s="33">
        <f>资产资本表!AO17</f>
        <v>1276618727.3699999</v>
      </c>
      <c r="AP35" s="33">
        <f>资产资本表!AP17</f>
        <v>629236293.90999997</v>
      </c>
      <c r="AQ35" s="33">
        <f>资产资本表!AQ17</f>
        <v>599296571.35000002</v>
      </c>
      <c r="AR35" s="33">
        <f>资产资本表!AR17</f>
        <v>1067880744.47</v>
      </c>
      <c r="AS35" s="33">
        <f>资产资本表!AS17</f>
        <v>1429453629.1199999</v>
      </c>
      <c r="AT35" s="33">
        <f>资产资本表!AT17</f>
        <v>1413103676.4000001</v>
      </c>
      <c r="AU35" s="33">
        <f>资产资本表!AU17</f>
        <v>850706200.61999989</v>
      </c>
      <c r="AV35" s="33">
        <f>资产资本表!AV17</f>
        <v>389709284.85000002</v>
      </c>
      <c r="AW35" s="33">
        <f>资产资本表!AW17</f>
        <v>288932115.06</v>
      </c>
      <c r="AX35" s="33">
        <f>资产资本表!AX17</f>
        <v>411777255.02000004</v>
      </c>
      <c r="AY35" s="33">
        <f>资产资本表!AY17</f>
        <v>319700643.26999998</v>
      </c>
      <c r="AZ35" s="33">
        <f>资产资本表!AZ17</f>
        <v>293064125.69999999</v>
      </c>
      <c r="BA35" s="33">
        <f>资产资本表!BA17</f>
        <v>251540912.70000002</v>
      </c>
      <c r="BB35" s="33">
        <f>资产资本表!BB17</f>
        <v>431045267.72999996</v>
      </c>
      <c r="BC35" s="33">
        <f>资产资本表!BC17</f>
        <v>499065860.57999998</v>
      </c>
      <c r="BD35" s="33">
        <f>资产资本表!BD17</f>
        <v>666105084.45999992</v>
      </c>
      <c r="BE35" s="33">
        <f>资产资本表!BE17</f>
        <v>434663772.16999996</v>
      </c>
      <c r="BF35" s="33">
        <f>资产资本表!BF17</f>
        <v>490894508.71000004</v>
      </c>
      <c r="BG35" s="33">
        <f>资产资本表!BG17</f>
        <v>636959775.61999989</v>
      </c>
      <c r="BH35" s="33">
        <f>资产资本表!BH17</f>
        <v>313761458.63999999</v>
      </c>
      <c r="BI35" s="33">
        <f>资产资本表!BI17</f>
        <v>308489187.57999998</v>
      </c>
      <c r="BJ35" s="33">
        <f>资产资本表!BJ17</f>
        <v>355729931.28999996</v>
      </c>
      <c r="BK35" s="33">
        <f>资产资本表!BK17</f>
        <v>131810060.37</v>
      </c>
      <c r="BL35" s="33">
        <f>资产资本表!BL17</f>
        <v>167272296.07000002</v>
      </c>
      <c r="BM35" s="33">
        <f>资产资本表!BM17</f>
        <v>101170759.5</v>
      </c>
      <c r="BN35" s="33">
        <f>资产资本表!BN17</f>
        <v>147230532.29000002</v>
      </c>
      <c r="BO35" s="33">
        <f>资产资本表!BO17</f>
        <v>89244892.909999996</v>
      </c>
      <c r="BP35" s="33">
        <f>资产资本表!BP17</f>
        <v>155303334.25999999</v>
      </c>
      <c r="BQ35" s="33">
        <f>资产资本表!BQ17</f>
        <v>188487236.29999998</v>
      </c>
      <c r="BR35" s="33">
        <f>资产资本表!BR17</f>
        <v>0</v>
      </c>
      <c r="BS35" s="33">
        <f>资产资本表!BS17</f>
        <v>264300102.33000001</v>
      </c>
      <c r="BT35" s="33">
        <f>资产资本表!BT17</f>
        <v>440998601.41000003</v>
      </c>
      <c r="BU35" s="33">
        <f>资产资本表!BU17</f>
        <v>18487747.129999999</v>
      </c>
      <c r="BV35" s="33">
        <f>资产资本表!BV17</f>
        <v>31873298.43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8" customFormat="1" x14ac:dyDescent="0.25">
      <c r="A40" s="198" t="s">
        <v>324</v>
      </c>
      <c r="B40" s="198">
        <v>0</v>
      </c>
      <c r="C40" s="198">
        <v>0</v>
      </c>
      <c r="D40" s="198">
        <v>0</v>
      </c>
      <c r="E40" s="198">
        <v>2487297171.5</v>
      </c>
      <c r="F40" s="198">
        <v>2459999984</v>
      </c>
      <c r="G40" s="198">
        <v>2459999984</v>
      </c>
      <c r="H40" s="198">
        <v>2459999984</v>
      </c>
      <c r="I40" s="198">
        <v>0</v>
      </c>
      <c r="J40" s="198">
        <v>0</v>
      </c>
      <c r="K40" s="198">
        <v>0</v>
      </c>
      <c r="L40" s="198">
        <v>0</v>
      </c>
      <c r="M40" s="198">
        <v>30375000</v>
      </c>
      <c r="N40" s="198">
        <v>30375000</v>
      </c>
      <c r="O40" s="198">
        <v>0</v>
      </c>
      <c r="P40" s="198">
        <v>0</v>
      </c>
      <c r="Q40" s="198">
        <v>189125000</v>
      </c>
      <c r="R40" s="198">
        <v>189125000</v>
      </c>
      <c r="S40" s="198">
        <v>18225000</v>
      </c>
      <c r="T40" s="198">
        <v>0</v>
      </c>
      <c r="U40" s="198">
        <v>160000000</v>
      </c>
      <c r="V40" s="198">
        <v>160000000</v>
      </c>
      <c r="W40" s="198">
        <v>160000000</v>
      </c>
      <c r="X40" s="198">
        <v>160000000</v>
      </c>
      <c r="Y40" s="198">
        <v>0</v>
      </c>
      <c r="Z40" s="198">
        <v>0</v>
      </c>
      <c r="AA40" s="198">
        <v>0</v>
      </c>
      <c r="AB40" s="198">
        <v>0</v>
      </c>
      <c r="AC40" s="198">
        <v>0</v>
      </c>
      <c r="AD40" s="198">
        <v>0</v>
      </c>
      <c r="AE40" s="198">
        <v>0</v>
      </c>
      <c r="AF40" s="198">
        <v>0</v>
      </c>
      <c r="AG40" s="198">
        <v>0</v>
      </c>
      <c r="AH40" s="198">
        <v>0</v>
      </c>
      <c r="AI40" s="198">
        <v>0</v>
      </c>
      <c r="AJ40" s="198">
        <v>0</v>
      </c>
      <c r="AK40" s="198">
        <v>49000000</v>
      </c>
      <c r="AL40" s="198">
        <v>49000000</v>
      </c>
      <c r="AM40" s="198">
        <v>49000000</v>
      </c>
      <c r="AN40" s="198">
        <v>0</v>
      </c>
      <c r="AO40" s="198">
        <v>55080000</v>
      </c>
      <c r="AP40" s="198">
        <v>55080000</v>
      </c>
      <c r="AQ40" s="198">
        <v>55080000</v>
      </c>
      <c r="AR40" s="198">
        <v>0</v>
      </c>
      <c r="AS40" s="198">
        <v>0</v>
      </c>
      <c r="AT40" s="198">
        <v>0</v>
      </c>
      <c r="AU40" s="198">
        <v>0</v>
      </c>
      <c r="AV40" s="198">
        <v>0</v>
      </c>
      <c r="AW40" s="198">
        <v>165316562.55000001</v>
      </c>
      <c r="AX40" s="198">
        <v>165316562.55000001</v>
      </c>
      <c r="AY40" s="198">
        <v>165316562.55000001</v>
      </c>
      <c r="AZ40" s="198">
        <v>165316562.55000001</v>
      </c>
      <c r="BA40" s="198">
        <v>2750000</v>
      </c>
      <c r="BB40" s="198">
        <v>0</v>
      </c>
      <c r="BC40" s="198">
        <v>0</v>
      </c>
      <c r="BD40" s="198">
        <v>0</v>
      </c>
      <c r="BE40" s="198">
        <v>0</v>
      </c>
      <c r="BF40" s="198">
        <v>0</v>
      </c>
      <c r="BG40" s="198">
        <v>0</v>
      </c>
      <c r="BH40" s="198">
        <v>0</v>
      </c>
      <c r="BI40" s="198">
        <v>73750000</v>
      </c>
      <c r="BJ40" s="198">
        <v>73750000</v>
      </c>
      <c r="BK40" s="198">
        <v>0</v>
      </c>
      <c r="BL40" s="198">
        <v>0</v>
      </c>
      <c r="BM40" s="198">
        <v>0</v>
      </c>
      <c r="BN40" s="198">
        <v>0</v>
      </c>
      <c r="BO40" s="198">
        <v>0</v>
      </c>
      <c r="BP40" s="198">
        <v>0</v>
      </c>
      <c r="BQ40" s="198">
        <v>440120800</v>
      </c>
      <c r="BR40" s="198">
        <v>0</v>
      </c>
      <c r="BS40" s="198">
        <v>0</v>
      </c>
      <c r="BT40" s="198">
        <v>0</v>
      </c>
    </row>
    <row r="41" spans="1:74" s="53" customFormat="1" ht="21.75" customHeight="1" x14ac:dyDescent="0.25">
      <c r="A41" s="142" t="s">
        <v>634</v>
      </c>
      <c r="B41" s="53">
        <v>1419647033.29</v>
      </c>
      <c r="C41" s="53">
        <v>682396282.87</v>
      </c>
      <c r="D41" s="53">
        <v>73246783.790000007</v>
      </c>
      <c r="E41" s="53">
        <v>1139172000</v>
      </c>
      <c r="I41" s="53">
        <v>432466944</v>
      </c>
      <c r="M41" s="53">
        <v>648700416</v>
      </c>
      <c r="Q41" s="53">
        <v>1513634304</v>
      </c>
      <c r="U41" s="53">
        <v>1513634304</v>
      </c>
      <c r="Y41" s="53">
        <v>1297400832</v>
      </c>
      <c r="AC41" s="53">
        <v>665333760</v>
      </c>
      <c r="AG41" s="53">
        <v>499000320</v>
      </c>
      <c r="AK41" s="53">
        <v>831667200</v>
      </c>
      <c r="AO41" s="53" t="s">
        <v>637</v>
      </c>
      <c r="AS41" s="53" t="s">
        <v>638</v>
      </c>
      <c r="AW41" s="53" t="s">
        <v>639</v>
      </c>
    </row>
    <row r="42" spans="1:74" s="26" customFormat="1" x14ac:dyDescent="0.25">
      <c r="A42" s="17" t="s">
        <v>322</v>
      </c>
      <c r="E42" s="26">
        <f>E40-E41</f>
        <v>1348125171.5</v>
      </c>
      <c r="F42" s="26">
        <f t="shared" ref="F42:Y42" si="82">F40-F41</f>
        <v>2459999984</v>
      </c>
      <c r="G42" s="26">
        <f t="shared" si="82"/>
        <v>2459999984</v>
      </c>
      <c r="H42" s="26">
        <f t="shared" si="82"/>
        <v>2459999984</v>
      </c>
      <c r="I42" s="26">
        <f>I40-I41</f>
        <v>-432466944</v>
      </c>
      <c r="J42" s="26">
        <f t="shared" si="82"/>
        <v>0</v>
      </c>
      <c r="K42" s="26">
        <f t="shared" si="82"/>
        <v>0</v>
      </c>
      <c r="L42" s="26">
        <f t="shared" si="82"/>
        <v>0</v>
      </c>
      <c r="M42" s="26">
        <f t="shared" si="82"/>
        <v>-618325416</v>
      </c>
      <c r="N42" s="26">
        <f t="shared" si="82"/>
        <v>30375000</v>
      </c>
      <c r="O42" s="26">
        <f t="shared" si="82"/>
        <v>0</v>
      </c>
      <c r="P42" s="26">
        <f t="shared" si="82"/>
        <v>0</v>
      </c>
      <c r="Q42" s="26">
        <f t="shared" si="82"/>
        <v>-1324509304</v>
      </c>
      <c r="R42" s="26">
        <f t="shared" si="82"/>
        <v>189125000</v>
      </c>
      <c r="S42" s="26">
        <f t="shared" si="82"/>
        <v>18225000</v>
      </c>
      <c r="T42" s="26">
        <f t="shared" si="82"/>
        <v>0</v>
      </c>
      <c r="U42" s="26">
        <f t="shared" si="82"/>
        <v>-1353634304</v>
      </c>
      <c r="V42" s="26">
        <f t="shared" si="82"/>
        <v>160000000</v>
      </c>
      <c r="W42" s="26">
        <f t="shared" si="82"/>
        <v>160000000</v>
      </c>
      <c r="X42" s="26">
        <f t="shared" si="82"/>
        <v>160000000</v>
      </c>
      <c r="Y42" s="26">
        <f t="shared" si="82"/>
        <v>-1297400832</v>
      </c>
      <c r="Z42" s="26">
        <f t="shared" ref="Z42:BQ42" si="83">Z40-Z41</f>
        <v>0</v>
      </c>
      <c r="AA42" s="26">
        <f t="shared" si="83"/>
        <v>0</v>
      </c>
      <c r="AB42" s="26">
        <f t="shared" si="83"/>
        <v>0</v>
      </c>
      <c r="AC42" s="26">
        <f t="shared" si="83"/>
        <v>-665333760</v>
      </c>
      <c r="AD42" s="26">
        <f t="shared" si="83"/>
        <v>0</v>
      </c>
      <c r="AE42" s="26">
        <f t="shared" si="83"/>
        <v>0</v>
      </c>
      <c r="AF42" s="26">
        <f t="shared" si="83"/>
        <v>0</v>
      </c>
      <c r="AG42" s="26">
        <f t="shared" si="83"/>
        <v>-499000320</v>
      </c>
      <c r="AH42" s="26">
        <f t="shared" si="83"/>
        <v>0</v>
      </c>
      <c r="AI42" s="26">
        <f t="shared" si="83"/>
        <v>0</v>
      </c>
      <c r="AJ42" s="26">
        <f t="shared" si="83"/>
        <v>0</v>
      </c>
      <c r="AK42" s="26">
        <f t="shared" si="83"/>
        <v>-782667200</v>
      </c>
      <c r="AL42" s="198">
        <f t="shared" si="83"/>
        <v>49000000</v>
      </c>
      <c r="AM42" s="198">
        <f t="shared" si="83"/>
        <v>49000000</v>
      </c>
      <c r="AN42" s="198">
        <f t="shared" si="83"/>
        <v>0</v>
      </c>
      <c r="AO42" s="198" t="e">
        <f t="shared" si="83"/>
        <v>#VALUE!</v>
      </c>
      <c r="AP42" s="198">
        <f t="shared" si="83"/>
        <v>55080000</v>
      </c>
      <c r="AQ42" s="198">
        <f t="shared" si="83"/>
        <v>55080000</v>
      </c>
      <c r="AR42" s="198">
        <f t="shared" si="83"/>
        <v>0</v>
      </c>
      <c r="AS42" s="198" t="e">
        <f t="shared" si="83"/>
        <v>#VALUE!</v>
      </c>
      <c r="AT42" s="198">
        <f t="shared" si="83"/>
        <v>0</v>
      </c>
      <c r="AU42" s="198">
        <f t="shared" si="83"/>
        <v>0</v>
      </c>
      <c r="AV42" s="198">
        <f t="shared" si="83"/>
        <v>0</v>
      </c>
      <c r="AW42" s="198" t="e">
        <f t="shared" si="83"/>
        <v>#VALUE!</v>
      </c>
      <c r="AX42" s="198">
        <f t="shared" si="83"/>
        <v>165316562.55000001</v>
      </c>
      <c r="AY42" s="198">
        <f t="shared" si="83"/>
        <v>165316562.55000001</v>
      </c>
      <c r="AZ42" s="198">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8" customFormat="1" x14ac:dyDescent="0.25">
      <c r="A44" s="198" t="s">
        <v>325</v>
      </c>
      <c r="B44" s="198">
        <v>24406860428.02</v>
      </c>
      <c r="C44" s="198">
        <v>19702952200.470001</v>
      </c>
      <c r="D44" s="198">
        <v>8647801575.7900009</v>
      </c>
      <c r="E44" s="198">
        <v>24453540306.73</v>
      </c>
      <c r="F44" s="198">
        <v>18744904122.369999</v>
      </c>
      <c r="G44" s="198">
        <v>15202515189.129999</v>
      </c>
      <c r="H44" s="198">
        <v>4784207880.96</v>
      </c>
      <c r="I44" s="198">
        <v>20637077946</v>
      </c>
      <c r="J44" s="198">
        <v>16252843666.940001</v>
      </c>
      <c r="K44" s="198">
        <v>11941449125.209999</v>
      </c>
      <c r="L44" s="198">
        <v>4818776279.1400003</v>
      </c>
      <c r="M44" s="198">
        <v>27662825929.040001</v>
      </c>
      <c r="N44" s="198">
        <v>16458232060.709999</v>
      </c>
      <c r="O44" s="198">
        <v>9740256652.8500004</v>
      </c>
      <c r="P44" s="198">
        <v>4513442975.3599997</v>
      </c>
      <c r="Q44" s="198">
        <v>19145781118.619999</v>
      </c>
      <c r="R44" s="198">
        <v>15836891423.85</v>
      </c>
      <c r="S44" s="198">
        <v>11549250892.75</v>
      </c>
      <c r="T44" s="198">
        <v>5465629071.6899996</v>
      </c>
      <c r="U44" s="198">
        <v>13157399734.74</v>
      </c>
      <c r="V44" s="198">
        <v>10354887807.15</v>
      </c>
      <c r="W44" s="198">
        <v>7090236488.46</v>
      </c>
      <c r="X44" s="198">
        <v>2881392869.1599998</v>
      </c>
      <c r="Y44" s="198">
        <v>9467924089.4099998</v>
      </c>
      <c r="Z44" s="198">
        <v>6717688999.5699997</v>
      </c>
      <c r="AA44" s="198">
        <v>4608926133.1199999</v>
      </c>
      <c r="AB44" s="198">
        <v>2236350624.6599998</v>
      </c>
      <c r="AC44" s="198">
        <v>7387241147.4899998</v>
      </c>
      <c r="AD44" s="198">
        <v>4731545281.6800003</v>
      </c>
      <c r="AE44" s="198">
        <v>4355438121.4899998</v>
      </c>
      <c r="AF44" s="198">
        <v>2615231109.3400002</v>
      </c>
      <c r="AG44" s="198">
        <v>4374691112.6800003</v>
      </c>
      <c r="AH44" s="198">
        <v>2748910673.77</v>
      </c>
      <c r="AI44" s="198">
        <v>1911240165.6500001</v>
      </c>
      <c r="AJ44" s="198">
        <v>1049600645.65</v>
      </c>
      <c r="AK44" s="198">
        <v>2659453506.3600001</v>
      </c>
      <c r="AL44" s="198">
        <v>4039471635.3099999</v>
      </c>
      <c r="AM44" s="198">
        <v>2880204431.4299998</v>
      </c>
      <c r="AN44" s="198">
        <v>1455466460</v>
      </c>
      <c r="AO44" s="198">
        <v>1513007159.27</v>
      </c>
      <c r="AP44" s="198">
        <v>962505346.42999995</v>
      </c>
      <c r="AQ44" s="198">
        <v>720013546.32000005</v>
      </c>
      <c r="AR44" s="198">
        <v>483607594.76999998</v>
      </c>
      <c r="AS44" s="198">
        <v>1835706455.27</v>
      </c>
      <c r="AT44" s="198">
        <v>1740044722.22</v>
      </c>
      <c r="AU44" s="198">
        <v>972823165.26999998</v>
      </c>
      <c r="AV44" s="198">
        <v>252585665.27000001</v>
      </c>
      <c r="AW44" s="198">
        <v>1105703483</v>
      </c>
      <c r="AX44" s="198">
        <v>827509197.57000005</v>
      </c>
      <c r="AY44" s="198">
        <v>655818000</v>
      </c>
      <c r="AZ44" s="198">
        <v>322466500</v>
      </c>
      <c r="BA44" s="198">
        <v>1896061750</v>
      </c>
      <c r="BB44" s="198">
        <v>1531721000</v>
      </c>
      <c r="BC44" s="198">
        <v>1190580750</v>
      </c>
      <c r="BD44" s="198">
        <v>672285750</v>
      </c>
      <c r="BE44" s="198">
        <v>1427765000</v>
      </c>
      <c r="BF44" s="198">
        <v>630000000</v>
      </c>
      <c r="BG44" s="198">
        <v>400000000</v>
      </c>
      <c r="BH44" s="198">
        <v>50000000</v>
      </c>
      <c r="BI44" s="198">
        <v>66191558.5</v>
      </c>
      <c r="BJ44" s="198">
        <v>65681558.5</v>
      </c>
      <c r="BK44" s="198">
        <v>480000</v>
      </c>
      <c r="BL44" s="198">
        <v>690000</v>
      </c>
      <c r="BM44" s="198">
        <v>72000000</v>
      </c>
      <c r="BN44" s="198">
        <v>0</v>
      </c>
      <c r="BO44" s="198">
        <v>30000000</v>
      </c>
      <c r="BP44" s="198">
        <v>30000000</v>
      </c>
      <c r="BQ44" s="198">
        <v>184100000</v>
      </c>
      <c r="BR44" s="198">
        <v>40000000</v>
      </c>
      <c r="BS44" s="198">
        <v>64600000</v>
      </c>
      <c r="BT44" s="198">
        <v>0</v>
      </c>
    </row>
    <row r="45" spans="1:74" s="198" customFormat="1" x14ac:dyDescent="0.25">
      <c r="A45" s="198" t="s">
        <v>323</v>
      </c>
      <c r="E45" s="198">
        <f>股权价值增加表!E53</f>
        <v>864912025.71000004</v>
      </c>
      <c r="F45" s="198">
        <f>股权价值增加表!F53</f>
        <v>0</v>
      </c>
      <c r="G45" s="198">
        <f>股权价值增加表!G53</f>
        <v>0</v>
      </c>
      <c r="H45" s="198">
        <f>股权价值增加表!H53</f>
        <v>0</v>
      </c>
      <c r="I45" s="198">
        <f>股权价值增加表!I53</f>
        <v>1045945849.2</v>
      </c>
      <c r="J45" s="198">
        <f>股权价值增加表!J53</f>
        <v>0</v>
      </c>
      <c r="K45" s="198">
        <f>股权价值增加表!K53</f>
        <v>0</v>
      </c>
      <c r="L45" s="198">
        <f>股权价值增加表!L53</f>
        <v>0</v>
      </c>
      <c r="M45" s="198">
        <f>股权价值增加表!M53</f>
        <v>1075455285.26</v>
      </c>
      <c r="N45" s="198">
        <f>股权价值增加表!N53</f>
        <v>0</v>
      </c>
      <c r="O45" s="198">
        <f>股权价值增加表!O53</f>
        <v>0</v>
      </c>
      <c r="P45" s="198">
        <f>股权价值增加表!P53</f>
        <v>0</v>
      </c>
      <c r="Q45" s="198">
        <f>股权价值增加表!Q53</f>
        <v>951072385.88</v>
      </c>
      <c r="R45" s="198">
        <f>股权价值增加表!R53</f>
        <v>0</v>
      </c>
      <c r="S45" s="198">
        <f>股权价值增加表!S53</f>
        <v>0</v>
      </c>
      <c r="T45" s="198">
        <f>股权价值增加表!T53</f>
        <v>0</v>
      </c>
      <c r="U45" s="198">
        <f>股权价值增加表!U53</f>
        <v>509479759.36000001</v>
      </c>
      <c r="V45" s="198">
        <f>股权价值增加表!V53</f>
        <v>0</v>
      </c>
      <c r="W45" s="198">
        <f>股权价值增加表!W53</f>
        <v>0</v>
      </c>
      <c r="X45" s="198">
        <f>股权价值增加表!X53</f>
        <v>0</v>
      </c>
      <c r="Y45" s="198">
        <f>股权价值增加表!Y53</f>
        <v>402324925.74000001</v>
      </c>
      <c r="Z45" s="198">
        <f>股权价值增加表!Z53</f>
        <v>0</v>
      </c>
      <c r="AA45" s="198">
        <f>股权价值增加表!AA53</f>
        <v>0</v>
      </c>
      <c r="AB45" s="198">
        <f>股权价值增加表!AB53</f>
        <v>0</v>
      </c>
      <c r="AC45" s="198">
        <f>股权价值增加表!AC53</f>
        <v>255782507.77000001</v>
      </c>
      <c r="AD45" s="198">
        <f>股权价值增加表!AD53</f>
        <v>0</v>
      </c>
      <c r="AE45" s="198">
        <f>股权价值增加表!AE53</f>
        <v>0</v>
      </c>
      <c r="AF45" s="198">
        <f>股权价值增加表!AF53</f>
        <v>0</v>
      </c>
      <c r="AG45" s="198">
        <f>股权价值增加表!AG53</f>
        <v>99627289.340000004</v>
      </c>
      <c r="AH45" s="198">
        <f>股权价值增加表!AH53</f>
        <v>0</v>
      </c>
      <c r="AI45" s="198">
        <f>股权价值增加表!AI53</f>
        <v>0</v>
      </c>
      <c r="AJ45" s="198">
        <f>股权价值增加表!AJ53</f>
        <v>0</v>
      </c>
      <c r="AK45" s="198">
        <f>股权价值增加表!AK53</f>
        <v>67247664.370000005</v>
      </c>
      <c r="AL45" s="198">
        <f>股权价值增加表!AL53</f>
        <v>0</v>
      </c>
      <c r="AM45" s="198">
        <f>股权价值增加表!AM53</f>
        <v>0</v>
      </c>
      <c r="AN45" s="198">
        <f>股权价值增加表!AN53</f>
        <v>0</v>
      </c>
      <c r="AO45" s="198">
        <f>股权价值增加表!AO53</f>
        <v>126324983.14</v>
      </c>
      <c r="AP45" s="198">
        <f>股权价值增加表!AP53</f>
        <v>0</v>
      </c>
      <c r="AQ45" s="198">
        <f>股权价值增加表!AQ53</f>
        <v>0</v>
      </c>
      <c r="AR45" s="198">
        <f>股权价值增加表!AR53</f>
        <v>0</v>
      </c>
      <c r="AS45" s="198">
        <f>股权价值增加表!AS53</f>
        <v>132348309.90000001</v>
      </c>
      <c r="AT45" s="198">
        <f>股权价值增加表!AT53</f>
        <v>0</v>
      </c>
      <c r="AU45" s="198">
        <f>股权价值增加表!AU53</f>
        <v>0</v>
      </c>
      <c r="AV45" s="198">
        <f>股权价值增加表!AV53</f>
        <v>0</v>
      </c>
      <c r="AW45" s="198">
        <f>股权价值增加表!AW53</f>
        <v>41484361.509999998</v>
      </c>
      <c r="AX45" s="198">
        <f>股权价值增加表!AX53</f>
        <v>0</v>
      </c>
      <c r="AY45" s="198">
        <f>股权价值增加表!AY53</f>
        <v>0</v>
      </c>
      <c r="AZ45" s="198">
        <f>股权价值增加表!AZ53</f>
        <v>0</v>
      </c>
      <c r="BA45" s="198">
        <f>股权价值增加表!BA53</f>
        <v>8042309.5300000003</v>
      </c>
      <c r="BB45" s="198">
        <f>股权价值增加表!BB53</f>
        <v>0</v>
      </c>
      <c r="BC45" s="198">
        <f>股权价值增加表!BC53</f>
        <v>0</v>
      </c>
      <c r="BD45" s="198">
        <f>股权价值增加表!BD53</f>
        <v>0</v>
      </c>
      <c r="BE45" s="198">
        <f>股权价值增加表!BE53</f>
        <v>9216241.1300000008</v>
      </c>
      <c r="BF45" s="198">
        <f>股权价值增加表!BF53</f>
        <v>0</v>
      </c>
      <c r="BG45" s="198">
        <f>股权价值增加表!BG53</f>
        <v>0</v>
      </c>
      <c r="BH45" s="198">
        <f>股权价值增加表!BH53</f>
        <v>0</v>
      </c>
      <c r="BI45" s="198">
        <f>股权价值增加表!BI53</f>
        <v>1006660.45</v>
      </c>
      <c r="BJ45" s="198">
        <f>股权价值增加表!BJ53</f>
        <v>0</v>
      </c>
      <c r="BK45" s="198">
        <f>股权价值增加表!BK53</f>
        <v>0</v>
      </c>
      <c r="BL45" s="198">
        <f>股权价值增加表!BL53</f>
        <v>0</v>
      </c>
      <c r="BM45" s="198">
        <f>股权价值增加表!BM53</f>
        <v>0</v>
      </c>
      <c r="BN45" s="198">
        <f>股权价值增加表!BN53</f>
        <v>0</v>
      </c>
      <c r="BO45" s="198">
        <f>股权价值增加表!BO53</f>
        <v>0</v>
      </c>
      <c r="BP45" s="198">
        <f>股权价值增加表!BP53</f>
        <v>0</v>
      </c>
      <c r="BQ45" s="198">
        <f>股权价值增加表!BQ53</f>
        <v>0</v>
      </c>
      <c r="BR45" s="198">
        <f>股权价值增加表!BR53</f>
        <v>0</v>
      </c>
      <c r="BS45" s="198">
        <f>股权价值增加表!BS53</f>
        <v>0</v>
      </c>
      <c r="BT45" s="198">
        <f>股权价值增加表!BT53</f>
        <v>0</v>
      </c>
      <c r="BU45" s="198">
        <f>股权价值增加表!BU53</f>
        <v>0</v>
      </c>
      <c r="BV45" s="198">
        <f>股权价值增加表!BV53</f>
        <v>0</v>
      </c>
    </row>
    <row r="46" spans="1:74" s="198" customFormat="1" x14ac:dyDescent="0.25">
      <c r="A46" s="198" t="s">
        <v>326</v>
      </c>
      <c r="B46" s="198">
        <v>44379269.759999998</v>
      </c>
      <c r="C46" s="198">
        <v>60343243.960000001</v>
      </c>
      <c r="D46" s="198">
        <v>49009384.32</v>
      </c>
      <c r="E46" s="198">
        <v>31970671.84</v>
      </c>
      <c r="F46" s="198">
        <v>37532176.210000001</v>
      </c>
      <c r="G46" s="198">
        <v>32269102.34</v>
      </c>
      <c r="H46" s="198">
        <v>112469532.26000001</v>
      </c>
      <c r="I46" s="198">
        <v>91712154.739999995</v>
      </c>
      <c r="J46" s="198">
        <v>74062876.599999994</v>
      </c>
      <c r="K46" s="198">
        <v>57102686.060000002</v>
      </c>
      <c r="L46" s="198">
        <v>105042598.11</v>
      </c>
      <c r="M46" s="198">
        <v>75252173.540000007</v>
      </c>
      <c r="N46" s="198">
        <v>84509647.700000003</v>
      </c>
      <c r="O46" s="198">
        <v>42999988.299999997</v>
      </c>
      <c r="P46" s="198">
        <v>100545150.76000001</v>
      </c>
      <c r="Q46" s="198">
        <v>76991519.659999996</v>
      </c>
      <c r="R46" s="198">
        <v>71357433.540000007</v>
      </c>
      <c r="S46" s="198">
        <v>64815279.420000002</v>
      </c>
      <c r="T46" s="198">
        <v>97115066.319999993</v>
      </c>
      <c r="U46" s="198">
        <v>64532105.43</v>
      </c>
      <c r="V46" s="198">
        <v>63698011.840000004</v>
      </c>
      <c r="W46" s="198">
        <v>36616594.299999997</v>
      </c>
      <c r="X46" s="198">
        <v>92227742.920000002</v>
      </c>
      <c r="Y46" s="198">
        <v>62778469.950000003</v>
      </c>
      <c r="Z46" s="198">
        <v>59116639.979999997</v>
      </c>
      <c r="AA46" s="198">
        <v>28622866.829999998</v>
      </c>
      <c r="AB46" s="198">
        <v>16691457.449999999</v>
      </c>
      <c r="AC46" s="198">
        <v>46615788.43</v>
      </c>
      <c r="AD46" s="198">
        <v>34332259.719999999</v>
      </c>
      <c r="AE46" s="198">
        <v>19776617.649999999</v>
      </c>
      <c r="AF46" s="198">
        <v>17949398.379999999</v>
      </c>
      <c r="AG46" s="198">
        <v>13124342.949999999</v>
      </c>
      <c r="AH46" s="198">
        <v>14653698.35</v>
      </c>
      <c r="AI46" s="198">
        <v>6264954.29</v>
      </c>
      <c r="AJ46" s="198">
        <v>4177638.96</v>
      </c>
      <c r="AK46" s="198">
        <v>2386521.48</v>
      </c>
      <c r="AL46" s="198">
        <v>4585184.8499999996</v>
      </c>
      <c r="AM46" s="198">
        <v>3549973.37</v>
      </c>
      <c r="AN46" s="198">
        <v>1556874.75</v>
      </c>
      <c r="AO46" s="198">
        <v>4088339.29</v>
      </c>
      <c r="AP46" s="198">
        <v>9174270.6699999999</v>
      </c>
      <c r="AQ46" s="198">
        <v>7040917.1100000003</v>
      </c>
      <c r="AR46" s="198">
        <v>14796015.619999999</v>
      </c>
      <c r="AS46" s="198">
        <v>9277615.1899999995</v>
      </c>
      <c r="AT46" s="198">
        <v>8963666.4499999993</v>
      </c>
      <c r="AU46" s="198">
        <v>4200325.4800000004</v>
      </c>
      <c r="AV46" s="198">
        <v>2900835.97</v>
      </c>
      <c r="AW46" s="198">
        <v>0</v>
      </c>
      <c r="AX46" s="198">
        <v>0</v>
      </c>
      <c r="AY46" s="198">
        <v>0</v>
      </c>
      <c r="AZ46" s="198">
        <v>0</v>
      </c>
      <c r="BA46" s="198">
        <v>0</v>
      </c>
      <c r="BB46" s="198">
        <v>0</v>
      </c>
      <c r="BC46" s="198">
        <v>0</v>
      </c>
      <c r="BD46" s="198">
        <v>0</v>
      </c>
      <c r="BE46" s="198">
        <v>0</v>
      </c>
      <c r="BF46" s="198">
        <v>0</v>
      </c>
      <c r="BG46" s="198">
        <v>0</v>
      </c>
      <c r="BH46" s="198">
        <v>0</v>
      </c>
      <c r="BI46" s="198">
        <v>0</v>
      </c>
      <c r="BJ46" s="198">
        <v>0</v>
      </c>
      <c r="BK46" s="198">
        <v>0</v>
      </c>
      <c r="BL46" s="198">
        <v>0</v>
      </c>
      <c r="BM46" s="198">
        <v>0</v>
      </c>
      <c r="BN46" s="198">
        <v>0</v>
      </c>
      <c r="BO46" s="198">
        <v>0</v>
      </c>
      <c r="BP46" s="198">
        <v>0</v>
      </c>
      <c r="BQ46" s="198">
        <v>0</v>
      </c>
      <c r="BR46" s="198">
        <v>0</v>
      </c>
      <c r="BS46" s="198">
        <v>0</v>
      </c>
      <c r="BT46" s="198">
        <v>0</v>
      </c>
    </row>
    <row r="47" spans="1:74" s="198" customFormat="1" x14ac:dyDescent="0.25">
      <c r="A47" s="198" t="s">
        <v>327</v>
      </c>
      <c r="B47" s="198">
        <v>27340508648.77</v>
      </c>
      <c r="C47" s="198">
        <v>19245971148.5</v>
      </c>
      <c r="D47" s="198">
        <v>6568915587.96</v>
      </c>
      <c r="E47" s="198">
        <v>23289622001.529999</v>
      </c>
      <c r="F47" s="198">
        <v>18737417508.759998</v>
      </c>
      <c r="G47" s="198">
        <v>14267495214.700001</v>
      </c>
      <c r="H47" s="198">
        <v>5130038624.7399998</v>
      </c>
      <c r="I47" s="198">
        <v>23880537929.860001</v>
      </c>
      <c r="J47" s="198">
        <v>18214717211.860001</v>
      </c>
      <c r="K47" s="198">
        <v>11791745159.32</v>
      </c>
      <c r="L47" s="198">
        <v>5432628915.9700003</v>
      </c>
      <c r="M47" s="198">
        <v>24055646968.360001</v>
      </c>
      <c r="N47" s="198">
        <v>13423926140.16</v>
      </c>
      <c r="O47" s="198">
        <v>7975507746.8000002</v>
      </c>
      <c r="P47" s="198">
        <v>2638974173.46</v>
      </c>
      <c r="Q47" s="198">
        <v>12439546345.82</v>
      </c>
      <c r="R47" s="198">
        <v>9496519241.7299995</v>
      </c>
      <c r="S47" s="198">
        <v>5858761643.6800003</v>
      </c>
      <c r="T47" s="198">
        <v>2384262702.1500001</v>
      </c>
      <c r="U47" s="198">
        <v>8208858373.3699999</v>
      </c>
      <c r="V47" s="198">
        <v>6516225877.3699999</v>
      </c>
      <c r="W47" s="198">
        <v>3930641159.8699999</v>
      </c>
      <c r="X47" s="198">
        <v>1479429365.1400001</v>
      </c>
      <c r="Y47" s="198">
        <v>8775575027.1800003</v>
      </c>
      <c r="Z47" s="198">
        <v>6820693528.8100004</v>
      </c>
      <c r="AA47" s="198">
        <v>5117181836.1099997</v>
      </c>
      <c r="AB47" s="198">
        <v>2569775921.25</v>
      </c>
      <c r="AC47" s="198">
        <v>5154206396.25</v>
      </c>
      <c r="AD47" s="198">
        <v>3331468271.6199999</v>
      </c>
      <c r="AE47" s="198">
        <v>2978174169.0799999</v>
      </c>
      <c r="AF47" s="198">
        <v>1486419247.74</v>
      </c>
      <c r="AG47" s="198">
        <v>2869439452.46</v>
      </c>
      <c r="AH47" s="198">
        <v>1568950528.1099999</v>
      </c>
      <c r="AI47" s="198">
        <v>1290963292.6199999</v>
      </c>
      <c r="AJ47" s="198">
        <v>860382862.00999999</v>
      </c>
      <c r="AK47" s="198">
        <v>1469948612.23</v>
      </c>
      <c r="AL47" s="198">
        <v>2211120903.2600002</v>
      </c>
      <c r="AM47" s="198">
        <v>1091336676.54</v>
      </c>
      <c r="AN47" s="198">
        <v>436458198.22000003</v>
      </c>
      <c r="AO47" s="198">
        <v>1752908591.3499999</v>
      </c>
      <c r="AP47" s="198">
        <v>999092227.25999999</v>
      </c>
      <c r="AQ47" s="198">
        <v>701479089.67999995</v>
      </c>
      <c r="AR47" s="198">
        <v>263140098.50999999</v>
      </c>
      <c r="AS47" s="198">
        <v>1284887013.27</v>
      </c>
      <c r="AT47" s="198">
        <v>1352181454.5999999</v>
      </c>
      <c r="AU47" s="198">
        <v>765615695.08000004</v>
      </c>
      <c r="AV47" s="198">
        <v>161528725</v>
      </c>
      <c r="AW47" s="198">
        <v>1392915700</v>
      </c>
      <c r="AX47" s="198">
        <v>937457664.57000005</v>
      </c>
      <c r="AY47" s="198">
        <v>740273150</v>
      </c>
      <c r="AZ47" s="198">
        <v>298349350</v>
      </c>
      <c r="BA47" s="198">
        <v>1283963400</v>
      </c>
      <c r="BB47" s="198">
        <v>849000000</v>
      </c>
      <c r="BC47" s="198">
        <v>474000000</v>
      </c>
      <c r="BD47" s="198">
        <v>354000000</v>
      </c>
      <c r="BE47" s="198">
        <v>321501558.5</v>
      </c>
      <c r="BF47" s="198">
        <v>51501558.5</v>
      </c>
      <c r="BG47" s="198">
        <v>51501558.5</v>
      </c>
      <c r="BH47" s="198">
        <v>1501558.5</v>
      </c>
      <c r="BI47" s="198">
        <v>12690000</v>
      </c>
      <c r="BJ47" s="198">
        <v>0</v>
      </c>
      <c r="BK47" s="198">
        <v>0</v>
      </c>
      <c r="BL47" s="198">
        <v>210000</v>
      </c>
      <c r="BM47" s="198">
        <v>0</v>
      </c>
      <c r="BN47" s="198">
        <v>0</v>
      </c>
      <c r="BO47" s="198">
        <v>114100000</v>
      </c>
      <c r="BP47" s="198">
        <v>114100000</v>
      </c>
      <c r="BQ47" s="198">
        <v>176730000</v>
      </c>
      <c r="BR47" s="198">
        <v>22130000</v>
      </c>
      <c r="BS47" s="198">
        <v>59600000</v>
      </c>
      <c r="BT47" s="198">
        <v>0</v>
      </c>
    </row>
    <row r="48" spans="1:74" s="198" customFormat="1" x14ac:dyDescent="0.25">
      <c r="A48" s="198" t="s">
        <v>598</v>
      </c>
      <c r="B48" s="198">
        <v>0</v>
      </c>
      <c r="C48" s="198">
        <v>0</v>
      </c>
      <c r="D48" s="198">
        <v>0</v>
      </c>
      <c r="E48" s="198">
        <v>0</v>
      </c>
      <c r="F48" s="198">
        <v>0</v>
      </c>
      <c r="G48" s="198">
        <v>0</v>
      </c>
      <c r="H48" s="198">
        <v>0</v>
      </c>
      <c r="I48" s="198">
        <v>1700000000</v>
      </c>
      <c r="J48" s="198">
        <v>1700000000</v>
      </c>
      <c r="K48" s="198">
        <v>300000000</v>
      </c>
      <c r="L48" s="198">
        <v>300000000</v>
      </c>
      <c r="M48" s="198">
        <v>0</v>
      </c>
      <c r="N48" s="198">
        <v>0</v>
      </c>
      <c r="O48" s="198">
        <v>0</v>
      </c>
      <c r="P48" s="198">
        <v>0</v>
      </c>
      <c r="Q48" s="198">
        <v>1000000000</v>
      </c>
      <c r="R48" s="198">
        <v>0</v>
      </c>
      <c r="S48" s="198">
        <v>0</v>
      </c>
      <c r="T48" s="198">
        <v>0</v>
      </c>
      <c r="U48" s="198">
        <v>0</v>
      </c>
      <c r="V48" s="198">
        <v>0</v>
      </c>
      <c r="W48" s="198">
        <v>0</v>
      </c>
      <c r="X48" s="198">
        <v>0</v>
      </c>
      <c r="Y48" s="198">
        <v>1000000000</v>
      </c>
      <c r="Z48" s="198">
        <v>997000000</v>
      </c>
      <c r="AA48" s="198">
        <v>997000000</v>
      </c>
      <c r="AB48" s="198">
        <v>0</v>
      </c>
      <c r="AC48" s="198">
        <v>850000000</v>
      </c>
      <c r="AD48" s="198">
        <v>0</v>
      </c>
      <c r="AE48" s="198">
        <v>0</v>
      </c>
      <c r="AF48" s="198">
        <v>0</v>
      </c>
      <c r="AG48" s="198">
        <v>0</v>
      </c>
      <c r="AH48" s="198">
        <v>0</v>
      </c>
      <c r="AI48" s="198">
        <v>0</v>
      </c>
      <c r="AJ48" s="198">
        <v>0</v>
      </c>
      <c r="AK48" s="198">
        <v>0</v>
      </c>
      <c r="AL48" s="198">
        <v>0</v>
      </c>
      <c r="AM48" s="198">
        <v>0</v>
      </c>
      <c r="AN48" s="198">
        <v>0</v>
      </c>
      <c r="AO48" s="198">
        <v>0</v>
      </c>
      <c r="AP48" s="198">
        <v>0</v>
      </c>
      <c r="AQ48" s="198">
        <v>0</v>
      </c>
      <c r="AR48" s="198">
        <v>0</v>
      </c>
      <c r="AS48" s="198">
        <v>0</v>
      </c>
      <c r="AT48" s="198">
        <v>0</v>
      </c>
      <c r="AU48" s="198">
        <v>0</v>
      </c>
      <c r="AV48" s="198">
        <v>0</v>
      </c>
      <c r="AW48" s="198">
        <v>0</v>
      </c>
      <c r="AX48" s="198">
        <v>0</v>
      </c>
      <c r="AY48" s="198">
        <v>0</v>
      </c>
      <c r="AZ48" s="198">
        <v>0</v>
      </c>
      <c r="BA48" s="198">
        <v>0</v>
      </c>
      <c r="BB48" s="198">
        <v>0</v>
      </c>
      <c r="BC48" s="198">
        <v>0</v>
      </c>
      <c r="BD48" s="198">
        <v>0</v>
      </c>
      <c r="BE48" s="198">
        <v>0</v>
      </c>
      <c r="BF48" s="198">
        <v>0</v>
      </c>
      <c r="BG48" s="198">
        <v>0</v>
      </c>
      <c r="BH48" s="198">
        <v>0</v>
      </c>
      <c r="BI48" s="198">
        <v>0</v>
      </c>
      <c r="BJ48" s="198">
        <v>0</v>
      </c>
      <c r="BK48" s="198">
        <v>0</v>
      </c>
      <c r="BL48" s="198">
        <v>0</v>
      </c>
      <c r="BM48" s="198">
        <v>0</v>
      </c>
      <c r="BN48" s="198">
        <v>0</v>
      </c>
      <c r="BO48" s="198">
        <v>0</v>
      </c>
      <c r="BP48" s="198">
        <v>0</v>
      </c>
      <c r="BQ48" s="198">
        <v>0</v>
      </c>
      <c r="BR48" s="198">
        <v>0</v>
      </c>
      <c r="BS48" s="198">
        <v>0</v>
      </c>
      <c r="BT48" s="198">
        <v>0</v>
      </c>
    </row>
    <row r="49" spans="1:74" s="198" customFormat="1" x14ac:dyDescent="0.25">
      <c r="A49" s="198" t="s">
        <v>599</v>
      </c>
      <c r="E49" s="198">
        <f>E44+E48-E45-E46-E47</f>
        <v>267035607.65000153</v>
      </c>
      <c r="F49" s="198">
        <f t="shared" ref="F49:BQ49" si="85">F44+F48-F45-F46-F47</f>
        <v>-30045562.599998474</v>
      </c>
      <c r="G49" s="198">
        <f t="shared" si="85"/>
        <v>902750872.08999825</v>
      </c>
      <c r="H49" s="198">
        <f t="shared" si="85"/>
        <v>-458300276.03999996</v>
      </c>
      <c r="I49" s="198">
        <f t="shared" si="85"/>
        <v>-2681117987.8000031</v>
      </c>
      <c r="J49" s="198">
        <f t="shared" si="85"/>
        <v>-335936421.51999664</v>
      </c>
      <c r="K49" s="198">
        <f t="shared" si="85"/>
        <v>392601279.82999992</v>
      </c>
      <c r="L49" s="198">
        <f t="shared" si="85"/>
        <v>-418895234.93999958</v>
      </c>
      <c r="M49" s="198">
        <f t="shared" si="85"/>
        <v>2456471501.8800011</v>
      </c>
      <c r="N49" s="198">
        <f t="shared" si="85"/>
        <v>2949796272.8499985</v>
      </c>
      <c r="O49" s="198">
        <f t="shared" si="85"/>
        <v>1721748917.750001</v>
      </c>
      <c r="P49" s="198">
        <f t="shared" si="85"/>
        <v>1773923651.1399994</v>
      </c>
      <c r="Q49" s="198">
        <f t="shared" si="85"/>
        <v>6678170867.2599983</v>
      </c>
      <c r="R49" s="198">
        <f t="shared" si="85"/>
        <v>6269014748.5799999</v>
      </c>
      <c r="S49" s="198">
        <f t="shared" si="85"/>
        <v>5625673969.6499996</v>
      </c>
      <c r="T49" s="198">
        <f t="shared" si="85"/>
        <v>2984251303.2199998</v>
      </c>
      <c r="U49" s="198">
        <f t="shared" si="85"/>
        <v>4374529496.579999</v>
      </c>
      <c r="V49" s="198">
        <f t="shared" si="85"/>
        <v>3774963917.9399996</v>
      </c>
      <c r="W49" s="198">
        <f t="shared" si="85"/>
        <v>3122978734.29</v>
      </c>
      <c r="X49" s="198">
        <f t="shared" si="85"/>
        <v>1309735761.0999997</v>
      </c>
      <c r="Y49" s="198">
        <f t="shared" si="85"/>
        <v>1227245666.539999</v>
      </c>
      <c r="Z49" s="198">
        <f t="shared" si="85"/>
        <v>834878830.77999973</v>
      </c>
      <c r="AA49" s="198">
        <f t="shared" si="85"/>
        <v>460121430.18000031</v>
      </c>
      <c r="AB49" s="198">
        <f t="shared" si="85"/>
        <v>-350116754.03999996</v>
      </c>
      <c r="AC49" s="198">
        <f t="shared" si="85"/>
        <v>2780636455.039999</v>
      </c>
      <c r="AD49" s="198">
        <f t="shared" si="85"/>
        <v>1365744750.3400002</v>
      </c>
      <c r="AE49" s="198">
        <f t="shared" si="85"/>
        <v>1357487334.7600002</v>
      </c>
      <c r="AF49" s="198">
        <f t="shared" si="85"/>
        <v>1110862463.22</v>
      </c>
      <c r="AG49" s="198">
        <f t="shared" si="85"/>
        <v>1392500027.9300003</v>
      </c>
      <c r="AH49" s="198">
        <f t="shared" si="85"/>
        <v>1165306447.3100002</v>
      </c>
      <c r="AI49" s="198">
        <f t="shared" si="85"/>
        <v>614011918.74000025</v>
      </c>
      <c r="AJ49" s="198">
        <f t="shared" si="85"/>
        <v>185040144.67999995</v>
      </c>
      <c r="AK49" s="198">
        <f t="shared" si="85"/>
        <v>1119870708.2800002</v>
      </c>
      <c r="AL49" s="198">
        <f t="shared" si="85"/>
        <v>1823765547.1999998</v>
      </c>
      <c r="AM49" s="198">
        <f t="shared" si="85"/>
        <v>1785317781.52</v>
      </c>
      <c r="AN49" s="198">
        <f t="shared" si="85"/>
        <v>1017451387.03</v>
      </c>
      <c r="AO49" s="198">
        <f t="shared" si="85"/>
        <v>-370314754.50999999</v>
      </c>
      <c r="AP49" s="198">
        <f t="shared" si="85"/>
        <v>-45761151.5</v>
      </c>
      <c r="AQ49" s="198">
        <f t="shared" si="85"/>
        <v>11493539.530000091</v>
      </c>
      <c r="AR49" s="198">
        <f t="shared" si="85"/>
        <v>205671480.63999999</v>
      </c>
      <c r="AS49" s="198">
        <f t="shared" si="85"/>
        <v>409193516.90999985</v>
      </c>
      <c r="AT49" s="198">
        <f t="shared" si="85"/>
        <v>378899601.17000008</v>
      </c>
      <c r="AU49" s="198">
        <f t="shared" si="85"/>
        <v>203007144.70999992</v>
      </c>
      <c r="AV49" s="198">
        <f t="shared" si="85"/>
        <v>88156104.300000012</v>
      </c>
      <c r="AW49" s="198">
        <f t="shared" si="85"/>
        <v>-328696578.50999999</v>
      </c>
      <c r="AX49" s="198">
        <f t="shared" si="85"/>
        <v>-109948467</v>
      </c>
      <c r="AY49" s="198">
        <f t="shared" si="85"/>
        <v>-84455150</v>
      </c>
      <c r="AZ49" s="198">
        <f t="shared" si="85"/>
        <v>24117150</v>
      </c>
      <c r="BA49" s="198">
        <f t="shared" si="85"/>
        <v>604056040.47000003</v>
      </c>
      <c r="BB49" s="198">
        <f t="shared" si="85"/>
        <v>682721000</v>
      </c>
      <c r="BC49" s="198">
        <f t="shared" si="85"/>
        <v>716580750</v>
      </c>
      <c r="BD49" s="198">
        <f t="shared" si="85"/>
        <v>318285750</v>
      </c>
      <c r="BE49" s="198">
        <f t="shared" si="85"/>
        <v>1097047200.3699999</v>
      </c>
      <c r="BF49" s="198">
        <f t="shared" si="85"/>
        <v>578498441.5</v>
      </c>
      <c r="BG49" s="198">
        <f t="shared" si="85"/>
        <v>348498441.5</v>
      </c>
      <c r="BH49" s="198">
        <f t="shared" si="85"/>
        <v>48498441.5</v>
      </c>
      <c r="BI49" s="198">
        <f t="shared" si="85"/>
        <v>52494898.049999997</v>
      </c>
      <c r="BJ49" s="198">
        <f t="shared" si="85"/>
        <v>65681558.5</v>
      </c>
      <c r="BK49" s="198">
        <f t="shared" si="85"/>
        <v>480000</v>
      </c>
      <c r="BL49" s="198">
        <f t="shared" si="85"/>
        <v>480000</v>
      </c>
      <c r="BM49" s="198">
        <f t="shared" si="85"/>
        <v>72000000</v>
      </c>
      <c r="BN49" s="198">
        <f t="shared" si="85"/>
        <v>0</v>
      </c>
      <c r="BO49" s="198">
        <f t="shared" si="85"/>
        <v>-84100000</v>
      </c>
      <c r="BP49" s="198">
        <f t="shared" si="85"/>
        <v>-84100000</v>
      </c>
      <c r="BQ49" s="198">
        <f t="shared" si="85"/>
        <v>7370000</v>
      </c>
      <c r="BR49" s="198">
        <f t="shared" ref="BR49:BV49" si="86">BR44+BR48-BR45-BR46-BR47</f>
        <v>17870000</v>
      </c>
      <c r="BS49" s="198">
        <f t="shared" si="86"/>
        <v>5000000</v>
      </c>
      <c r="BT49" s="198">
        <f t="shared" si="86"/>
        <v>0</v>
      </c>
      <c r="BU49" s="198">
        <f t="shared" si="86"/>
        <v>0</v>
      </c>
      <c r="BV49" s="198">
        <f t="shared" si="86"/>
        <v>0</v>
      </c>
    </row>
    <row r="50" spans="1:74" s="26" customFormat="1" x14ac:dyDescent="0.25"/>
    <row r="51" spans="1:74" s="16" customFormat="1" ht="120" customHeight="1" x14ac:dyDescent="0.25">
      <c r="A51" s="276" t="s">
        <v>672</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bestFit="1" customWidth="1"/>
  </cols>
  <sheetData>
    <row r="1" spans="1:74"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328</v>
      </c>
    </row>
    <row r="3" spans="1:74" s="26" customFormat="1" x14ac:dyDescent="0.25">
      <c r="A3" s="17" t="s">
        <v>329</v>
      </c>
      <c r="B3" s="26">
        <f>平均资本成本表!E53</f>
        <v>0</v>
      </c>
      <c r="E3" s="26">
        <f>股权价值增加表!E53</f>
        <v>864912025.71000004</v>
      </c>
      <c r="F3" s="26">
        <f>股权价值增加表!F53</f>
        <v>0</v>
      </c>
      <c r="G3" s="26">
        <f>股权价值增加表!G53</f>
        <v>0</v>
      </c>
      <c r="H3" s="26">
        <f>股权价值增加表!H53</f>
        <v>0</v>
      </c>
      <c r="I3" s="26">
        <f>股权价值增加表!I53</f>
        <v>1045945849.2</v>
      </c>
      <c r="J3" s="26">
        <f>股权价值增加表!J53</f>
        <v>0</v>
      </c>
      <c r="K3" s="26">
        <f>股权价值增加表!K53</f>
        <v>0</v>
      </c>
      <c r="L3" s="26">
        <f>股权价值增加表!L53</f>
        <v>0</v>
      </c>
      <c r="M3" s="26">
        <f>股权价值增加表!M53</f>
        <v>1075455285.26</v>
      </c>
      <c r="N3" s="26">
        <f>股权价值增加表!N53</f>
        <v>0</v>
      </c>
      <c r="O3" s="26">
        <f>股权价值增加表!O53</f>
        <v>0</v>
      </c>
      <c r="P3" s="26">
        <f>股权价值增加表!P53</f>
        <v>0</v>
      </c>
      <c r="Q3" s="26">
        <f>股权价值增加表!Q53</f>
        <v>951072385.88</v>
      </c>
      <c r="R3" s="26">
        <f>股权价值增加表!R53</f>
        <v>0</v>
      </c>
      <c r="S3" s="26">
        <f>股权价值增加表!S53</f>
        <v>0</v>
      </c>
      <c r="T3" s="26">
        <f>股权价值增加表!T53</f>
        <v>0</v>
      </c>
      <c r="U3" s="26">
        <f>股权价值增加表!U53</f>
        <v>509479759.36000001</v>
      </c>
      <c r="V3" s="26">
        <f>股权价值增加表!V53</f>
        <v>0</v>
      </c>
      <c r="W3" s="26">
        <f>股权价值增加表!W53</f>
        <v>0</v>
      </c>
      <c r="X3" s="26">
        <f>股权价值增加表!X53</f>
        <v>0</v>
      </c>
      <c r="Y3" s="26">
        <f>股权价值增加表!Y53</f>
        <v>402324925.74000001</v>
      </c>
      <c r="Z3" s="26">
        <f>股权价值增加表!Z53</f>
        <v>0</v>
      </c>
      <c r="AA3" s="26">
        <f>股权价值增加表!AA53</f>
        <v>0</v>
      </c>
      <c r="AB3" s="26">
        <f>股权价值增加表!AB53</f>
        <v>0</v>
      </c>
      <c r="AC3" s="26">
        <f>股权价值增加表!AC53</f>
        <v>255782507.77000001</v>
      </c>
      <c r="AD3" s="26">
        <f>股权价值增加表!AD53</f>
        <v>0</v>
      </c>
      <c r="AE3" s="26">
        <f>股权价值增加表!AE53</f>
        <v>0</v>
      </c>
      <c r="AF3" s="26">
        <f>股权价值增加表!AF53</f>
        <v>0</v>
      </c>
      <c r="AG3" s="26">
        <f>股权价值增加表!AG53</f>
        <v>99627289.340000004</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21740055496.650002</v>
      </c>
      <c r="F4" s="26">
        <f>资产资本表!F89</f>
        <v>23624615062.52</v>
      </c>
      <c r="G4" s="26">
        <f>资产资本表!G89</f>
        <v>24547327701.759998</v>
      </c>
      <c r="H4" s="26">
        <f>资产资本表!H89</f>
        <v>21949280665.080002</v>
      </c>
      <c r="I4" s="26">
        <f>资产资本表!I89</f>
        <v>21974353506.019997</v>
      </c>
      <c r="J4" s="26">
        <f>资产资本表!J89</f>
        <v>23134235688.130001</v>
      </c>
      <c r="K4" s="26">
        <f>资产资本表!K89</f>
        <v>25703445696.610001</v>
      </c>
      <c r="L4" s="26">
        <f>资产资本表!L89</f>
        <v>25060082821.169998</v>
      </c>
      <c r="M4" s="26">
        <f>资产资本表!M89</f>
        <v>25650204032.130001</v>
      </c>
      <c r="N4" s="26">
        <f>资产资本表!N89</f>
        <v>25141586510.080002</v>
      </c>
      <c r="O4" s="26">
        <f>资产资本表!O89</f>
        <v>23644522901.010002</v>
      </c>
      <c r="P4" s="26">
        <f>资产资本表!P89</f>
        <v>23782276355.91</v>
      </c>
      <c r="Q4" s="26">
        <f>资产资本表!Q89</f>
        <v>21936255984.43</v>
      </c>
      <c r="R4" s="26">
        <f>资产资本表!R89</f>
        <v>20216163177.540001</v>
      </c>
      <c r="S4" s="26">
        <f>资产资本表!S89</f>
        <v>19568971448.560001</v>
      </c>
      <c r="T4" s="26">
        <f>资产资本表!T89</f>
        <v>16995388075.360001</v>
      </c>
      <c r="U4" s="26">
        <f>资产资本表!U89</f>
        <v>14002387067.599998</v>
      </c>
      <c r="V4" s="26">
        <f>资产资本表!V89</f>
        <v>13006621907.360001</v>
      </c>
      <c r="W4" s="26">
        <f>资产资本表!W89</f>
        <v>12540377582.150002</v>
      </c>
      <c r="X4" s="26">
        <f>资产资本表!X89</f>
        <v>10726768824.27</v>
      </c>
      <c r="Y4" s="26">
        <f>资产资本表!Y89</f>
        <v>9307706521.6499996</v>
      </c>
      <c r="Z4" s="26">
        <f>资产资本表!Z89</f>
        <v>8542333040.4099998</v>
      </c>
      <c r="AA4" s="26">
        <f>资产资本表!AA89</f>
        <v>8098436724.1000004</v>
      </c>
      <c r="AB4" s="26">
        <f>资产资本表!AB89</f>
        <v>7242995006.5699997</v>
      </c>
      <c r="AC4" s="26">
        <f>资产资本表!AC89</f>
        <v>6759322305.8899994</v>
      </c>
      <c r="AD4" s="26">
        <f>资产资本表!AD89</f>
        <v>5093208214.54</v>
      </c>
      <c r="AE4" s="26">
        <f>资产资本表!AE89</f>
        <v>5949094760.2299995</v>
      </c>
      <c r="AF4" s="26">
        <f>资产资本表!AF89</f>
        <v>5773091113.8800001</v>
      </c>
      <c r="AG4" s="26">
        <f>资产资本表!AG89</f>
        <v>4621364401.4799995</v>
      </c>
      <c r="AH4" s="26">
        <f>资产资本表!AH89</f>
        <v>4062984985.54</v>
      </c>
      <c r="AI4" s="26">
        <f>资产资本表!AI89</f>
        <v>3510155596.3099999</v>
      </c>
      <c r="AJ4" s="26">
        <f>资产资本表!AJ89</f>
        <v>3077875917.4299998</v>
      </c>
      <c r="AK4" s="26">
        <f>资产资本表!AK89</f>
        <v>2887412266.9200001</v>
      </c>
      <c r="AL4" s="26">
        <f>资产资本表!AL89</f>
        <v>3488241558.6399999</v>
      </c>
      <c r="AM4" s="26">
        <f>资产资本表!AM89</f>
        <v>3448215597.6300001</v>
      </c>
      <c r="AN4" s="26">
        <f>资产资本表!AN89</f>
        <v>2693037898.5100002</v>
      </c>
      <c r="AO4" s="26">
        <f>资产资本表!AO89</f>
        <v>1701061022.29</v>
      </c>
      <c r="AP4" s="26">
        <f>资产资本表!AP89</f>
        <v>1996482060.01</v>
      </c>
      <c r="AQ4" s="26">
        <f>资产资本表!AQ89</f>
        <v>2126618303.3300002</v>
      </c>
      <c r="AR4" s="26">
        <f>资产资本表!AR89</f>
        <v>2378964592.3200002</v>
      </c>
      <c r="AS4" s="26">
        <f>资产资本表!AS89</f>
        <v>2121265360.3900003</v>
      </c>
      <c r="AT4" s="26">
        <f>资产资本表!AT89</f>
        <v>2109797481.6300001</v>
      </c>
      <c r="AU4" s="26">
        <f>资产资本表!AU89</f>
        <v>1898579848.8800001</v>
      </c>
      <c r="AV4" s="26">
        <f>资产资本表!AV89</f>
        <v>1691526838.7800002</v>
      </c>
      <c r="AW4" s="26">
        <f>资产资本表!AW89</f>
        <v>1556651133</v>
      </c>
      <c r="AX4" s="26">
        <f>资产资本表!AX89</f>
        <v>1733914883</v>
      </c>
      <c r="AY4" s="26">
        <f>资产资本表!AY89</f>
        <v>1759408200</v>
      </c>
      <c r="AZ4" s="26">
        <f>资产资本表!AZ89</f>
        <v>1867980500</v>
      </c>
      <c r="BA4" s="26">
        <f>资产资本表!BA89</f>
        <v>1843863350</v>
      </c>
      <c r="BB4" s="26">
        <f>资产资本表!BB89</f>
        <v>1914486000</v>
      </c>
      <c r="BC4" s="26">
        <f>资产资本表!BC89</f>
        <v>1948345750</v>
      </c>
      <c r="BD4" s="26">
        <f>资产资本表!BD89</f>
        <v>1550050750</v>
      </c>
      <c r="BE4" s="26">
        <f>资产资本表!BE89</f>
        <v>1231765000</v>
      </c>
      <c r="BF4" s="26">
        <f>资产资本表!BF89</f>
        <v>704000000</v>
      </c>
      <c r="BG4" s="26">
        <f>资产资本表!BG89</f>
        <v>474000000</v>
      </c>
      <c r="BH4" s="26">
        <f>资产资本表!BH89</f>
        <v>174000000</v>
      </c>
      <c r="BI4" s="26">
        <f>资产资本表!BI89</f>
        <v>125501558.5</v>
      </c>
      <c r="BJ4" s="26">
        <f>资产资本表!BJ89</f>
        <v>137681558.5</v>
      </c>
      <c r="BK4" s="26">
        <f>资产资本表!BK89</f>
        <v>72480000</v>
      </c>
      <c r="BL4" s="26">
        <f>资产资本表!BL89</f>
        <v>72480000</v>
      </c>
      <c r="BM4" s="26">
        <f>资产资本表!BM89</f>
        <v>72000000</v>
      </c>
      <c r="BN4" s="26">
        <f>资产资本表!BN89</f>
        <v>30000000</v>
      </c>
      <c r="BO4" s="26">
        <f>资产资本表!BO89</f>
        <v>0</v>
      </c>
      <c r="BP4" s="26">
        <f>资产资本表!BP89</f>
        <v>0</v>
      </c>
      <c r="BQ4" s="26">
        <f>资产资本表!BQ89</f>
        <v>0</v>
      </c>
      <c r="BR4" s="26">
        <f>资产资本表!BR89</f>
        <v>0</v>
      </c>
      <c r="BS4" s="26">
        <f>资产资本表!BS89</f>
        <v>0</v>
      </c>
      <c r="BT4" s="26">
        <f>资产资本表!BT89</f>
        <v>84100000</v>
      </c>
      <c r="BU4" s="26">
        <f>资产资本表!BU89</f>
        <v>94600000</v>
      </c>
      <c r="BV4" s="26">
        <f>资产资本表!BV89</f>
        <v>76730000</v>
      </c>
    </row>
    <row r="5" spans="1:74" s="63" customFormat="1" x14ac:dyDescent="0.25">
      <c r="A5" s="63" t="s">
        <v>334</v>
      </c>
      <c r="E5" s="63">
        <f>IF(E4+I4=0,0,E3/((E4+I4)/2))</f>
        <v>3.9571026828118513E-2</v>
      </c>
      <c r="F5" s="63">
        <f t="shared" ref="F5:BQ5" si="0">IF(F4+J4=0,0,F3/((F4+J4)/2))</f>
        <v>0</v>
      </c>
      <c r="G5" s="63">
        <f t="shared" si="0"/>
        <v>0</v>
      </c>
      <c r="H5" s="63">
        <f t="shared" si="0"/>
        <v>0</v>
      </c>
      <c r="I5" s="63">
        <f t="shared" si="0"/>
        <v>4.3924643220554338E-2</v>
      </c>
      <c r="J5" s="63">
        <f t="shared" si="0"/>
        <v>0</v>
      </c>
      <c r="K5" s="63">
        <f t="shared" si="0"/>
        <v>0</v>
      </c>
      <c r="L5" s="63">
        <f t="shared" si="0"/>
        <v>0</v>
      </c>
      <c r="M5" s="63">
        <f t="shared" si="0"/>
        <v>4.5200054170272112E-2</v>
      </c>
      <c r="N5" s="63">
        <f t="shared" si="0"/>
        <v>0</v>
      </c>
      <c r="O5" s="63">
        <f t="shared" si="0"/>
        <v>0</v>
      </c>
      <c r="P5" s="63">
        <f t="shared" si="0"/>
        <v>0</v>
      </c>
      <c r="Q5" s="63">
        <f t="shared" si="0"/>
        <v>5.2927562373631609E-2</v>
      </c>
      <c r="R5" s="63">
        <f t="shared" si="0"/>
        <v>0</v>
      </c>
      <c r="S5" s="63">
        <f t="shared" si="0"/>
        <v>0</v>
      </c>
      <c r="T5" s="63">
        <f t="shared" si="0"/>
        <v>0</v>
      </c>
      <c r="U5" s="63">
        <f t="shared" si="0"/>
        <v>4.3713231558620481E-2</v>
      </c>
      <c r="V5" s="63">
        <f t="shared" si="0"/>
        <v>0</v>
      </c>
      <c r="W5" s="63">
        <f t="shared" si="0"/>
        <v>0</v>
      </c>
      <c r="X5" s="63">
        <f t="shared" si="0"/>
        <v>0</v>
      </c>
      <c r="Y5" s="63">
        <f t="shared" si="0"/>
        <v>5.0080812085229756E-2</v>
      </c>
      <c r="Z5" s="63">
        <f t="shared" si="0"/>
        <v>0</v>
      </c>
      <c r="AA5" s="63">
        <f t="shared" si="0"/>
        <v>0</v>
      </c>
      <c r="AB5" s="63">
        <f t="shared" si="0"/>
        <v>0</v>
      </c>
      <c r="AC5" s="63">
        <f t="shared" si="0"/>
        <v>4.4950276612809009E-2</v>
      </c>
      <c r="AD5" s="63">
        <f t="shared" si="0"/>
        <v>0</v>
      </c>
      <c r="AE5" s="63">
        <f t="shared" si="0"/>
        <v>0</v>
      </c>
      <c r="AF5" s="63">
        <f t="shared" si="0"/>
        <v>0</v>
      </c>
      <c r="AG5" s="63">
        <f t="shared" si="0"/>
        <v>2.6536223872331254E-2</v>
      </c>
      <c r="AH5" s="63">
        <f t="shared" si="0"/>
        <v>0</v>
      </c>
      <c r="AI5" s="63">
        <f t="shared" si="0"/>
        <v>0</v>
      </c>
      <c r="AJ5" s="63">
        <f t="shared" si="0"/>
        <v>0</v>
      </c>
      <c r="AK5" s="63">
        <f t="shared" si="0"/>
        <v>2.9311564056888329E-2</v>
      </c>
      <c r="AL5" s="63">
        <f t="shared" si="0"/>
        <v>0</v>
      </c>
      <c r="AM5" s="63">
        <f t="shared" si="0"/>
        <v>0</v>
      </c>
      <c r="AN5" s="63">
        <f t="shared" si="0"/>
        <v>0</v>
      </c>
      <c r="AO5" s="63">
        <f t="shared" si="0"/>
        <v>6.60984806072097E-2</v>
      </c>
      <c r="AP5" s="63">
        <f t="shared" si="0"/>
        <v>0</v>
      </c>
      <c r="AQ5" s="63">
        <f t="shared" si="0"/>
        <v>0</v>
      </c>
      <c r="AR5" s="63">
        <f t="shared" si="0"/>
        <v>0</v>
      </c>
      <c r="AS5" s="63">
        <f t="shared" si="0"/>
        <v>7.1969176101664145E-2</v>
      </c>
      <c r="AT5" s="63">
        <f t="shared" si="0"/>
        <v>0</v>
      </c>
      <c r="AU5" s="63">
        <f t="shared" si="0"/>
        <v>0</v>
      </c>
      <c r="AV5" s="63">
        <f t="shared" si="0"/>
        <v>0</v>
      </c>
      <c r="AW5" s="63">
        <f t="shared" si="0"/>
        <v>2.4398873592446333E-2</v>
      </c>
      <c r="AX5" s="63">
        <f t="shared" si="0"/>
        <v>0</v>
      </c>
      <c r="AY5" s="63">
        <f t="shared" si="0"/>
        <v>0</v>
      </c>
      <c r="AZ5" s="63">
        <f t="shared" si="0"/>
        <v>0</v>
      </c>
      <c r="BA5" s="63">
        <f t="shared" si="0"/>
        <v>5.2297017811010881E-3</v>
      </c>
      <c r="BB5" s="63">
        <f t="shared" si="0"/>
        <v>0</v>
      </c>
      <c r="BC5" s="63">
        <f t="shared" si="0"/>
        <v>0</v>
      </c>
      <c r="BD5" s="63">
        <f t="shared" si="0"/>
        <v>0</v>
      </c>
      <c r="BE5" s="63">
        <f t="shared" si="0"/>
        <v>1.358059118495551E-2</v>
      </c>
      <c r="BF5" s="63">
        <f t="shared" si="0"/>
        <v>0</v>
      </c>
      <c r="BG5" s="63">
        <f t="shared" si="0"/>
        <v>0</v>
      </c>
      <c r="BH5" s="63">
        <f t="shared" si="0"/>
        <v>0</v>
      </c>
      <c r="BI5" s="63">
        <f t="shared" si="0"/>
        <v>1.0193949431543345E-2</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0.21852905462111694</v>
      </c>
      <c r="F6" s="63">
        <f>股权价值增加表!F41</f>
        <v>0.2099380559070855</v>
      </c>
      <c r="G6" s="63">
        <f>股权价值增加表!G41</f>
        <v>0.2168216933982742</v>
      </c>
      <c r="H6" s="63">
        <f>股权价值增加表!H41</f>
        <v>0.22747606576340063</v>
      </c>
      <c r="I6" s="63">
        <f>股权价值增加表!I41</f>
        <v>0.19397216453471439</v>
      </c>
      <c r="J6" s="63">
        <f>股权价值增加表!J41</f>
        <v>0.19645977630167741</v>
      </c>
      <c r="K6" s="63">
        <f>股权价值增加表!K41</f>
        <v>0.19198482527390026</v>
      </c>
      <c r="L6" s="63">
        <f>股权价值增加表!L41</f>
        <v>0.1887542594698407</v>
      </c>
      <c r="M6" s="63">
        <f>股权价值增加表!M41</f>
        <v>0.25686107766359439</v>
      </c>
      <c r="N6" s="63">
        <f>股权价值增加表!N41</f>
        <v>0.24307213474882641</v>
      </c>
      <c r="O6" s="63">
        <f>股权价值增加表!O41</f>
        <v>0.25496020744242787</v>
      </c>
      <c r="P6" s="63">
        <f>股权价值增加表!P41</f>
        <v>0.24245066271862797</v>
      </c>
      <c r="Q6" s="63">
        <f>股权价值增加表!Q41</f>
        <v>0.23168736202791118</v>
      </c>
      <c r="R6" s="63">
        <f>股权价值增加表!R41</f>
        <v>0.2412321837612133</v>
      </c>
      <c r="S6" s="63">
        <f>股权价值增加表!S41</f>
        <v>0.23692510979956699</v>
      </c>
      <c r="T6" s="63">
        <f>股权价值增加表!T41</f>
        <v>0.22137233387065702</v>
      </c>
      <c r="U6" s="63">
        <f>股权价值增加表!U41</f>
        <v>0.14738293794186122</v>
      </c>
      <c r="V6" s="63">
        <f>股权价值增加表!V41</f>
        <v>0.1628773326497342</v>
      </c>
      <c r="W6" s="63">
        <f>股权价值增加表!W41</f>
        <v>0.1673588934430357</v>
      </c>
      <c r="X6" s="63">
        <f>股权价值增加表!X41</f>
        <v>0.17075764987904801</v>
      </c>
      <c r="Y6" s="63">
        <f>股权价值增加表!Y41</f>
        <v>0.15456223514380971</v>
      </c>
      <c r="Z6" s="63">
        <f>股权价值增加表!Z41</f>
        <v>0.1607924133576645</v>
      </c>
      <c r="AA6" s="63">
        <f>股权价值增加表!AA41</f>
        <v>0.16180651678221886</v>
      </c>
      <c r="AB6" s="63">
        <f>股权价值增加表!AB41</f>
        <v>0.16360239181361128</v>
      </c>
      <c r="AC6" s="63">
        <f>股权价值增加表!AC41</f>
        <v>0.14903540072734492</v>
      </c>
      <c r="AD6" s="63">
        <f>股权价值增加表!AD41</f>
        <v>0.16268353280030604</v>
      </c>
      <c r="AE6" s="63">
        <f>股权价值增加表!AE41</f>
        <v>0.15952564654636744</v>
      </c>
      <c r="AF6" s="63">
        <f>股权价值增加表!AF41</f>
        <v>0.16046900786222382</v>
      </c>
      <c r="AG6" s="63">
        <f>股权价值增加表!AG41</f>
        <v>0.10763709765923056</v>
      </c>
      <c r="AH6" s="63">
        <f>股权价值增加表!AH41</f>
        <v>0.12960339593288678</v>
      </c>
      <c r="AI6" s="63">
        <f>股权价值增加表!AI41</f>
        <v>0.13823069118421696</v>
      </c>
      <c r="AJ6" s="63">
        <f>股权价值增加表!AJ41</f>
        <v>0.12915637194669305</v>
      </c>
      <c r="AK6" s="63">
        <f>股权价值增加表!AK41</f>
        <v>0.118244581061779</v>
      </c>
      <c r="AL6" s="63">
        <f>股权价值增加表!AL41</f>
        <v>0.12177895558042641</v>
      </c>
      <c r="AM6" s="63">
        <f>股权价值增加表!AM41</f>
        <v>0.10724070953126762</v>
      </c>
      <c r="AN6" s="63">
        <f>股权价值增加表!AN41</f>
        <v>8.983484110889213E-2</v>
      </c>
      <c r="AO6" s="63">
        <f>股权价值增加表!AO41</f>
        <v>0.12842433052320323</v>
      </c>
      <c r="AP6" s="63">
        <f>股权价值增加表!AP41</f>
        <v>0.22140162744821337</v>
      </c>
      <c r="AQ6" s="63">
        <f>股权价值增加表!AQ41</f>
        <v>0.23091551110754266</v>
      </c>
      <c r="AR6" s="63">
        <f>股权价值增加表!AR41</f>
        <v>0.25281896690258848</v>
      </c>
      <c r="AS6" s="63">
        <f>股权价值增加表!AS41</f>
        <v>0.30744599323454358</v>
      </c>
      <c r="AT6" s="63">
        <f>股权价值增加表!AT41</f>
        <v>0.30086945116155606</v>
      </c>
      <c r="AU6" s="63">
        <f>股权价值增加表!AU41</f>
        <v>0.32024025256670985</v>
      </c>
      <c r="AV6" s="63">
        <f>股权价值增加表!AV41</f>
        <v>0.30264745283684003</v>
      </c>
      <c r="AW6" s="63">
        <f>股权价值增加表!AW41</f>
        <v>0.29951540050389064</v>
      </c>
      <c r="AX6" s="63">
        <f>股权价值增加表!AX41</f>
        <v>0.32952171542504555</v>
      </c>
      <c r="AY6" s="63">
        <f>股权价值增加表!AY41</f>
        <v>0.36061000377558661</v>
      </c>
      <c r="AZ6" s="63">
        <f>股权价值增加表!AZ41</f>
        <v>0.33623027636999442</v>
      </c>
      <c r="BA6" s="63">
        <f>股权价值增加表!BA41</f>
        <v>0.2872458060685128</v>
      </c>
      <c r="BB6" s="63">
        <f>股权价值增加表!BB41</f>
        <v>0.32954388533184109</v>
      </c>
      <c r="BC6" s="63">
        <f>股权价值增加表!BC41</f>
        <v>0.33050475207659019</v>
      </c>
      <c r="BD6" s="63">
        <f>股权价值增加表!BD41</f>
        <v>0.32975721443910561</v>
      </c>
      <c r="BE6" s="63">
        <f>股权价值增加表!BE41</f>
        <v>0.21573551346652595</v>
      </c>
      <c r="BF6" s="63">
        <f>股权价值增加表!BF41</f>
        <v>0.33187531914408064</v>
      </c>
      <c r="BG6" s="63">
        <f>股权价值增加表!BG41</f>
        <v>0.3322156789128895</v>
      </c>
      <c r="BH6" s="63">
        <f>股权价值增加表!BH41</f>
        <v>0.33251475475751791</v>
      </c>
      <c r="BI6" s="63">
        <f>股权价值增加表!BI41</f>
        <v>0.23128420331172883</v>
      </c>
      <c r="BJ6" s="63">
        <f>股权价值增加表!BJ41</f>
        <v>0.30900521240049073</v>
      </c>
      <c r="BK6" s="63">
        <f>股权价值增加表!BK41</f>
        <v>0.31780662922712344</v>
      </c>
      <c r="BL6" s="63">
        <f>股权价值增加表!BL41</f>
        <v>0.32642413302242973</v>
      </c>
      <c r="BM6" s="63">
        <f>股权价值增加表!BM41</f>
        <v>0.1876892228218506</v>
      </c>
      <c r="BN6" s="63">
        <f>股权价值增加表!BN41</f>
        <v>0.21740527007255356</v>
      </c>
      <c r="BO6" s="63">
        <f>股权价值增加表!BO41</f>
        <v>0.17016289637093615</v>
      </c>
      <c r="BP6" s="63">
        <f>股权价值增加表!BP41</f>
        <v>0.33063709121213491</v>
      </c>
      <c r="BQ6" s="63">
        <f>股权价值增加表!BQ41</f>
        <v>0.11981697536715769</v>
      </c>
      <c r="BR6" s="63">
        <f>股权价值增加表!BR41</f>
        <v>5.0628984827285749E-2</v>
      </c>
      <c r="BS6" s="63">
        <f>股权价值增加表!BS41</f>
        <v>0.16554528075549474</v>
      </c>
      <c r="BT6" s="63">
        <f>股权价值增加表!BT41</f>
        <v>0.18379823417572835</v>
      </c>
      <c r="BU6" s="63">
        <f>股权价值增加表!BU41</f>
        <v>0.33569265787306601</v>
      </c>
    </row>
    <row r="7" spans="1:74" s="63" customFormat="1" x14ac:dyDescent="0.25">
      <c r="A7" s="63" t="s">
        <v>331</v>
      </c>
      <c r="E7" s="63">
        <f>E5*(1-E6)</f>
        <v>3.0923607744982918E-2</v>
      </c>
      <c r="F7" s="63">
        <f t="shared" ref="F7:BQ7" si="2">F5*(1-F6)</f>
        <v>0</v>
      </c>
      <c r="G7" s="63">
        <f t="shared" si="2"/>
        <v>0</v>
      </c>
      <c r="H7" s="63">
        <f t="shared" si="2"/>
        <v>0</v>
      </c>
      <c r="I7" s="63">
        <f t="shared" si="2"/>
        <v>3.5404485098648346E-2</v>
      </c>
      <c r="J7" s="63">
        <f t="shared" si="2"/>
        <v>0</v>
      </c>
      <c r="K7" s="63">
        <f t="shared" si="2"/>
        <v>0</v>
      </c>
      <c r="L7" s="63">
        <f t="shared" si="2"/>
        <v>0</v>
      </c>
      <c r="M7" s="63">
        <f t="shared" si="2"/>
        <v>3.3589919545643172E-2</v>
      </c>
      <c r="N7" s="63">
        <f t="shared" si="2"/>
        <v>0</v>
      </c>
      <c r="O7" s="63">
        <f t="shared" si="2"/>
        <v>0</v>
      </c>
      <c r="P7" s="63">
        <f t="shared" si="2"/>
        <v>0</v>
      </c>
      <c r="Q7" s="63">
        <f t="shared" si="2"/>
        <v>4.0664915068717174E-2</v>
      </c>
      <c r="R7" s="63">
        <f t="shared" si="2"/>
        <v>0</v>
      </c>
      <c r="S7" s="63">
        <f t="shared" si="2"/>
        <v>0</v>
      </c>
      <c r="T7" s="63">
        <f t="shared" si="2"/>
        <v>0</v>
      </c>
      <c r="U7" s="63">
        <f t="shared" si="2"/>
        <v>3.7270647064578111E-2</v>
      </c>
      <c r="V7" s="63">
        <f t="shared" si="2"/>
        <v>0</v>
      </c>
      <c r="W7" s="63">
        <f t="shared" si="2"/>
        <v>0</v>
      </c>
      <c r="X7" s="63">
        <f t="shared" si="2"/>
        <v>0</v>
      </c>
      <c r="Y7" s="63">
        <f t="shared" si="2"/>
        <v>4.2340209831519524E-2</v>
      </c>
      <c r="Z7" s="63">
        <f t="shared" si="2"/>
        <v>0</v>
      </c>
      <c r="AA7" s="63">
        <f t="shared" si="2"/>
        <v>0</v>
      </c>
      <c r="AB7" s="63">
        <f t="shared" si="2"/>
        <v>0</v>
      </c>
      <c r="AC7" s="63">
        <f t="shared" si="2"/>
        <v>3.8251094125014019E-2</v>
      </c>
      <c r="AD7" s="63">
        <f t="shared" si="2"/>
        <v>0</v>
      </c>
      <c r="AE7" s="63">
        <f t="shared" si="2"/>
        <v>0</v>
      </c>
      <c r="AF7" s="63">
        <f t="shared" si="2"/>
        <v>0</v>
      </c>
      <c r="AG7" s="63">
        <f t="shared" si="2"/>
        <v>2.3679941751877927E-2</v>
      </c>
      <c r="AH7" s="63">
        <f t="shared" si="2"/>
        <v>0</v>
      </c>
      <c r="AI7" s="63">
        <f t="shared" si="2"/>
        <v>0</v>
      </c>
      <c r="AJ7" s="63">
        <f t="shared" si="2"/>
        <v>0</v>
      </c>
      <c r="AK7" s="63">
        <f t="shared" si="2"/>
        <v>2.5845630444716067E-2</v>
      </c>
      <c r="AL7" s="63">
        <f t="shared" si="2"/>
        <v>0</v>
      </c>
      <c r="AM7" s="63">
        <f t="shared" si="2"/>
        <v>0</v>
      </c>
      <c r="AN7" s="63">
        <f t="shared" si="2"/>
        <v>0</v>
      </c>
      <c r="AO7" s="63">
        <f t="shared" si="2"/>
        <v>5.7609827486627865E-2</v>
      </c>
      <c r="AP7" s="63">
        <f t="shared" si="2"/>
        <v>0</v>
      </c>
      <c r="AQ7" s="63">
        <f t="shared" si="2"/>
        <v>0</v>
      </c>
      <c r="AR7" s="63">
        <f t="shared" si="2"/>
        <v>0</v>
      </c>
      <c r="AS7" s="63">
        <f t="shared" si="2"/>
        <v>4.9842541272816232E-2</v>
      </c>
      <c r="AT7" s="63">
        <f t="shared" si="2"/>
        <v>0</v>
      </c>
      <c r="AU7" s="63">
        <f t="shared" si="2"/>
        <v>0</v>
      </c>
      <c r="AV7" s="63">
        <f t="shared" si="2"/>
        <v>0</v>
      </c>
      <c r="AW7" s="63">
        <f t="shared" si="2"/>
        <v>1.7091035196560966E-2</v>
      </c>
      <c r="AX7" s="63">
        <f t="shared" si="2"/>
        <v>0</v>
      </c>
      <c r="AY7" s="63">
        <f t="shared" si="2"/>
        <v>0</v>
      </c>
      <c r="AZ7" s="63">
        <f t="shared" si="2"/>
        <v>0</v>
      </c>
      <c r="BA7" s="63">
        <f t="shared" si="2"/>
        <v>3.7274918774907692E-3</v>
      </c>
      <c r="BB7" s="63">
        <f t="shared" si="2"/>
        <v>0</v>
      </c>
      <c r="BC7" s="63">
        <f t="shared" si="2"/>
        <v>0</v>
      </c>
      <c r="BD7" s="63">
        <f t="shared" si="2"/>
        <v>0</v>
      </c>
      <c r="BE7" s="63">
        <f t="shared" si="2"/>
        <v>1.0650775372490156E-2</v>
      </c>
      <c r="BF7" s="63">
        <f t="shared" si="2"/>
        <v>0</v>
      </c>
      <c r="BG7" s="63">
        <f t="shared" si="2"/>
        <v>0</v>
      </c>
      <c r="BH7" s="63">
        <f t="shared" si="2"/>
        <v>0</v>
      </c>
      <c r="BI7" s="63">
        <f t="shared" si="2"/>
        <v>7.8362499586687919E-3</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30754126558.369999</v>
      </c>
      <c r="F8" s="26">
        <f>资产资本表!F107</f>
        <v>26687174094.330002</v>
      </c>
      <c r="G8" s="26">
        <f>资产资本表!G107</f>
        <v>24886251357.59</v>
      </c>
      <c r="H8" s="26">
        <f>资产资本表!H107</f>
        <v>23380532948.110001</v>
      </c>
      <c r="I8" s="26">
        <f>资产资本表!I107</f>
        <v>18333937055.68</v>
      </c>
      <c r="J8" s="26">
        <f>资产资本表!J107</f>
        <v>16796809546.369999</v>
      </c>
      <c r="K8" s="26">
        <f>资产资本表!K107</f>
        <v>15574027016.190001</v>
      </c>
      <c r="L8" s="26">
        <f>资产资本表!L107</f>
        <v>14933606894.369999</v>
      </c>
      <c r="M8" s="26">
        <f>资产资本表!M107</f>
        <v>14823234395.779999</v>
      </c>
      <c r="N8" s="26">
        <f>资产资本表!N107</f>
        <v>14473165820.08</v>
      </c>
      <c r="O8" s="26">
        <f>资产资本表!O107</f>
        <v>13890592330.6</v>
      </c>
      <c r="P8" s="26">
        <f>资产资本表!P107</f>
        <v>13856114247.16</v>
      </c>
      <c r="Q8" s="26">
        <f>资产资本表!Q107</f>
        <v>13285675672.779999</v>
      </c>
      <c r="R8" s="26">
        <f>资产资本表!R107</f>
        <v>12783196319.540001</v>
      </c>
      <c r="S8" s="26">
        <f>资产资本表!S107</f>
        <v>11692366869.040001</v>
      </c>
      <c r="T8" s="26">
        <f>资产资本表!T107</f>
        <v>12708078583.43</v>
      </c>
      <c r="U8" s="26">
        <f>资产资本表!U107</f>
        <v>11780955452.780001</v>
      </c>
      <c r="V8" s="26">
        <f>资产资本表!V107</f>
        <v>11043044163</v>
      </c>
      <c r="W8" s="26">
        <f>资产资本表!W107</f>
        <v>9989687864.2900009</v>
      </c>
      <c r="X8" s="26">
        <f>资产资本表!X107</f>
        <v>10590907568.439999</v>
      </c>
      <c r="Y8" s="26">
        <f>资产资本表!Y107</f>
        <v>9842810053.0599995</v>
      </c>
      <c r="Z8" s="26">
        <f>资产资本表!Z107</f>
        <v>8925436127.7099991</v>
      </c>
      <c r="AA8" s="26">
        <f>资产资本表!AA107</f>
        <v>8086854483.1800003</v>
      </c>
      <c r="AB8" s="26">
        <f>资产资本表!AB107</f>
        <v>8735252341.5499992</v>
      </c>
      <c r="AC8" s="26">
        <f>资产资本表!AC107</f>
        <v>8215624124.4700003</v>
      </c>
      <c r="AD8" s="26">
        <f>资产资本表!AD107</f>
        <v>8241878796.3900003</v>
      </c>
      <c r="AE8" s="26">
        <f>资产资本表!AE107</f>
        <v>7565927106.8200006</v>
      </c>
      <c r="AF8" s="26">
        <f>资产资本表!AF107</f>
        <v>7744172832.0699997</v>
      </c>
      <c r="AG8" s="26">
        <f>资产资本表!AG107</f>
        <v>7155219285.0200005</v>
      </c>
      <c r="AH8" s="26">
        <f>资产资本表!AH107</f>
        <v>6307281768.3699999</v>
      </c>
      <c r="AI8" s="26">
        <f>资产资本表!AI107</f>
        <v>5873219984.0500002</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746</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333</v>
      </c>
      <c r="E10" s="26">
        <f>资产资本表!E70</f>
        <v>52494182055.020004</v>
      </c>
      <c r="F10" s="26">
        <f>资产资本表!F70</f>
        <v>50644042281.850006</v>
      </c>
      <c r="G10" s="26">
        <f>资产资本表!G70</f>
        <v>49477501742.280006</v>
      </c>
      <c r="H10" s="26">
        <f>资产资本表!H70</f>
        <v>45329813613.190002</v>
      </c>
      <c r="I10" s="26">
        <f>资产资本表!I70</f>
        <v>40315804581.360008</v>
      </c>
      <c r="J10" s="26">
        <f>资产资本表!J70</f>
        <v>39931045234.500008</v>
      </c>
      <c r="K10" s="26">
        <f>资产资本表!K70</f>
        <v>41277472712.799988</v>
      </c>
      <c r="L10" s="26">
        <f>资产资本表!L70</f>
        <v>40426156659.540001</v>
      </c>
      <c r="M10" s="26">
        <f>资产资本表!M70</f>
        <v>40473438427.909996</v>
      </c>
      <c r="N10" s="26">
        <f>资产资本表!N70</f>
        <v>39614752330.159996</v>
      </c>
      <c r="O10" s="26">
        <f>资产资本表!O70</f>
        <v>37535115231.609993</v>
      </c>
      <c r="P10" s="26">
        <f>资产资本表!P70</f>
        <v>37697948103.069992</v>
      </c>
      <c r="Q10" s="26">
        <f>资产资本表!Q70</f>
        <v>35221931657.209999</v>
      </c>
      <c r="R10" s="26">
        <f>资产资本表!R70</f>
        <v>32999359497.079994</v>
      </c>
      <c r="S10" s="26">
        <f>资产资本表!S70</f>
        <v>31261338317.599991</v>
      </c>
      <c r="T10" s="26">
        <f>资产资本表!T70</f>
        <v>29703466658.789997</v>
      </c>
      <c r="U10" s="26">
        <f>资产资本表!U70</f>
        <v>25783342520.379997</v>
      </c>
      <c r="V10" s="26">
        <f>资产资本表!V70</f>
        <v>24049666070.360001</v>
      </c>
      <c r="W10" s="26">
        <f>资产资本表!W70</f>
        <v>22530065446.440002</v>
      </c>
      <c r="X10" s="26">
        <f>资产资本表!X70</f>
        <v>21317676392.709999</v>
      </c>
      <c r="Y10" s="26">
        <f>资产资本表!Y70</f>
        <v>19150516574.709999</v>
      </c>
      <c r="Z10" s="26">
        <f>资产资本表!Z70</f>
        <v>17467769168.120003</v>
      </c>
      <c r="AA10" s="26">
        <f>资产资本表!AA70</f>
        <v>16234922457.280001</v>
      </c>
      <c r="AB10" s="26">
        <f>资产资本表!AB70</f>
        <v>16027878598.119999</v>
      </c>
      <c r="AC10" s="26">
        <f>资产资本表!AC70</f>
        <v>15190249630.360001</v>
      </c>
      <c r="AD10" s="26">
        <f>资产资本表!AD70</f>
        <v>13335087010.929998</v>
      </c>
      <c r="AE10" s="26">
        <f>资产资本表!AE70</f>
        <v>13515021867.049999</v>
      </c>
      <c r="AF10" s="26">
        <f>资产资本表!AF70</f>
        <v>13517263945.950001</v>
      </c>
      <c r="AG10" s="26">
        <f>资产资本表!AG70</f>
        <v>11776583686.499998</v>
      </c>
      <c r="AH10" s="26">
        <f>资产资本表!AH70</f>
        <v>10370266753.910002</v>
      </c>
      <c r="AI10" s="26">
        <f>资产资本表!AI70</f>
        <v>9383375580.3600006</v>
      </c>
      <c r="AJ10" s="26">
        <f>资产资本表!AJ70</f>
        <v>9224038806.5200005</v>
      </c>
      <c r="AK10" s="26">
        <f>资产资本表!AK70</f>
        <v>8712530605.6500015</v>
      </c>
      <c r="AL10" s="26">
        <f>资产资本表!AL70</f>
        <v>9064774606.6700001</v>
      </c>
      <c r="AM10" s="26">
        <f>资产资本表!AM70</f>
        <v>8585765073.2699986</v>
      </c>
      <c r="AN10" s="26">
        <f>资产资本表!AN70</f>
        <v>8363154565</v>
      </c>
      <c r="AO10" s="26">
        <f>资产资本表!AO70</f>
        <v>7150475259.3199997</v>
      </c>
      <c r="AP10" s="26">
        <f>资产资本表!AP70</f>
        <v>7043520987.7600012</v>
      </c>
      <c r="AQ10" s="26">
        <f>资产资本表!AQ70</f>
        <v>6790832377.46</v>
      </c>
      <c r="AR10" s="26">
        <f>资产资本表!AR70</f>
        <v>7066249129.4200001</v>
      </c>
      <c r="AS10" s="26">
        <f>资产资本表!AS70</f>
        <v>6559742209.3600006</v>
      </c>
      <c r="AT10" s="26">
        <f>资产资本表!AT70</f>
        <v>6053083429.6599998</v>
      </c>
      <c r="AU10" s="26">
        <f>资产资本表!AU70</f>
        <v>5464484578.3300009</v>
      </c>
      <c r="AV10" s="26">
        <f>资产资本表!AV70</f>
        <v>4947682088.0900002</v>
      </c>
      <c r="AW10" s="26">
        <f>资产资本表!AW70</f>
        <v>4391508229.9000006</v>
      </c>
      <c r="AX10" s="26">
        <f>资产资本表!AX70</f>
        <v>4297821254.8199997</v>
      </c>
      <c r="AY10" s="26">
        <f>资产资本表!AY70</f>
        <v>4016854083.6300001</v>
      </c>
      <c r="AZ10" s="26">
        <f>资产资本表!AZ70</f>
        <v>4100866592.0899997</v>
      </c>
      <c r="BA10" s="26">
        <f>资产资本表!BA70</f>
        <v>3707426459.3299999</v>
      </c>
      <c r="BB10" s="26">
        <f>资产资本表!BB70</f>
        <v>3636969539.7599998</v>
      </c>
      <c r="BC10" s="26">
        <f>资产资本表!BC70</f>
        <v>3514309983.5899997</v>
      </c>
      <c r="BD10" s="26">
        <f>资产资本表!BD70</f>
        <v>3074239898.7800002</v>
      </c>
      <c r="BE10" s="26">
        <f>资产资本表!BE70</f>
        <v>2597399604.1799998</v>
      </c>
      <c r="BF10" s="26">
        <f>资产资本表!BF70</f>
        <v>1982438855.5300002</v>
      </c>
      <c r="BG10" s="26">
        <f>资产资本表!BG70</f>
        <v>1652231744.7600002</v>
      </c>
      <c r="BH10" s="26">
        <f>资产资本表!BH70</f>
        <v>1320957968.1700001</v>
      </c>
      <c r="BI10" s="26">
        <f>资产资本表!BI70</f>
        <v>1169883119.0599999</v>
      </c>
      <c r="BJ10" s="26">
        <f>资产资本表!BJ70</f>
        <v>1132679492.9499998</v>
      </c>
      <c r="BK10" s="26">
        <f>资产资本表!BK70</f>
        <v>943207456.69999993</v>
      </c>
      <c r="BL10" s="26">
        <f>资产资本表!BL70</f>
        <v>948069704.00000012</v>
      </c>
      <c r="BM10" s="26">
        <f>资产资本表!BM70</f>
        <v>769684381.85000002</v>
      </c>
      <c r="BN10" s="26">
        <f>资产资本表!BN70</f>
        <v>815688297.01999998</v>
      </c>
      <c r="BO10" s="26">
        <f>资产资本表!BO70</f>
        <v>751741386.90999997</v>
      </c>
      <c r="BP10" s="26">
        <f>资产资本表!BP70</f>
        <v>742687290.68000007</v>
      </c>
      <c r="BQ10" s="26">
        <f>资产资本表!BQ70</f>
        <v>702584042.60000002</v>
      </c>
      <c r="BR10" s="26">
        <f>资产资本表!BR70</f>
        <v>0</v>
      </c>
      <c r="BS10" s="26">
        <f>资产资本表!BS70</f>
        <v>674978497.71000004</v>
      </c>
      <c r="BT10" s="26">
        <f>资产资本表!BT70</f>
        <v>702844253.20000005</v>
      </c>
      <c r="BU10" s="26">
        <f>资产资本表!BU70</f>
        <v>270961382.66000003</v>
      </c>
    </row>
    <row r="11" spans="1:74" s="63" customFormat="1" x14ac:dyDescent="0.25">
      <c r="A11" s="17" t="s">
        <v>348</v>
      </c>
      <c r="E11" s="63">
        <f>E4/E10</f>
        <v>0.41414218958329319</v>
      </c>
      <c r="F11" s="63">
        <f t="shared" ref="F11:BQ11" si="3">F4/F10</f>
        <v>0.46648359803195794</v>
      </c>
      <c r="G11" s="63">
        <f t="shared" si="3"/>
        <v>0.49613110681341399</v>
      </c>
      <c r="H11" s="63">
        <f t="shared" si="3"/>
        <v>0.48421290350713536</v>
      </c>
      <c r="I11" s="63">
        <f t="shared" si="3"/>
        <v>0.54505556156455393</v>
      </c>
      <c r="J11" s="63">
        <f t="shared" si="3"/>
        <v>0.57935462375881563</v>
      </c>
      <c r="K11" s="63">
        <f t="shared" si="3"/>
        <v>0.62269911424687252</v>
      </c>
      <c r="L11" s="63">
        <f t="shared" si="3"/>
        <v>0.61989773186257546</v>
      </c>
      <c r="M11" s="63">
        <f t="shared" si="3"/>
        <v>0.63375401321084524</v>
      </c>
      <c r="N11" s="63">
        <f t="shared" si="3"/>
        <v>0.63465211900211471</v>
      </c>
      <c r="O11" s="63">
        <f t="shared" si="3"/>
        <v>0.62993073965836388</v>
      </c>
      <c r="P11" s="63">
        <f t="shared" si="3"/>
        <v>0.63086394757844266</v>
      </c>
      <c r="Q11" s="63">
        <f t="shared" si="3"/>
        <v>0.62280104901457345</v>
      </c>
      <c r="R11" s="63">
        <f t="shared" si="3"/>
        <v>0.61262289588768726</v>
      </c>
      <c r="S11" s="63">
        <f t="shared" si="3"/>
        <v>0.62597996444518056</v>
      </c>
      <c r="T11" s="63">
        <f t="shared" si="3"/>
        <v>0.57216850378407402</v>
      </c>
      <c r="U11" s="63">
        <f t="shared" si="3"/>
        <v>0.54307881363838117</v>
      </c>
      <c r="V11" s="63">
        <f t="shared" si="3"/>
        <v>0.54082338895299698</v>
      </c>
      <c r="W11" s="63">
        <f t="shared" si="3"/>
        <v>0.55660635393899927</v>
      </c>
      <c r="X11" s="63">
        <f t="shared" si="3"/>
        <v>0.50318658688046469</v>
      </c>
      <c r="Y11" s="63">
        <f t="shared" si="3"/>
        <v>0.48602900529282189</v>
      </c>
      <c r="Z11" s="63">
        <f t="shared" si="3"/>
        <v>0.48903400074695297</v>
      </c>
      <c r="AA11" s="63">
        <f t="shared" si="3"/>
        <v>0.49882817398173224</v>
      </c>
      <c r="AB11" s="63">
        <f t="shared" si="3"/>
        <v>0.45189979211719083</v>
      </c>
      <c r="AC11" s="63">
        <f t="shared" si="3"/>
        <v>0.44497769756070871</v>
      </c>
      <c r="AD11" s="63">
        <f t="shared" si="3"/>
        <v>0.38194038106878436</v>
      </c>
      <c r="AE11" s="63">
        <f t="shared" si="3"/>
        <v>0.44018387974155326</v>
      </c>
      <c r="AF11" s="63">
        <f t="shared" si="3"/>
        <v>0.42709021122648977</v>
      </c>
      <c r="AG11" s="63">
        <f t="shared" si="3"/>
        <v>0.39241978187423465</v>
      </c>
      <c r="AH11" s="63">
        <f t="shared" si="3"/>
        <v>0.39179175251283616</v>
      </c>
      <c r="AI11" s="63">
        <f t="shared" si="3"/>
        <v>0.37408239351060163</v>
      </c>
      <c r="AJ11" s="63">
        <f t="shared" si="3"/>
        <v>0.3336798534774601</v>
      </c>
      <c r="AK11" s="63">
        <f t="shared" si="3"/>
        <v>0.33140913904480723</v>
      </c>
      <c r="AL11" s="63">
        <f t="shared" si="3"/>
        <v>0.38481282877936074</v>
      </c>
      <c r="AM11" s="63">
        <f t="shared" si="3"/>
        <v>0.40162007324953547</v>
      </c>
      <c r="AN11" s="63">
        <f t="shared" si="3"/>
        <v>0.32201221172934286</v>
      </c>
      <c r="AO11" s="63">
        <f t="shared" si="3"/>
        <v>0.23789481965871015</v>
      </c>
      <c r="AP11" s="63">
        <f t="shared" si="3"/>
        <v>0.28344943721746846</v>
      </c>
      <c r="AQ11" s="63">
        <f t="shared" si="3"/>
        <v>0.31316018201076951</v>
      </c>
      <c r="AR11" s="63">
        <f t="shared" si="3"/>
        <v>0.33666582493041347</v>
      </c>
      <c r="AS11" s="63">
        <f t="shared" si="3"/>
        <v>0.32337632984466946</v>
      </c>
      <c r="AT11" s="63">
        <f t="shared" si="3"/>
        <v>0.34854921564306057</v>
      </c>
      <c r="AU11" s="63">
        <f t="shared" si="3"/>
        <v>0.34743987683834299</v>
      </c>
      <c r="AV11" s="63">
        <f t="shared" si="3"/>
        <v>0.34188268539965877</v>
      </c>
      <c r="AW11" s="63">
        <f t="shared" si="3"/>
        <v>0.35446845400434251</v>
      </c>
      <c r="AX11" s="63">
        <f t="shared" si="3"/>
        <v>0.403440436489865</v>
      </c>
      <c r="AY11" s="63">
        <f t="shared" si="3"/>
        <v>0.43800650045272155</v>
      </c>
      <c r="AZ11" s="63">
        <f t="shared" si="3"/>
        <v>0.45550872188894759</v>
      </c>
      <c r="BA11" s="63">
        <f t="shared" si="3"/>
        <v>0.49734320295411066</v>
      </c>
      <c r="BB11" s="63">
        <f t="shared" si="3"/>
        <v>0.52639594010081681</v>
      </c>
      <c r="BC11" s="63">
        <f t="shared" si="3"/>
        <v>0.5544034985808769</v>
      </c>
      <c r="BD11" s="63">
        <f t="shared" si="3"/>
        <v>0.50420617812394253</v>
      </c>
      <c r="BE11" s="63">
        <f t="shared" si="3"/>
        <v>0.47423007149832408</v>
      </c>
      <c r="BF11" s="63">
        <f t="shared" si="3"/>
        <v>0.35511814048448287</v>
      </c>
      <c r="BG11" s="63">
        <f t="shared" si="3"/>
        <v>0.28688469490026186</v>
      </c>
      <c r="BH11" s="63">
        <f t="shared" si="3"/>
        <v>0.13172258632956529</v>
      </c>
      <c r="BI11" s="63">
        <f t="shared" si="3"/>
        <v>0.10727700610026786</v>
      </c>
      <c r="BJ11" s="63">
        <f t="shared" si="3"/>
        <v>0.12155385469318965</v>
      </c>
      <c r="BK11" s="63">
        <f t="shared" si="3"/>
        <v>7.6844176204443698E-2</v>
      </c>
      <c r="BL11" s="63">
        <f t="shared" si="3"/>
        <v>7.6450075025285266E-2</v>
      </c>
      <c r="BM11" s="63">
        <f t="shared" si="3"/>
        <v>9.3544836945946661E-2</v>
      </c>
      <c r="BN11" s="63">
        <f t="shared" si="3"/>
        <v>3.6778754960198265E-2</v>
      </c>
      <c r="BO11" s="63">
        <f t="shared" si="3"/>
        <v>0</v>
      </c>
      <c r="BP11" s="63">
        <f t="shared" si="3"/>
        <v>0</v>
      </c>
      <c r="BQ11" s="63">
        <f t="shared" si="3"/>
        <v>0</v>
      </c>
      <c r="BR11" s="63" t="e">
        <f>BR4/BR10</f>
        <v>#DIV/0!</v>
      </c>
      <c r="BS11" s="63">
        <f>BS4/BS10</f>
        <v>0</v>
      </c>
      <c r="BT11" s="63">
        <f>BT4/BT10</f>
        <v>0.11965666592150205</v>
      </c>
      <c r="BU11" s="63">
        <f>BU4/BU10</f>
        <v>0.34912724120065203</v>
      </c>
      <c r="BV11" s="63" t="e">
        <f>BV4/BV10*100</f>
        <v>#DIV/0!</v>
      </c>
    </row>
    <row r="12" spans="1:74" s="63" customFormat="1" x14ac:dyDescent="0.25">
      <c r="A12" s="17" t="s">
        <v>349</v>
      </c>
      <c r="E12" s="63">
        <f>E8/E10</f>
        <v>0.5858578104167067</v>
      </c>
      <c r="F12" s="63">
        <f t="shared" ref="F12:BQ12" si="4">F8/F10</f>
        <v>0.52695584498977177</v>
      </c>
      <c r="G12" s="63">
        <f t="shared" si="4"/>
        <v>0.50298116277613014</v>
      </c>
      <c r="H12" s="63">
        <f t="shared" si="4"/>
        <v>0.51578709649286458</v>
      </c>
      <c r="I12" s="63">
        <f t="shared" si="4"/>
        <v>0.45475805942755976</v>
      </c>
      <c r="J12" s="63">
        <f t="shared" si="4"/>
        <v>0.42064537624118414</v>
      </c>
      <c r="K12" s="63">
        <f t="shared" si="4"/>
        <v>0.37730088575312787</v>
      </c>
      <c r="L12" s="63">
        <f t="shared" si="4"/>
        <v>0.36940456695246787</v>
      </c>
      <c r="M12" s="63">
        <f t="shared" si="4"/>
        <v>0.36624598678915488</v>
      </c>
      <c r="N12" s="63">
        <f t="shared" si="4"/>
        <v>0.36534788099788545</v>
      </c>
      <c r="O12" s="63">
        <f t="shared" si="4"/>
        <v>0.3700692603416364</v>
      </c>
      <c r="P12" s="63">
        <f t="shared" si="4"/>
        <v>0.36755619189872046</v>
      </c>
      <c r="Q12" s="63">
        <f t="shared" si="4"/>
        <v>0.37719895098542655</v>
      </c>
      <c r="R12" s="63">
        <f t="shared" si="4"/>
        <v>0.38737710411231296</v>
      </c>
      <c r="S12" s="63">
        <f t="shared" si="4"/>
        <v>0.37402003555481983</v>
      </c>
      <c r="T12" s="63">
        <f t="shared" si="4"/>
        <v>0.42783149621592614</v>
      </c>
      <c r="U12" s="63">
        <f t="shared" si="4"/>
        <v>0.45692118636161888</v>
      </c>
      <c r="V12" s="63">
        <f t="shared" si="4"/>
        <v>0.45917661104700302</v>
      </c>
      <c r="W12" s="63">
        <f t="shared" si="4"/>
        <v>0.44339364606100073</v>
      </c>
      <c r="X12" s="63">
        <f t="shared" si="4"/>
        <v>0.49681341311953536</v>
      </c>
      <c r="Y12" s="63">
        <f t="shared" si="4"/>
        <v>0.51397099470717811</v>
      </c>
      <c r="Z12" s="63">
        <f t="shared" si="4"/>
        <v>0.51096599925304675</v>
      </c>
      <c r="AA12" s="63">
        <f t="shared" si="4"/>
        <v>0.49811475875289596</v>
      </c>
      <c r="AB12" s="63">
        <f t="shared" si="4"/>
        <v>0.54500365023819231</v>
      </c>
      <c r="AC12" s="63">
        <f t="shared" si="4"/>
        <v>0.54084852615258139</v>
      </c>
      <c r="AD12" s="63">
        <f t="shared" si="4"/>
        <v>0.61805961893121575</v>
      </c>
      <c r="AE12" s="63">
        <f t="shared" si="4"/>
        <v>0.55981612025844685</v>
      </c>
      <c r="AF12" s="63">
        <f t="shared" si="4"/>
        <v>0.57290978877351018</v>
      </c>
      <c r="AG12" s="63">
        <f t="shared" si="4"/>
        <v>0.60758021812576546</v>
      </c>
      <c r="AH12" s="63">
        <f t="shared" si="4"/>
        <v>0.60820824748716373</v>
      </c>
      <c r="AI12" s="63">
        <f t="shared" si="4"/>
        <v>0.62591760648939831</v>
      </c>
      <c r="AJ12" s="63">
        <f t="shared" si="4"/>
        <v>0.66632014652253979</v>
      </c>
      <c r="AK12" s="63">
        <f t="shared" si="4"/>
        <v>0.6685908609551926</v>
      </c>
      <c r="AL12" s="63">
        <f t="shared" si="4"/>
        <v>0.61518717122063926</v>
      </c>
      <c r="AM12" s="63">
        <f t="shared" si="4"/>
        <v>0.59837992675046459</v>
      </c>
      <c r="AN12" s="63">
        <f t="shared" si="4"/>
        <v>0.56427385501633376</v>
      </c>
      <c r="AO12" s="63">
        <f t="shared" si="4"/>
        <v>0.76210518034129004</v>
      </c>
      <c r="AP12" s="63">
        <f t="shared" si="4"/>
        <v>0.71655056278253138</v>
      </c>
      <c r="AQ12" s="63">
        <f t="shared" si="4"/>
        <v>0.68683981798923055</v>
      </c>
      <c r="AR12" s="63">
        <f t="shared" si="4"/>
        <v>0.56917760801197836</v>
      </c>
      <c r="AS12" s="63">
        <f t="shared" si="4"/>
        <v>0.67662367015533043</v>
      </c>
      <c r="AT12" s="63">
        <f t="shared" si="4"/>
        <v>0.65145078435693948</v>
      </c>
      <c r="AU12" s="63">
        <f t="shared" si="4"/>
        <v>0.62241828679283007</v>
      </c>
      <c r="AV12" s="63">
        <f t="shared" si="4"/>
        <v>0.65811731460034129</v>
      </c>
      <c r="AW12" s="63">
        <f t="shared" si="4"/>
        <v>0.64209472135139534</v>
      </c>
      <c r="AX12" s="63">
        <f t="shared" si="4"/>
        <v>0.59329462933115706</v>
      </c>
      <c r="AY12" s="63">
        <f t="shared" si="4"/>
        <v>0.55907940457736061</v>
      </c>
      <c r="AZ12" s="63">
        <f t="shared" si="4"/>
        <v>0.54218057052590984</v>
      </c>
      <c r="BA12" s="63">
        <f t="shared" si="4"/>
        <v>0.50045590197770373</v>
      </c>
      <c r="BB12" s="63">
        <f t="shared" si="4"/>
        <v>0.47161623239307859</v>
      </c>
      <c r="BC12" s="63">
        <f t="shared" si="4"/>
        <v>0.44480962633328475</v>
      </c>
      <c r="BD12" s="63">
        <f t="shared" si="4"/>
        <v>0.49490223164554614</v>
      </c>
      <c r="BE12" s="63">
        <f t="shared" si="4"/>
        <v>0.52543679679232813</v>
      </c>
      <c r="BF12" s="63">
        <f t="shared" si="4"/>
        <v>0.64364853586814219</v>
      </c>
      <c r="BG12" s="63">
        <f t="shared" si="4"/>
        <v>0.71199279293648854</v>
      </c>
      <c r="BH12" s="63">
        <f t="shared" si="4"/>
        <v>0.85935873635148763</v>
      </c>
      <c r="BI12" s="63">
        <f t="shared" si="4"/>
        <v>0.88718134263186088</v>
      </c>
      <c r="BJ12" s="63">
        <f t="shared" si="4"/>
        <v>0.8760701092023776</v>
      </c>
      <c r="BK12" s="63">
        <f t="shared" si="4"/>
        <v>0.92253513066400672</v>
      </c>
      <c r="BL12" s="63">
        <f t="shared" si="4"/>
        <v>0.83311030033715738</v>
      </c>
      <c r="BM12" s="63">
        <f t="shared" si="4"/>
        <v>1.0506369098413062</v>
      </c>
      <c r="BN12" s="63">
        <f t="shared" si="4"/>
        <v>0.9539981590675195</v>
      </c>
      <c r="BO12" s="63">
        <f t="shared" si="4"/>
        <v>0.99347978087231914</v>
      </c>
      <c r="BP12" s="63">
        <f t="shared" si="4"/>
        <v>0.92837420812561033</v>
      </c>
      <c r="BQ12" s="63">
        <f t="shared" si="4"/>
        <v>0.93056235286890066</v>
      </c>
      <c r="BR12" s="63" t="e">
        <f>BR8/BR10</f>
        <v>#DIV/0!</v>
      </c>
      <c r="BS12" s="63">
        <f>BS8/BS10</f>
        <v>0.98349994339407076</v>
      </c>
      <c r="BT12" s="63">
        <f>BT8/BT10</f>
        <v>0.85519638789585539</v>
      </c>
      <c r="BU12" s="63">
        <f>BU8/BU10</f>
        <v>0.57278524333021641</v>
      </c>
      <c r="BV12" s="63" t="e">
        <f>BV8/BV10*100</f>
        <v>#DIV/0!</v>
      </c>
    </row>
    <row r="13" spans="1:74" s="63" customFormat="1" x14ac:dyDescent="0.25">
      <c r="A13" s="63" t="s">
        <v>350</v>
      </c>
      <c r="E13" s="63">
        <f>E5*E11*(1-E6)+E9*E12</f>
        <v>5.967539545465865E-2</v>
      </c>
      <c r="F13" s="63">
        <f t="shared" ref="F13:J13" si="5">F5*F11*(1-F6)+F9*F12</f>
        <v>4.2156467599181742E-2</v>
      </c>
      <c r="G13" s="63">
        <f t="shared" si="5"/>
        <v>4.0238493022090413E-2</v>
      </c>
      <c r="H13" s="63">
        <f t="shared" si="5"/>
        <v>4.1262967719429167E-2</v>
      </c>
      <c r="I13" s="63">
        <f t="shared" si="5"/>
        <v>5.5678056261552436E-2</v>
      </c>
      <c r="J13" s="63">
        <f t="shared" si="5"/>
        <v>3.3651630099294734E-2</v>
      </c>
      <c r="K13" s="63">
        <f t="shared" ref="K13" si="6">K5*K11*(1-K6)+K9*K12</f>
        <v>3.0184070860250229E-2</v>
      </c>
      <c r="L13" s="63">
        <f t="shared" ref="L13" si="7">L5*L11*(1-L6)+L9*L12</f>
        <v>2.955236535619743E-2</v>
      </c>
      <c r="M13" s="63">
        <f t="shared" ref="M13" si="8">M5*M11*(1-M6)+M9*M12</f>
        <v>5.0587425258613164E-2</v>
      </c>
      <c r="N13" s="63">
        <f t="shared" ref="N13:O13" si="9">N5*N11*(1-N6)+N9*N12</f>
        <v>2.9227830479830838E-2</v>
      </c>
      <c r="O13" s="63">
        <f t="shared" si="9"/>
        <v>2.9605540827330912E-2</v>
      </c>
      <c r="P13" s="63">
        <f t="shared" ref="P13" si="10">P5*P11*(1-P6)+P9*P12</f>
        <v>2.9404495351897639E-2</v>
      </c>
      <c r="Q13" s="63">
        <f t="shared" ref="Q13" si="11">Q5*Q11*(1-Q6)+Q9*Q12</f>
        <v>5.550206784171971E-2</v>
      </c>
      <c r="R13" s="63">
        <f t="shared" ref="R13" si="12">R5*R11*(1-R6)+R9*R12</f>
        <v>3.0990168328985039E-2</v>
      </c>
      <c r="S13" s="63">
        <f t="shared" ref="S13:T13" si="13">S5*S11*(1-S6)+S9*S12</f>
        <v>2.9921602844385588E-2</v>
      </c>
      <c r="T13" s="63">
        <f t="shared" si="13"/>
        <v>3.422651969727409E-2</v>
      </c>
      <c r="U13" s="63">
        <f t="shared" ref="U13" si="14">U5*U11*(1-U6)+U9*U12</f>
        <v>5.6794593700295409E-2</v>
      </c>
      <c r="V13" s="63">
        <f t="shared" ref="V13" si="15">V5*V11*(1-V6)+V9*V12</f>
        <v>3.6734128883760243E-2</v>
      </c>
      <c r="W13" s="63">
        <f t="shared" ref="W13" si="16">W5*W11*(1-W6)+W9*W12</f>
        <v>3.5471491684880056E-2</v>
      </c>
      <c r="X13" s="63">
        <f t="shared" ref="X13:Y13" si="17">X5*X11*(1-X6)+X9*X12</f>
        <v>3.9745073049562832E-2</v>
      </c>
      <c r="Y13" s="63">
        <f t="shared" si="17"/>
        <v>6.1696249644877049E-2</v>
      </c>
      <c r="Z13" s="63">
        <f t="shared" ref="Z13" si="18">Z5*Z11*(1-Z6)+Z9*Z12</f>
        <v>4.087727994024374E-2</v>
      </c>
      <c r="AA13" s="63">
        <f t="shared" ref="AA13" si="19">AA5*AA11*(1-AA6)+AA9*AA12</f>
        <v>3.9849180700231676E-2</v>
      </c>
      <c r="AB13" s="63">
        <f t="shared" ref="AB13" si="20">AB5*AB11*(1-AB6)+AB9*AB12</f>
        <v>4.3600292019055388E-2</v>
      </c>
      <c r="AC13" s="63">
        <f t="shared" ref="AC13:AD13" si="21">AC5*AC11*(1-AC6)+AC9*AC12</f>
        <v>6.0288765885133204E-2</v>
      </c>
      <c r="AD13" s="63">
        <f t="shared" si="21"/>
        <v>4.9444769514497264E-2</v>
      </c>
      <c r="AE13" s="63">
        <f t="shared" ref="AE13" si="22">AE5*AE11*(1-AE6)+AE9*AE12</f>
        <v>4.4785289620675746E-2</v>
      </c>
      <c r="AF13" s="63">
        <f t="shared" ref="AF13" si="23">AF5*AF11*(1-AF6)+AF9*AF12</f>
        <v>4.5832783101880818E-2</v>
      </c>
      <c r="AG13" s="63">
        <f t="shared" ref="AG13" si="24">AG5*AG11*(1-AG6)+AG9*AG12</f>
        <v>5.7898895027127757E-2</v>
      </c>
      <c r="AH13" s="63">
        <f t="shared" ref="AH13:AI13" si="25">AH5*AH11*(1-AH6)+AH9*AH12</f>
        <v>4.8656659798973101E-2</v>
      </c>
      <c r="AI13" s="63">
        <f t="shared" si="25"/>
        <v>5.0073408519151867E-2</v>
      </c>
      <c r="AJ13" s="63">
        <f t="shared" ref="AJ13" si="26">AJ5*AJ11*(1-AJ6)+AJ9*AJ12</f>
        <v>5.3305611721803182E-2</v>
      </c>
      <c r="AK13" s="63">
        <f t="shared" ref="AK13" si="27">AK5*AK11*(1-AK6)+AK9*AK12</f>
        <v>6.2052747010169024E-2</v>
      </c>
      <c r="AL13" s="63">
        <f t="shared" ref="AL13" si="28">AL5*AL11*(1-AL6)+AL9*AL12</f>
        <v>4.921497369765114E-2</v>
      </c>
      <c r="AM13" s="63">
        <f t="shared" ref="AM13:AN13" si="29">AM5*AM11*(1-AM6)+AM9*AM12</f>
        <v>4.7870394140037166E-2</v>
      </c>
      <c r="AN13" s="63">
        <f t="shared" si="29"/>
        <v>4.5141908401306705E-2</v>
      </c>
      <c r="AO13" s="63">
        <f t="shared" ref="AO13" si="30">AO5*AO11*(1-AO6)+AO9*AO12</f>
        <v>7.467349394780394E-2</v>
      </c>
      <c r="AP13" s="63">
        <f t="shared" ref="AP13" si="31">AP5*AP11*(1-AP6)+AP9*AP12</f>
        <v>5.7324045022602514E-2</v>
      </c>
      <c r="AQ13" s="63">
        <f t="shared" ref="AQ13" si="32">AQ5*AQ11*(1-AQ6)+AQ9*AQ12</f>
        <v>5.4947185439138443E-2</v>
      </c>
      <c r="AR13" s="63">
        <f t="shared" ref="AR13:AS13" si="33">AR5*AR11*(1-AR6)+AR9*AR12</f>
        <v>4.5534208640958272E-2</v>
      </c>
      <c r="AS13" s="63">
        <f t="shared" si="33"/>
        <v>7.024779167936121E-2</v>
      </c>
      <c r="AT13" s="63">
        <f t="shared" ref="AT13" si="34">AT5*AT11*(1-AT6)+AT9*AT12</f>
        <v>5.211606274855516E-2</v>
      </c>
      <c r="AU13" s="63">
        <f t="shared" ref="AU13" si="35">AU5*AU11*(1-AU6)+AU9*AU12</f>
        <v>4.9793462943426403E-2</v>
      </c>
      <c r="AV13" s="63">
        <f t="shared" ref="AV13" si="36">AV5*AV11*(1-AV6)+AV9*AV12</f>
        <v>5.2649385168027307E-2</v>
      </c>
      <c r="AW13" s="63">
        <f t="shared" ref="AW13:AX13" si="37">AW5*AW11*(1-AW6)+AW9*AW12</f>
        <v>5.74258105315704E-2</v>
      </c>
      <c r="AX13" s="63">
        <f t="shared" si="37"/>
        <v>4.7463570346492567E-2</v>
      </c>
      <c r="AY13" s="63">
        <f t="shared" ref="AY13" si="38">AY5*AY11*(1-AY6)+AY9*AY12</f>
        <v>4.4726352366188847E-2</v>
      </c>
      <c r="AZ13" s="63">
        <f t="shared" ref="AZ13" si="39">AZ5*AZ11*(1-AZ6)+AZ9*AZ12</f>
        <v>4.3374445642072788E-2</v>
      </c>
      <c r="BA13" s="63">
        <f t="shared" ref="BA13" si="40">BA5*BA11*(1-BA6)+BA9*BA12</f>
        <v>4.1890314907552989E-2</v>
      </c>
      <c r="BB13" s="63">
        <f t="shared" ref="BB13:BC13" si="41">BB5*BB11*(1-BB6)+BB9*BB12</f>
        <v>3.7729298591446289E-2</v>
      </c>
      <c r="BC13" s="63">
        <f t="shared" si="41"/>
        <v>3.5584770106662778E-2</v>
      </c>
      <c r="BD13" s="63">
        <f t="shared" ref="BD13" si="42">BD5*BD11*(1-BD6)+BD9*BD12</f>
        <v>3.9592178531643693E-2</v>
      </c>
      <c r="BE13" s="63">
        <f t="shared" ref="BE13" si="43">BE5*BE11*(1-BE6)+BE9*BE12</f>
        <v>4.7085861709794848E-2</v>
      </c>
      <c r="BF13" s="63">
        <f t="shared" ref="BF13" si="44">BF5*BF11*(1-BF6)+BF9*BF12</f>
        <v>5.1491882869451375E-2</v>
      </c>
      <c r="BG13" s="63">
        <f t="shared" ref="BG13:BH13" si="45">BG5*BG11*(1-BG6)+BG9*BG12</f>
        <v>5.6959423434919082E-2</v>
      </c>
      <c r="BH13" s="63">
        <f t="shared" si="45"/>
        <v>6.8748698908119008E-2</v>
      </c>
      <c r="BI13" s="63">
        <f t="shared" ref="BI13" si="46">BI5*BI11*(1-BI6)+BI9*BI12</f>
        <v>7.1815156845168218E-2</v>
      </c>
      <c r="BJ13" s="63">
        <f t="shared" ref="BJ13" si="47">BJ5*BJ11*(1-BJ6)+BJ9*BJ12</f>
        <v>7.0085608736190214E-2</v>
      </c>
      <c r="BK13" s="63">
        <f t="shared" ref="BK13" si="48">BK5*BK11*(1-BK6)+BK9*BK12</f>
        <v>7.3802810453120538E-2</v>
      </c>
      <c r="BL13" s="63">
        <f t="shared" ref="BL13:BM13" si="49">BL5*BL11*(1-BL6)+BL9*BL12</f>
        <v>6.6648824026972586E-2</v>
      </c>
      <c r="BM13" s="63">
        <f t="shared" si="49"/>
        <v>8.4050952787304498E-2</v>
      </c>
      <c r="BN13" s="63">
        <f t="shared" ref="BN13" si="50">BN5*BN11*(1-BN6)+BN9*BN12</f>
        <v>7.6319852725401566E-2</v>
      </c>
      <c r="BO13" s="63">
        <f t="shared" ref="BO13" si="51">BO5*BO11*(1-BO6)+BO9*BO12</f>
        <v>7.947838246978553E-2</v>
      </c>
      <c r="BP13" s="63">
        <f t="shared" ref="BP13" si="52">BP5*BP11*(1-BP6)+BP9*BP12</f>
        <v>7.4269936650048829E-2</v>
      </c>
      <c r="BQ13" s="63">
        <f t="shared" ref="BQ13:BR13" si="53">BQ5*BQ11*(1-BQ6)+BQ9*BQ12</f>
        <v>7.4444988229512052E-2</v>
      </c>
      <c r="BR13" s="63" t="e">
        <f t="shared" si="53"/>
        <v>#DIV/0!</v>
      </c>
      <c r="BS13" s="63">
        <f t="shared" ref="BS13" si="54">BS5*BS11*(1-BS6)+BS9*BS12</f>
        <v>7.8679995471525668E-2</v>
      </c>
      <c r="BT13" s="63">
        <f t="shared" ref="BT13" si="55">BT5*BT11*(1-BT6)+BT9*BT12</f>
        <v>6.8415711031668436E-2</v>
      </c>
      <c r="BU13" s="63">
        <f t="shared" ref="BU13" si="56">BU5*BU11*(1-BU6)+BU9*BU12</f>
        <v>4.5822819466417315E-2</v>
      </c>
      <c r="BV13" s="63" t="e">
        <f t="shared" ref="BV13" si="57">BV5*BV11*(1-BV6)+BV9*BV12</f>
        <v>#DIV/0!</v>
      </c>
    </row>
    <row r="14" spans="1:74" s="16" customFormat="1" ht="56.4" customHeight="1" x14ac:dyDescent="0.25">
      <c r="A14" s="278" t="s">
        <v>673</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4" width="22.6640625" hidden="1" customWidth="1"/>
    <col min="35"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2" width="21.44140625" hidden="1" customWidth="1"/>
    <col min="63" max="64" width="19" hidden="1" customWidth="1"/>
    <col min="65" max="65" width="19" bestFit="1" customWidth="1"/>
    <col min="66" max="68" width="19" hidden="1" customWidth="1"/>
    <col min="69" max="69" width="19" bestFit="1" customWidth="1"/>
    <col min="70" max="70" width="9.5546875" hidden="1" customWidth="1"/>
    <col min="71" max="71" width="19" hidden="1" customWidth="1"/>
    <col min="72" max="72" width="19" bestFit="1" customWidth="1"/>
    <col min="73" max="73" width="19" hidden="1" customWidth="1"/>
    <col min="74" max="76" width="19" bestFit="1" customWidth="1"/>
    <col min="77" max="77" width="9.5546875" hidden="1" customWidth="1"/>
    <col min="78" max="90" width="8.5546875" bestFit="1" customWidth="1"/>
  </cols>
  <sheetData>
    <row r="1" spans="1:90"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95"/>
      <c r="CA1" s="195"/>
      <c r="CB1" s="195"/>
      <c r="CC1" s="195"/>
      <c r="CD1" s="195"/>
      <c r="CE1" s="195"/>
      <c r="CF1" s="195"/>
      <c r="CG1" s="195"/>
      <c r="CH1" s="195"/>
      <c r="CI1" s="195"/>
      <c r="CJ1" s="195"/>
      <c r="CK1" s="195"/>
      <c r="CL1" s="195"/>
    </row>
    <row r="2" spans="1:90" s="26" customFormat="1" x14ac:dyDescent="0.25">
      <c r="A2" s="41" t="s">
        <v>552</v>
      </c>
      <c r="E2" s="26">
        <f>资产资本表!E17</f>
        <v>3082974654.1799998</v>
      </c>
      <c r="F2" s="26">
        <f>资产资本表!F17</f>
        <v>2774797102.4400001</v>
      </c>
      <c r="G2" s="26">
        <f>资产资本表!G17</f>
        <v>2413037124.25</v>
      </c>
      <c r="H2" s="26">
        <f>资产资本表!H17</f>
        <v>3018524978.0999999</v>
      </c>
      <c r="I2" s="26">
        <f>资产资本表!I17</f>
        <v>2006803439.1900001</v>
      </c>
      <c r="J2" s="26">
        <f>资产资本表!J17</f>
        <v>2450345859.8299999</v>
      </c>
      <c r="K2" s="26">
        <f>资产资本表!K17</f>
        <v>1980750668.1900001</v>
      </c>
      <c r="L2" s="26">
        <f>资产资本表!L17</f>
        <v>2560873154.1500001</v>
      </c>
      <c r="M2" s="26">
        <f>资产资本表!M17</f>
        <v>2086361762.97</v>
      </c>
      <c r="N2" s="26">
        <f>资产资本表!N17</f>
        <v>1295053147.9300001</v>
      </c>
      <c r="O2" s="26">
        <f>资产资本表!O17</f>
        <v>1077010529.8699999</v>
      </c>
      <c r="P2" s="26">
        <f>资产资本表!P17</f>
        <v>1193649598.96</v>
      </c>
      <c r="Q2" s="26">
        <f>资产资本表!Q17</f>
        <v>1052235238.01</v>
      </c>
      <c r="R2" s="26">
        <f>资产资本表!R17</f>
        <v>1112477936.96</v>
      </c>
      <c r="S2" s="26">
        <f>资产资本表!S17</f>
        <v>1738615276.3199999</v>
      </c>
      <c r="T2" s="26">
        <f>资产资本表!T17</f>
        <v>1733239725.05</v>
      </c>
      <c r="U2" s="26">
        <f>资产资本表!U17</f>
        <v>1065182382.29</v>
      </c>
      <c r="V2" s="26">
        <f>资产资本表!V17</f>
        <v>1147001980.8299999</v>
      </c>
      <c r="W2" s="26">
        <f>资产资本表!W17</f>
        <v>1476191069.95</v>
      </c>
      <c r="X2" s="26">
        <f>资产资本表!X17</f>
        <v>1912137275.99</v>
      </c>
      <c r="Y2" s="26">
        <f>资产资本表!Y17</f>
        <v>1481246941.1800001</v>
      </c>
      <c r="Z2" s="26">
        <f>资产资本表!Z17</f>
        <v>618164410.21000004</v>
      </c>
      <c r="AA2" s="26">
        <f>资产资本表!AA17</f>
        <v>825454040.50999999</v>
      </c>
      <c r="AB2" s="26">
        <f>资产资本表!AB17</f>
        <v>1379366488.8800001</v>
      </c>
      <c r="AC2" s="26">
        <f>资产资本表!AC17</f>
        <v>1912246999.96</v>
      </c>
      <c r="AD2" s="26">
        <f>资产资本表!AD17</f>
        <v>789220917.44000006</v>
      </c>
      <c r="AE2" s="26">
        <f>资产资本表!AE17</f>
        <v>1313623838.04</v>
      </c>
      <c r="AF2" s="26">
        <f>资产资本表!AF17</f>
        <v>1694630766.6800001</v>
      </c>
      <c r="AG2" s="26">
        <f>资产资本表!AG17</f>
        <v>1111080540.1500001</v>
      </c>
      <c r="AH2" s="26">
        <f>资产资本表!AH17</f>
        <v>864133411.05999994</v>
      </c>
      <c r="AI2" s="26">
        <f>资产资本表!AI17</f>
        <v>739865397.36000001</v>
      </c>
      <c r="AJ2" s="26">
        <f>资产资本表!AJ17</f>
        <v>1146944429.9400001</v>
      </c>
      <c r="AK2" s="26">
        <f>资产资本表!AK17</f>
        <v>1234629727.6500001</v>
      </c>
      <c r="AL2" s="26">
        <f>资产资本表!AL17</f>
        <v>1748838379.75</v>
      </c>
      <c r="AM2" s="26">
        <f>资产资本表!AM17</f>
        <v>2256342309.7199998</v>
      </c>
      <c r="AN2" s="26">
        <f>资产资本表!AN17</f>
        <v>2572933186.6399999</v>
      </c>
      <c r="AO2" s="26">
        <f>资产资本表!AO17</f>
        <v>1276618727.3699999</v>
      </c>
      <c r="AP2" s="26">
        <f>资产资本表!AP17</f>
        <v>629236293.90999997</v>
      </c>
      <c r="AQ2" s="26">
        <f>资产资本表!AQ17</f>
        <v>599296571.35000002</v>
      </c>
      <c r="AR2" s="26">
        <f>资产资本表!AR17</f>
        <v>1067880744.47</v>
      </c>
      <c r="AS2" s="26">
        <f>资产资本表!AS17</f>
        <v>1429453629.1199999</v>
      </c>
      <c r="AT2" s="26">
        <f>资产资本表!AT17</f>
        <v>1413103676.4000001</v>
      </c>
      <c r="AU2" s="26">
        <f>资产资本表!AU17</f>
        <v>850706200.61999989</v>
      </c>
      <c r="AV2" s="26">
        <f>资产资本表!AV17</f>
        <v>389709284.85000002</v>
      </c>
      <c r="AW2" s="26">
        <f>资产资本表!AW17</f>
        <v>288932115.06</v>
      </c>
      <c r="AX2" s="26">
        <f>资产资本表!AX17</f>
        <v>411777255.02000004</v>
      </c>
      <c r="AY2" s="26">
        <f>资产资本表!AY17</f>
        <v>319700643.26999998</v>
      </c>
      <c r="AZ2" s="26">
        <f>资产资本表!AZ17</f>
        <v>293064125.69999999</v>
      </c>
      <c r="BA2" s="26">
        <f>资产资本表!BA17</f>
        <v>251540912.70000002</v>
      </c>
      <c r="BB2" s="26">
        <f>资产资本表!BB17</f>
        <v>431045267.72999996</v>
      </c>
      <c r="BC2" s="26">
        <f>资产资本表!BC17</f>
        <v>499065860.57999998</v>
      </c>
      <c r="BD2" s="26">
        <f>资产资本表!BD17</f>
        <v>666105084.45999992</v>
      </c>
      <c r="BE2" s="26">
        <f>资产资本表!BE17</f>
        <v>434663772.16999996</v>
      </c>
      <c r="BF2" s="26">
        <f>资产资本表!BF17</f>
        <v>490894508.71000004</v>
      </c>
      <c r="BG2" s="26">
        <f>资产资本表!BG17</f>
        <v>636959775.61999989</v>
      </c>
      <c r="BH2" s="26">
        <f>资产资本表!BH17</f>
        <v>313761458.63999999</v>
      </c>
      <c r="BI2" s="26">
        <f>资产资本表!BI17</f>
        <v>308489187.57999998</v>
      </c>
      <c r="BJ2" s="26">
        <f>资产资本表!BJ17</f>
        <v>355729931.28999996</v>
      </c>
      <c r="BK2" s="26">
        <f>资产资本表!BK17</f>
        <v>131810060.37</v>
      </c>
      <c r="BL2" s="26">
        <f>资产资本表!BL17</f>
        <v>167272296.07000002</v>
      </c>
      <c r="BM2" s="26">
        <f>资产资本表!BM17</f>
        <v>101170759.5</v>
      </c>
      <c r="BN2" s="26">
        <f>资产资本表!BN17</f>
        <v>147230532.29000002</v>
      </c>
      <c r="BO2" s="26">
        <f>资产资本表!BO17</f>
        <v>89244892.909999996</v>
      </c>
      <c r="BP2" s="26">
        <f>资产资本表!BP17</f>
        <v>155303334.25999999</v>
      </c>
      <c r="BQ2" s="26">
        <f>资产资本表!BQ17</f>
        <v>188487236.29999998</v>
      </c>
      <c r="BR2" s="26">
        <f>资产资本表!BR17</f>
        <v>0</v>
      </c>
      <c r="BS2" s="26">
        <f>资产资本表!BS17</f>
        <v>264300102.33000001</v>
      </c>
      <c r="BT2" s="26">
        <f>资产资本表!BT17</f>
        <v>440998601.41000003</v>
      </c>
      <c r="BU2" s="26">
        <f>资产资本表!BU17</f>
        <v>18487747.129999999</v>
      </c>
      <c r="BV2" s="26">
        <f>资产资本表!BV17</f>
        <v>31873298.43</v>
      </c>
      <c r="BW2" s="26">
        <f>资产资本表!BW17</f>
        <v>11065911.380000001</v>
      </c>
      <c r="BX2" s="26">
        <f>资产资本表!BX17</f>
        <v>5415168.2800000003</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525628774</v>
      </c>
      <c r="F3" s="26">
        <f>资产资本表!F19</f>
        <v>439010990.86000001</v>
      </c>
      <c r="G3" s="26">
        <f>资产资本表!G19</f>
        <v>423076239.13999999</v>
      </c>
      <c r="H3" s="26">
        <f>资产资本表!H19</f>
        <v>396232805.06</v>
      </c>
      <c r="I3" s="26">
        <f>资产资本表!I19</f>
        <v>363304422.54000002</v>
      </c>
      <c r="J3" s="26">
        <f>资产资本表!J19</f>
        <v>347165066.92000002</v>
      </c>
      <c r="K3" s="26">
        <f>资产资本表!K19</f>
        <v>201712355.12</v>
      </c>
      <c r="L3" s="26">
        <f>资产资本表!L19</f>
        <v>199866279.61000001</v>
      </c>
      <c r="M3" s="26">
        <f>资产资本表!M19</f>
        <v>186128063.15000001</v>
      </c>
      <c r="N3" s="26">
        <f>资产资本表!N19</f>
        <v>183238489.38999999</v>
      </c>
      <c r="O3" s="26">
        <f>资产资本表!O19</f>
        <v>88134046.409999996</v>
      </c>
      <c r="P3" s="26">
        <f>资产资本表!P19</f>
        <v>87541640.599999994</v>
      </c>
      <c r="Q3" s="26">
        <f>资产资本表!Q19</f>
        <v>88740045.579999998</v>
      </c>
      <c r="R3" s="26">
        <f>资产资本表!R19</f>
        <v>89817551.180000007</v>
      </c>
      <c r="S3" s="26">
        <f>资产资本表!S19</f>
        <v>110355302.09999999</v>
      </c>
      <c r="T3" s="26">
        <f>资产资本表!T19</f>
        <v>111075030.09</v>
      </c>
      <c r="U3" s="26">
        <f>资产资本表!U19</f>
        <v>112053048.5</v>
      </c>
      <c r="V3" s="26">
        <f>资产资本表!V19</f>
        <v>104246705.63</v>
      </c>
      <c r="W3" s="26">
        <f>资产资本表!W19</f>
        <v>104731368.75</v>
      </c>
      <c r="X3" s="26">
        <f>资产资本表!X19</f>
        <v>104890278.81</v>
      </c>
      <c r="Y3" s="26">
        <f>资产资本表!Y19</f>
        <v>45173453.939999998</v>
      </c>
      <c r="Z3" s="26">
        <f>资产资本表!Z19</f>
        <v>39587265.560000002</v>
      </c>
      <c r="AA3" s="26">
        <f>资产资本表!AA19</f>
        <v>39578345.979999997</v>
      </c>
      <c r="AB3" s="26">
        <f>资产资本表!AB19</f>
        <v>25083465.170000002</v>
      </c>
      <c r="AC3" s="26">
        <f>资产资本表!AC19</f>
        <v>25094416.899999999</v>
      </c>
      <c r="AD3" s="26">
        <f>资产资本表!AD19</f>
        <v>20000000</v>
      </c>
      <c r="AE3" s="26">
        <f>资产资本表!AE19</f>
        <v>20000000</v>
      </c>
      <c r="AF3" s="26">
        <f>资产资本表!AF19</f>
        <v>20000000</v>
      </c>
      <c r="AG3" s="26">
        <f>资产资本表!AG19</f>
        <v>20000000</v>
      </c>
      <c r="AH3" s="26">
        <f>资产资本表!AH19</f>
        <v>185003873.38999999</v>
      </c>
      <c r="AI3" s="26">
        <f>资产资本表!AI19</f>
        <v>182955373.99000001</v>
      </c>
      <c r="AJ3" s="26">
        <f>资产资本表!AJ19</f>
        <v>177840883.44</v>
      </c>
      <c r="AK3" s="26">
        <f>资产资本表!AK19</f>
        <v>198825804.06</v>
      </c>
      <c r="AL3" s="26">
        <f>资产资本表!AL19</f>
        <v>194442897.80000001</v>
      </c>
      <c r="AM3" s="26">
        <f>资产资本表!AM19</f>
        <v>190877112.00999999</v>
      </c>
      <c r="AN3" s="26">
        <f>资产资本表!AN19</f>
        <v>185825567.81999999</v>
      </c>
      <c r="AO3" s="26">
        <f>资产资本表!AO19</f>
        <v>185339348.78999999</v>
      </c>
      <c r="AP3" s="26">
        <f>资产资本表!AP19</f>
        <v>185205086.97</v>
      </c>
      <c r="AQ3" s="26">
        <f>资产资本表!AQ19</f>
        <v>34700000</v>
      </c>
      <c r="AR3" s="26">
        <f>资产资本表!AR19</f>
        <v>97100000</v>
      </c>
      <c r="AS3" s="26">
        <f>资产资本表!AS19</f>
        <v>34700000</v>
      </c>
      <c r="AT3" s="26">
        <f>资产资本表!AT19</f>
        <v>34700000</v>
      </c>
      <c r="AU3" s="26">
        <f>资产资本表!AU19</f>
        <v>54700000</v>
      </c>
      <c r="AV3" s="26">
        <f>资产资本表!AV19</f>
        <v>54700000</v>
      </c>
      <c r="AW3" s="26">
        <f>资产资本表!AW19</f>
        <v>54700000</v>
      </c>
      <c r="AX3" s="26">
        <f>资产资本表!AX19</f>
        <v>34700000</v>
      </c>
      <c r="AY3" s="26">
        <f>资产资本表!AY19</f>
        <v>34700000</v>
      </c>
      <c r="AZ3" s="26">
        <f>资产资本表!AZ19</f>
        <v>34700000</v>
      </c>
      <c r="BA3" s="26">
        <f>资产资本表!BA19</f>
        <v>34700000</v>
      </c>
      <c r="BB3" s="26">
        <f>资产资本表!BB19</f>
        <v>34700000</v>
      </c>
      <c r="BC3" s="26">
        <f>资产资本表!BC19</f>
        <v>34700000</v>
      </c>
      <c r="BD3" s="26">
        <f>资产资本表!BD19</f>
        <v>20000000</v>
      </c>
      <c r="BE3" s="26">
        <f>资产资本表!BE19</f>
        <v>20000000</v>
      </c>
      <c r="BF3" s="26">
        <f>资产资本表!BF19</f>
        <v>20000000</v>
      </c>
      <c r="BG3" s="26">
        <f>资产资本表!BG19</f>
        <v>20000000</v>
      </c>
      <c r="BH3" s="26">
        <f>资产资本表!BH19</f>
        <v>20000000</v>
      </c>
      <c r="BI3" s="26">
        <f>资产资本表!BI19</f>
        <v>20000000</v>
      </c>
      <c r="BJ3" s="26">
        <f>资产资本表!BJ19</f>
        <v>20000000</v>
      </c>
      <c r="BK3" s="26">
        <f>资产资本表!BK19</f>
        <v>20000000</v>
      </c>
      <c r="BL3" s="26">
        <f>资产资本表!BL19</f>
        <v>20000000</v>
      </c>
      <c r="BM3" s="26">
        <f>资产资本表!BM19</f>
        <v>20000000</v>
      </c>
      <c r="BN3" s="26">
        <f>资产资本表!BN19</f>
        <v>20000000</v>
      </c>
      <c r="BO3" s="26">
        <f>资产资本表!BO19</f>
        <v>20000000</v>
      </c>
      <c r="BP3" s="26">
        <f>资产资本表!BP19</f>
        <v>20000000</v>
      </c>
      <c r="BQ3" s="26">
        <f>资产资本表!BQ19</f>
        <v>20000000</v>
      </c>
      <c r="BR3" s="26">
        <f>资产资本表!BR19</f>
        <v>0</v>
      </c>
      <c r="BS3" s="26">
        <f>资产资本表!BS19</f>
        <v>20000000</v>
      </c>
      <c r="BT3" s="26">
        <f>资产资本表!BT19</f>
        <v>10000000</v>
      </c>
      <c r="BU3" s="26">
        <f>资产资本表!BU19</f>
        <v>10000000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9137384226.3999996</v>
      </c>
      <c r="F4" s="26">
        <f>资产资本表!F50</f>
        <v>9163648753.7400017</v>
      </c>
      <c r="G4" s="26">
        <f>资产资本表!G50</f>
        <v>9098165901.6200008</v>
      </c>
      <c r="H4" s="26">
        <f>资产资本表!H50</f>
        <v>4748402884.9799995</v>
      </c>
      <c r="I4" s="26">
        <f>资产资本表!I50</f>
        <v>1094826724.3099995</v>
      </c>
      <c r="J4" s="26">
        <f>资产资本表!J50</f>
        <v>427111014.3500042</v>
      </c>
      <c r="K4" s="26">
        <f>资产资本表!K50</f>
        <v>1772871219.7699986</v>
      </c>
      <c r="L4" s="26">
        <f>资产资本表!L50</f>
        <v>855075991.47999859</v>
      </c>
      <c r="M4" s="26">
        <f>资产资本表!M50</f>
        <v>1897817179.5699987</v>
      </c>
      <c r="N4" s="26">
        <f>资产资本表!N50</f>
        <v>3285722939.9999981</v>
      </c>
      <c r="O4" s="26">
        <f>资产资本表!O50</f>
        <v>2511411663.5599995</v>
      </c>
      <c r="P4" s="26">
        <f>资产资本表!P50</f>
        <v>3737131530.0600014</v>
      </c>
      <c r="Q4" s="26">
        <f>资产资本表!Q50</f>
        <v>2568054640.8699989</v>
      </c>
      <c r="R4" s="26">
        <f>资产资本表!R50</f>
        <v>2595518572.5500002</v>
      </c>
      <c r="S4" s="26">
        <f>资产资本表!S50</f>
        <v>3764345239.46</v>
      </c>
      <c r="T4" s="26">
        <f>资产资本表!T50</f>
        <v>3233358907.3699989</v>
      </c>
      <c r="U4" s="26">
        <f>资产资本表!U50</f>
        <v>1992077988.9899998</v>
      </c>
      <c r="V4" s="26">
        <f>资产资本表!V50</f>
        <v>3868929750.6200008</v>
      </c>
      <c r="W4" s="26">
        <f>资产资本表!W50</f>
        <v>4061510920.7600002</v>
      </c>
      <c r="X4" s="26">
        <f>资产资本表!X50</f>
        <v>4112388298.4499993</v>
      </c>
      <c r="Y4" s="26">
        <f>资产资本表!Y50</f>
        <v>3637683221.2400002</v>
      </c>
      <c r="Z4" s="26">
        <f>资产资本表!Z50</f>
        <v>5332459529.6999979</v>
      </c>
      <c r="AA4" s="26">
        <f>资产资本表!AA50</f>
        <v>4676653230.4200001</v>
      </c>
      <c r="AB4" s="26">
        <f>资产资本表!AB50</f>
        <v>4422620156.4400005</v>
      </c>
      <c r="AC4" s="26">
        <f>资产资本表!AC50</f>
        <v>3614410068.1599998</v>
      </c>
      <c r="AD4" s="26">
        <f>资产资本表!AD50</f>
        <v>3557972787.4200001</v>
      </c>
      <c r="AE4" s="26">
        <f>资产资本表!AE50</f>
        <v>3496150481.8700008</v>
      </c>
      <c r="AF4" s="26">
        <f>资产资本表!AF50</f>
        <v>3304654404.3600001</v>
      </c>
      <c r="AG4" s="26">
        <f>资产资本表!AG50</f>
        <v>2725407551.3399997</v>
      </c>
      <c r="AH4" s="26">
        <f>资产资本表!AH50</f>
        <v>2663640658.2400002</v>
      </c>
      <c r="AI4" s="26">
        <f>资产资本表!AI50</f>
        <v>1985632391.1400003</v>
      </c>
      <c r="AJ4" s="26">
        <f>资产资本表!AJ50</f>
        <v>1714671914.8999996</v>
      </c>
      <c r="AK4" s="26">
        <f>资产资本表!AK50</f>
        <v>1580080895.7999997</v>
      </c>
      <c r="AL4" s="26">
        <f>资产资本表!AL50</f>
        <v>2381564808</v>
      </c>
      <c r="AM4" s="26">
        <f>资产资本表!AM50</f>
        <v>2075152422.1499996</v>
      </c>
      <c r="AN4" s="26">
        <f>资产资本表!AN50</f>
        <v>1713152119.1699998</v>
      </c>
      <c r="AO4" s="26">
        <f>资产资本表!AO50</f>
        <v>1848442956.6999998</v>
      </c>
      <c r="AP4" s="26">
        <f>资产资本表!AP50</f>
        <v>2566112259.7200003</v>
      </c>
      <c r="AQ4" s="26">
        <f>资产资本表!AQ50</f>
        <v>2644997334.98</v>
      </c>
      <c r="AR4" s="26">
        <f>资产资本表!AR50</f>
        <v>2427477533.3000002</v>
      </c>
      <c r="AS4" s="26">
        <f>资产资本表!AS50</f>
        <v>1601103883.23</v>
      </c>
      <c r="AT4" s="26">
        <f>资产资本表!AT50</f>
        <v>1163866849.5599999</v>
      </c>
      <c r="AU4" s="26">
        <f>资产资本表!AU50</f>
        <v>1147312584.1200001</v>
      </c>
      <c r="AV4" s="26">
        <f>资产资本表!AV50</f>
        <v>1108498988.23</v>
      </c>
      <c r="AW4" s="26">
        <f>资产资本表!AW50</f>
        <v>367035247.58000004</v>
      </c>
      <c r="AX4" s="26">
        <f>资产资本表!AX50</f>
        <v>319187480.35000002</v>
      </c>
      <c r="AY4" s="26">
        <f>资产资本表!AY50</f>
        <v>142988903.90999985</v>
      </c>
      <c r="AZ4" s="26">
        <f>资产资本表!AZ50</f>
        <v>246847415.45999992</v>
      </c>
      <c r="BA4" s="26">
        <f>资产资本表!BA50</f>
        <v>-33042064.320000052</v>
      </c>
      <c r="BB4" s="26">
        <f>资产资本表!BB50</f>
        <v>55206208.629999995</v>
      </c>
      <c r="BC4" s="26">
        <f>资产资本表!BC50</f>
        <v>111212269.33000004</v>
      </c>
      <c r="BD4" s="26">
        <f>资产资本表!BD50</f>
        <v>-20740992.829999924</v>
      </c>
      <c r="BE4" s="26">
        <f>资产资本表!BE50</f>
        <v>72604013.649999976</v>
      </c>
      <c r="BF4" s="26">
        <f>资产资本表!BF50</f>
        <v>-101536782.21000004</v>
      </c>
      <c r="BG4" s="26">
        <f>资产资本表!BG50</f>
        <v>-228113255.24999994</v>
      </c>
      <c r="BH4" s="26">
        <f>资产资本表!BH50</f>
        <v>-10272168.180000007</v>
      </c>
      <c r="BI4" s="26">
        <f>资产资本表!BI50</f>
        <v>-48319084.850000024</v>
      </c>
      <c r="BJ4" s="26">
        <f>资产资本表!BJ50</f>
        <v>45728451.019999981</v>
      </c>
      <c r="BK4" s="26">
        <f>资产资本表!BK50</f>
        <v>169873366.78999996</v>
      </c>
      <c r="BL4" s="26">
        <f>资产资本表!BL50</f>
        <v>174461044.75</v>
      </c>
      <c r="BM4" s="26">
        <f>资产资本表!BM50</f>
        <v>89081973.099999994</v>
      </c>
      <c r="BN4" s="26">
        <f>资产资本表!BN50</f>
        <v>153130495.05000001</v>
      </c>
      <c r="BO4" s="26">
        <f>资产资本表!BO50</f>
        <v>190693588.65000001</v>
      </c>
      <c r="BP4" s="26">
        <f>资产资本表!BP50</f>
        <v>134393163.49000001</v>
      </c>
      <c r="BQ4" s="26">
        <f>资产资本表!BQ50</f>
        <v>79958015.530000001</v>
      </c>
      <c r="BR4" s="26">
        <f>资产资本表!BR50</f>
        <v>0</v>
      </c>
      <c r="BS4" s="26">
        <f>资产资本表!BS50</f>
        <v>79342735.510000005</v>
      </c>
      <c r="BT4" s="26">
        <f>资产资本表!BT50</f>
        <v>27173213.830000006</v>
      </c>
      <c r="BU4" s="26">
        <f>资产资本表!BU50</f>
        <v>86216990</v>
      </c>
      <c r="BV4" s="26">
        <f>资产资本表!BV50</f>
        <v>31257870.080000002</v>
      </c>
      <c r="BW4" s="26">
        <f>资产资本表!BW50</f>
        <v>28298458.889999997</v>
      </c>
      <c r="BX4" s="26">
        <f>资产资本表!BX50</f>
        <v>60825756.07</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22456033468.27</v>
      </c>
      <c r="F5" s="26">
        <f>资产资本表!F33</f>
        <v>21256624674.230003</v>
      </c>
      <c r="G5" s="26">
        <f>资产资本表!G33</f>
        <v>19591831078.920002</v>
      </c>
      <c r="H5" s="26">
        <f>资产资本表!H33</f>
        <v>16319109763.769999</v>
      </c>
      <c r="I5" s="26">
        <f>资产资本表!I33</f>
        <v>11525844267.92</v>
      </c>
      <c r="J5" s="26">
        <f>资产资本表!J33</f>
        <v>12062454048.590002</v>
      </c>
      <c r="K5" s="26">
        <f>资产资本表!K33</f>
        <v>10817238355.269999</v>
      </c>
      <c r="L5" s="26">
        <f>资产资本表!L33</f>
        <v>9428457244.8699989</v>
      </c>
      <c r="M5" s="26">
        <f>资产资本表!M33</f>
        <v>9208087676.2600002</v>
      </c>
      <c r="N5" s="26">
        <f>资产资本表!N33</f>
        <v>10091788706.249998</v>
      </c>
      <c r="O5" s="26">
        <f>资产资本表!O33</f>
        <v>9284156705.7999992</v>
      </c>
      <c r="P5" s="26">
        <f>资产资本表!P33</f>
        <v>9689189893.8700008</v>
      </c>
      <c r="Q5" s="26">
        <f>资产资本表!Q33</f>
        <v>8918700414.9799995</v>
      </c>
      <c r="R5" s="26">
        <f>资产资本表!R33</f>
        <v>7936870049.5599995</v>
      </c>
      <c r="S5" s="26">
        <f>资产资本表!S33</f>
        <v>8480844671.7799997</v>
      </c>
      <c r="T5" s="26">
        <f>资产资本表!T33</f>
        <v>8463374247.8799992</v>
      </c>
      <c r="U5" s="26">
        <f>资产资本表!U33</f>
        <v>7333207114.6599998</v>
      </c>
      <c r="V5" s="26">
        <f>资产资本表!V33</f>
        <v>8208115644.4300003</v>
      </c>
      <c r="W5" s="26">
        <f>资产资本表!W33</f>
        <v>8020612649.5500002</v>
      </c>
      <c r="X5" s="26">
        <f>资产资本表!X33</f>
        <v>7908388202.5699997</v>
      </c>
      <c r="Y5" s="26">
        <f>资产资本表!Y33</f>
        <v>7011989727.8699999</v>
      </c>
      <c r="Z5" s="26">
        <f>资产资本表!Z33</f>
        <v>8387710133.5499983</v>
      </c>
      <c r="AA5" s="26">
        <f>资产资本表!AA33</f>
        <v>7037208302.0799999</v>
      </c>
      <c r="AB5" s="26">
        <f>资产资本表!AB33</f>
        <v>6590709437.54</v>
      </c>
      <c r="AC5" s="26">
        <f>资产资本表!AC33</f>
        <v>5825387122.7799997</v>
      </c>
      <c r="AD5" s="26">
        <f>资产资本表!AD33</f>
        <v>5708383005.96</v>
      </c>
      <c r="AE5" s="26">
        <f>资产资本表!AE33</f>
        <v>5194493186.1200008</v>
      </c>
      <c r="AF5" s="26">
        <f>资产资本表!AF33</f>
        <v>4805066291.3000002</v>
      </c>
      <c r="AG5" s="26">
        <f>资产资本表!AG33</f>
        <v>3863134490.8299999</v>
      </c>
      <c r="AH5" s="26">
        <f>资产资本表!AH33</f>
        <v>3614800370.6200004</v>
      </c>
      <c r="AI5" s="26">
        <f>资产资本表!AI33</f>
        <v>2944390775.9700003</v>
      </c>
      <c r="AJ5" s="26">
        <f>资产资本表!AJ33</f>
        <v>2692244013.0699997</v>
      </c>
      <c r="AK5" s="26">
        <f>资产资本表!AK33</f>
        <v>2526357999.2999997</v>
      </c>
      <c r="AL5" s="26">
        <f>资产资本表!AL33</f>
        <v>3307732613.3899999</v>
      </c>
      <c r="AM5" s="26">
        <f>资产资本表!AM33</f>
        <v>2857881794.1099997</v>
      </c>
      <c r="AN5" s="26">
        <f>资产资本表!AN33</f>
        <v>2324083045.9299998</v>
      </c>
      <c r="AO5" s="26">
        <f>资产资本表!AO33</f>
        <v>2558049220.1599998</v>
      </c>
      <c r="AP5" s="26">
        <f>资产资本表!AP33</f>
        <v>3219731288.3900003</v>
      </c>
      <c r="AQ5" s="26">
        <f>资产资本表!AQ33</f>
        <v>3492319196.73</v>
      </c>
      <c r="AR5" s="26">
        <f>资产资本表!AR33</f>
        <v>3494346678.8700004</v>
      </c>
      <c r="AS5" s="26">
        <f>资产资本表!AS33</f>
        <v>2632829448.73</v>
      </c>
      <c r="AT5" s="26">
        <f>资产资本表!AT33</f>
        <v>2245420940.3699999</v>
      </c>
      <c r="AU5" s="26">
        <f>资产资本表!AU33</f>
        <v>2137747575.6000001</v>
      </c>
      <c r="AV5" s="26">
        <f>资产资本表!AV33</f>
        <v>1975907061.8499999</v>
      </c>
      <c r="AW5" s="26">
        <f>资产资本表!AW33</f>
        <v>1146073776.9100001</v>
      </c>
      <c r="AX5" s="26">
        <f>资产资本表!AX33</f>
        <v>1248101875.5</v>
      </c>
      <c r="AY5" s="26">
        <f>资产资本表!AY33</f>
        <v>1086327822.79</v>
      </c>
      <c r="AZ5" s="26">
        <f>资产资本表!AZ33</f>
        <v>1147307667.1799998</v>
      </c>
      <c r="BA5" s="26">
        <f>资产资本表!BA33</f>
        <v>907222432.55999994</v>
      </c>
      <c r="BB5" s="26">
        <f>资产资本表!BB33</f>
        <v>848621951.59000003</v>
      </c>
      <c r="BC5" s="26">
        <f>资产资本表!BC33</f>
        <v>812096283.38999999</v>
      </c>
      <c r="BD5" s="26">
        <f>资产资本表!BD33</f>
        <v>681493727.92000008</v>
      </c>
      <c r="BE5" s="26">
        <f>资产资本表!BE33</f>
        <v>587588444.77999997</v>
      </c>
      <c r="BF5" s="26">
        <f>资产资本表!BF33</f>
        <v>473289081.16999996</v>
      </c>
      <c r="BG5" s="26">
        <f>资产资本表!BG33</f>
        <v>355306261.17000002</v>
      </c>
      <c r="BH5" s="26">
        <f>资产资本表!BH33</f>
        <v>314217503.37</v>
      </c>
      <c r="BI5" s="26">
        <f>资产资本表!BI33</f>
        <v>220668171.94</v>
      </c>
      <c r="BJ5" s="26">
        <f>资产资本表!BJ33</f>
        <v>186689503.19</v>
      </c>
      <c r="BK5" s="26">
        <f>资产资本表!BK33</f>
        <v>293590880.90999997</v>
      </c>
      <c r="BL5" s="26">
        <f>资产资本表!BL33</f>
        <v>298785247.56999999</v>
      </c>
      <c r="BM5" s="26">
        <f>资产资本表!BM33</f>
        <v>136188814.68000001</v>
      </c>
      <c r="BN5" s="26">
        <f>资产资本表!BN33</f>
        <v>211178143.72</v>
      </c>
      <c r="BO5" s="26">
        <f>资产资本表!BO33</f>
        <v>210303343.05000001</v>
      </c>
      <c r="BP5" s="26">
        <f>资产资本表!BP33</f>
        <v>223761477.63999999</v>
      </c>
      <c r="BQ5" s="26">
        <f>资产资本表!BQ33</f>
        <v>104079967.44</v>
      </c>
      <c r="BR5" s="26">
        <f>资产资本表!BR33</f>
        <v>0</v>
      </c>
      <c r="BS5" s="26">
        <f>资产资本表!BS33</f>
        <v>132707082.47</v>
      </c>
      <c r="BT5" s="26">
        <f>资产资本表!BT33</f>
        <v>81936614.420000002</v>
      </c>
      <c r="BU5" s="26">
        <f>资产资本表!BU33</f>
        <v>136193430.84</v>
      </c>
      <c r="BV5" s="26">
        <f>资产资本表!BV33</f>
        <v>64588718.060000002</v>
      </c>
      <c r="BW5" s="26">
        <f>资产资本表!BW33</f>
        <v>31506834.259999998</v>
      </c>
      <c r="BX5" s="26">
        <f>资产资本表!BX33</f>
        <v>68871048.200000003</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13318649241.870001</v>
      </c>
      <c r="F6" s="26">
        <f>资产资本表!F49</f>
        <v>12092975920.490002</v>
      </c>
      <c r="G6" s="26">
        <f>资产资本表!G49</f>
        <v>10493665177.300001</v>
      </c>
      <c r="H6" s="26">
        <f>资产资本表!H49</f>
        <v>11570706878.789999</v>
      </c>
      <c r="I6" s="26">
        <f>资产资本表!I49</f>
        <v>10431017543.610001</v>
      </c>
      <c r="J6" s="26">
        <f>资产资本表!J49</f>
        <v>11635343034.239998</v>
      </c>
      <c r="K6" s="26">
        <f>资产资本表!K49</f>
        <v>9044367135.5</v>
      </c>
      <c r="L6" s="26">
        <f>资产资本表!L49</f>
        <v>8573381253.3900003</v>
      </c>
      <c r="M6" s="26">
        <f>资产资本表!M49</f>
        <v>7310270496.6900015</v>
      </c>
      <c r="N6" s="26">
        <f>资产资本表!N49</f>
        <v>6806065766.25</v>
      </c>
      <c r="O6" s="26">
        <f>资产资本表!O49</f>
        <v>6772745042.2399998</v>
      </c>
      <c r="P6" s="26">
        <f>资产资本表!P49</f>
        <v>5952058363.8099995</v>
      </c>
      <c r="Q6" s="26">
        <f>资产资本表!Q49</f>
        <v>6350645774.1100006</v>
      </c>
      <c r="R6" s="26">
        <f>资产资本表!R49</f>
        <v>5341351477.0099993</v>
      </c>
      <c r="S6" s="26">
        <f>资产资本表!S49</f>
        <v>4716499432.3199997</v>
      </c>
      <c r="T6" s="26">
        <f>资产资本表!T49</f>
        <v>5230015340.5100002</v>
      </c>
      <c r="U6" s="26">
        <f>资产资本表!U49</f>
        <v>5341129125.6700001</v>
      </c>
      <c r="V6" s="26">
        <f>资产资本表!V49</f>
        <v>4339185893.8099995</v>
      </c>
      <c r="W6" s="26">
        <f>资产资本表!W49</f>
        <v>3959101728.79</v>
      </c>
      <c r="X6" s="26">
        <f>资产资本表!X49</f>
        <v>3795999904.1200004</v>
      </c>
      <c r="Y6" s="26">
        <f>资产资本表!Y49</f>
        <v>3374306506.6299996</v>
      </c>
      <c r="Z6" s="26">
        <f>资产资本表!Z49</f>
        <v>3055250603.8500004</v>
      </c>
      <c r="AA6" s="26">
        <f>资产资本表!AA49</f>
        <v>2360555071.6599998</v>
      </c>
      <c r="AB6" s="26">
        <f>资产资本表!AB49</f>
        <v>2168089281.0999999</v>
      </c>
      <c r="AC6" s="26">
        <f>资产资本表!AC49</f>
        <v>2210977054.6199999</v>
      </c>
      <c r="AD6" s="26">
        <f>资产资本表!AD49</f>
        <v>2150410218.54</v>
      </c>
      <c r="AE6" s="26">
        <f>资产资本表!AE49</f>
        <v>1698342704.2500002</v>
      </c>
      <c r="AF6" s="26">
        <f>资产资本表!AF49</f>
        <v>1500411886.9400001</v>
      </c>
      <c r="AG6" s="26">
        <f>资产资本表!AG49</f>
        <v>1137726939.4900002</v>
      </c>
      <c r="AH6" s="26">
        <f>资产资本表!AH49</f>
        <v>951159712.38000011</v>
      </c>
      <c r="AI6" s="26">
        <f>资产资本表!AI49</f>
        <v>958758384.83000004</v>
      </c>
      <c r="AJ6" s="26">
        <f>资产资本表!AJ49</f>
        <v>977572098.16999996</v>
      </c>
      <c r="AK6" s="26">
        <f>资产资本表!AK49</f>
        <v>946277103.49999988</v>
      </c>
      <c r="AL6" s="26">
        <f>资产资本表!AL49</f>
        <v>926167805.38999999</v>
      </c>
      <c r="AM6" s="26">
        <f>资产资本表!AM49</f>
        <v>782729371.95999992</v>
      </c>
      <c r="AN6" s="26">
        <f>资产资本表!AN49</f>
        <v>610930926.75999999</v>
      </c>
      <c r="AO6" s="26">
        <f>资产资本表!AO49</f>
        <v>709606263.46000004</v>
      </c>
      <c r="AP6" s="26">
        <f>资产资本表!AP49</f>
        <v>653619028.67000008</v>
      </c>
      <c r="AQ6" s="26">
        <f>资产资本表!AQ49</f>
        <v>847321861.74999988</v>
      </c>
      <c r="AR6" s="26">
        <f>资产资本表!AR49</f>
        <v>1066869145.5700001</v>
      </c>
      <c r="AS6" s="26">
        <f>资产资本表!AS49</f>
        <v>1031725565.5</v>
      </c>
      <c r="AT6" s="26">
        <f>资产资本表!AT49</f>
        <v>1081554090.8099999</v>
      </c>
      <c r="AU6" s="26">
        <f>资产资本表!AU49</f>
        <v>990434991.48000002</v>
      </c>
      <c r="AV6" s="26">
        <f>资产资本表!AV49</f>
        <v>867408073.62</v>
      </c>
      <c r="AW6" s="26">
        <f>资产资本表!AW49</f>
        <v>779038529.33000004</v>
      </c>
      <c r="AX6" s="26">
        <f>资产资本表!AX49</f>
        <v>928914395.14999998</v>
      </c>
      <c r="AY6" s="26">
        <f>资产资本表!AY49</f>
        <v>943338918.88000011</v>
      </c>
      <c r="AZ6" s="26">
        <f>资产资本表!AZ49</f>
        <v>900460251.71999991</v>
      </c>
      <c r="BA6" s="26">
        <f>资产资本表!BA49</f>
        <v>940264496.88</v>
      </c>
      <c r="BB6" s="26">
        <f>资产资本表!BB49</f>
        <v>793415742.96000004</v>
      </c>
      <c r="BC6" s="26">
        <f>资产资本表!BC49</f>
        <v>700884014.05999994</v>
      </c>
      <c r="BD6" s="26">
        <f>资产资本表!BD49</f>
        <v>702234720.75</v>
      </c>
      <c r="BE6" s="26">
        <f>资产资本表!BE49</f>
        <v>514984431.13</v>
      </c>
      <c r="BF6" s="26">
        <f>资产资本表!BF49</f>
        <v>574825863.38</v>
      </c>
      <c r="BG6" s="26">
        <f>资产资本表!BG49</f>
        <v>583419516.41999996</v>
      </c>
      <c r="BH6" s="26">
        <f>资产资本表!BH49</f>
        <v>324489671.55000001</v>
      </c>
      <c r="BI6" s="26">
        <f>资产资本表!BI49</f>
        <v>268987256.79000002</v>
      </c>
      <c r="BJ6" s="26">
        <f>资产资本表!BJ49</f>
        <v>140961052.17000002</v>
      </c>
      <c r="BK6" s="26">
        <f>资产资本表!BK49</f>
        <v>123717514.12</v>
      </c>
      <c r="BL6" s="26">
        <f>资产资本表!BL49</f>
        <v>124324202.81999999</v>
      </c>
      <c r="BM6" s="26">
        <f>资产资本表!BM49</f>
        <v>47106841.580000006</v>
      </c>
      <c r="BN6" s="26">
        <f>资产资本表!BN49</f>
        <v>58047648.669999994</v>
      </c>
      <c r="BO6" s="26">
        <f>资产资本表!BO49</f>
        <v>19609754.400000002</v>
      </c>
      <c r="BP6" s="26">
        <f>资产资本表!BP49</f>
        <v>89368314.149999991</v>
      </c>
      <c r="BQ6" s="26">
        <f>资产资本表!BQ49</f>
        <v>24121951.91</v>
      </c>
      <c r="BR6" s="26">
        <f>资产资本表!BR49</f>
        <v>0</v>
      </c>
      <c r="BS6" s="26">
        <f>资产资本表!BS49</f>
        <v>53364346.959999993</v>
      </c>
      <c r="BT6" s="26">
        <f>资产资本表!BT49</f>
        <v>54763400.589999996</v>
      </c>
      <c r="BU6" s="26">
        <f>资产资本表!BU49</f>
        <v>49976440.839999996</v>
      </c>
      <c r="BV6" s="26">
        <f>资产资本表!BV49</f>
        <v>33330847.98</v>
      </c>
      <c r="BW6" s="26">
        <f>资产资本表!BW49</f>
        <v>3208375.37</v>
      </c>
      <c r="BX6" s="26">
        <f>资产资本表!BX49</f>
        <v>8045292.1299999999</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39748194400.440002</v>
      </c>
      <c r="F7" s="26">
        <f>资产资本表!F68</f>
        <v>38266585434.809998</v>
      </c>
      <c r="G7" s="26">
        <f>资产资本表!G68</f>
        <v>37543222477.270004</v>
      </c>
      <c r="H7" s="26">
        <f>资产资本表!H68</f>
        <v>37166652945.050003</v>
      </c>
      <c r="I7" s="26">
        <f>资产资本表!I68</f>
        <v>36850869995.320007</v>
      </c>
      <c r="J7" s="26">
        <f>资产资本表!J68</f>
        <v>36706423293.400002</v>
      </c>
      <c r="K7" s="26">
        <f>资产资本表!K68</f>
        <v>37322138469.719994</v>
      </c>
      <c r="L7" s="26">
        <f>资产资本表!L68</f>
        <v>36810341234.300003</v>
      </c>
      <c r="M7" s="26">
        <f>资产资本表!M68</f>
        <v>36303131422.219994</v>
      </c>
      <c r="N7" s="26">
        <f>资产资本表!N68</f>
        <v>34850737752.839996</v>
      </c>
      <c r="O7" s="26">
        <f>资产资本表!O68</f>
        <v>33858558991.769997</v>
      </c>
      <c r="P7" s="26">
        <f>资产资本表!P68</f>
        <v>32679625333.449997</v>
      </c>
      <c r="Q7" s="26">
        <f>资产资本表!Q68</f>
        <v>31512901732.75</v>
      </c>
      <c r="R7" s="26">
        <f>资产资本表!R68</f>
        <v>29201545436.389996</v>
      </c>
      <c r="S7" s="26">
        <f>资产资本表!S68</f>
        <v>25648022499.719994</v>
      </c>
      <c r="T7" s="26">
        <f>资产资本表!T68</f>
        <v>24625792996.279999</v>
      </c>
      <c r="U7" s="26">
        <f>资产资本表!U68</f>
        <v>22614029100.599998</v>
      </c>
      <c r="V7" s="26">
        <f>资产资本表!V68</f>
        <v>18929487633.280003</v>
      </c>
      <c r="W7" s="26">
        <f>资产资本表!W68</f>
        <v>16887632086.980001</v>
      </c>
      <c r="X7" s="26">
        <f>资产资本表!X68</f>
        <v>15188260539.459999</v>
      </c>
      <c r="Y7" s="26">
        <f>资产资本表!Y68</f>
        <v>13986412958.35</v>
      </c>
      <c r="Z7" s="26">
        <f>资产资本表!Z68</f>
        <v>11477557962.650003</v>
      </c>
      <c r="AA7" s="26">
        <f>资产资本表!AA68</f>
        <v>10693236840.370001</v>
      </c>
      <c r="AB7" s="26">
        <f>资产资本表!AB68</f>
        <v>10200808487.629999</v>
      </c>
      <c r="AC7" s="26">
        <f>资产资本表!AC68</f>
        <v>9638498145.3400002</v>
      </c>
      <c r="AD7" s="26">
        <f>资产资本表!AD68</f>
        <v>8967893306.0699978</v>
      </c>
      <c r="AE7" s="26">
        <f>资产资本表!AE68</f>
        <v>8685247547.1399994</v>
      </c>
      <c r="AF7" s="26">
        <f>资产资本表!AF68</f>
        <v>8497978774.9099998</v>
      </c>
      <c r="AG7" s="26">
        <f>资产资本表!AG68</f>
        <v>7920095595.0099993</v>
      </c>
      <c r="AH7" s="26">
        <f>资产资本表!AH68</f>
        <v>6657488811.2200012</v>
      </c>
      <c r="AI7" s="26">
        <f>资产资本表!AI68</f>
        <v>6474922417.8699999</v>
      </c>
      <c r="AJ7" s="26">
        <f>资产资本表!AJ68</f>
        <v>6184581578.2399998</v>
      </c>
      <c r="AK7" s="26">
        <f>资产资本表!AK68</f>
        <v>5698994178.1400013</v>
      </c>
      <c r="AL7" s="26">
        <f>资产资本表!AL68</f>
        <v>4739928521.1199999</v>
      </c>
      <c r="AM7" s="26">
        <f>资产资本表!AM68</f>
        <v>4063393229.3899994</v>
      </c>
      <c r="AN7" s="26">
        <f>资产资本表!AN68</f>
        <v>3891243691.3700004</v>
      </c>
      <c r="AO7" s="26">
        <f>资产资本表!AO68</f>
        <v>3840074226.4599996</v>
      </c>
      <c r="AP7" s="26">
        <f>资产资本表!AP68</f>
        <v>3662967347.1600003</v>
      </c>
      <c r="AQ7" s="26">
        <f>资产资本表!AQ68</f>
        <v>3511838471.1299996</v>
      </c>
      <c r="AR7" s="26">
        <f>资产资本表!AR68</f>
        <v>3473790851.6499996</v>
      </c>
      <c r="AS7" s="26">
        <f>资产资本表!AS68</f>
        <v>3494484697.0100007</v>
      </c>
      <c r="AT7" s="26">
        <f>资产资本表!AT68</f>
        <v>3441412903.6999993</v>
      </c>
      <c r="AU7" s="26">
        <f>资产资本表!AU68</f>
        <v>3411765793.5900006</v>
      </c>
      <c r="AV7" s="26">
        <f>资产资本表!AV68</f>
        <v>3394773815.0100002</v>
      </c>
      <c r="AW7" s="26">
        <f>资产资本表!AW68</f>
        <v>3680840867.2600002</v>
      </c>
      <c r="AX7" s="26">
        <f>资产资本表!AX68</f>
        <v>3532156519.4499998</v>
      </c>
      <c r="AY7" s="26">
        <f>资产资本表!AY68</f>
        <v>3519464536.4500003</v>
      </c>
      <c r="AZ7" s="26">
        <f>资产资本表!AZ68</f>
        <v>3526255050.9299998</v>
      </c>
      <c r="BA7" s="26">
        <f>资产资本表!BA68</f>
        <v>3454227610.9499998</v>
      </c>
      <c r="BB7" s="26">
        <f>资产资本表!BB68</f>
        <v>3116018063.3999996</v>
      </c>
      <c r="BC7" s="26">
        <f>资产资本表!BC68</f>
        <v>2869331853.6799998</v>
      </c>
      <c r="BD7" s="26">
        <f>资产资本表!BD68</f>
        <v>2408875807.1500001</v>
      </c>
      <c r="BE7" s="26">
        <f>资产资本表!BE68</f>
        <v>2070131818.3599999</v>
      </c>
      <c r="BF7" s="26">
        <f>资产资本表!BF68</f>
        <v>1573081129.0300002</v>
      </c>
      <c r="BG7" s="26">
        <f>资产资本表!BG68</f>
        <v>1223385224.3900003</v>
      </c>
      <c r="BH7" s="26">
        <f>资产资本表!BH68</f>
        <v>997468677.71000004</v>
      </c>
      <c r="BI7" s="26">
        <f>资产资本表!BI68</f>
        <v>889713016.33000004</v>
      </c>
      <c r="BJ7" s="26">
        <f>资产资本表!BJ68</f>
        <v>711221110.63999999</v>
      </c>
      <c r="BK7" s="26">
        <f>资产资本表!BK68</f>
        <v>621524029.53999996</v>
      </c>
      <c r="BL7" s="26">
        <f>资产资本表!BL68</f>
        <v>586336363.18000007</v>
      </c>
      <c r="BM7" s="26">
        <f>资产资本表!BM68</f>
        <v>559431649.25</v>
      </c>
      <c r="BN7" s="26">
        <f>资产资本表!BN68</f>
        <v>495327269.68000007</v>
      </c>
      <c r="BO7" s="26">
        <f>资产资本表!BO68</f>
        <v>451802905.35000002</v>
      </c>
      <c r="BP7" s="26">
        <f>资产资本表!BP68</f>
        <v>432990792.93000001</v>
      </c>
      <c r="BQ7" s="26">
        <f>资产资本表!BQ68</f>
        <v>414138790.77000004</v>
      </c>
      <c r="BR7" s="26">
        <f>资产资本表!BR68</f>
        <v>0</v>
      </c>
      <c r="BS7" s="26">
        <f>资产资本表!BS68</f>
        <v>311335659.87</v>
      </c>
      <c r="BT7" s="26">
        <f>资产资本表!BT68</f>
        <v>224672437.96000001</v>
      </c>
      <c r="BU7" s="26">
        <f>资产资本表!BU68</f>
        <v>156256645.53</v>
      </c>
      <c r="BV7" s="26">
        <f>资产资本表!BV68</f>
        <v>163246201.41</v>
      </c>
      <c r="BW7" s="26">
        <f>资产资本表!BW68</f>
        <v>155380425.27000001</v>
      </c>
      <c r="BX7" s="26">
        <f>资产资本表!BX68</f>
        <v>90358829.920000002</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640</v>
      </c>
      <c r="E8" s="26">
        <f>资产资本表!E69</f>
        <v>48885578626.840004</v>
      </c>
      <c r="F8" s="26">
        <f>资产资本表!F69</f>
        <v>47430234188.550003</v>
      </c>
      <c r="G8" s="26">
        <f>资产资本表!G69</f>
        <v>46641388378.890007</v>
      </c>
      <c r="H8" s="26">
        <f>资产资本表!H69</f>
        <v>41915055830.029999</v>
      </c>
      <c r="I8" s="26">
        <f>资产资本表!I69</f>
        <v>37945696719.630005</v>
      </c>
      <c r="J8" s="26">
        <f>资产资本表!J69</f>
        <v>37133534307.750008</v>
      </c>
      <c r="K8" s="26">
        <f>资产资本表!K69</f>
        <v>39095009689.48999</v>
      </c>
      <c r="L8" s="26">
        <f>资产资本表!L69</f>
        <v>37665417225.779999</v>
      </c>
      <c r="M8" s="26">
        <f>资产资本表!M69</f>
        <v>38200948601.789993</v>
      </c>
      <c r="N8" s="26">
        <f>资产资本表!N69</f>
        <v>38136460692.839996</v>
      </c>
      <c r="O8" s="26">
        <f>资产资本表!O69</f>
        <v>36369970655.329994</v>
      </c>
      <c r="P8" s="26">
        <f>资产资本表!P69</f>
        <v>36416756863.509995</v>
      </c>
      <c r="Q8" s="26">
        <f>资产资本表!Q69</f>
        <v>34080956373.619999</v>
      </c>
      <c r="R8" s="26">
        <f>资产资本表!R69</f>
        <v>31797064008.939995</v>
      </c>
      <c r="S8" s="26">
        <f>资产资本表!S69</f>
        <v>29412367739.179993</v>
      </c>
      <c r="T8" s="26">
        <f>资产资本表!T69</f>
        <v>27859151903.649998</v>
      </c>
      <c r="U8" s="26">
        <f>资产资本表!U69</f>
        <v>24606107089.589996</v>
      </c>
      <c r="V8" s="26">
        <f>资产资本表!V69</f>
        <v>22798417383.900002</v>
      </c>
      <c r="W8" s="26">
        <f>资产资本表!W69</f>
        <v>20949143007.740002</v>
      </c>
      <c r="X8" s="26">
        <f>资产资本表!X69</f>
        <v>19300648837.91</v>
      </c>
      <c r="Y8" s="26">
        <f>资产资本表!Y69</f>
        <v>17624096179.59</v>
      </c>
      <c r="Z8" s="26">
        <f>资产资本表!Z69</f>
        <v>16810017492.350002</v>
      </c>
      <c r="AA8" s="26">
        <f>资产资本表!AA69</f>
        <v>15369890070.790001</v>
      </c>
      <c r="AB8" s="26">
        <f>资产资本表!AB69</f>
        <v>14623428644.07</v>
      </c>
      <c r="AC8" s="26">
        <f>资产资本表!AC69</f>
        <v>13252908213.5</v>
      </c>
      <c r="AD8" s="26">
        <f>资产资本表!AD69</f>
        <v>12525866093.489998</v>
      </c>
      <c r="AE8" s="26">
        <f>资产资本表!AE69</f>
        <v>12181398029.01</v>
      </c>
      <c r="AF8" s="26">
        <f>资产资本表!AF69</f>
        <v>11802633179.27</v>
      </c>
      <c r="AG8" s="26">
        <f>资产资本表!AG69</f>
        <v>10645503146.349998</v>
      </c>
      <c r="AH8" s="26">
        <f>资产资本表!AH69</f>
        <v>9321129469.460001</v>
      </c>
      <c r="AI8" s="26">
        <f>资产资本表!AI69</f>
        <v>8460554809.0100002</v>
      </c>
      <c r="AJ8" s="26">
        <f>资产资本表!AJ69</f>
        <v>7899253493.1399994</v>
      </c>
      <c r="AK8" s="26">
        <f>资产资本表!AK69</f>
        <v>7279075073.9400005</v>
      </c>
      <c r="AL8" s="26">
        <f>资产资本表!AL69</f>
        <v>7121493329.1199999</v>
      </c>
      <c r="AM8" s="26">
        <f>资产资本表!AM69</f>
        <v>6138545651.539999</v>
      </c>
      <c r="AN8" s="26">
        <f>资产资本表!AN69</f>
        <v>5604395810.54</v>
      </c>
      <c r="AO8" s="26">
        <f>资产资本表!AO69</f>
        <v>5688517183.1599998</v>
      </c>
      <c r="AP8" s="26">
        <f>资产资本表!AP69</f>
        <v>6229079606.8800011</v>
      </c>
      <c r="AQ8" s="26">
        <f>资产资本表!AQ69</f>
        <v>6156835806.1099997</v>
      </c>
      <c r="AR8" s="26">
        <f>资产资本表!AR69</f>
        <v>5901268384.9499998</v>
      </c>
      <c r="AS8" s="26">
        <f>资产资本表!AS69</f>
        <v>5095588580.2400007</v>
      </c>
      <c r="AT8" s="26">
        <f>资产资本表!AT69</f>
        <v>4605279753.2599993</v>
      </c>
      <c r="AU8" s="26">
        <f>资产资本表!AU69</f>
        <v>4559078377.710001</v>
      </c>
      <c r="AV8" s="26">
        <f>资产资本表!AV69</f>
        <v>4503272803.2399998</v>
      </c>
      <c r="AW8" s="26">
        <f>资产资本表!AW69</f>
        <v>4047876114.8400002</v>
      </c>
      <c r="AX8" s="26">
        <f>资产资本表!AX69</f>
        <v>3851343999.7999997</v>
      </c>
      <c r="AY8" s="26">
        <f>资产资本表!AY69</f>
        <v>3662453440.3600001</v>
      </c>
      <c r="AZ8" s="26">
        <f>资产资本表!AZ69</f>
        <v>3773102466.3899999</v>
      </c>
      <c r="BA8" s="26">
        <f>资产资本表!BA69</f>
        <v>3421185546.6299996</v>
      </c>
      <c r="BB8" s="26">
        <f>资产资本表!BB69</f>
        <v>3171224272.0299997</v>
      </c>
      <c r="BC8" s="26">
        <f>资产资本表!BC69</f>
        <v>2980544123.0099998</v>
      </c>
      <c r="BD8" s="26">
        <f>资产资本表!BD69</f>
        <v>2388134814.3200002</v>
      </c>
      <c r="BE8" s="26">
        <f>资产资本表!BE69</f>
        <v>2142735832.0099998</v>
      </c>
      <c r="BF8" s="26">
        <f>资产资本表!BF69</f>
        <v>1471544346.8200002</v>
      </c>
      <c r="BG8" s="26">
        <f>资产资本表!BG69</f>
        <v>995271969.14000034</v>
      </c>
      <c r="BH8" s="26">
        <f>资产资本表!BH69</f>
        <v>987196509.52999997</v>
      </c>
      <c r="BI8" s="26">
        <f>资产资本表!BI69</f>
        <v>841393931.48000002</v>
      </c>
      <c r="BJ8" s="26">
        <f>资产资本表!BJ69</f>
        <v>756949561.65999997</v>
      </c>
      <c r="BK8" s="26">
        <f>资产资本表!BK69</f>
        <v>791397396.32999992</v>
      </c>
      <c r="BL8" s="26">
        <f>资产资本表!BL69</f>
        <v>760797407.93000007</v>
      </c>
      <c r="BM8" s="26">
        <f>资产资本表!BM69</f>
        <v>648513622.35000002</v>
      </c>
      <c r="BN8" s="26">
        <f>资产资本表!BN69</f>
        <v>648457764.73000002</v>
      </c>
      <c r="BO8" s="26">
        <f>资产资本表!BO69</f>
        <v>642496494</v>
      </c>
      <c r="BP8" s="26">
        <f>资产资本表!BP69</f>
        <v>567383956.42000008</v>
      </c>
      <c r="BQ8" s="26">
        <f>资产资本表!BQ69</f>
        <v>494096806.30000007</v>
      </c>
      <c r="BR8" s="26">
        <f>资产资本表!BR69</f>
        <v>0</v>
      </c>
      <c r="BS8" s="26">
        <f>资产资本表!BS69</f>
        <v>390678395.38</v>
      </c>
      <c r="BT8" s="26">
        <f>资产资本表!BT69</f>
        <v>251845651.79000002</v>
      </c>
      <c r="BU8" s="26">
        <f>资产资本表!BU69</f>
        <v>242473635.53</v>
      </c>
      <c r="BV8" s="26">
        <f>资产资本表!BV69</f>
        <v>194504071.49000001</v>
      </c>
      <c r="BW8" s="26">
        <f>资产资本表!BW69</f>
        <v>183678884.16</v>
      </c>
      <c r="BX8" s="26">
        <f>资产资本表!BX69</f>
        <v>151184585.99000001</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642</v>
      </c>
      <c r="E9" s="48">
        <f>资产资本表!E70</f>
        <v>52494182055.020004</v>
      </c>
      <c r="F9" s="48">
        <f>资产资本表!F70</f>
        <v>50644042281.850006</v>
      </c>
      <c r="G9" s="48">
        <f>资产资本表!G70</f>
        <v>49477501742.280006</v>
      </c>
      <c r="H9" s="48">
        <f>资产资本表!H70</f>
        <v>45329813613.190002</v>
      </c>
      <c r="I9" s="48">
        <f>资产资本表!I70</f>
        <v>40315804581.360008</v>
      </c>
      <c r="J9" s="48">
        <f>资产资本表!J70</f>
        <v>39931045234.500008</v>
      </c>
      <c r="K9" s="48">
        <f>资产资本表!K70</f>
        <v>41277472712.799988</v>
      </c>
      <c r="L9" s="48">
        <f>资产资本表!L70</f>
        <v>40426156659.540001</v>
      </c>
      <c r="M9" s="48">
        <f>资产资本表!M70</f>
        <v>40473438427.909996</v>
      </c>
      <c r="N9" s="48">
        <f>资产资本表!N70</f>
        <v>39614752330.159996</v>
      </c>
      <c r="O9" s="48">
        <f>资产资本表!O70</f>
        <v>37535115231.609993</v>
      </c>
      <c r="P9" s="48">
        <f>资产资本表!P70</f>
        <v>37697948103.069992</v>
      </c>
      <c r="Q9" s="48">
        <f>资产资本表!Q70</f>
        <v>35221931657.209999</v>
      </c>
      <c r="R9" s="48">
        <f>资产资本表!R70</f>
        <v>32999359497.079994</v>
      </c>
      <c r="S9" s="48">
        <f>资产资本表!S70</f>
        <v>31261338317.599991</v>
      </c>
      <c r="T9" s="48">
        <f>资产资本表!T70</f>
        <v>29703466658.789997</v>
      </c>
      <c r="U9" s="48">
        <f>资产资本表!U70</f>
        <v>25783342520.379997</v>
      </c>
      <c r="V9" s="48">
        <f>资产资本表!V70</f>
        <v>24049666070.360001</v>
      </c>
      <c r="W9" s="48">
        <f>资产资本表!W70</f>
        <v>22530065446.440002</v>
      </c>
      <c r="X9" s="48">
        <f>资产资本表!X70</f>
        <v>21317676392.709999</v>
      </c>
      <c r="Y9" s="48">
        <f>资产资本表!Y70</f>
        <v>19150516574.709999</v>
      </c>
      <c r="Z9" s="48">
        <f>资产资本表!Z70</f>
        <v>17467769168.120003</v>
      </c>
      <c r="AA9" s="48">
        <f>资产资本表!AA70</f>
        <v>16234922457.280001</v>
      </c>
      <c r="AB9" s="48">
        <f>资产资本表!AB70</f>
        <v>16027878598.119999</v>
      </c>
      <c r="AC9" s="48">
        <f>资产资本表!AC70</f>
        <v>15190249630.360001</v>
      </c>
      <c r="AD9" s="48">
        <f>资产资本表!AD70</f>
        <v>13335087010.929998</v>
      </c>
      <c r="AE9" s="48">
        <f>资产资本表!AE70</f>
        <v>13515021867.049999</v>
      </c>
      <c r="AF9" s="48">
        <f>资产资本表!AF70</f>
        <v>13517263945.950001</v>
      </c>
      <c r="AG9" s="48">
        <f>资产资本表!AG70</f>
        <v>11776583686.499998</v>
      </c>
      <c r="AH9" s="48">
        <f>资产资本表!AH70</f>
        <v>10370266753.910002</v>
      </c>
      <c r="AI9" s="48">
        <f>资产资本表!AI70</f>
        <v>9383375580.3600006</v>
      </c>
      <c r="AJ9" s="48">
        <f>资产资本表!AJ70</f>
        <v>9224038806.5200005</v>
      </c>
      <c r="AK9" s="48">
        <f>资产资本表!AK70</f>
        <v>8712530605.6500015</v>
      </c>
      <c r="AL9" s="48">
        <f>资产资本表!AL70</f>
        <v>9064774606.6700001</v>
      </c>
      <c r="AM9" s="48">
        <f>资产资本表!AM70</f>
        <v>8585765073.2699986</v>
      </c>
      <c r="AN9" s="48">
        <f>资产资本表!AN70</f>
        <v>8363154565</v>
      </c>
      <c r="AO9" s="48">
        <f>资产资本表!AO70</f>
        <v>7150475259.3199997</v>
      </c>
      <c r="AP9" s="48">
        <f>资产资本表!AP70</f>
        <v>7043520987.7600012</v>
      </c>
      <c r="AQ9" s="48">
        <f>资产资本表!AQ70</f>
        <v>6790832377.46</v>
      </c>
      <c r="AR9" s="48">
        <f>资产资本表!AR70</f>
        <v>7066249129.4200001</v>
      </c>
      <c r="AS9" s="48">
        <f>资产资本表!AS70</f>
        <v>6559742209.3600006</v>
      </c>
      <c r="AT9" s="48">
        <f>资产资本表!AT70</f>
        <v>6053083429.6599998</v>
      </c>
      <c r="AU9" s="48">
        <f>资产资本表!AU70</f>
        <v>5464484578.3300009</v>
      </c>
      <c r="AV9" s="48">
        <f>资产资本表!AV70</f>
        <v>4947682088.0900002</v>
      </c>
      <c r="AW9" s="48">
        <f>资产资本表!AW70</f>
        <v>4391508229.9000006</v>
      </c>
      <c r="AX9" s="48">
        <f>资产资本表!AX70</f>
        <v>4297821254.8199997</v>
      </c>
      <c r="AY9" s="48">
        <f>资产资本表!AY70</f>
        <v>4016854083.6300001</v>
      </c>
      <c r="AZ9" s="48">
        <f>资产资本表!AZ70</f>
        <v>4100866592.0899997</v>
      </c>
      <c r="BA9" s="48">
        <f>资产资本表!BA70</f>
        <v>3707426459.3299999</v>
      </c>
      <c r="BB9" s="48">
        <f>资产资本表!BB70</f>
        <v>3636969539.7599998</v>
      </c>
      <c r="BC9" s="48">
        <f>资产资本表!BC70</f>
        <v>3514309983.5899997</v>
      </c>
      <c r="BD9" s="48">
        <f>资产资本表!BD70</f>
        <v>3074239898.7800002</v>
      </c>
      <c r="BE9" s="48">
        <f>资产资本表!BE70</f>
        <v>2597399604.1799998</v>
      </c>
      <c r="BF9" s="48">
        <f>资产资本表!BF70</f>
        <v>1982438855.5300002</v>
      </c>
      <c r="BG9" s="48">
        <f>资产资本表!BG70</f>
        <v>1652231744.7600002</v>
      </c>
      <c r="BH9" s="48">
        <f>资产资本表!BH70</f>
        <v>1320957968.1700001</v>
      </c>
      <c r="BI9" s="48">
        <f>资产资本表!BI70</f>
        <v>1169883119.0599999</v>
      </c>
      <c r="BJ9" s="48">
        <f>资产资本表!BJ70</f>
        <v>1132679492.9499998</v>
      </c>
      <c r="BK9" s="48">
        <f>资产资本表!BK70</f>
        <v>943207456.69999993</v>
      </c>
      <c r="BL9" s="48">
        <f>资产资本表!BL70</f>
        <v>948069704.00000012</v>
      </c>
      <c r="BM9" s="48">
        <f>资产资本表!BM70</f>
        <v>769684381.85000002</v>
      </c>
      <c r="BN9" s="48">
        <f>资产资本表!BN70</f>
        <v>815688297.01999998</v>
      </c>
      <c r="BO9" s="48">
        <f>资产资本表!BO70</f>
        <v>751741386.90999997</v>
      </c>
      <c r="BP9" s="48">
        <f>资产资本表!BP70</f>
        <v>742687290.68000007</v>
      </c>
      <c r="BQ9" s="48">
        <f>资产资本表!BQ70</f>
        <v>702584042.60000002</v>
      </c>
      <c r="BR9" s="48">
        <f>资产资本表!BR70</f>
        <v>0</v>
      </c>
      <c r="BS9" s="48">
        <f>资产资本表!BS70</f>
        <v>674978497.71000004</v>
      </c>
      <c r="BT9" s="48">
        <f>资产资本表!BT70</f>
        <v>702844253.20000005</v>
      </c>
      <c r="BU9" s="48">
        <f>资产资本表!BU70</f>
        <v>270961382.66000003</v>
      </c>
      <c r="BV9" s="48">
        <f>资产资本表!BV70</f>
        <v>226377369.92000002</v>
      </c>
      <c r="BW9" s="48">
        <f>资产资本表!BW70</f>
        <v>194744795.53999999</v>
      </c>
      <c r="BX9" s="48">
        <f>资产资本表!BX70</f>
        <v>156599754.27000001</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15417053965.52</v>
      </c>
      <c r="F10" s="26">
        <f>资产资本表!F72</f>
        <v>16437260780.52</v>
      </c>
      <c r="G10" s="26">
        <f>资产资本表!G72</f>
        <v>16716537599.139999</v>
      </c>
      <c r="H10" s="26">
        <f>资产资本表!H72</f>
        <v>12917288548.67</v>
      </c>
      <c r="I10" s="26">
        <f>资产资本表!I72</f>
        <v>12638303056.279999</v>
      </c>
      <c r="J10" s="26">
        <f>资产资本表!J72</f>
        <v>11618432510.140001</v>
      </c>
      <c r="K10" s="26">
        <f>资产资本表!K72</f>
        <v>14986550851.940001</v>
      </c>
      <c r="L10" s="26">
        <f>资产资本表!L72</f>
        <v>12831702149.719999</v>
      </c>
      <c r="M10" s="26">
        <f>资产资本表!M72</f>
        <v>12225908869.02</v>
      </c>
      <c r="N10" s="26">
        <f>资产资本表!N72</f>
        <v>11730864099.34</v>
      </c>
      <c r="O10" s="26">
        <f>资产资本表!O72</f>
        <v>9442231294.0200005</v>
      </c>
      <c r="P10" s="26">
        <f>资产资本表!P72</f>
        <v>8008115192.9899998</v>
      </c>
      <c r="Q10" s="26">
        <f>资产资本表!Q72</f>
        <v>7089516440.7800007</v>
      </c>
      <c r="R10" s="26">
        <f>资产资本表!R72</f>
        <v>6519007802.6599998</v>
      </c>
      <c r="S10" s="26">
        <f>资产资本表!S72</f>
        <v>7616291641.7700005</v>
      </c>
      <c r="T10" s="26">
        <f>资产资本表!T72</f>
        <v>6262145669.749999</v>
      </c>
      <c r="U10" s="26">
        <f>资产资本表!U72</f>
        <v>5100608182.3599997</v>
      </c>
      <c r="V10" s="26">
        <f>资产资本表!V72</f>
        <v>4852780775.8400002</v>
      </c>
      <c r="W10" s="26">
        <f>资产资本表!W72</f>
        <v>6226183767.0600004</v>
      </c>
      <c r="X10" s="26">
        <f>资产资本表!X72</f>
        <v>5799967045.4400005</v>
      </c>
      <c r="Y10" s="26">
        <f>资产资本表!Y72</f>
        <v>4852748234.0499992</v>
      </c>
      <c r="Z10" s="26">
        <f>资产资本表!Z72</f>
        <v>4738795572.6000004</v>
      </c>
      <c r="AA10" s="26">
        <f>资产资本表!AA72</f>
        <v>4339491932.29</v>
      </c>
      <c r="AB10" s="26">
        <f>资产资本表!AB72</f>
        <v>4466822176.7600002</v>
      </c>
      <c r="AC10" s="26">
        <f>资产资本表!AC72</f>
        <v>4331045118.5799999</v>
      </c>
      <c r="AD10" s="26">
        <f>资产资本表!AD72</f>
        <v>2448243931.23</v>
      </c>
      <c r="AE10" s="26">
        <f>资产资本表!AE72</f>
        <v>3640742092.23</v>
      </c>
      <c r="AF10" s="26">
        <f>资产资本表!AF72</f>
        <v>3524979631.2400002</v>
      </c>
      <c r="AG10" s="26">
        <f>资产资本表!AG72</f>
        <v>2584404858.48</v>
      </c>
      <c r="AH10" s="26">
        <f>资产资本表!AH72</f>
        <v>2352833864.54</v>
      </c>
      <c r="AI10" s="26">
        <f>资产资本表!AI72</f>
        <v>1908501185.3099999</v>
      </c>
      <c r="AJ10" s="26">
        <f>资产资本表!AJ72</f>
        <v>2363249971.4299998</v>
      </c>
      <c r="AK10" s="26">
        <f>资产资本表!AK72</f>
        <v>2254576520.9200001</v>
      </c>
      <c r="AL10" s="26">
        <f>资产资本表!AL72</f>
        <v>3012041285.6399999</v>
      </c>
      <c r="AM10" s="26">
        <f>资产资本表!AM72</f>
        <v>3080420924.6300001</v>
      </c>
      <c r="AN10" s="26">
        <f>资产资本表!AN72</f>
        <v>2335313075.5100002</v>
      </c>
      <c r="AO10" s="26">
        <f>资产资本表!AO72</f>
        <v>1275048049.29</v>
      </c>
      <c r="AP10" s="26">
        <f>资产资本表!AP72</f>
        <v>1462851382.48</v>
      </c>
      <c r="AQ10" s="26">
        <f>资产资本表!AQ72</f>
        <v>1327966470.1500001</v>
      </c>
      <c r="AR10" s="26">
        <f>资产资本表!AR72</f>
        <v>1540440529.78</v>
      </c>
      <c r="AS10" s="26">
        <f>资产资本表!AS72</f>
        <v>1520861377.6000001</v>
      </c>
      <c r="AT10" s="26">
        <f>资产资本表!AT72</f>
        <v>1607357686.45</v>
      </c>
      <c r="AU10" s="26">
        <f>资产资本表!AU72</f>
        <v>936010970.48000002</v>
      </c>
      <c r="AV10" s="26">
        <f>资产资本表!AV72</f>
        <v>846636859.05000007</v>
      </c>
      <c r="AW10" s="26">
        <f>资产资本表!AW72</f>
        <v>754981333</v>
      </c>
      <c r="AX10" s="26">
        <f>资产资本表!AX72</f>
        <v>911749483</v>
      </c>
      <c r="AY10" s="26">
        <f>资产资本表!AY72</f>
        <v>799598500</v>
      </c>
      <c r="AZ10" s="26">
        <f>资产资本表!AZ72</f>
        <v>634435000</v>
      </c>
      <c r="BA10" s="26">
        <f>资产资本表!BA72</f>
        <v>503020250</v>
      </c>
      <c r="BB10" s="26">
        <f>资产资本表!BB72</f>
        <v>233518000</v>
      </c>
      <c r="BC10" s="26">
        <f>资产资本表!BC72</f>
        <v>136562250</v>
      </c>
      <c r="BD10" s="26">
        <f>资产资本表!BD72</f>
        <v>95179750</v>
      </c>
      <c r="BE10" s="26">
        <f>资产资本表!BE72</f>
        <v>171382500</v>
      </c>
      <c r="BF10" s="26">
        <f>资产资本表!BF72</f>
        <v>130000000</v>
      </c>
      <c r="BG10" s="26">
        <f>资产资本表!BG72</f>
        <v>100000000</v>
      </c>
      <c r="BH10" s="26">
        <f>资产资本表!BH72</f>
        <v>90000000</v>
      </c>
      <c r="BI10" s="26">
        <f>资产资本表!BI72</f>
        <v>41501558.5</v>
      </c>
      <c r="BJ10" s="26">
        <f>资产资本表!BJ72</f>
        <v>20681558.5</v>
      </c>
      <c r="BK10" s="26">
        <f>资产资本表!BK72</f>
        <v>19480000</v>
      </c>
      <c r="BL10" s="26">
        <f>资产资本表!BL72</f>
        <v>19480000</v>
      </c>
      <c r="BM10" s="26">
        <f>资产资本表!BM72</f>
        <v>19000000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74100000</v>
      </c>
      <c r="BU10" s="26">
        <f>资产资本表!BU72</f>
        <v>59600000</v>
      </c>
      <c r="BV10" s="26">
        <f>资产资本表!BV72</f>
        <v>41730000</v>
      </c>
      <c r="BW10" s="26">
        <f>资产资本表!BW72</f>
        <v>31730000</v>
      </c>
      <c r="BX10" s="26">
        <f>资产资本表!BX72</f>
        <v>32000000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6323001531.1300001</v>
      </c>
      <c r="F11" s="26">
        <f>资产资本表!F81</f>
        <v>7187354282</v>
      </c>
      <c r="G11" s="26">
        <f>资产资本表!G81</f>
        <v>7830790102.6199999</v>
      </c>
      <c r="H11" s="26">
        <f>资产资本表!H81</f>
        <v>9031992116.4099998</v>
      </c>
      <c r="I11" s="26">
        <f>资产资本表!I81</f>
        <v>9336050449.7399998</v>
      </c>
      <c r="J11" s="26">
        <f>资产资本表!J81</f>
        <v>11515803177.99</v>
      </c>
      <c r="K11" s="26">
        <f>资产资本表!K81</f>
        <v>10716894844.67</v>
      </c>
      <c r="L11" s="26">
        <f>资产资本表!L81</f>
        <v>12228380671.450001</v>
      </c>
      <c r="M11" s="26">
        <f>资产资本表!M81</f>
        <v>13424295163.110001</v>
      </c>
      <c r="N11" s="26">
        <f>资产资本表!N81</f>
        <v>13410722410.74</v>
      </c>
      <c r="O11" s="26">
        <f>资产资本表!O81</f>
        <v>14202291606.99</v>
      </c>
      <c r="P11" s="26">
        <f>资产资本表!P81</f>
        <v>15774161162.92</v>
      </c>
      <c r="Q11" s="26">
        <f>资产资本表!Q81</f>
        <v>14846739543.650002</v>
      </c>
      <c r="R11" s="26">
        <f>资产资本表!R81</f>
        <v>13697155374.880001</v>
      </c>
      <c r="S11" s="26">
        <f>资产资本表!S81</f>
        <v>11952679806.790001</v>
      </c>
      <c r="T11" s="26">
        <f>资产资本表!T81</f>
        <v>10733242405.610001</v>
      </c>
      <c r="U11" s="26">
        <f>资产资本表!U81</f>
        <v>8901778885.2399998</v>
      </c>
      <c r="V11" s="26">
        <f>资产资本表!V81</f>
        <v>8153841131.5200005</v>
      </c>
      <c r="W11" s="26">
        <f>资产资本表!W81</f>
        <v>6314193815.0900002</v>
      </c>
      <c r="X11" s="26">
        <f>资产资本表!X81</f>
        <v>4926801778.8300009</v>
      </c>
      <c r="Y11" s="26">
        <f>资产资本表!Y81</f>
        <v>4454958287.6000004</v>
      </c>
      <c r="Z11" s="26">
        <f>资产资本表!Z81</f>
        <v>3803537467.8099999</v>
      </c>
      <c r="AA11" s="26">
        <f>资产资本表!AA81</f>
        <v>3758944791.8099999</v>
      </c>
      <c r="AB11" s="26">
        <f>资产资本表!AB81</f>
        <v>2776172829.8099999</v>
      </c>
      <c r="AC11" s="26">
        <f>资产资本表!AC81</f>
        <v>2428277187.3099999</v>
      </c>
      <c r="AD11" s="26">
        <f>资产资本表!AD81</f>
        <v>2644964283.3099999</v>
      </c>
      <c r="AE11" s="26">
        <f>资产资本表!AE81</f>
        <v>2308352668</v>
      </c>
      <c r="AF11" s="26">
        <f>资产资本表!AF81</f>
        <v>2248111482.6399999</v>
      </c>
      <c r="AG11" s="26">
        <f>资产资本表!AG81</f>
        <v>2036959543</v>
      </c>
      <c r="AH11" s="26">
        <f>资产资本表!AH81</f>
        <v>1710151121</v>
      </c>
      <c r="AI11" s="26">
        <f>资产资本表!AI81</f>
        <v>1601654411</v>
      </c>
      <c r="AJ11" s="26">
        <f>资产资本表!AJ81</f>
        <v>714625946</v>
      </c>
      <c r="AK11" s="26">
        <f>资产资本表!AK81</f>
        <v>632835746</v>
      </c>
      <c r="AL11" s="26">
        <f>资产资本表!AL81</f>
        <v>476200273</v>
      </c>
      <c r="AM11" s="26">
        <f>资产资本表!AM81</f>
        <v>367794673</v>
      </c>
      <c r="AN11" s="26">
        <f>资产资本表!AN81</f>
        <v>357724823</v>
      </c>
      <c r="AO11" s="26">
        <f>资产资本表!AO81</f>
        <v>426012973</v>
      </c>
      <c r="AP11" s="26">
        <f>资产资本表!AP81</f>
        <v>533630677.52999997</v>
      </c>
      <c r="AQ11" s="26">
        <f>资产资本表!AQ81</f>
        <v>798651833.18000007</v>
      </c>
      <c r="AR11" s="26">
        <f>资产资本表!AR81</f>
        <v>838524062.54000008</v>
      </c>
      <c r="AS11" s="26">
        <f>资产资本表!AS81</f>
        <v>600403982.79000008</v>
      </c>
      <c r="AT11" s="26">
        <f>资产资本表!AT81</f>
        <v>502439795.18000001</v>
      </c>
      <c r="AU11" s="26">
        <f>资产资本表!AU81</f>
        <v>962568878.4000001</v>
      </c>
      <c r="AV11" s="26">
        <f>资产资本表!AV81</f>
        <v>844889979.73000002</v>
      </c>
      <c r="AW11" s="26">
        <f>资产资本表!AW81</f>
        <v>801669800</v>
      </c>
      <c r="AX11" s="26">
        <f>资产资本表!AX81</f>
        <v>822165400</v>
      </c>
      <c r="AY11" s="26">
        <f>资产资本表!AY81</f>
        <v>959809700</v>
      </c>
      <c r="AZ11" s="26">
        <f>资产资本表!AZ81</f>
        <v>1233545500</v>
      </c>
      <c r="BA11" s="26">
        <f>资产资本表!BA81</f>
        <v>1340843100</v>
      </c>
      <c r="BB11" s="26">
        <f>资产资本表!BB81</f>
        <v>1680968000</v>
      </c>
      <c r="BC11" s="26">
        <f>资产资本表!BC81</f>
        <v>1811783500</v>
      </c>
      <c r="BD11" s="26">
        <f>资产资本表!BD81</f>
        <v>1454871000</v>
      </c>
      <c r="BE11" s="26">
        <f>资产资本表!BE81</f>
        <v>1060382500</v>
      </c>
      <c r="BF11" s="26">
        <f>资产资本表!BF81</f>
        <v>574000000</v>
      </c>
      <c r="BG11" s="26">
        <f>资产资本表!BG81</f>
        <v>374000000</v>
      </c>
      <c r="BH11" s="26">
        <f>资产资本表!BH81</f>
        <v>84000000</v>
      </c>
      <c r="BI11" s="26">
        <f>资产资本表!BI81</f>
        <v>84000000</v>
      </c>
      <c r="BJ11" s="26">
        <f>资产资本表!BJ81</f>
        <v>117000000</v>
      </c>
      <c r="BK11" s="26">
        <f>资产资本表!BK81</f>
        <v>53000000</v>
      </c>
      <c r="BL11" s="26">
        <f>资产资本表!BL81</f>
        <v>53000000</v>
      </c>
      <c r="BM11" s="26">
        <f>资产资本表!BM81</f>
        <v>53000000</v>
      </c>
      <c r="BN11" s="26">
        <f>资产资本表!BN81</f>
        <v>30000000</v>
      </c>
      <c r="BO11" s="26">
        <f>资产资本表!BO81</f>
        <v>0</v>
      </c>
      <c r="BP11" s="26">
        <f>资产资本表!BP81</f>
        <v>0</v>
      </c>
      <c r="BQ11" s="26">
        <f>资产资本表!BQ81</f>
        <v>0</v>
      </c>
      <c r="BR11" s="26">
        <f>资产资本表!BR81</f>
        <v>0</v>
      </c>
      <c r="BS11" s="26">
        <f>资产资本表!BS81</f>
        <v>0</v>
      </c>
      <c r="BT11" s="26">
        <f>资产资本表!BT81</f>
        <v>10000000</v>
      </c>
      <c r="BU11" s="26">
        <f>资产资本表!BU81</f>
        <v>35000000</v>
      </c>
      <c r="BV11" s="26">
        <f>资产资本表!BV81</f>
        <v>35000000</v>
      </c>
      <c r="BW11" s="26">
        <f>资产资本表!BW81</f>
        <v>40000000</v>
      </c>
      <c r="BX11" s="26">
        <f>资产资本表!BX81</f>
        <v>53000000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641</v>
      </c>
      <c r="E12" s="26">
        <f>资产资本表!E89</f>
        <v>21740055496.650002</v>
      </c>
      <c r="F12" s="26">
        <f>资产资本表!F89</f>
        <v>23624615062.52</v>
      </c>
      <c r="G12" s="26">
        <f>资产资本表!G89</f>
        <v>24547327701.759998</v>
      </c>
      <c r="H12" s="26">
        <f>资产资本表!H89</f>
        <v>21949280665.080002</v>
      </c>
      <c r="I12" s="26">
        <f>资产资本表!I89</f>
        <v>21974353506.019997</v>
      </c>
      <c r="J12" s="26">
        <f>资产资本表!J89</f>
        <v>23134235688.130001</v>
      </c>
      <c r="K12" s="26">
        <f>资产资本表!K89</f>
        <v>25703445696.610001</v>
      </c>
      <c r="L12" s="26">
        <f>资产资本表!L89</f>
        <v>25060082821.169998</v>
      </c>
      <c r="M12" s="26">
        <f>资产资本表!M89</f>
        <v>25650204032.130001</v>
      </c>
      <c r="N12" s="26">
        <f>资产资本表!N89</f>
        <v>25141586510.080002</v>
      </c>
      <c r="O12" s="26">
        <f>资产资本表!O89</f>
        <v>23644522901.010002</v>
      </c>
      <c r="P12" s="26">
        <f>资产资本表!P89</f>
        <v>23782276355.91</v>
      </c>
      <c r="Q12" s="26">
        <f>资产资本表!Q89</f>
        <v>21936255984.43</v>
      </c>
      <c r="R12" s="26">
        <f>资产资本表!R89</f>
        <v>20216163177.540001</v>
      </c>
      <c r="S12" s="26">
        <f>资产资本表!S89</f>
        <v>19568971448.560001</v>
      </c>
      <c r="T12" s="26">
        <f>资产资本表!T89</f>
        <v>16995388075.360001</v>
      </c>
      <c r="U12" s="26">
        <f>资产资本表!U89</f>
        <v>14002387067.599998</v>
      </c>
      <c r="V12" s="26">
        <f>资产资本表!V89</f>
        <v>13006621907.360001</v>
      </c>
      <c r="W12" s="26">
        <f>资产资本表!W89</f>
        <v>12540377582.150002</v>
      </c>
      <c r="X12" s="26">
        <f>资产资本表!X89</f>
        <v>10726768824.27</v>
      </c>
      <c r="Y12" s="26">
        <f>资产资本表!Y89</f>
        <v>9307706521.6499996</v>
      </c>
      <c r="Z12" s="26">
        <f>资产资本表!Z89</f>
        <v>8542333040.4099998</v>
      </c>
      <c r="AA12" s="26">
        <f>资产资本表!AA89</f>
        <v>8098436724.1000004</v>
      </c>
      <c r="AB12" s="26">
        <f>资产资本表!AB89</f>
        <v>7242995006.5699997</v>
      </c>
      <c r="AC12" s="26">
        <f>资产资本表!AC89</f>
        <v>6759322305.8899994</v>
      </c>
      <c r="AD12" s="26">
        <f>资产资本表!AD89</f>
        <v>5093208214.54</v>
      </c>
      <c r="AE12" s="26">
        <f>资产资本表!AE89</f>
        <v>5949094760.2299995</v>
      </c>
      <c r="AF12" s="26">
        <f>资产资本表!AF89</f>
        <v>5773091113.8800001</v>
      </c>
      <c r="AG12" s="26">
        <f>资产资本表!AG89</f>
        <v>4621364401.4799995</v>
      </c>
      <c r="AH12" s="26">
        <f>资产资本表!AH89</f>
        <v>4062984985.54</v>
      </c>
      <c r="AI12" s="26">
        <f>资产资本表!AI89</f>
        <v>3510155596.3099999</v>
      </c>
      <c r="AJ12" s="26">
        <f>资产资本表!AJ89</f>
        <v>3077875917.4299998</v>
      </c>
      <c r="AK12" s="26">
        <f>资产资本表!AK89</f>
        <v>2887412266.9200001</v>
      </c>
      <c r="AL12" s="26">
        <f>资产资本表!AL89</f>
        <v>3488241558.6399999</v>
      </c>
      <c r="AM12" s="26">
        <f>资产资本表!AM89</f>
        <v>3448215597.6300001</v>
      </c>
      <c r="AN12" s="26">
        <f>资产资本表!AN89</f>
        <v>2693037898.5100002</v>
      </c>
      <c r="AO12" s="26">
        <f>资产资本表!AO89</f>
        <v>1701061022.29</v>
      </c>
      <c r="AP12" s="26">
        <f>资产资本表!AP89</f>
        <v>1996482060.01</v>
      </c>
      <c r="AQ12" s="26">
        <f>资产资本表!AQ89</f>
        <v>2126618303.3300002</v>
      </c>
      <c r="AR12" s="26">
        <f>资产资本表!AR89</f>
        <v>2378964592.3200002</v>
      </c>
      <c r="AS12" s="26">
        <f>资产资本表!AS89</f>
        <v>2121265360.3900003</v>
      </c>
      <c r="AT12" s="26">
        <f>资产资本表!AT89</f>
        <v>2109797481.6300001</v>
      </c>
      <c r="AU12" s="26">
        <f>资产资本表!AU89</f>
        <v>1898579848.8800001</v>
      </c>
      <c r="AV12" s="26">
        <f>资产资本表!AV89</f>
        <v>1691526838.7800002</v>
      </c>
      <c r="AW12" s="26">
        <f>资产资本表!AW89</f>
        <v>1556651133</v>
      </c>
      <c r="AX12" s="26">
        <f>资产资本表!AX89</f>
        <v>1733914883</v>
      </c>
      <c r="AY12" s="26">
        <f>资产资本表!AY89</f>
        <v>1759408200</v>
      </c>
      <c r="AZ12" s="26">
        <f>资产资本表!AZ89</f>
        <v>1867980500</v>
      </c>
      <c r="BA12" s="26">
        <f>资产资本表!BA89</f>
        <v>1843863350</v>
      </c>
      <c r="BB12" s="26">
        <f>资产资本表!BB89</f>
        <v>1914486000</v>
      </c>
      <c r="BC12" s="26">
        <f>资产资本表!BC89</f>
        <v>1948345750</v>
      </c>
      <c r="BD12" s="26">
        <f>资产资本表!BD89</f>
        <v>1550050750</v>
      </c>
      <c r="BE12" s="26">
        <f>资产资本表!BE89</f>
        <v>1231765000</v>
      </c>
      <c r="BF12" s="26">
        <f>资产资本表!BF89</f>
        <v>704000000</v>
      </c>
      <c r="BG12" s="26">
        <f>资产资本表!BG89</f>
        <v>474000000</v>
      </c>
      <c r="BH12" s="26">
        <f>资产资本表!BH89</f>
        <v>174000000</v>
      </c>
      <c r="BI12" s="26">
        <f>资产资本表!BI89</f>
        <v>125501558.5</v>
      </c>
      <c r="BJ12" s="26">
        <f>资产资本表!BJ89</f>
        <v>137681558.5</v>
      </c>
      <c r="BK12" s="26">
        <f>资产资本表!BK89</f>
        <v>72480000</v>
      </c>
      <c r="BL12" s="26">
        <f>资产资本表!BL89</f>
        <v>72480000</v>
      </c>
      <c r="BM12" s="26">
        <f>资产资本表!BM89</f>
        <v>72000000</v>
      </c>
      <c r="BN12" s="26">
        <f>资产资本表!BN89</f>
        <v>30000000</v>
      </c>
      <c r="BO12" s="26">
        <f>资产资本表!BO89</f>
        <v>0</v>
      </c>
      <c r="BP12" s="26">
        <f>资产资本表!BP89</f>
        <v>0</v>
      </c>
      <c r="BQ12" s="26">
        <f>资产资本表!BQ89</f>
        <v>0</v>
      </c>
      <c r="BR12" s="26">
        <f>资产资本表!BR89</f>
        <v>0</v>
      </c>
      <c r="BS12" s="26">
        <f>资产资本表!BS89</f>
        <v>0</v>
      </c>
      <c r="BT12" s="26">
        <f>资产资本表!BT89</f>
        <v>84100000</v>
      </c>
      <c r="BU12" s="26">
        <f>资产资本表!BU89</f>
        <v>94600000</v>
      </c>
      <c r="BV12" s="26">
        <f>资产资本表!BV89</f>
        <v>76730000</v>
      </c>
      <c r="BW12" s="26">
        <f>资产资本表!BW89</f>
        <v>71730000</v>
      </c>
      <c r="BX12" s="26">
        <f>资产资本表!BX89</f>
        <v>85000000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30754126558.370003</v>
      </c>
      <c r="F13" s="26">
        <f t="shared" ref="F13:BQ13" si="0">F9-F12</f>
        <v>27019427219.330006</v>
      </c>
      <c r="G13" s="26">
        <f t="shared" si="0"/>
        <v>24930174040.520008</v>
      </c>
      <c r="H13" s="26">
        <f t="shared" si="0"/>
        <v>23380532948.110001</v>
      </c>
      <c r="I13" s="26">
        <f t="shared" si="0"/>
        <v>18341451075.340012</v>
      </c>
      <c r="J13" s="26">
        <f t="shared" si="0"/>
        <v>16796809546.370007</v>
      </c>
      <c r="K13" s="26">
        <f t="shared" si="0"/>
        <v>15574027016.189987</v>
      </c>
      <c r="L13" s="26">
        <f t="shared" si="0"/>
        <v>15366073838.370003</v>
      </c>
      <c r="M13" s="26">
        <f t="shared" si="0"/>
        <v>14823234395.779995</v>
      </c>
      <c r="N13" s="26">
        <f t="shared" si="0"/>
        <v>14473165820.079994</v>
      </c>
      <c r="O13" s="26">
        <f t="shared" si="0"/>
        <v>13890592330.599991</v>
      </c>
      <c r="P13" s="26">
        <f t="shared" si="0"/>
        <v>13915671747.159992</v>
      </c>
      <c r="Q13" s="26">
        <f t="shared" si="0"/>
        <v>13285675672.779999</v>
      </c>
      <c r="R13" s="26">
        <f t="shared" si="0"/>
        <v>12783196319.539993</v>
      </c>
      <c r="S13" s="26">
        <f t="shared" si="0"/>
        <v>11692366869.039989</v>
      </c>
      <c r="T13" s="26">
        <f t="shared" si="0"/>
        <v>12708078583.429996</v>
      </c>
      <c r="U13" s="26">
        <f t="shared" si="0"/>
        <v>11780955452.779999</v>
      </c>
      <c r="V13" s="26">
        <f t="shared" si="0"/>
        <v>11043044163</v>
      </c>
      <c r="W13" s="26">
        <f t="shared" si="0"/>
        <v>9989687864.2900009</v>
      </c>
      <c r="X13" s="26">
        <f t="shared" si="0"/>
        <v>10590907568.439999</v>
      </c>
      <c r="Y13" s="26">
        <f t="shared" si="0"/>
        <v>9842810053.0599995</v>
      </c>
      <c r="Z13" s="26">
        <f t="shared" si="0"/>
        <v>8925436127.7100029</v>
      </c>
      <c r="AA13" s="26">
        <f t="shared" si="0"/>
        <v>8136485733.1800003</v>
      </c>
      <c r="AB13" s="26">
        <f t="shared" si="0"/>
        <v>8784883591.5499992</v>
      </c>
      <c r="AC13" s="26">
        <f t="shared" si="0"/>
        <v>8430927324.4700012</v>
      </c>
      <c r="AD13" s="26">
        <f t="shared" si="0"/>
        <v>8241878796.3899984</v>
      </c>
      <c r="AE13" s="26">
        <f t="shared" si="0"/>
        <v>7565927106.8199997</v>
      </c>
      <c r="AF13" s="26">
        <f t="shared" si="0"/>
        <v>7744172832.0700006</v>
      </c>
      <c r="AG13" s="26">
        <f t="shared" si="0"/>
        <v>7155219285.0199986</v>
      </c>
      <c r="AH13" s="26">
        <f t="shared" si="0"/>
        <v>6307281768.3700018</v>
      </c>
      <c r="AI13" s="26">
        <f t="shared" si="0"/>
        <v>5873219984.0500011</v>
      </c>
      <c r="AJ13" s="26">
        <f t="shared" si="0"/>
        <v>6146162889.0900002</v>
      </c>
      <c r="AK13" s="26">
        <f t="shared" si="0"/>
        <v>5825118338.7300014</v>
      </c>
      <c r="AL13" s="26">
        <f t="shared" si="0"/>
        <v>5576533048.0300007</v>
      </c>
      <c r="AM13" s="26">
        <f t="shared" si="0"/>
        <v>5137549475.6399984</v>
      </c>
      <c r="AN13" s="26">
        <f t="shared" si="0"/>
        <v>5670116666.4899998</v>
      </c>
      <c r="AO13" s="26">
        <f t="shared" si="0"/>
        <v>5449414237.0299997</v>
      </c>
      <c r="AP13" s="26">
        <f t="shared" si="0"/>
        <v>5047038927.750001</v>
      </c>
      <c r="AQ13" s="26">
        <f t="shared" si="0"/>
        <v>4664214074.1300001</v>
      </c>
      <c r="AR13" s="26">
        <f t="shared" si="0"/>
        <v>4687284537.1000004</v>
      </c>
      <c r="AS13" s="26">
        <f t="shared" si="0"/>
        <v>4438476848.9700003</v>
      </c>
      <c r="AT13" s="26">
        <f t="shared" si="0"/>
        <v>3943285948.0299997</v>
      </c>
      <c r="AU13" s="26">
        <f t="shared" si="0"/>
        <v>3565904729.4500008</v>
      </c>
      <c r="AV13" s="26">
        <f t="shared" si="0"/>
        <v>3256155249.3099999</v>
      </c>
      <c r="AW13" s="26">
        <f t="shared" si="0"/>
        <v>2834857096.9000006</v>
      </c>
      <c r="AX13" s="26">
        <f t="shared" si="0"/>
        <v>2563906371.8199997</v>
      </c>
      <c r="AY13" s="26">
        <f t="shared" si="0"/>
        <v>2257445883.6300001</v>
      </c>
      <c r="AZ13" s="26">
        <f t="shared" si="0"/>
        <v>2232886092.0899997</v>
      </c>
      <c r="BA13" s="26">
        <f t="shared" si="0"/>
        <v>1863563109.3299999</v>
      </c>
      <c r="BB13" s="26">
        <f t="shared" si="0"/>
        <v>1722483539.7599998</v>
      </c>
      <c r="BC13" s="26">
        <f t="shared" si="0"/>
        <v>1565964233.5899997</v>
      </c>
      <c r="BD13" s="26">
        <f t="shared" si="0"/>
        <v>1524189148.7800002</v>
      </c>
      <c r="BE13" s="26">
        <f t="shared" si="0"/>
        <v>1365634604.1799998</v>
      </c>
      <c r="BF13" s="26">
        <f t="shared" si="0"/>
        <v>1278438855.5300002</v>
      </c>
      <c r="BG13" s="26">
        <f t="shared" si="0"/>
        <v>1178231744.7600002</v>
      </c>
      <c r="BH13" s="26">
        <f t="shared" si="0"/>
        <v>1146957968.1700001</v>
      </c>
      <c r="BI13" s="26">
        <f t="shared" si="0"/>
        <v>1044381560.5599999</v>
      </c>
      <c r="BJ13" s="26">
        <f t="shared" si="0"/>
        <v>994997934.44999981</v>
      </c>
      <c r="BK13" s="26">
        <f t="shared" si="0"/>
        <v>870727456.69999993</v>
      </c>
      <c r="BL13" s="26">
        <f t="shared" si="0"/>
        <v>875589704.00000012</v>
      </c>
      <c r="BM13" s="26">
        <f t="shared" si="0"/>
        <v>697684381.85000002</v>
      </c>
      <c r="BN13" s="26">
        <f t="shared" si="0"/>
        <v>785688297.01999998</v>
      </c>
      <c r="BO13" s="26">
        <f t="shared" si="0"/>
        <v>751741386.90999997</v>
      </c>
      <c r="BP13" s="26">
        <f t="shared" si="0"/>
        <v>742687290.68000007</v>
      </c>
      <c r="BQ13" s="26">
        <f t="shared" si="0"/>
        <v>702584042.60000002</v>
      </c>
      <c r="BR13" s="26">
        <f t="shared" ref="BR13:CL13" si="1">BR9-BR12</f>
        <v>0</v>
      </c>
      <c r="BS13" s="26">
        <f t="shared" si="1"/>
        <v>674978497.71000004</v>
      </c>
      <c r="BT13" s="26">
        <f t="shared" si="1"/>
        <v>618744253.20000005</v>
      </c>
      <c r="BU13" s="26">
        <f t="shared" si="1"/>
        <v>176361382.66000003</v>
      </c>
      <c r="BV13" s="26">
        <f t="shared" si="1"/>
        <v>149647369.92000002</v>
      </c>
      <c r="BW13" s="26">
        <f t="shared" si="1"/>
        <v>123014795.53999999</v>
      </c>
      <c r="BX13" s="26">
        <f t="shared" si="1"/>
        <v>71599754.270000011</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643</v>
      </c>
      <c r="E14" s="48">
        <f>E9</f>
        <v>52494182055.020004</v>
      </c>
      <c r="F14" s="48">
        <f t="shared" ref="F14:BQ14" si="2">F9</f>
        <v>50644042281.850006</v>
      </c>
      <c r="G14" s="48">
        <f t="shared" si="2"/>
        <v>49477501742.280006</v>
      </c>
      <c r="H14" s="48">
        <f t="shared" si="2"/>
        <v>45329813613.190002</v>
      </c>
      <c r="I14" s="48">
        <f t="shared" si="2"/>
        <v>40315804581.360008</v>
      </c>
      <c r="J14" s="48">
        <f t="shared" si="2"/>
        <v>39931045234.500008</v>
      </c>
      <c r="K14" s="48">
        <f t="shared" si="2"/>
        <v>41277472712.799988</v>
      </c>
      <c r="L14" s="48">
        <f t="shared" si="2"/>
        <v>40426156659.540001</v>
      </c>
      <c r="M14" s="48">
        <f t="shared" si="2"/>
        <v>40473438427.909996</v>
      </c>
      <c r="N14" s="48">
        <f t="shared" si="2"/>
        <v>39614752330.159996</v>
      </c>
      <c r="O14" s="48">
        <f t="shared" si="2"/>
        <v>37535115231.609993</v>
      </c>
      <c r="P14" s="48">
        <f t="shared" si="2"/>
        <v>37697948103.069992</v>
      </c>
      <c r="Q14" s="48">
        <f t="shared" si="2"/>
        <v>35221931657.209999</v>
      </c>
      <c r="R14" s="48">
        <f t="shared" si="2"/>
        <v>32999359497.079994</v>
      </c>
      <c r="S14" s="48">
        <f t="shared" si="2"/>
        <v>31261338317.599991</v>
      </c>
      <c r="T14" s="48">
        <f t="shared" si="2"/>
        <v>29703466658.789997</v>
      </c>
      <c r="U14" s="48">
        <f t="shared" si="2"/>
        <v>25783342520.379997</v>
      </c>
      <c r="V14" s="48">
        <f t="shared" si="2"/>
        <v>24049666070.360001</v>
      </c>
      <c r="W14" s="48">
        <f t="shared" si="2"/>
        <v>22530065446.440002</v>
      </c>
      <c r="X14" s="48">
        <f t="shared" si="2"/>
        <v>21317676392.709999</v>
      </c>
      <c r="Y14" s="48">
        <f t="shared" si="2"/>
        <v>19150516574.709999</v>
      </c>
      <c r="Z14" s="48">
        <f t="shared" si="2"/>
        <v>17467769168.120003</v>
      </c>
      <c r="AA14" s="48">
        <f t="shared" si="2"/>
        <v>16234922457.280001</v>
      </c>
      <c r="AB14" s="48">
        <f t="shared" si="2"/>
        <v>16027878598.119999</v>
      </c>
      <c r="AC14" s="48">
        <f t="shared" si="2"/>
        <v>15190249630.360001</v>
      </c>
      <c r="AD14" s="48">
        <f t="shared" si="2"/>
        <v>13335087010.929998</v>
      </c>
      <c r="AE14" s="48">
        <f t="shared" si="2"/>
        <v>13515021867.049999</v>
      </c>
      <c r="AF14" s="48">
        <f t="shared" si="2"/>
        <v>13517263945.950001</v>
      </c>
      <c r="AG14" s="48">
        <f t="shared" si="2"/>
        <v>11776583686.499998</v>
      </c>
      <c r="AH14" s="48">
        <f t="shared" si="2"/>
        <v>10370266753.910002</v>
      </c>
      <c r="AI14" s="48">
        <f t="shared" si="2"/>
        <v>9383375580.3600006</v>
      </c>
      <c r="AJ14" s="48">
        <f t="shared" si="2"/>
        <v>9224038806.5200005</v>
      </c>
      <c r="AK14" s="48">
        <f t="shared" si="2"/>
        <v>8712530605.6500015</v>
      </c>
      <c r="AL14" s="48">
        <f t="shared" si="2"/>
        <v>9064774606.6700001</v>
      </c>
      <c r="AM14" s="48">
        <f t="shared" si="2"/>
        <v>8585765073.2699986</v>
      </c>
      <c r="AN14" s="48">
        <f t="shared" si="2"/>
        <v>8363154565</v>
      </c>
      <c r="AO14" s="48">
        <f t="shared" si="2"/>
        <v>7150475259.3199997</v>
      </c>
      <c r="AP14" s="48">
        <f t="shared" si="2"/>
        <v>7043520987.7600012</v>
      </c>
      <c r="AQ14" s="48">
        <f t="shared" si="2"/>
        <v>6790832377.46</v>
      </c>
      <c r="AR14" s="48">
        <f t="shared" si="2"/>
        <v>7066249129.4200001</v>
      </c>
      <c r="AS14" s="48">
        <f t="shared" si="2"/>
        <v>6559742209.3600006</v>
      </c>
      <c r="AT14" s="48">
        <f t="shared" si="2"/>
        <v>6053083429.6599998</v>
      </c>
      <c r="AU14" s="48">
        <f t="shared" si="2"/>
        <v>5464484578.3300009</v>
      </c>
      <c r="AV14" s="48">
        <f t="shared" si="2"/>
        <v>4947682088.0900002</v>
      </c>
      <c r="AW14" s="48">
        <f t="shared" si="2"/>
        <v>4391508229.9000006</v>
      </c>
      <c r="AX14" s="48">
        <f t="shared" si="2"/>
        <v>4297821254.8199997</v>
      </c>
      <c r="AY14" s="48">
        <f t="shared" si="2"/>
        <v>4016854083.6300001</v>
      </c>
      <c r="AZ14" s="48">
        <f t="shared" si="2"/>
        <v>4100866592.0899997</v>
      </c>
      <c r="BA14" s="48">
        <f t="shared" si="2"/>
        <v>3707426459.3299999</v>
      </c>
      <c r="BB14" s="48">
        <f t="shared" si="2"/>
        <v>3636969539.7599998</v>
      </c>
      <c r="BC14" s="48">
        <f t="shared" si="2"/>
        <v>3514309983.5899997</v>
      </c>
      <c r="BD14" s="48">
        <f t="shared" si="2"/>
        <v>3074239898.7800002</v>
      </c>
      <c r="BE14" s="48">
        <f t="shared" si="2"/>
        <v>2597399604.1799998</v>
      </c>
      <c r="BF14" s="48">
        <f t="shared" si="2"/>
        <v>1982438855.5300002</v>
      </c>
      <c r="BG14" s="48">
        <f t="shared" si="2"/>
        <v>1652231744.7600002</v>
      </c>
      <c r="BH14" s="48">
        <f t="shared" si="2"/>
        <v>1320957968.1700001</v>
      </c>
      <c r="BI14" s="48">
        <f t="shared" si="2"/>
        <v>1169883119.0599999</v>
      </c>
      <c r="BJ14" s="48">
        <f t="shared" si="2"/>
        <v>1132679492.9499998</v>
      </c>
      <c r="BK14" s="48">
        <f t="shared" si="2"/>
        <v>943207456.69999993</v>
      </c>
      <c r="BL14" s="48">
        <f t="shared" si="2"/>
        <v>948069704.00000012</v>
      </c>
      <c r="BM14" s="48">
        <f t="shared" si="2"/>
        <v>769684381.85000002</v>
      </c>
      <c r="BN14" s="48">
        <f t="shared" si="2"/>
        <v>815688297.01999998</v>
      </c>
      <c r="BO14" s="48">
        <f t="shared" si="2"/>
        <v>751741386.90999997</v>
      </c>
      <c r="BP14" s="48">
        <f t="shared" si="2"/>
        <v>742687290.68000007</v>
      </c>
      <c r="BQ14" s="48">
        <f t="shared" si="2"/>
        <v>702584042.60000002</v>
      </c>
      <c r="BR14" s="48">
        <f t="shared" ref="BR14:CL14" si="3">BR9</f>
        <v>0</v>
      </c>
      <c r="BS14" s="48">
        <f t="shared" si="3"/>
        <v>674978497.71000004</v>
      </c>
      <c r="BT14" s="48">
        <f t="shared" si="3"/>
        <v>702844253.20000005</v>
      </c>
      <c r="BU14" s="48">
        <f t="shared" si="3"/>
        <v>270961382.66000003</v>
      </c>
      <c r="BV14" s="48">
        <f t="shared" si="3"/>
        <v>226377369.92000002</v>
      </c>
      <c r="BW14" s="48">
        <f t="shared" si="3"/>
        <v>194744795.53999999</v>
      </c>
      <c r="BX14" s="48">
        <f t="shared" si="3"/>
        <v>156599754.27000001</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-12334079311.340004</v>
      </c>
      <c r="F15" s="58">
        <f t="shared" ref="F15:BQ15" si="4">F11+F13-F3-F4-F7</f>
        <v>-13662463678.079994</v>
      </c>
      <c r="G15" s="58">
        <f t="shared" si="4"/>
        <v>-14303500474.889999</v>
      </c>
      <c r="H15" s="58">
        <f t="shared" si="4"/>
        <v>-9898763570.5700035</v>
      </c>
      <c r="I15" s="58">
        <f t="shared" si="4"/>
        <v>-10631499617.089996</v>
      </c>
      <c r="J15" s="58">
        <f t="shared" si="4"/>
        <v>-9168086650.3099976</v>
      </c>
      <c r="K15" s="58">
        <f t="shared" si="4"/>
        <v>-13005800183.750008</v>
      </c>
      <c r="L15" s="58">
        <f t="shared" si="4"/>
        <v>-10270828995.57</v>
      </c>
      <c r="M15" s="58">
        <f t="shared" si="4"/>
        <v>-10139547106.049999</v>
      </c>
      <c r="N15" s="58">
        <f t="shared" si="4"/>
        <v>-10435810951.410004</v>
      </c>
      <c r="O15" s="58">
        <f t="shared" si="4"/>
        <v>-8365220764.1500092</v>
      </c>
      <c r="P15" s="58">
        <f t="shared" si="4"/>
        <v>-6814465594.0300026</v>
      </c>
      <c r="Q15" s="58">
        <f t="shared" si="4"/>
        <v>-6037281202.7700005</v>
      </c>
      <c r="R15" s="58">
        <f t="shared" si="4"/>
        <v>-5406529865.7000008</v>
      </c>
      <c r="S15" s="58">
        <f t="shared" si="4"/>
        <v>-5877676365.4500008</v>
      </c>
      <c r="T15" s="58">
        <f t="shared" si="4"/>
        <v>-4528905944.7000008</v>
      </c>
      <c r="U15" s="58">
        <f t="shared" si="4"/>
        <v>-4035425800.0699997</v>
      </c>
      <c r="V15" s="58">
        <f t="shared" si="4"/>
        <v>-3705778795.010004</v>
      </c>
      <c r="W15" s="58">
        <f t="shared" si="4"/>
        <v>-4749992697.1100006</v>
      </c>
      <c r="X15" s="58">
        <f t="shared" si="4"/>
        <v>-3887829769.4499969</v>
      </c>
      <c r="Y15" s="58">
        <f t="shared" si="4"/>
        <v>-3371501292.8700008</v>
      </c>
      <c r="Z15" s="58">
        <f t="shared" si="4"/>
        <v>-4120631162.3899984</v>
      </c>
      <c r="AA15" s="58">
        <f t="shared" si="4"/>
        <v>-3514037891.7800007</v>
      </c>
      <c r="AB15" s="58">
        <f t="shared" si="4"/>
        <v>-3087455687.8800011</v>
      </c>
      <c r="AC15" s="58">
        <f t="shared" si="4"/>
        <v>-2418798118.6199989</v>
      </c>
      <c r="AD15" s="58">
        <f t="shared" si="4"/>
        <v>-1659023013.789999</v>
      </c>
      <c r="AE15" s="58">
        <f t="shared" si="4"/>
        <v>-2327118254.1900005</v>
      </c>
      <c r="AF15" s="58">
        <f t="shared" si="4"/>
        <v>-1830348864.5599995</v>
      </c>
      <c r="AG15" s="58">
        <f t="shared" si="4"/>
        <v>-1473324318.3300009</v>
      </c>
      <c r="AH15" s="58">
        <f t="shared" si="4"/>
        <v>-1488700453.4799995</v>
      </c>
      <c r="AI15" s="58">
        <f t="shared" si="4"/>
        <v>-1168635787.9499989</v>
      </c>
      <c r="AJ15" s="58">
        <f t="shared" si="4"/>
        <v>-1216305541.4899988</v>
      </c>
      <c r="AK15" s="58">
        <f t="shared" si="4"/>
        <v>-1019946793.2700005</v>
      </c>
      <c r="AL15" s="58">
        <f t="shared" si="4"/>
        <v>-1263202905.8899994</v>
      </c>
      <c r="AM15" s="58">
        <f t="shared" si="4"/>
        <v>-824078614.9100008</v>
      </c>
      <c r="AN15" s="58">
        <f t="shared" si="4"/>
        <v>237620111.12999964</v>
      </c>
      <c r="AO15" s="58">
        <f t="shared" si="4"/>
        <v>1570678.0800004005</v>
      </c>
      <c r="AP15" s="58">
        <f t="shared" si="4"/>
        <v>-833615088.57000017</v>
      </c>
      <c r="AQ15" s="58">
        <f t="shared" si="4"/>
        <v>-728669898.79999924</v>
      </c>
      <c r="AR15" s="58">
        <f t="shared" si="4"/>
        <v>-472559785.30999947</v>
      </c>
      <c r="AS15" s="58">
        <f t="shared" si="4"/>
        <v>-91407748.480000496</v>
      </c>
      <c r="AT15" s="58">
        <f t="shared" si="4"/>
        <v>-194254010.04999924</v>
      </c>
      <c r="AU15" s="58">
        <f t="shared" si="4"/>
        <v>-85304769.860000134</v>
      </c>
      <c r="AV15" s="58">
        <f t="shared" si="4"/>
        <v>-456927574.20000029</v>
      </c>
      <c r="AW15" s="58">
        <f t="shared" si="4"/>
        <v>-466049217.93999958</v>
      </c>
      <c r="AX15" s="58">
        <f t="shared" si="4"/>
        <v>-499972227.98000002</v>
      </c>
      <c r="AY15" s="58">
        <f t="shared" si="4"/>
        <v>-479897856.73000002</v>
      </c>
      <c r="AZ15" s="58">
        <f t="shared" si="4"/>
        <v>-341370874.30000019</v>
      </c>
      <c r="BA15" s="58">
        <f t="shared" si="4"/>
        <v>-251479337.29999971</v>
      </c>
      <c r="BB15" s="58">
        <f t="shared" si="4"/>
        <v>197527267.73000002</v>
      </c>
      <c r="BC15" s="58">
        <f t="shared" si="4"/>
        <v>362503610.57999992</v>
      </c>
      <c r="BD15" s="58">
        <f t="shared" si="4"/>
        <v>570925334.46000004</v>
      </c>
      <c r="BE15" s="58">
        <f t="shared" si="4"/>
        <v>263281272.16999984</v>
      </c>
      <c r="BF15" s="58">
        <f t="shared" si="4"/>
        <v>360894508.71000004</v>
      </c>
      <c r="BG15" s="58">
        <f t="shared" si="4"/>
        <v>536959775.61999989</v>
      </c>
      <c r="BH15" s="58">
        <f t="shared" si="4"/>
        <v>223761458.6400001</v>
      </c>
      <c r="BI15" s="58">
        <f t="shared" si="4"/>
        <v>266987629.0799998</v>
      </c>
      <c r="BJ15" s="58">
        <f t="shared" si="4"/>
        <v>335048372.78999984</v>
      </c>
      <c r="BK15" s="58">
        <f t="shared" si="4"/>
        <v>112330060.37</v>
      </c>
      <c r="BL15" s="58">
        <f t="shared" si="4"/>
        <v>147792296.07000005</v>
      </c>
      <c r="BM15" s="58">
        <f t="shared" si="4"/>
        <v>82170759.5</v>
      </c>
      <c r="BN15" s="58">
        <f t="shared" si="4"/>
        <v>147230532.28999996</v>
      </c>
      <c r="BO15" s="58">
        <f t="shared" si="4"/>
        <v>89244892.909999967</v>
      </c>
      <c r="BP15" s="58">
        <f t="shared" si="4"/>
        <v>155303334.26000005</v>
      </c>
      <c r="BQ15" s="58">
        <f t="shared" si="4"/>
        <v>188487236.30000001</v>
      </c>
      <c r="BR15" s="58">
        <f t="shared" ref="BR15:CL15" si="5">BR11+BR13-BR3-BR4-BR7</f>
        <v>0</v>
      </c>
      <c r="BS15" s="58">
        <f t="shared" si="5"/>
        <v>264300102.33000004</v>
      </c>
      <c r="BT15" s="58">
        <f t="shared" si="5"/>
        <v>366898601.40999997</v>
      </c>
      <c r="BU15" s="58">
        <f t="shared" si="5"/>
        <v>-41112252.869999975</v>
      </c>
      <c r="BV15" s="58">
        <f t="shared" si="5"/>
        <v>-9856701.5699999928</v>
      </c>
      <c r="BW15" s="58">
        <f t="shared" si="5"/>
        <v>-20664088.620000005</v>
      </c>
      <c r="BX15" s="58">
        <f t="shared" si="5"/>
        <v>-26584831.719999991</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12334079311.34</v>
      </c>
      <c r="F16" s="58">
        <f t="shared" ref="F16:BQ16" si="6">F10-F2</f>
        <v>13662463678.08</v>
      </c>
      <c r="G16" s="58">
        <f t="shared" si="6"/>
        <v>14303500474.889999</v>
      </c>
      <c r="H16" s="58">
        <f t="shared" si="6"/>
        <v>9898763570.5699997</v>
      </c>
      <c r="I16" s="58">
        <f t="shared" si="6"/>
        <v>10631499617.089998</v>
      </c>
      <c r="J16" s="58">
        <f t="shared" si="6"/>
        <v>9168086650.3100014</v>
      </c>
      <c r="K16" s="58">
        <f t="shared" si="6"/>
        <v>13005800183.75</v>
      </c>
      <c r="L16" s="58">
        <f t="shared" si="6"/>
        <v>10270828995.57</v>
      </c>
      <c r="M16" s="58">
        <f t="shared" si="6"/>
        <v>10139547106.050001</v>
      </c>
      <c r="N16" s="58">
        <f t="shared" si="6"/>
        <v>10435810951.41</v>
      </c>
      <c r="O16" s="58">
        <f t="shared" si="6"/>
        <v>8365220764.1500006</v>
      </c>
      <c r="P16" s="58">
        <f t="shared" si="6"/>
        <v>6814465594.0299997</v>
      </c>
      <c r="Q16" s="58">
        <f t="shared" si="6"/>
        <v>6037281202.7700005</v>
      </c>
      <c r="R16" s="58">
        <f t="shared" si="6"/>
        <v>5406529865.6999998</v>
      </c>
      <c r="S16" s="58">
        <f t="shared" si="6"/>
        <v>5877676365.4500008</v>
      </c>
      <c r="T16" s="58">
        <f t="shared" si="6"/>
        <v>4528905944.6999989</v>
      </c>
      <c r="U16" s="58">
        <f t="shared" si="6"/>
        <v>4035425800.0699997</v>
      </c>
      <c r="V16" s="58">
        <f t="shared" si="6"/>
        <v>3705778795.0100002</v>
      </c>
      <c r="W16" s="58">
        <f t="shared" si="6"/>
        <v>4749992697.1100006</v>
      </c>
      <c r="X16" s="58">
        <f t="shared" si="6"/>
        <v>3887829769.4500008</v>
      </c>
      <c r="Y16" s="58">
        <f t="shared" si="6"/>
        <v>3371501292.8699989</v>
      </c>
      <c r="Z16" s="58">
        <f t="shared" si="6"/>
        <v>4120631162.3900003</v>
      </c>
      <c r="AA16" s="58">
        <f t="shared" si="6"/>
        <v>3514037891.7799997</v>
      </c>
      <c r="AB16" s="58">
        <f t="shared" si="6"/>
        <v>3087455687.8800001</v>
      </c>
      <c r="AC16" s="58">
        <f t="shared" si="6"/>
        <v>2418798118.6199999</v>
      </c>
      <c r="AD16" s="58">
        <f t="shared" si="6"/>
        <v>1659023013.79</v>
      </c>
      <c r="AE16" s="58">
        <f t="shared" si="6"/>
        <v>2327118254.1900001</v>
      </c>
      <c r="AF16" s="58">
        <f t="shared" si="6"/>
        <v>1830348864.5600002</v>
      </c>
      <c r="AG16" s="58">
        <f t="shared" si="6"/>
        <v>1473324318.3299999</v>
      </c>
      <c r="AH16" s="58">
        <f t="shared" si="6"/>
        <v>1488700453.48</v>
      </c>
      <c r="AI16" s="58">
        <f t="shared" si="6"/>
        <v>1168635787.9499998</v>
      </c>
      <c r="AJ16" s="58">
        <f t="shared" si="6"/>
        <v>1216305541.4899998</v>
      </c>
      <c r="AK16" s="58">
        <f t="shared" si="6"/>
        <v>1019946793.27</v>
      </c>
      <c r="AL16" s="58">
        <f t="shared" si="6"/>
        <v>1263202905.8899999</v>
      </c>
      <c r="AM16" s="58">
        <f t="shared" si="6"/>
        <v>824078614.91000032</v>
      </c>
      <c r="AN16" s="58">
        <f t="shared" si="6"/>
        <v>-237620111.12999964</v>
      </c>
      <c r="AO16" s="58">
        <f t="shared" si="6"/>
        <v>-1570678.0799999237</v>
      </c>
      <c r="AP16" s="58">
        <f t="shared" si="6"/>
        <v>833615088.57000005</v>
      </c>
      <c r="AQ16" s="58">
        <f t="shared" si="6"/>
        <v>728669898.80000007</v>
      </c>
      <c r="AR16" s="58">
        <f t="shared" si="6"/>
        <v>472559785.30999994</v>
      </c>
      <c r="AS16" s="58">
        <f t="shared" si="6"/>
        <v>91407748.480000257</v>
      </c>
      <c r="AT16" s="58">
        <f t="shared" si="6"/>
        <v>194254010.04999995</v>
      </c>
      <c r="AU16" s="58">
        <f t="shared" si="6"/>
        <v>85304769.860000134</v>
      </c>
      <c r="AV16" s="58">
        <f t="shared" si="6"/>
        <v>456927574.20000005</v>
      </c>
      <c r="AW16" s="58">
        <f t="shared" si="6"/>
        <v>466049217.94</v>
      </c>
      <c r="AX16" s="58">
        <f t="shared" si="6"/>
        <v>499972227.97999996</v>
      </c>
      <c r="AY16" s="58">
        <f t="shared" si="6"/>
        <v>479897856.73000002</v>
      </c>
      <c r="AZ16" s="58">
        <f t="shared" si="6"/>
        <v>341370874.30000001</v>
      </c>
      <c r="BA16" s="58">
        <f t="shared" si="6"/>
        <v>251479337.29999998</v>
      </c>
      <c r="BB16" s="58">
        <f t="shared" si="6"/>
        <v>-197527267.72999996</v>
      </c>
      <c r="BC16" s="58">
        <f t="shared" si="6"/>
        <v>-362503610.57999998</v>
      </c>
      <c r="BD16" s="58">
        <f t="shared" si="6"/>
        <v>-570925334.45999992</v>
      </c>
      <c r="BE16" s="58">
        <f t="shared" si="6"/>
        <v>-263281272.16999996</v>
      </c>
      <c r="BF16" s="58">
        <f t="shared" si="6"/>
        <v>-360894508.71000004</v>
      </c>
      <c r="BG16" s="58">
        <f t="shared" si="6"/>
        <v>-536959775.61999989</v>
      </c>
      <c r="BH16" s="58">
        <f t="shared" si="6"/>
        <v>-223761458.63999999</v>
      </c>
      <c r="BI16" s="58">
        <f t="shared" si="6"/>
        <v>-266987629.07999998</v>
      </c>
      <c r="BJ16" s="58">
        <f t="shared" si="6"/>
        <v>-335048372.78999996</v>
      </c>
      <c r="BK16" s="58">
        <f t="shared" si="6"/>
        <v>-112330060.37</v>
      </c>
      <c r="BL16" s="58">
        <f t="shared" si="6"/>
        <v>-147792296.07000002</v>
      </c>
      <c r="BM16" s="58">
        <f t="shared" si="6"/>
        <v>-82170759.5</v>
      </c>
      <c r="BN16" s="58">
        <f t="shared" si="6"/>
        <v>-147230532.29000002</v>
      </c>
      <c r="BO16" s="58">
        <f t="shared" si="6"/>
        <v>-89244892.909999996</v>
      </c>
      <c r="BP16" s="58">
        <f t="shared" si="6"/>
        <v>-155303334.25999999</v>
      </c>
      <c r="BQ16" s="58">
        <f t="shared" si="6"/>
        <v>-188487236.29999998</v>
      </c>
      <c r="BR16" s="58">
        <f t="shared" ref="BR16:CL16" si="7">BR10-BR2</f>
        <v>0</v>
      </c>
      <c r="BS16" s="58">
        <f t="shared" si="7"/>
        <v>-264300102.33000001</v>
      </c>
      <c r="BT16" s="58">
        <f t="shared" si="7"/>
        <v>-366898601.41000003</v>
      </c>
      <c r="BU16" s="58">
        <f t="shared" si="7"/>
        <v>41112252.870000005</v>
      </c>
      <c r="BV16" s="58">
        <f t="shared" si="7"/>
        <v>9856701.5700000003</v>
      </c>
      <c r="BW16" s="58">
        <f t="shared" si="7"/>
        <v>20664088.619999997</v>
      </c>
      <c r="BX16" s="58">
        <f t="shared" si="7"/>
        <v>26584831.719999999</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668</v>
      </c>
      <c r="E17" s="59">
        <f>(E11+E13-E7-E3)/E4</f>
        <v>-0.34984794397766672</v>
      </c>
      <c r="F17" s="59">
        <f t="shared" ref="F17:BQ17" si="8">(F11+F13-F7-F3)/F4</f>
        <v>-0.49094144103939708</v>
      </c>
      <c r="G17" s="59">
        <f t="shared" si="8"/>
        <v>-0.57213010067701076</v>
      </c>
      <c r="H17" s="59">
        <f t="shared" si="8"/>
        <v>-1.0846511575252942</v>
      </c>
      <c r="I17" s="59">
        <f t="shared" si="8"/>
        <v>-8.7106687122479265</v>
      </c>
      <c r="J17" s="59">
        <f t="shared" si="8"/>
        <v>-20.465348216932274</v>
      </c>
      <c r="K17" s="59">
        <f t="shared" si="8"/>
        <v>-6.3360095413119177</v>
      </c>
      <c r="L17" s="59">
        <f t="shared" si="8"/>
        <v>-11.011597913996919</v>
      </c>
      <c r="M17" s="59">
        <f t="shared" si="8"/>
        <v>-4.3427417641710786</v>
      </c>
      <c r="N17" s="59">
        <f t="shared" si="8"/>
        <v>-2.1761080109237723</v>
      </c>
      <c r="O17" s="59">
        <f t="shared" si="8"/>
        <v>-2.3308839349308674</v>
      </c>
      <c r="P17" s="59">
        <f t="shared" si="8"/>
        <v>-0.82344815514710945</v>
      </c>
      <c r="Q17" s="59">
        <f t="shared" si="8"/>
        <v>-1.350916178607751</v>
      </c>
      <c r="R17" s="59">
        <f t="shared" si="8"/>
        <v>-1.0830249195205286</v>
      </c>
      <c r="S17" s="59">
        <f t="shared" si="8"/>
        <v>-0.56140736079062803</v>
      </c>
      <c r="T17" s="59">
        <f t="shared" si="8"/>
        <v>-0.40068148153209332</v>
      </c>
      <c r="U17" s="59">
        <f t="shared" si="8"/>
        <v>-1.0257368548688177</v>
      </c>
      <c r="V17" s="59">
        <f t="shared" si="8"/>
        <v>4.2169531660235682E-2</v>
      </c>
      <c r="W17" s="59">
        <f t="shared" si="8"/>
        <v>-0.16951370802203086</v>
      </c>
      <c r="X17" s="59">
        <f t="shared" si="8"/>
        <v>5.4605380791653294E-2</v>
      </c>
      <c r="Y17" s="59">
        <f t="shared" si="8"/>
        <v>7.3173476683124794E-2</v>
      </c>
      <c r="Z17" s="59">
        <f t="shared" si="8"/>
        <v>0.22725505192501216</v>
      </c>
      <c r="AA17" s="59">
        <f t="shared" si="8"/>
        <v>0.24859986006180471</v>
      </c>
      <c r="AB17" s="59">
        <f t="shared" si="8"/>
        <v>0.3018944474839873</v>
      </c>
      <c r="AC17" s="59">
        <f t="shared" si="8"/>
        <v>0.33079034392703943</v>
      </c>
      <c r="AD17" s="59">
        <f t="shared" si="8"/>
        <v>0.53371677837001963</v>
      </c>
      <c r="AE17" s="59">
        <f t="shared" si="8"/>
        <v>0.33437697654670606</v>
      </c>
      <c r="AF17" s="59">
        <f t="shared" si="8"/>
        <v>0.44613002129810431</v>
      </c>
      <c r="AG17" s="59">
        <f t="shared" si="8"/>
        <v>0.45941137588555819</v>
      </c>
      <c r="AH17" s="59">
        <f t="shared" si="8"/>
        <v>0.44110311994424284</v>
      </c>
      <c r="AI17" s="59">
        <f t="shared" si="8"/>
        <v>0.41145410743473187</v>
      </c>
      <c r="AJ17" s="59">
        <f t="shared" si="8"/>
        <v>0.29064823951412611</v>
      </c>
      <c r="AK17" s="59">
        <f t="shared" si="8"/>
        <v>0.35449710455894262</v>
      </c>
      <c r="AL17" s="59">
        <f t="shared" si="8"/>
        <v>0.46959121093546191</v>
      </c>
      <c r="AM17" s="59">
        <f t="shared" si="8"/>
        <v>0.60288285038060052</v>
      </c>
      <c r="AN17" s="59">
        <f t="shared" si="8"/>
        <v>1.1387034510660521</v>
      </c>
      <c r="AO17" s="59">
        <f t="shared" si="8"/>
        <v>1.0008497303497017</v>
      </c>
      <c r="AP17" s="59">
        <f t="shared" si="8"/>
        <v>0.6751447309398072</v>
      </c>
      <c r="AQ17" s="59">
        <f t="shared" si="8"/>
        <v>0.7245101576612708</v>
      </c>
      <c r="AR17" s="59">
        <f t="shared" si="8"/>
        <v>0.8053288737681602</v>
      </c>
      <c r="AS17" s="59">
        <f t="shared" si="8"/>
        <v>0.94290954544710848</v>
      </c>
      <c r="AT17" s="59">
        <f t="shared" si="8"/>
        <v>0.83309601942572986</v>
      </c>
      <c r="AU17" s="59">
        <f t="shared" si="8"/>
        <v>0.92564818773827884</v>
      </c>
      <c r="AV17" s="59">
        <f t="shared" si="8"/>
        <v>0.58779612877265575</v>
      </c>
      <c r="AW17" s="59">
        <f t="shared" si="8"/>
        <v>-0.26976692569129423</v>
      </c>
      <c r="AX17" s="59">
        <f t="shared" si="8"/>
        <v>-0.56639047193130332</v>
      </c>
      <c r="AY17" s="59">
        <f t="shared" si="8"/>
        <v>-2.356189491682918</v>
      </c>
      <c r="AZ17" s="59">
        <f t="shared" si="8"/>
        <v>-0.38292261907565767</v>
      </c>
      <c r="BA17" s="59">
        <f t="shared" si="8"/>
        <v>8.6108845641276037</v>
      </c>
      <c r="BB17" s="59">
        <f t="shared" si="8"/>
        <v>4.5779900962563191</v>
      </c>
      <c r="BC17" s="59">
        <f t="shared" si="8"/>
        <v>4.2595649091948955</v>
      </c>
      <c r="BD17" s="59">
        <f t="shared" si="8"/>
        <v>-26.526422632681761</v>
      </c>
      <c r="BE17" s="59">
        <f t="shared" si="8"/>
        <v>4.6262633280742884</v>
      </c>
      <c r="BF17" s="59">
        <f t="shared" si="8"/>
        <v>-2.554322885312557</v>
      </c>
      <c r="BG17" s="59">
        <f t="shared" si="8"/>
        <v>-1.3539174653902537</v>
      </c>
      <c r="BH17" s="59">
        <f t="shared" si="8"/>
        <v>-20.783274447907246</v>
      </c>
      <c r="BI17" s="59">
        <f t="shared" si="8"/>
        <v>-4.5255108806142834</v>
      </c>
      <c r="BJ17" s="59">
        <f t="shared" si="8"/>
        <v>8.3269127931637517</v>
      </c>
      <c r="BK17" s="59">
        <f t="shared" si="8"/>
        <v>1.661257632627392</v>
      </c>
      <c r="BL17" s="59">
        <f t="shared" si="8"/>
        <v>1.8471363695074974</v>
      </c>
      <c r="BM17" s="59">
        <f t="shared" si="8"/>
        <v>1.9224173717813626</v>
      </c>
      <c r="BN17" s="59">
        <f t="shared" si="8"/>
        <v>1.9614710136078797</v>
      </c>
      <c r="BO17" s="59">
        <f t="shared" si="8"/>
        <v>1.4680015387082597</v>
      </c>
      <c r="BP17" s="59">
        <f t="shared" si="8"/>
        <v>2.1555895421090816</v>
      </c>
      <c r="BQ17" s="59">
        <f t="shared" si="8"/>
        <v>3.3573275931201687</v>
      </c>
      <c r="BR17" s="59" t="e">
        <f t="shared" ref="BR17:CL17" si="9">(BR11+BR13-BR7-BR3)/BR4</f>
        <v>#DIV/0!</v>
      </c>
      <c r="BS17" s="59">
        <f t="shared" si="9"/>
        <v>4.3311191078947466</v>
      </c>
      <c r="BT17" s="59">
        <f t="shared" si="9"/>
        <v>14.502215958162941</v>
      </c>
      <c r="BU17" s="59">
        <f t="shared" si="9"/>
        <v>0.5231536977804494</v>
      </c>
      <c r="BV17" s="59">
        <f t="shared" si="9"/>
        <v>0.68466496454258785</v>
      </c>
      <c r="BW17" s="59">
        <f t="shared" si="9"/>
        <v>0.26978042513466294</v>
      </c>
      <c r="BX17" s="59">
        <f t="shared" si="9"/>
        <v>0.56293462773556957</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669</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4" t="s">
        <v>574</v>
      </c>
      <c r="B19" s="115"/>
      <c r="C19" s="115"/>
      <c r="D19" s="115"/>
      <c r="E19" s="115" t="s">
        <v>567</v>
      </c>
      <c r="F19" s="115"/>
      <c r="G19" s="115"/>
      <c r="H19" s="115"/>
      <c r="I19" s="115" t="s">
        <v>602</v>
      </c>
      <c r="M19" s="115" t="s">
        <v>569</v>
      </c>
      <c r="N19" s="63"/>
      <c r="O19" s="63"/>
      <c r="P19" s="63"/>
      <c r="Q19" s="63"/>
      <c r="R19" s="63"/>
      <c r="S19" s="63"/>
      <c r="T19" s="63"/>
      <c r="U19" s="63"/>
    </row>
    <row r="20" spans="1:90" s="63" customFormat="1" ht="14.25" customHeight="1" x14ac:dyDescent="0.25">
      <c r="A20" s="114" t="s">
        <v>575</v>
      </c>
      <c r="B20" s="116"/>
      <c r="C20" s="116"/>
      <c r="D20" s="116"/>
      <c r="E20" s="116">
        <f>POWER(E9/U9,1/5)-1</f>
        <v>0.15280112335184559</v>
      </c>
      <c r="F20" s="116"/>
      <c r="G20" s="116"/>
      <c r="H20" s="116"/>
      <c r="I20" s="116">
        <f>POWER(E9/Y9,1/6)-1</f>
        <v>0.1830100841392801</v>
      </c>
      <c r="M20" s="116">
        <f>POWER(E9/AC9,1/7)-1</f>
        <v>0.19380991162634298</v>
      </c>
    </row>
    <row r="21" spans="1:90" s="63" customFormat="1" ht="14.25" customHeight="1" x14ac:dyDescent="0.25">
      <c r="A21" s="114" t="s">
        <v>573</v>
      </c>
      <c r="B21" s="116"/>
      <c r="C21" s="116"/>
      <c r="D21" s="116"/>
      <c r="E21" s="116">
        <f>POWER(E4/U4,1/5)-1</f>
        <v>0.35613557904664783</v>
      </c>
      <c r="F21" s="116"/>
      <c r="G21" s="116"/>
      <c r="H21" s="116"/>
      <c r="I21" s="116">
        <f>POWER(E4/Y4,1/6)-1</f>
        <v>0.16591306354783075</v>
      </c>
      <c r="M21" s="116">
        <f>POWER(E4/AC4,1/7)-1</f>
        <v>0.14167012775104193</v>
      </c>
    </row>
    <row r="22" spans="1:90" s="63" customFormat="1" ht="14.25" customHeight="1" x14ac:dyDescent="0.25">
      <c r="A22" s="114" t="s">
        <v>576</v>
      </c>
      <c r="B22" s="116"/>
      <c r="C22" s="116"/>
      <c r="D22" s="116"/>
      <c r="E22" s="116">
        <f>POWER(E5/U5,1/5)-1</f>
        <v>0.25085744894701589</v>
      </c>
      <c r="F22" s="116"/>
      <c r="G22" s="116"/>
      <c r="H22" s="116"/>
      <c r="I22" s="116">
        <f>POWER(E5/Y5,1/6)-1</f>
        <v>0.21408370242007324</v>
      </c>
      <c r="M22" s="116">
        <f>POWER(E5/AC5,1/7)-1</f>
        <v>0.21259413982556508</v>
      </c>
    </row>
    <row r="23" spans="1:90" s="63" customFormat="1" ht="14.25" customHeight="1" x14ac:dyDescent="0.25">
      <c r="A23" s="114" t="s">
        <v>577</v>
      </c>
      <c r="B23" s="116"/>
      <c r="C23" s="116"/>
      <c r="D23" s="116"/>
      <c r="E23" s="116">
        <f>POWER(E6/U6,1/5)-1</f>
        <v>0.20050900160631313</v>
      </c>
      <c r="F23" s="116"/>
      <c r="G23" s="116"/>
      <c r="H23" s="116"/>
      <c r="I23" s="116">
        <f>POWER(E6/Y6,1/6)-1</f>
        <v>0.25712735110112628</v>
      </c>
      <c r="M23" s="116">
        <f>POWER(E6/AC6,1/7)-1</f>
        <v>0.29244136538847898</v>
      </c>
    </row>
    <row r="24" spans="1:90" s="63" customFormat="1" ht="14.25" customHeight="1" x14ac:dyDescent="0.25">
      <c r="A24" s="114" t="s">
        <v>578</v>
      </c>
      <c r="B24" s="116"/>
      <c r="C24" s="116"/>
      <c r="D24" s="116"/>
      <c r="E24" s="116">
        <f>POWER(E7/U7,1/5)-1</f>
        <v>0.11940667353623757</v>
      </c>
      <c r="F24" s="116"/>
      <c r="G24" s="116"/>
      <c r="H24" s="116"/>
      <c r="I24" s="116">
        <f>POWER(E7/Y7,1/6)-1</f>
        <v>0.19015038941387075</v>
      </c>
      <c r="M24" s="116">
        <f>POWER(E7/AC7,1/7)-1</f>
        <v>0.22433749022507721</v>
      </c>
    </row>
    <row r="25" spans="1:90" s="108" customFormat="1" x14ac:dyDescent="0.25">
      <c r="A25" s="144" t="s">
        <v>554</v>
      </c>
      <c r="B25" s="109"/>
      <c r="C25" s="109"/>
      <c r="D25" s="109"/>
      <c r="E25" s="109">
        <f>(E2-I2)/I2</f>
        <v>0.53626139659416339</v>
      </c>
      <c r="F25" s="109">
        <f t="shared" ref="F25:BQ25" si="10">(F2-J2)/J2</f>
        <v>0.13241038660253043</v>
      </c>
      <c r="G25" s="109">
        <f t="shared" si="10"/>
        <v>0.21824375122135947</v>
      </c>
      <c r="H25" s="109">
        <f t="shared" si="10"/>
        <v>0.17870929030918858</v>
      </c>
      <c r="I25" s="109">
        <f t="shared" si="10"/>
        <v>-3.8132564156441527E-2</v>
      </c>
      <c r="J25" s="108">
        <f t="shared" si="10"/>
        <v>0.89208131245162259</v>
      </c>
      <c r="K25" s="108">
        <f t="shared" si="10"/>
        <v>0.8391191295307816</v>
      </c>
      <c r="L25" s="108">
        <f t="shared" si="10"/>
        <v>1.1454144971700497</v>
      </c>
      <c r="M25" s="109">
        <f t="shared" si="10"/>
        <v>0.98279024271773352</v>
      </c>
      <c r="N25" s="109">
        <f t="shared" si="10"/>
        <v>0.16411580392228908</v>
      </c>
      <c r="O25" s="109">
        <f t="shared" si="10"/>
        <v>-0.38053544994173211</v>
      </c>
      <c r="P25" s="109">
        <f t="shared" si="10"/>
        <v>-0.31131880852455884</v>
      </c>
      <c r="Q25" s="109">
        <f t="shared" si="10"/>
        <v>-1.2154861454021929E-2</v>
      </c>
      <c r="R25" s="109">
        <f t="shared" si="10"/>
        <v>-3.0099375979296395E-2</v>
      </c>
      <c r="S25" s="109">
        <f t="shared" si="10"/>
        <v>0.17777116506936222</v>
      </c>
      <c r="T25" s="109">
        <f t="shared" si="10"/>
        <v>-9.3558947459656996E-2</v>
      </c>
      <c r="U25" s="109">
        <f t="shared" si="10"/>
        <v>-0.28088804595846267</v>
      </c>
      <c r="V25" s="108">
        <f t="shared" si="10"/>
        <v>0.85549663145496446</v>
      </c>
      <c r="W25" s="108">
        <f t="shared" si="10"/>
        <v>0.78833829323549931</v>
      </c>
      <c r="X25" s="108">
        <f t="shared" si="10"/>
        <v>0.38624309884647995</v>
      </c>
      <c r="Y25" s="108">
        <f t="shared" si="10"/>
        <v>-0.22538932407215989</v>
      </c>
      <c r="Z25" s="108">
        <f t="shared" si="10"/>
        <v>-0.21674097005038448</v>
      </c>
      <c r="AA25" s="108">
        <f t="shared" si="10"/>
        <v>-0.37162069033276418</v>
      </c>
      <c r="AB25" s="108">
        <f t="shared" si="10"/>
        <v>-0.18603714980204406</v>
      </c>
      <c r="AC25" s="108">
        <f t="shared" si="10"/>
        <v>0.72106965324209482</v>
      </c>
      <c r="AD25" s="108">
        <f t="shared" si="10"/>
        <v>-8.6690889000701349E-2</v>
      </c>
      <c r="AE25" s="108">
        <f t="shared" si="10"/>
        <v>0.77549030232701022</v>
      </c>
      <c r="AF25" s="108">
        <f t="shared" si="10"/>
        <v>0.47751776149141861</v>
      </c>
      <c r="AG25" s="108">
        <f t="shared" si="10"/>
        <v>-0.10006983043828378</v>
      </c>
      <c r="AH25" s="108">
        <f t="shared" si="10"/>
        <v>-0.50588149192864262</v>
      </c>
      <c r="AI25" s="108">
        <f t="shared" si="10"/>
        <v>-0.67209523387796</v>
      </c>
      <c r="AJ25" s="108">
        <f t="shared" si="10"/>
        <v>-0.55422688941340226</v>
      </c>
      <c r="AK25" s="108">
        <f t="shared" si="10"/>
        <v>-3.2890790977587001E-2</v>
      </c>
      <c r="AL25" s="108">
        <f t="shared" si="10"/>
        <v>1.7793030959529132</v>
      </c>
      <c r="AM25" s="108">
        <f t="shared" si="10"/>
        <v>2.7649845128218749</v>
      </c>
      <c r="AN25" s="108">
        <f t="shared" si="10"/>
        <v>1.4093825082659137</v>
      </c>
      <c r="AO25" s="108">
        <f t="shared" si="10"/>
        <v>-0.10691840479224794</v>
      </c>
      <c r="AP25" s="108">
        <f t="shared" si="10"/>
        <v>-0.55471328507683737</v>
      </c>
      <c r="AQ25" s="108">
        <f t="shared" si="10"/>
        <v>-0.29553050052623453</v>
      </c>
      <c r="AR25" s="108">
        <f t="shared" si="10"/>
        <v>1.7401983632004809</v>
      </c>
      <c r="AS25" s="108">
        <f t="shared" si="10"/>
        <v>3.9473684461249929</v>
      </c>
      <c r="AT25" s="108">
        <f t="shared" si="10"/>
        <v>2.4317186274199765</v>
      </c>
      <c r="AU25" s="108">
        <f t="shared" si="10"/>
        <v>1.6609461648832045</v>
      </c>
      <c r="AV25" s="108">
        <f t="shared" si="10"/>
        <v>0.32977478536193294</v>
      </c>
      <c r="AW25" s="108">
        <f t="shared" si="10"/>
        <v>0.1486485914305104</v>
      </c>
      <c r="AX25" s="108">
        <f t="shared" si="10"/>
        <v>-4.4700671025738069E-2</v>
      </c>
      <c r="AY25" s="108">
        <f t="shared" si="10"/>
        <v>-0.35940189758030516</v>
      </c>
      <c r="AZ25" s="108">
        <f t="shared" si="10"/>
        <v>-0.56003319515631367</v>
      </c>
      <c r="BA25" s="108">
        <f t="shared" si="10"/>
        <v>-0.42129772756488054</v>
      </c>
      <c r="BB25" s="108">
        <f t="shared" si="10"/>
        <v>-0.12191874204760458</v>
      </c>
      <c r="BC25" s="108">
        <f t="shared" si="10"/>
        <v>-0.21648763441267166</v>
      </c>
      <c r="BD25" s="108">
        <f t="shared" si="10"/>
        <v>1.1229665598420995</v>
      </c>
      <c r="BE25" s="108">
        <f t="shared" si="10"/>
        <v>0.40900812628085814</v>
      </c>
      <c r="BF25" s="108">
        <f t="shared" si="10"/>
        <v>0.37996402756958486</v>
      </c>
      <c r="BG25" s="108">
        <f t="shared" si="10"/>
        <v>3.8324063719568104</v>
      </c>
      <c r="BH25" s="108">
        <f t="shared" si="10"/>
        <v>0.87575268596000655</v>
      </c>
      <c r="BI25" s="108">
        <f t="shared" si="10"/>
        <v>2.0491931572382827</v>
      </c>
      <c r="BJ25" s="108">
        <f t="shared" si="10"/>
        <v>1.4161423976197995</v>
      </c>
      <c r="BK25" s="108">
        <f t="shared" si="10"/>
        <v>0.47694793586592482</v>
      </c>
      <c r="BL25" s="108">
        <f t="shared" si="10"/>
        <v>7.7068286183490944E-2</v>
      </c>
      <c r="BM25" s="108">
        <f t="shared" si="10"/>
        <v>-0.46324875102431534</v>
      </c>
      <c r="BN25" s="108" t="e">
        <f t="shared" si="10"/>
        <v>#DIV/0!</v>
      </c>
      <c r="BO25" s="108">
        <f t="shared" si="10"/>
        <v>-0.6623350043256111</v>
      </c>
      <c r="BP25" s="108">
        <f t="shared" si="10"/>
        <v>-0.64783712745697986</v>
      </c>
      <c r="BQ25" s="108">
        <f t="shared" si="10"/>
        <v>9.1952517510444771</v>
      </c>
      <c r="BR25" s="108">
        <f t="shared" ref="BR25:CK25" si="11">(BR2-BV2)/BV2</f>
        <v>-1</v>
      </c>
      <c r="BS25" s="108">
        <f t="shared" si="11"/>
        <v>22.884169432956366</v>
      </c>
      <c r="BT25" s="108">
        <f t="shared" si="11"/>
        <v>80.437654124019218</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562</v>
      </c>
      <c r="E26" s="109">
        <f>E2/E9</f>
        <v>5.8729835069126025E-2</v>
      </c>
      <c r="F26" s="109">
        <f t="shared" ref="F26:BQ26" si="12">F2/F9</f>
        <v>5.4790197966374451E-2</v>
      </c>
      <c r="G26" s="109">
        <f t="shared" si="12"/>
        <v>4.8770391375439787E-2</v>
      </c>
      <c r="H26" s="109">
        <f t="shared" si="12"/>
        <v>6.6590279939330574E-2</v>
      </c>
      <c r="I26" s="109">
        <f t="shared" si="12"/>
        <v>4.9777090151832036E-2</v>
      </c>
      <c r="J26" s="109">
        <f t="shared" si="12"/>
        <v>6.136443074404991E-2</v>
      </c>
      <c r="K26" s="109">
        <f t="shared" si="12"/>
        <v>4.7986238934046382E-2</v>
      </c>
      <c r="L26" s="109">
        <f t="shared" si="12"/>
        <v>6.3346935888986378E-2</v>
      </c>
      <c r="M26" s="109">
        <f t="shared" si="12"/>
        <v>5.1548913164028834E-2</v>
      </c>
      <c r="N26" s="109">
        <f t="shared" si="12"/>
        <v>3.2691183757421451E-2</v>
      </c>
      <c r="O26" s="109">
        <f t="shared" si="12"/>
        <v>2.8693412108217037E-2</v>
      </c>
      <c r="P26" s="109">
        <f t="shared" si="12"/>
        <v>3.1663516425255868E-2</v>
      </c>
      <c r="Q26" s="109">
        <f t="shared" si="12"/>
        <v>2.9874433016640226E-2</v>
      </c>
      <c r="R26" s="109">
        <f t="shared" si="12"/>
        <v>3.3712106959483248E-2</v>
      </c>
      <c r="S26" s="109">
        <f t="shared" si="12"/>
        <v>5.5615510080103236E-2</v>
      </c>
      <c r="T26" s="109">
        <f t="shared" si="12"/>
        <v>5.8351428974943942E-2</v>
      </c>
      <c r="U26" s="109">
        <f t="shared" si="12"/>
        <v>4.1312812000540461E-2</v>
      </c>
      <c r="V26" s="109">
        <f t="shared" si="12"/>
        <v>4.7693052264190142E-2</v>
      </c>
      <c r="W26" s="109">
        <f t="shared" si="12"/>
        <v>6.5520940161461205E-2</v>
      </c>
      <c r="X26" s="109">
        <f t="shared" si="12"/>
        <v>8.9697265347544783E-2</v>
      </c>
      <c r="Y26" s="109">
        <f t="shared" si="12"/>
        <v>7.73476232560808E-2</v>
      </c>
      <c r="Z26" s="109">
        <f t="shared" si="12"/>
        <v>3.5388858431802311E-2</v>
      </c>
      <c r="AA26" s="109">
        <f t="shared" si="12"/>
        <v>5.0844347589714116E-2</v>
      </c>
      <c r="AB26" s="109">
        <f t="shared" si="12"/>
        <v>8.6060452756473574E-2</v>
      </c>
      <c r="AC26" s="109">
        <f t="shared" si="12"/>
        <v>0.12588647629187649</v>
      </c>
      <c r="AD26" s="109">
        <f t="shared" si="12"/>
        <v>5.9183784612212985E-2</v>
      </c>
      <c r="AE26" s="109">
        <f t="shared" si="12"/>
        <v>9.719731502933425E-2</v>
      </c>
      <c r="AF26" s="109">
        <f t="shared" si="12"/>
        <v>0.12536788313494018</v>
      </c>
      <c r="AG26" s="109">
        <f t="shared" si="12"/>
        <v>9.4346592333367382E-2</v>
      </c>
      <c r="AH26" s="109">
        <f t="shared" si="12"/>
        <v>8.3327982931026084E-2</v>
      </c>
      <c r="AI26" s="109">
        <f t="shared" si="12"/>
        <v>7.8848532814628586E-2</v>
      </c>
      <c r="AJ26" s="109">
        <f t="shared" si="12"/>
        <v>0.12434297534928884</v>
      </c>
      <c r="AK26" s="109">
        <f t="shared" si="12"/>
        <v>0.14170736190577665</v>
      </c>
      <c r="AL26" s="109">
        <f t="shared" si="12"/>
        <v>0.19292684657191342</v>
      </c>
      <c r="AM26" s="109">
        <f t="shared" si="12"/>
        <v>0.26280037835470882</v>
      </c>
      <c r="AN26" s="109">
        <f t="shared" si="12"/>
        <v>0.30765103844998709</v>
      </c>
      <c r="AO26" s="109">
        <f t="shared" si="12"/>
        <v>0.17853620648586155</v>
      </c>
      <c r="AP26" s="109">
        <f t="shared" si="12"/>
        <v>8.933547511301039E-2</v>
      </c>
      <c r="AQ26" s="109">
        <f t="shared" si="12"/>
        <v>8.825082670854513E-2</v>
      </c>
      <c r="AR26" s="109">
        <f t="shared" si="12"/>
        <v>0.15112412892774019</v>
      </c>
      <c r="AS26" s="109">
        <f t="shared" si="12"/>
        <v>0.21791308004151952</v>
      </c>
      <c r="AT26" s="109">
        <f t="shared" si="12"/>
        <v>0.233451875035427</v>
      </c>
      <c r="AU26" s="109">
        <f t="shared" si="12"/>
        <v>0.1556791291887924</v>
      </c>
      <c r="AV26" s="109">
        <f t="shared" si="12"/>
        <v>7.8766031832987707E-2</v>
      </c>
      <c r="AW26" s="109">
        <f t="shared" si="12"/>
        <v>6.5793367548027865E-2</v>
      </c>
      <c r="AX26" s="109">
        <f t="shared" si="12"/>
        <v>9.5810698166703068E-2</v>
      </c>
      <c r="AY26" s="109">
        <f t="shared" si="12"/>
        <v>7.9589807499576629E-2</v>
      </c>
      <c r="AZ26" s="109">
        <f t="shared" si="12"/>
        <v>7.146395014782482E-2</v>
      </c>
      <c r="BA26" s="109">
        <f t="shared" si="12"/>
        <v>6.7847849568797136E-2</v>
      </c>
      <c r="BB26" s="109">
        <f t="shared" si="12"/>
        <v>0.11851770079945301</v>
      </c>
      <c r="BC26" s="109">
        <f t="shared" si="12"/>
        <v>0.14200963002990005</v>
      </c>
      <c r="BD26" s="109">
        <f t="shared" si="12"/>
        <v>0.21667309851919528</v>
      </c>
      <c r="BE26" s="109">
        <f t="shared" si="12"/>
        <v>0.16734574513313036</v>
      </c>
      <c r="BF26" s="109">
        <f t="shared" si="12"/>
        <v>0.24762151293627696</v>
      </c>
      <c r="BG26" s="109">
        <f t="shared" si="12"/>
        <v>0.38551479091241125</v>
      </c>
      <c r="BH26" s="109">
        <f t="shared" si="12"/>
        <v>0.23752569438274557</v>
      </c>
      <c r="BI26" s="109">
        <f t="shared" si="12"/>
        <v>0.26369231468855692</v>
      </c>
      <c r="BJ26" s="109">
        <f t="shared" si="12"/>
        <v>0.31406053831125824</v>
      </c>
      <c r="BK26" s="109">
        <f t="shared" si="12"/>
        <v>0.13974662671896582</v>
      </c>
      <c r="BL26" s="109">
        <f t="shared" si="12"/>
        <v>0.17643459691229624</v>
      </c>
      <c r="BM26" s="109">
        <f t="shared" si="12"/>
        <v>0.13144447501562617</v>
      </c>
      <c r="BN26" s="109">
        <f t="shared" si="12"/>
        <v>0.18049852232511562</v>
      </c>
      <c r="BO26" s="109">
        <f t="shared" si="12"/>
        <v>0.11871754630516915</v>
      </c>
      <c r="BP26" s="109">
        <f t="shared" si="12"/>
        <v>0.20910999314099638</v>
      </c>
      <c r="BQ26" s="109">
        <f t="shared" si="12"/>
        <v>0.26827713820894566</v>
      </c>
      <c r="BR26" s="109" t="e">
        <f t="shared" ref="BR26:CK26" si="13">BR2/BR9</f>
        <v>#DIV/0!</v>
      </c>
      <c r="BS26" s="109">
        <f t="shared" si="13"/>
        <v>0.39156818065566701</v>
      </c>
      <c r="BT26" s="109">
        <f t="shared" si="13"/>
        <v>0.62744854126951266</v>
      </c>
      <c r="BU26" s="109">
        <f t="shared" si="13"/>
        <v>6.8230191876450019E-2</v>
      </c>
      <c r="BV26" s="109">
        <f t="shared" si="13"/>
        <v>0.1407971938240283</v>
      </c>
      <c r="BW26" s="109">
        <f t="shared" si="13"/>
        <v>5.6822629582042393E-2</v>
      </c>
      <c r="BX26" s="109">
        <f t="shared" si="13"/>
        <v>3.4579672907171288E-2</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555</v>
      </c>
      <c r="E27" s="110">
        <f>(E3-I3)/I3</f>
        <v>0.44679982237796179</v>
      </c>
      <c r="F27" s="110">
        <f t="shared" ref="F27:BQ27" si="14">(F3-J3)/J3</f>
        <v>0.2645598094152854</v>
      </c>
      <c r="G27" s="110">
        <f t="shared" si="14"/>
        <v>1.0974235261311047</v>
      </c>
      <c r="H27" s="110">
        <f t="shared" si="14"/>
        <v>0.98248952166003634</v>
      </c>
      <c r="I27" s="110">
        <f t="shared" si="14"/>
        <v>0.95190567392953618</v>
      </c>
      <c r="J27" s="110">
        <f t="shared" si="14"/>
        <v>0.8946077763231447</v>
      </c>
      <c r="K27" s="110">
        <f t="shared" si="14"/>
        <v>1.2886995813358346</v>
      </c>
      <c r="L27" s="110">
        <f t="shared" si="14"/>
        <v>1.2830995425735718</v>
      </c>
      <c r="M27" s="110">
        <f t="shared" si="14"/>
        <v>1.097452868470794</v>
      </c>
      <c r="N27" s="110">
        <f t="shared" si="14"/>
        <v>1.0401189631943824</v>
      </c>
      <c r="O27" s="110">
        <f t="shared" si="14"/>
        <v>-0.20136101543960161</v>
      </c>
      <c r="P27" s="110">
        <f t="shared" si="14"/>
        <v>-0.21186930555797978</v>
      </c>
      <c r="Q27" s="110">
        <f t="shared" si="14"/>
        <v>-0.20805326791265302</v>
      </c>
      <c r="R27" s="110">
        <f t="shared" si="14"/>
        <v>-0.13841352935615053</v>
      </c>
      <c r="S27" s="110">
        <f t="shared" si="14"/>
        <v>5.3698652248350319E-2</v>
      </c>
      <c r="T27" s="110">
        <f t="shared" si="14"/>
        <v>5.896400839207571E-2</v>
      </c>
      <c r="U27" s="110">
        <f t="shared" si="14"/>
        <v>1.480506552561387</v>
      </c>
      <c r="V27" s="110">
        <f t="shared" si="14"/>
        <v>1.6333393871824673</v>
      </c>
      <c r="W27" s="110">
        <f t="shared" si="14"/>
        <v>1.6461785139511282</v>
      </c>
      <c r="X27" s="110">
        <f t="shared" si="14"/>
        <v>3.1816502663854238</v>
      </c>
      <c r="Y27" s="110">
        <f t="shared" si="14"/>
        <v>0.800139613524951</v>
      </c>
      <c r="Z27" s="110">
        <f t="shared" si="14"/>
        <v>0.97936327800000011</v>
      </c>
      <c r="AA27" s="110">
        <f t="shared" si="14"/>
        <v>0.9789172989999998</v>
      </c>
      <c r="AB27" s="110">
        <f t="shared" si="14"/>
        <v>0.25417325850000011</v>
      </c>
      <c r="AC27" s="110">
        <f t="shared" si="14"/>
        <v>0.25472084499999992</v>
      </c>
      <c r="AD27" s="110">
        <f t="shared" si="14"/>
        <v>-0.89189415533025773</v>
      </c>
      <c r="AE27" s="110">
        <f t="shared" si="14"/>
        <v>-0.89068372486782943</v>
      </c>
      <c r="AF27" s="110">
        <f t="shared" si="14"/>
        <v>-0.88753991988154057</v>
      </c>
      <c r="AG27" s="110">
        <f t="shared" si="14"/>
        <v>-0.89940943483389824</v>
      </c>
      <c r="AH27" s="110">
        <f t="shared" si="14"/>
        <v>-4.8543940235394011E-2</v>
      </c>
      <c r="AI27" s="110">
        <f t="shared" si="14"/>
        <v>-4.1501770100047214E-2</v>
      </c>
      <c r="AJ27" s="110">
        <f t="shared" si="14"/>
        <v>-4.2968707017402269E-2</v>
      </c>
      <c r="AK27" s="110">
        <f t="shared" si="14"/>
        <v>7.2766281731576232E-2</v>
      </c>
      <c r="AL27" s="110">
        <f t="shared" si="14"/>
        <v>4.9878818023483221E-2</v>
      </c>
      <c r="AM27" s="110">
        <f t="shared" si="14"/>
        <v>4.5007813259365994</v>
      </c>
      <c r="AN27" s="110">
        <f t="shared" si="14"/>
        <v>0.91375456045314096</v>
      </c>
      <c r="AO27" s="110">
        <f t="shared" si="14"/>
        <v>4.3411916077809796</v>
      </c>
      <c r="AP27" s="110">
        <f t="shared" si="14"/>
        <v>4.3373223910662828</v>
      </c>
      <c r="AQ27" s="110">
        <f t="shared" si="14"/>
        <v>-0.3656307129798903</v>
      </c>
      <c r="AR27" s="110">
        <f t="shared" si="14"/>
        <v>0.77513711151736742</v>
      </c>
      <c r="AS27" s="110">
        <f t="shared" si="14"/>
        <v>-0.3656307129798903</v>
      </c>
      <c r="AT27" s="110">
        <f t="shared" si="14"/>
        <v>0</v>
      </c>
      <c r="AU27" s="110">
        <f t="shared" si="14"/>
        <v>0.57636887608069165</v>
      </c>
      <c r="AV27" s="110">
        <f t="shared" si="14"/>
        <v>0.57636887608069165</v>
      </c>
      <c r="AW27" s="110">
        <f t="shared" si="14"/>
        <v>0.57636887608069165</v>
      </c>
      <c r="AX27" s="110">
        <f t="shared" si="14"/>
        <v>0</v>
      </c>
      <c r="AY27" s="110">
        <f t="shared" si="14"/>
        <v>0</v>
      </c>
      <c r="AZ27" s="110">
        <f t="shared" si="14"/>
        <v>0.73499999999999999</v>
      </c>
      <c r="BA27" s="110">
        <f t="shared" si="14"/>
        <v>0.73499999999999999</v>
      </c>
      <c r="BB27" s="110">
        <f t="shared" si="14"/>
        <v>0.73499999999999999</v>
      </c>
      <c r="BC27" s="110">
        <f t="shared" si="14"/>
        <v>0.73499999999999999</v>
      </c>
      <c r="BD27" s="110">
        <f t="shared" si="14"/>
        <v>0</v>
      </c>
      <c r="BE27" s="110">
        <f t="shared" si="14"/>
        <v>0</v>
      </c>
      <c r="BF27" s="110">
        <f t="shared" si="14"/>
        <v>0</v>
      </c>
      <c r="BG27" s="110">
        <f t="shared" si="14"/>
        <v>0</v>
      </c>
      <c r="BH27" s="110">
        <f t="shared" si="14"/>
        <v>0</v>
      </c>
      <c r="BI27" s="110">
        <f t="shared" si="14"/>
        <v>0</v>
      </c>
      <c r="BJ27" s="110">
        <f t="shared" si="14"/>
        <v>0</v>
      </c>
      <c r="BK27" s="110">
        <f t="shared" si="14"/>
        <v>0</v>
      </c>
      <c r="BL27" s="110">
        <f t="shared" si="14"/>
        <v>0</v>
      </c>
      <c r="BM27" s="110">
        <f t="shared" si="14"/>
        <v>0</v>
      </c>
      <c r="BN27" s="110" t="e">
        <f t="shared" si="14"/>
        <v>#DIV/0!</v>
      </c>
      <c r="BO27" s="110">
        <f t="shared" si="14"/>
        <v>0</v>
      </c>
      <c r="BP27" s="110">
        <f t="shared" si="14"/>
        <v>1</v>
      </c>
      <c r="BQ27" s="110">
        <f t="shared" si="14"/>
        <v>1</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563</v>
      </c>
      <c r="E28" s="110">
        <f>E3/E9</f>
        <v>1.0013086277810366E-2</v>
      </c>
      <c r="F28" s="110">
        <f t="shared" ref="F28:BQ28" si="16">F3/F9</f>
        <v>8.6685614157093922E-3</v>
      </c>
      <c r="G28" s="110">
        <f t="shared" si="16"/>
        <v>8.5508811933094966E-3</v>
      </c>
      <c r="H28" s="110">
        <f t="shared" si="16"/>
        <v>8.7411081907626635E-3</v>
      </c>
      <c r="I28" s="110">
        <f t="shared" si="16"/>
        <v>9.0114640229200255E-3</v>
      </c>
      <c r="J28" s="110">
        <f t="shared" si="16"/>
        <v>8.6941141881268121E-3</v>
      </c>
      <c r="K28" s="110">
        <f t="shared" si="16"/>
        <v>4.8867418924475421E-3</v>
      </c>
      <c r="L28" s="110">
        <f t="shared" si="16"/>
        <v>4.9439841955105672E-3</v>
      </c>
      <c r="M28" s="110">
        <f t="shared" si="16"/>
        <v>4.5987707093758639E-3</v>
      </c>
      <c r="N28" s="110">
        <f t="shared" si="16"/>
        <v>4.625511422180332E-3</v>
      </c>
      <c r="O28" s="110">
        <f t="shared" si="16"/>
        <v>2.3480425160858007E-3</v>
      </c>
      <c r="P28" s="110">
        <f t="shared" si="16"/>
        <v>2.3221858219087234E-3</v>
      </c>
      <c r="Q28" s="110">
        <f t="shared" si="16"/>
        <v>2.5194542549126413E-3</v>
      </c>
      <c r="R28" s="110">
        <f t="shared" si="16"/>
        <v>2.721796802993939E-3</v>
      </c>
      <c r="S28" s="110">
        <f t="shared" si="16"/>
        <v>3.5300888586036784E-3</v>
      </c>
      <c r="T28" s="110">
        <f t="shared" si="16"/>
        <v>3.7394635234311996E-3</v>
      </c>
      <c r="U28" s="110">
        <f t="shared" si="16"/>
        <v>4.3459473267063653E-3</v>
      </c>
      <c r="V28" s="110">
        <f t="shared" si="16"/>
        <v>4.3346425403585458E-3</v>
      </c>
      <c r="W28" s="110">
        <f t="shared" si="16"/>
        <v>4.6485159574424896E-3</v>
      </c>
      <c r="X28" s="110">
        <f t="shared" si="16"/>
        <v>4.9203429528496502E-3</v>
      </c>
      <c r="Y28" s="110">
        <f t="shared" si="16"/>
        <v>2.3588634679262729E-3</v>
      </c>
      <c r="Z28" s="110">
        <f t="shared" si="16"/>
        <v>2.2663034517452722E-3</v>
      </c>
      <c r="AA28" s="110">
        <f t="shared" si="16"/>
        <v>2.4378524803025732E-3</v>
      </c>
      <c r="AB28" s="110">
        <f t="shared" si="16"/>
        <v>1.5649897156659388E-3</v>
      </c>
      <c r="AC28" s="110">
        <f t="shared" si="16"/>
        <v>1.6520081967478025E-3</v>
      </c>
      <c r="AD28" s="110">
        <f t="shared" si="16"/>
        <v>1.4998027372155247E-3</v>
      </c>
      <c r="AE28" s="110">
        <f t="shared" si="16"/>
        <v>1.479834823557375E-3</v>
      </c>
      <c r="AF28" s="110">
        <f t="shared" si="16"/>
        <v>1.4795893666034639E-3</v>
      </c>
      <c r="AG28" s="110">
        <f t="shared" si="16"/>
        <v>1.6982853883955205E-3</v>
      </c>
      <c r="AH28" s="110">
        <f t="shared" si="16"/>
        <v>1.7839837468042585E-2</v>
      </c>
      <c r="AI28" s="110">
        <f t="shared" si="16"/>
        <v>1.9497820632154723E-2</v>
      </c>
      <c r="AJ28" s="110">
        <f t="shared" si="16"/>
        <v>1.9280153430652675E-2</v>
      </c>
      <c r="AK28" s="110">
        <f t="shared" si="16"/>
        <v>2.2820672093945147E-2</v>
      </c>
      <c r="AL28" s="110">
        <f t="shared" si="16"/>
        <v>2.1450384177994448E-2</v>
      </c>
      <c r="AM28" s="110">
        <f t="shared" si="16"/>
        <v>2.2231811653484014E-2</v>
      </c>
      <c r="AN28" s="110">
        <f t="shared" si="16"/>
        <v>2.2219554400881743E-2</v>
      </c>
      <c r="AO28" s="110">
        <f t="shared" si="16"/>
        <v>2.5919864354250699E-2</v>
      </c>
      <c r="AP28" s="110">
        <f t="shared" si="16"/>
        <v>2.6294389878562627E-2</v>
      </c>
      <c r="AQ28" s="110">
        <f t="shared" si="16"/>
        <v>5.1098301461799545E-3</v>
      </c>
      <c r="AR28" s="110">
        <f t="shared" si="16"/>
        <v>1.3741377953365479E-2</v>
      </c>
      <c r="AS28" s="110">
        <f t="shared" si="16"/>
        <v>5.289842023134244E-3</v>
      </c>
      <c r="AT28" s="110">
        <f t="shared" si="16"/>
        <v>5.7326155178979736E-3</v>
      </c>
      <c r="AU28" s="110">
        <f t="shared" si="16"/>
        <v>1.001009321481457E-2</v>
      </c>
      <c r="AV28" s="110">
        <f t="shared" si="16"/>
        <v>1.1055682039812779E-2</v>
      </c>
      <c r="AW28" s="110">
        <f t="shared" si="16"/>
        <v>1.2455857335657454E-2</v>
      </c>
      <c r="AX28" s="110">
        <f t="shared" si="16"/>
        <v>8.0738583441747388E-3</v>
      </c>
      <c r="AY28" s="110">
        <f t="shared" si="16"/>
        <v>8.6386010737641433E-3</v>
      </c>
      <c r="AZ28" s="110">
        <f t="shared" si="16"/>
        <v>8.4616261516362087E-3</v>
      </c>
      <c r="BA28" s="110">
        <f t="shared" si="16"/>
        <v>9.3595922618168199E-3</v>
      </c>
      <c r="BB28" s="110">
        <f t="shared" si="16"/>
        <v>9.5409102607688662E-3</v>
      </c>
      <c r="BC28" s="110">
        <f t="shared" si="16"/>
        <v>9.8739155515680053E-3</v>
      </c>
      <c r="BD28" s="110">
        <f t="shared" si="16"/>
        <v>6.505673161010278E-3</v>
      </c>
      <c r="BE28" s="110">
        <f t="shared" si="16"/>
        <v>7.7000088734186165E-3</v>
      </c>
      <c r="BF28" s="110">
        <f t="shared" si="16"/>
        <v>1.008858353649099E-2</v>
      </c>
      <c r="BG28" s="110">
        <f t="shared" si="16"/>
        <v>1.2104839447268433E-2</v>
      </c>
      <c r="BH28" s="110">
        <f t="shared" si="16"/>
        <v>1.514052716431785E-2</v>
      </c>
      <c r="BI28" s="110">
        <f t="shared" si="16"/>
        <v>1.7095724926837121E-2</v>
      </c>
      <c r="BJ28" s="110">
        <f t="shared" si="16"/>
        <v>1.7657245606090322E-2</v>
      </c>
      <c r="BK28" s="110">
        <f t="shared" si="16"/>
        <v>2.1204242882020888E-2</v>
      </c>
      <c r="BL28" s="110">
        <f t="shared" si="16"/>
        <v>2.1095495316027942E-2</v>
      </c>
      <c r="BM28" s="110">
        <f t="shared" si="16"/>
        <v>2.5984676929429629E-2</v>
      </c>
      <c r="BN28" s="110">
        <f t="shared" si="16"/>
        <v>2.451916997346551E-2</v>
      </c>
      <c r="BO28" s="110">
        <f t="shared" si="16"/>
        <v>2.6604894114196802E-2</v>
      </c>
      <c r="BP28" s="110">
        <f t="shared" si="16"/>
        <v>2.6929234216042822E-2</v>
      </c>
      <c r="BQ28" s="110">
        <f t="shared" si="16"/>
        <v>2.8466345358467725E-2</v>
      </c>
      <c r="BR28" s="110" t="e">
        <f t="shared" ref="BR28:CK28" si="17">BR3/BR9</f>
        <v>#DIV/0!</v>
      </c>
      <c r="BS28" s="110">
        <f t="shared" si="17"/>
        <v>2.96305735187921E-2</v>
      </c>
      <c r="BT28" s="110">
        <f t="shared" si="17"/>
        <v>1.4227903201129851E-2</v>
      </c>
      <c r="BU28" s="110">
        <f t="shared" si="17"/>
        <v>3.6905628033895563E-2</v>
      </c>
      <c r="BV28" s="110">
        <f t="shared" si="17"/>
        <v>0</v>
      </c>
      <c r="BW28" s="110">
        <f t="shared" si="17"/>
        <v>0</v>
      </c>
      <c r="BX28" s="110">
        <f t="shared" si="17"/>
        <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572</v>
      </c>
      <c r="E29" s="109">
        <f>(E4-I4)/I4</f>
        <v>7.34596381647399</v>
      </c>
      <c r="F29" s="109">
        <f t="shared" ref="F29:BQ29" si="18">(F4-J4)/J4</f>
        <v>20.454957717926412</v>
      </c>
      <c r="G29" s="109">
        <f t="shared" si="18"/>
        <v>4.1318820003182974</v>
      </c>
      <c r="H29" s="109">
        <f t="shared" si="18"/>
        <v>4.5531940228625531</v>
      </c>
      <c r="I29" s="109">
        <f t="shared" si="18"/>
        <v>-0.42311264957667749</v>
      </c>
      <c r="J29" s="109">
        <f t="shared" si="18"/>
        <v>-0.8700100336670491</v>
      </c>
      <c r="K29" s="109">
        <f t="shared" si="18"/>
        <v>-0.29407382887722128</v>
      </c>
      <c r="L29" s="109">
        <f t="shared" si="18"/>
        <v>-0.77119456872146275</v>
      </c>
      <c r="M29" s="109">
        <f t="shared" si="18"/>
        <v>-0.26099034289743106</v>
      </c>
      <c r="N29" s="109">
        <f t="shared" si="18"/>
        <v>0.26592156756246899</v>
      </c>
      <c r="O29" s="109">
        <f t="shared" si="18"/>
        <v>-0.33284236598865607</v>
      </c>
      <c r="P29" s="109">
        <f t="shared" si="18"/>
        <v>0.1558047334435165</v>
      </c>
      <c r="Q29" s="109">
        <f t="shared" si="18"/>
        <v>0.28913358566449709</v>
      </c>
      <c r="R29" s="109">
        <f t="shared" si="18"/>
        <v>-0.32913783918302858</v>
      </c>
      <c r="S29" s="109">
        <f t="shared" si="18"/>
        <v>-7.3166288875666452E-2</v>
      </c>
      <c r="T29" s="109">
        <f t="shared" si="18"/>
        <v>-0.21375155439755419</v>
      </c>
      <c r="U29" s="109">
        <f t="shared" si="18"/>
        <v>-0.45237727755993346</v>
      </c>
      <c r="V29" s="109">
        <f t="shared" si="18"/>
        <v>-0.27445680008045642</v>
      </c>
      <c r="W29" s="109">
        <f t="shared" si="18"/>
        <v>-0.13153472779609005</v>
      </c>
      <c r="X29" s="109">
        <f t="shared" si="18"/>
        <v>-7.0146620558913908E-2</v>
      </c>
      <c r="Y29" s="109">
        <f t="shared" si="18"/>
        <v>6.438990773354099E-3</v>
      </c>
      <c r="Z29" s="109">
        <f t="shared" si="18"/>
        <v>0.49873533281482318</v>
      </c>
      <c r="AA29" s="109">
        <f t="shared" si="18"/>
        <v>0.33765787676238085</v>
      </c>
      <c r="AB29" s="109">
        <f t="shared" si="18"/>
        <v>0.33830035316401341</v>
      </c>
      <c r="AC29" s="109">
        <f t="shared" si="18"/>
        <v>0.32619067059636814</v>
      </c>
      <c r="AD29" s="109">
        <f t="shared" si="18"/>
        <v>0.33575554811170721</v>
      </c>
      <c r="AE29" s="109">
        <f t="shared" si="18"/>
        <v>0.76072393735618649</v>
      </c>
      <c r="AF29" s="109">
        <f t="shared" si="18"/>
        <v>0.92728088425751642</v>
      </c>
      <c r="AG29" s="109">
        <f t="shared" si="18"/>
        <v>0.72485317592560194</v>
      </c>
      <c r="AH29" s="109">
        <f t="shared" si="18"/>
        <v>0.11844139168183419</v>
      </c>
      <c r="AI29" s="109">
        <f t="shared" si="18"/>
        <v>-4.3139014780056689E-2</v>
      </c>
      <c r="AJ29" s="109">
        <f t="shared" si="18"/>
        <v>8.8713413887384508E-4</v>
      </c>
      <c r="AK29" s="109">
        <f t="shared" si="18"/>
        <v>-0.14518276581231548</v>
      </c>
      <c r="AL29" s="109">
        <f t="shared" si="18"/>
        <v>-7.1917138862871516E-2</v>
      </c>
      <c r="AM29" s="109">
        <f t="shared" si="18"/>
        <v>-0.21544252816205928</v>
      </c>
      <c r="AN29" s="109">
        <f t="shared" si="18"/>
        <v>-0.29426653978499268</v>
      </c>
      <c r="AO29" s="109">
        <f t="shared" si="18"/>
        <v>0.15448034075779535</v>
      </c>
      <c r="AP29" s="109">
        <f t="shared" si="18"/>
        <v>1.2048160068225324</v>
      </c>
      <c r="AQ29" s="109">
        <f t="shared" si="18"/>
        <v>1.3053850986989206</v>
      </c>
      <c r="AR29" s="109">
        <f t="shared" si="18"/>
        <v>1.1898779873277865</v>
      </c>
      <c r="AS29" s="109">
        <f t="shared" si="18"/>
        <v>3.3622619184034064</v>
      </c>
      <c r="AT29" s="109">
        <f t="shared" si="18"/>
        <v>2.6463424200842089</v>
      </c>
      <c r="AU29" s="109">
        <f t="shared" si="18"/>
        <v>7.0237875299900345</v>
      </c>
      <c r="AV29" s="109">
        <f t="shared" si="18"/>
        <v>3.4906242431759442</v>
      </c>
      <c r="AW29" s="109">
        <f t="shared" si="18"/>
        <v>-12.108120970451505</v>
      </c>
      <c r="AX29" s="109">
        <f t="shared" si="18"/>
        <v>4.7817315890906533</v>
      </c>
      <c r="AY29" s="109">
        <f t="shared" si="18"/>
        <v>0.28572957616491967</v>
      </c>
      <c r="AZ29" s="109">
        <f t="shared" si="18"/>
        <v>-12.901427163262793</v>
      </c>
      <c r="BA29" s="109">
        <f t="shared" si="18"/>
        <v>-1.4550996929630495</v>
      </c>
      <c r="BB29" s="109">
        <f t="shared" si="18"/>
        <v>-1.5437065015101779</v>
      </c>
      <c r="BC29" s="109">
        <f t="shared" si="18"/>
        <v>-1.4875309381215807</v>
      </c>
      <c r="BD29" s="109">
        <f t="shared" si="18"/>
        <v>1.0191445921205613</v>
      </c>
      <c r="BE29" s="109">
        <f t="shared" si="18"/>
        <v>-2.5025949658481568</v>
      </c>
      <c r="BF29" s="109">
        <f t="shared" si="18"/>
        <v>-3.2204290752291498</v>
      </c>
      <c r="BG29" s="109">
        <f t="shared" si="18"/>
        <v>-2.3428429633233621</v>
      </c>
      <c r="BH29" s="109">
        <f t="shared" si="18"/>
        <v>-1.0588794374968915</v>
      </c>
      <c r="BI29" s="109">
        <f t="shared" si="18"/>
        <v>-1.5424114797699742</v>
      </c>
      <c r="BJ29" s="109">
        <f t="shared" si="18"/>
        <v>-0.70137593426398337</v>
      </c>
      <c r="BK29" s="109">
        <f t="shared" si="18"/>
        <v>-0.10918155144803314</v>
      </c>
      <c r="BL29" s="109">
        <f t="shared" si="18"/>
        <v>0.29813928193588046</v>
      </c>
      <c r="BM29" s="109">
        <f t="shared" si="18"/>
        <v>0.11410935488483594</v>
      </c>
      <c r="BN29" s="109" t="e">
        <f t="shared" si="18"/>
        <v>#DIV/0!</v>
      </c>
      <c r="BO29" s="109">
        <f t="shared" si="18"/>
        <v>1.4034158568425692</v>
      </c>
      <c r="BP29" s="109">
        <f t="shared" si="18"/>
        <v>3.9457956769775278</v>
      </c>
      <c r="BQ29" s="109">
        <f t="shared" si="18"/>
        <v>-7.2595604068293254E-2</v>
      </c>
      <c r="BR29" s="109">
        <f t="shared" ref="BR29:CK29" si="19">(BR4-BV4)/BV4</f>
        <v>-1</v>
      </c>
      <c r="BS29" s="109">
        <f t="shared" si="19"/>
        <v>1.8037829133528482</v>
      </c>
      <c r="BT29" s="109">
        <f t="shared" si="19"/>
        <v>-0.55326138817364967</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556</v>
      </c>
      <c r="E30" s="109">
        <f>(E5-I5)/I5</f>
        <v>0.94832004895052313</v>
      </c>
      <c r="F30" s="109">
        <f t="shared" ref="F30:BQ30" si="20">(F5-J5)/J5</f>
        <v>0.7622139399332859</v>
      </c>
      <c r="G30" s="109">
        <f t="shared" si="20"/>
        <v>0.81116754900525523</v>
      </c>
      <c r="H30" s="109">
        <f t="shared" si="20"/>
        <v>0.7308356330139999</v>
      </c>
      <c r="I30" s="109">
        <f t="shared" si="20"/>
        <v>0.25170878831177579</v>
      </c>
      <c r="J30" s="109">
        <f t="shared" si="20"/>
        <v>0.19527413818320838</v>
      </c>
      <c r="K30" s="109">
        <f t="shared" si="20"/>
        <v>0.16512879931380869</v>
      </c>
      <c r="L30" s="109">
        <f t="shared" si="20"/>
        <v>-2.6909643825327234E-2</v>
      </c>
      <c r="M30" s="109">
        <f t="shared" si="20"/>
        <v>3.2447245429832017E-2</v>
      </c>
      <c r="N30" s="109">
        <f t="shared" si="20"/>
        <v>0.27150736288160116</v>
      </c>
      <c r="O30" s="109">
        <f t="shared" si="20"/>
        <v>9.4720757791145416E-2</v>
      </c>
      <c r="P30" s="109">
        <f t="shared" si="20"/>
        <v>0.14483769830892892</v>
      </c>
      <c r="Q30" s="109">
        <f t="shared" si="20"/>
        <v>0.21620735314435616</v>
      </c>
      <c r="R30" s="109">
        <f t="shared" si="20"/>
        <v>-3.3046025009901898E-2</v>
      </c>
      <c r="S30" s="109">
        <f t="shared" si="20"/>
        <v>5.7381155572426387E-2</v>
      </c>
      <c r="T30" s="109">
        <f t="shared" si="20"/>
        <v>7.0176884479399335E-2</v>
      </c>
      <c r="U30" s="109">
        <f t="shared" si="20"/>
        <v>4.5809734363027182E-2</v>
      </c>
      <c r="V30" s="109">
        <f t="shared" si="20"/>
        <v>-2.1411623227373829E-2</v>
      </c>
      <c r="W30" s="109">
        <f t="shared" si="20"/>
        <v>0.13974353255670061</v>
      </c>
      <c r="X30" s="109">
        <f t="shared" si="20"/>
        <v>0.19992973101266423</v>
      </c>
      <c r="Y30" s="109">
        <f t="shared" si="20"/>
        <v>0.20369506439320173</v>
      </c>
      <c r="Z30" s="109">
        <f t="shared" si="20"/>
        <v>0.46936709130984561</v>
      </c>
      <c r="AA30" s="109">
        <f t="shared" si="20"/>
        <v>0.35474396633801447</v>
      </c>
      <c r="AB30" s="109">
        <f t="shared" si="20"/>
        <v>0.37161675572989816</v>
      </c>
      <c r="AC30" s="109">
        <f t="shared" si="20"/>
        <v>0.50794313182930551</v>
      </c>
      <c r="AD30" s="109">
        <f t="shared" si="20"/>
        <v>0.57916964166430973</v>
      </c>
      <c r="AE30" s="109">
        <f t="shared" si="20"/>
        <v>0.76419965329117245</v>
      </c>
      <c r="AF30" s="109">
        <f t="shared" si="20"/>
        <v>0.78478112235477593</v>
      </c>
      <c r="AG30" s="109">
        <f t="shared" si="20"/>
        <v>0.52913185379918148</v>
      </c>
      <c r="AH30" s="109">
        <f t="shared" si="20"/>
        <v>9.2833307017309241E-2</v>
      </c>
      <c r="AI30" s="109">
        <f t="shared" si="20"/>
        <v>3.0270314901859403E-2</v>
      </c>
      <c r="AJ30" s="109">
        <f t="shared" si="20"/>
        <v>0.15841127871258034</v>
      </c>
      <c r="AK30" s="109">
        <f t="shared" si="20"/>
        <v>-1.2388823721702245E-2</v>
      </c>
      <c r="AL30" s="109">
        <f t="shared" si="20"/>
        <v>2.7331884905216375E-2</v>
      </c>
      <c r="AM30" s="109">
        <f t="shared" si="20"/>
        <v>-0.18166649921749703</v>
      </c>
      <c r="AN30" s="109">
        <f t="shared" si="20"/>
        <v>-0.33490198325669268</v>
      </c>
      <c r="AO30" s="109">
        <f t="shared" si="20"/>
        <v>-2.8402990025074341E-2</v>
      </c>
      <c r="AP30" s="109">
        <f t="shared" si="20"/>
        <v>0.43390988767542793</v>
      </c>
      <c r="AQ30" s="109">
        <f t="shared" si="20"/>
        <v>0.63364432573374019</v>
      </c>
      <c r="AR30" s="109">
        <f t="shared" si="20"/>
        <v>0.76847724588742428</v>
      </c>
      <c r="AS30" s="109">
        <f t="shared" si="20"/>
        <v>1.2972600034777284</v>
      </c>
      <c r="AT30" s="109">
        <f t="shared" si="20"/>
        <v>0.79906863730211575</v>
      </c>
      <c r="AU30" s="109">
        <f t="shared" si="20"/>
        <v>0.96786598920908984</v>
      </c>
      <c r="AV30" s="109">
        <f t="shared" si="20"/>
        <v>0.72221202592207734</v>
      </c>
      <c r="AW30" s="109">
        <f t="shared" si="20"/>
        <v>0.2632775996025688</v>
      </c>
      <c r="AX30" s="109">
        <f t="shared" si="20"/>
        <v>0.47073955977867887</v>
      </c>
      <c r="AY30" s="109">
        <f t="shared" si="20"/>
        <v>0.33768352966135101</v>
      </c>
      <c r="AZ30" s="109">
        <f t="shared" si="20"/>
        <v>0.68351904086002269</v>
      </c>
      <c r="BA30" s="109">
        <f t="shared" si="20"/>
        <v>0.54397595905698026</v>
      </c>
      <c r="BB30" s="109">
        <f t="shared" si="20"/>
        <v>0.79303090933801801</v>
      </c>
      <c r="BC30" s="109">
        <f t="shared" si="20"/>
        <v>1.2856233400329637</v>
      </c>
      <c r="BD30" s="109">
        <f t="shared" si="20"/>
        <v>1.1688598522072844</v>
      </c>
      <c r="BE30" s="109">
        <f t="shared" si="20"/>
        <v>1.6627693500799297</v>
      </c>
      <c r="BF30" s="109">
        <f t="shared" si="20"/>
        <v>1.5351670719714661</v>
      </c>
      <c r="BG30" s="109">
        <f t="shared" si="20"/>
        <v>0.21020877783638944</v>
      </c>
      <c r="BH30" s="109">
        <f t="shared" si="20"/>
        <v>5.1649992513049067E-2</v>
      </c>
      <c r="BI30" s="109">
        <f t="shared" si="20"/>
        <v>0.62031054061597757</v>
      </c>
      <c r="BJ30" s="109">
        <f t="shared" si="20"/>
        <v>-0.11596200297351492</v>
      </c>
      <c r="BK30" s="109">
        <f t="shared" si="20"/>
        <v>0.39603525389607425</v>
      </c>
      <c r="BL30" s="109">
        <f t="shared" si="20"/>
        <v>0.33528456605342255</v>
      </c>
      <c r="BM30" s="109">
        <f t="shared" si="20"/>
        <v>0.30850170335141691</v>
      </c>
      <c r="BN30" s="109" t="e">
        <f t="shared" si="20"/>
        <v>#DIV/0!</v>
      </c>
      <c r="BO30" s="109">
        <f t="shared" si="20"/>
        <v>0.58471830693393145</v>
      </c>
      <c r="BP30" s="109">
        <f t="shared" si="20"/>
        <v>1.7309094868506281</v>
      </c>
      <c r="BQ30" s="109">
        <f t="shared" si="20"/>
        <v>-0.23579304230706172</v>
      </c>
      <c r="BR30" s="109">
        <f t="shared" ref="BR30:CK30" si="21">(BR5-BV5)/BV5</f>
        <v>-1</v>
      </c>
      <c r="BS30" s="109">
        <f t="shared" si="21"/>
        <v>3.212009412779385</v>
      </c>
      <c r="BT30" s="109">
        <f t="shared" si="21"/>
        <v>0.18971057594561191</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557</v>
      </c>
      <c r="E31" s="109">
        <f>(E6-I6)/I6</f>
        <v>0.27683125698786232</v>
      </c>
      <c r="F31" s="109">
        <f t="shared" ref="F31:BQ31" si="22">(F6-J6)/J6</f>
        <v>3.9331275829453505E-2</v>
      </c>
      <c r="G31" s="109">
        <f t="shared" si="22"/>
        <v>0.16024316793945356</v>
      </c>
      <c r="H31" s="109">
        <f t="shared" si="22"/>
        <v>0.34960834434078458</v>
      </c>
      <c r="I31" s="109">
        <f t="shared" si="22"/>
        <v>0.42689898387932895</v>
      </c>
      <c r="J31" s="109">
        <f t="shared" si="22"/>
        <v>0.70955489321561882</v>
      </c>
      <c r="K31" s="109">
        <f t="shared" si="22"/>
        <v>0.33540640893647017</v>
      </c>
      <c r="L31" s="109">
        <f t="shared" si="22"/>
        <v>0.44040611320586143</v>
      </c>
      <c r="M31" s="109">
        <f t="shared" si="22"/>
        <v>0.1511066365080779</v>
      </c>
      <c r="N31" s="109">
        <f t="shared" si="22"/>
        <v>0.27422166385124758</v>
      </c>
      <c r="O31" s="109">
        <f t="shared" si="22"/>
        <v>0.43596859056729559</v>
      </c>
      <c r="P31" s="109">
        <f t="shared" si="22"/>
        <v>0.13805753449847241</v>
      </c>
      <c r="Q31" s="109">
        <f t="shared" si="22"/>
        <v>0.18900809635703483</v>
      </c>
      <c r="R31" s="109">
        <f t="shared" si="22"/>
        <v>0.23095705225019839</v>
      </c>
      <c r="S31" s="109">
        <f t="shared" si="22"/>
        <v>0.19130544133845212</v>
      </c>
      <c r="T31" s="109">
        <f t="shared" si="22"/>
        <v>0.3777701455770815</v>
      </c>
      <c r="U31" s="109">
        <f t="shared" si="22"/>
        <v>0.58288202781089771</v>
      </c>
      <c r="V31" s="109">
        <f t="shared" si="22"/>
        <v>0.42023894483224356</v>
      </c>
      <c r="W31" s="109">
        <f t="shared" si="22"/>
        <v>0.67719100321851977</v>
      </c>
      <c r="X31" s="109">
        <f t="shared" si="22"/>
        <v>0.75085036267236427</v>
      </c>
      <c r="Y31" s="109">
        <f t="shared" si="22"/>
        <v>0.52616079826750661</v>
      </c>
      <c r="Z31" s="109">
        <f t="shared" si="22"/>
        <v>0.4207757094478155</v>
      </c>
      <c r="AA31" s="109">
        <f t="shared" si="22"/>
        <v>0.38991680875294077</v>
      </c>
      <c r="AB31" s="109">
        <f t="shared" si="22"/>
        <v>0.44499607072674413</v>
      </c>
      <c r="AC31" s="109">
        <f t="shared" si="22"/>
        <v>0.9433283838836557</v>
      </c>
      <c r="AD31" s="109">
        <f t="shared" si="22"/>
        <v>1.2608297960383801</v>
      </c>
      <c r="AE31" s="109">
        <f t="shared" si="22"/>
        <v>0.77139801969099631</v>
      </c>
      <c r="AF31" s="109">
        <f t="shared" si="22"/>
        <v>0.53483501600418859</v>
      </c>
      <c r="AG31" s="109">
        <f t="shared" si="22"/>
        <v>0.20231899861244015</v>
      </c>
      <c r="AH31" s="109">
        <f t="shared" si="22"/>
        <v>2.6984210468724172E-2</v>
      </c>
      <c r="AI31" s="109">
        <f t="shared" si="22"/>
        <v>0.22489128321480159</v>
      </c>
      <c r="AJ31" s="109">
        <f t="shared" si="22"/>
        <v>0.60013522863286384</v>
      </c>
      <c r="AK31" s="109">
        <f t="shared" si="22"/>
        <v>0.3335241699897154</v>
      </c>
      <c r="AL31" s="109">
        <f t="shared" si="22"/>
        <v>0.41698415248801551</v>
      </c>
      <c r="AM31" s="109">
        <f t="shared" si="22"/>
        <v>-7.6231350453527899E-2</v>
      </c>
      <c r="AN31" s="109">
        <f t="shared" si="22"/>
        <v>-0.42736095678013475</v>
      </c>
      <c r="AO31" s="109">
        <f t="shared" si="22"/>
        <v>-0.31221413214074317</v>
      </c>
      <c r="AP31" s="109">
        <f t="shared" si="22"/>
        <v>-0.39566681479565186</v>
      </c>
      <c r="AQ31" s="109">
        <f t="shared" si="22"/>
        <v>-0.14449522781515139</v>
      </c>
      <c r="AR31" s="109">
        <f t="shared" si="22"/>
        <v>0.22995067490849908</v>
      </c>
      <c r="AS31" s="109">
        <f t="shared" si="22"/>
        <v>0.32435755955141204</v>
      </c>
      <c r="AT31" s="109">
        <f t="shared" si="22"/>
        <v>0.16432051915327664</v>
      </c>
      <c r="AU31" s="109">
        <f t="shared" si="22"/>
        <v>4.9924869691495136E-2</v>
      </c>
      <c r="AV31" s="109">
        <f t="shared" si="22"/>
        <v>-3.6705871288450334E-2</v>
      </c>
      <c r="AW31" s="109">
        <f t="shared" si="22"/>
        <v>-0.17146873893992851</v>
      </c>
      <c r="AX31" s="109">
        <f t="shared" si="22"/>
        <v>0.17077888029357025</v>
      </c>
      <c r="AY31" s="109">
        <f t="shared" si="22"/>
        <v>0.34592728605056267</v>
      </c>
      <c r="AZ31" s="109">
        <f t="shared" si="22"/>
        <v>0.28227816869876682</v>
      </c>
      <c r="BA31" s="109">
        <f t="shared" si="22"/>
        <v>0.82581150039202744</v>
      </c>
      <c r="BB31" s="109">
        <f t="shared" si="22"/>
        <v>0.38027147612092899</v>
      </c>
      <c r="BC31" s="109">
        <f t="shared" si="22"/>
        <v>0.20133796407907281</v>
      </c>
      <c r="BD31" s="109">
        <f t="shared" si="22"/>
        <v>1.1641204091199986</v>
      </c>
      <c r="BE31" s="109">
        <f t="shared" si="22"/>
        <v>0.91453096059510153</v>
      </c>
      <c r="BF31" s="109">
        <f t="shared" si="22"/>
        <v>3.0779055954176333</v>
      </c>
      <c r="BG31" s="109">
        <f t="shared" si="22"/>
        <v>3.7157390816478193</v>
      </c>
      <c r="BH31" s="109">
        <f t="shared" si="22"/>
        <v>1.6100281698150529</v>
      </c>
      <c r="BI31" s="109">
        <f t="shared" si="22"/>
        <v>4.7101526608016746</v>
      </c>
      <c r="BJ31" s="109">
        <f t="shared" si="22"/>
        <v>1.4283679942207732</v>
      </c>
      <c r="BK31" s="109">
        <f t="shared" si="22"/>
        <v>5.3089782562498584</v>
      </c>
      <c r="BL31" s="109">
        <f t="shared" si="22"/>
        <v>0.39114409847016235</v>
      </c>
      <c r="BM31" s="109">
        <f t="shared" si="22"/>
        <v>0.95286193073253689</v>
      </c>
      <c r="BN31" s="109" t="e">
        <f t="shared" si="22"/>
        <v>#DIV/0!</v>
      </c>
      <c r="BO31" s="109">
        <f t="shared" si="22"/>
        <v>-0.63253079036648241</v>
      </c>
      <c r="BP31" s="109">
        <f t="shared" si="22"/>
        <v>0.63189855244889559</v>
      </c>
      <c r="BQ31" s="109">
        <f t="shared" si="22"/>
        <v>-0.51733353747165323</v>
      </c>
      <c r="BR31" s="109">
        <f t="shared" ref="BR31:CK31" si="23">(BR6-BV6)/BV6</f>
        <v>-1</v>
      </c>
      <c r="BS31" s="109">
        <f t="shared" si="23"/>
        <v>15.632825279418597</v>
      </c>
      <c r="BT31" s="109">
        <f t="shared" si="23"/>
        <v>5.8068877680393181</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559</v>
      </c>
      <c r="E32" s="110">
        <f>(E7-I7)/I7</f>
        <v>7.8622958032956894E-2</v>
      </c>
      <c r="F32" s="110">
        <f t="shared" ref="F32:BQ32" si="24">(F7-J7)/J7</f>
        <v>4.2503790928889576E-2</v>
      </c>
      <c r="G32" s="110">
        <f t="shared" si="24"/>
        <v>5.923669345189838E-3</v>
      </c>
      <c r="H32" s="110">
        <f t="shared" si="24"/>
        <v>9.6796633446578195E-3</v>
      </c>
      <c r="I32" s="110">
        <f t="shared" si="24"/>
        <v>1.5087915329661077E-2</v>
      </c>
      <c r="J32" s="110">
        <f t="shared" si="24"/>
        <v>5.3246664495898224E-2</v>
      </c>
      <c r="K32" s="110">
        <f t="shared" si="24"/>
        <v>0.10229553711343385</v>
      </c>
      <c r="L32" s="110">
        <f t="shared" si="24"/>
        <v>0.12640034451747265</v>
      </c>
      <c r="M32" s="110">
        <f t="shared" si="24"/>
        <v>0.1520085243210629</v>
      </c>
      <c r="N32" s="110">
        <f t="shared" si="24"/>
        <v>0.19345525149535972</v>
      </c>
      <c r="O32" s="110">
        <f t="shared" si="24"/>
        <v>0.320123568674335</v>
      </c>
      <c r="P32" s="110">
        <f t="shared" si="24"/>
        <v>0.32704864929168453</v>
      </c>
      <c r="Q32" s="110">
        <f t="shared" si="24"/>
        <v>0.3935111515317673</v>
      </c>
      <c r="R32" s="110">
        <f t="shared" si="24"/>
        <v>0.54264848590252646</v>
      </c>
      <c r="S32" s="110">
        <f t="shared" si="24"/>
        <v>0.51874593001668146</v>
      </c>
      <c r="T32" s="110">
        <f t="shared" si="24"/>
        <v>0.6213701978775471</v>
      </c>
      <c r="U32" s="110">
        <f t="shared" si="24"/>
        <v>0.61685695738729363</v>
      </c>
      <c r="V32" s="110">
        <f t="shared" si="24"/>
        <v>0.6492609050531386</v>
      </c>
      <c r="W32" s="110">
        <f t="shared" si="24"/>
        <v>0.57928159069893626</v>
      </c>
      <c r="X32" s="110">
        <f t="shared" si="24"/>
        <v>0.48892713336183391</v>
      </c>
      <c r="Y32" s="110">
        <f t="shared" si="24"/>
        <v>0.45109878608132747</v>
      </c>
      <c r="Z32" s="110">
        <f t="shared" si="24"/>
        <v>0.27984996820616909</v>
      </c>
      <c r="AA32" s="110">
        <f t="shared" si="24"/>
        <v>0.23119540143576223</v>
      </c>
      <c r="AB32" s="110">
        <f t="shared" si="24"/>
        <v>0.20038055610912414</v>
      </c>
      <c r="AC32" s="110">
        <f t="shared" si="24"/>
        <v>0.21696740016782984</v>
      </c>
      <c r="AD32" s="110">
        <f t="shared" si="24"/>
        <v>0.34703843451546246</v>
      </c>
      <c r="AE32" s="110">
        <f t="shared" si="24"/>
        <v>0.34136704451774902</v>
      </c>
      <c r="AF32" s="110">
        <f t="shared" si="24"/>
        <v>0.37405880533769975</v>
      </c>
      <c r="AG32" s="110">
        <f t="shared" si="24"/>
        <v>0.38973568799028074</v>
      </c>
      <c r="AH32" s="110">
        <f t="shared" si="24"/>
        <v>0.40455468506662207</v>
      </c>
      <c r="AI32" s="110">
        <f t="shared" si="24"/>
        <v>0.59347669603761721</v>
      </c>
      <c r="AJ32" s="110">
        <f t="shared" si="24"/>
        <v>0.58935858783559714</v>
      </c>
      <c r="AK32" s="110">
        <f t="shared" si="24"/>
        <v>0.48408438015888577</v>
      </c>
      <c r="AL32" s="110">
        <f t="shared" si="24"/>
        <v>0.29401331540533587</v>
      </c>
      <c r="AM32" s="110">
        <f t="shared" si="24"/>
        <v>0.15705584490693467</v>
      </c>
      <c r="AN32" s="110">
        <f t="shared" si="24"/>
        <v>0.12017212824477236</v>
      </c>
      <c r="AO32" s="110">
        <f t="shared" si="24"/>
        <v>9.889570549434569E-2</v>
      </c>
      <c r="AP32" s="110">
        <f t="shared" si="24"/>
        <v>6.43789192577848E-2</v>
      </c>
      <c r="AQ32" s="110">
        <f t="shared" si="24"/>
        <v>2.9331637513927478E-2</v>
      </c>
      <c r="AR32" s="110">
        <f t="shared" si="24"/>
        <v>2.3276082869092891E-2</v>
      </c>
      <c r="AS32" s="110">
        <f t="shared" si="24"/>
        <v>-5.062869517331841E-2</v>
      </c>
      <c r="AT32" s="110">
        <f t="shared" si="24"/>
        <v>-2.5690711963163616E-2</v>
      </c>
      <c r="AU32" s="110">
        <f t="shared" si="24"/>
        <v>-3.0600888784244662E-2</v>
      </c>
      <c r="AV32" s="110">
        <f t="shared" si="24"/>
        <v>-3.7286365853009776E-2</v>
      </c>
      <c r="AW32" s="110">
        <f t="shared" si="24"/>
        <v>6.5604610301773378E-2</v>
      </c>
      <c r="AX32" s="110">
        <f t="shared" si="24"/>
        <v>0.13354815266890221</v>
      </c>
      <c r="AY32" s="110">
        <f t="shared" si="24"/>
        <v>0.22657981576309719</v>
      </c>
      <c r="AZ32" s="110">
        <f t="shared" si="24"/>
        <v>0.46385921618018094</v>
      </c>
      <c r="BA32" s="110">
        <f t="shared" si="24"/>
        <v>0.66860273356240107</v>
      </c>
      <c r="BB32" s="110">
        <f t="shared" si="24"/>
        <v>0.98083748250251501</v>
      </c>
      <c r="BC32" s="110">
        <f t="shared" si="24"/>
        <v>1.3454033909153147</v>
      </c>
      <c r="BD32" s="110">
        <f t="shared" si="24"/>
        <v>1.4149889224394741</v>
      </c>
      <c r="BE32" s="110">
        <f t="shared" si="24"/>
        <v>1.3267410730924669</v>
      </c>
      <c r="BF32" s="110">
        <f t="shared" si="24"/>
        <v>1.211803200856125</v>
      </c>
      <c r="BG32" s="110">
        <f t="shared" si="24"/>
        <v>0.96836351652477159</v>
      </c>
      <c r="BH32" s="110">
        <f t="shared" si="24"/>
        <v>0.70118849920926019</v>
      </c>
      <c r="BI32" s="110">
        <f t="shared" si="24"/>
        <v>0.5903873467344769</v>
      </c>
      <c r="BJ32" s="110">
        <f t="shared" si="24"/>
        <v>0.43586100377529269</v>
      </c>
      <c r="BK32" s="110">
        <f t="shared" si="24"/>
        <v>0.37565301634906789</v>
      </c>
      <c r="BL32" s="110">
        <f t="shared" si="24"/>
        <v>0.35415434405043078</v>
      </c>
      <c r="BM32" s="110">
        <f t="shared" si="24"/>
        <v>0.35083131964011349</v>
      </c>
      <c r="BN32" s="110" t="e">
        <f t="shared" si="24"/>
        <v>#DIV/0!</v>
      </c>
      <c r="BO32" s="110">
        <f t="shared" si="24"/>
        <v>0.45117621777939904</v>
      </c>
      <c r="BP32" s="110">
        <f t="shared" si="24"/>
        <v>0.92720921560965286</v>
      </c>
      <c r="BQ32" s="110">
        <f t="shared" si="24"/>
        <v>1.6503755367670987</v>
      </c>
      <c r="BR32" s="110">
        <f t="shared" ref="BR32:CK32" si="25">(BR7-BV7)/BV7</f>
        <v>-1</v>
      </c>
      <c r="BS32" s="110">
        <f t="shared" si="25"/>
        <v>1.0036993677228079</v>
      </c>
      <c r="BT32" s="110">
        <f t="shared" si="25"/>
        <v>1.4864469599585981</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566</v>
      </c>
      <c r="E33" s="110">
        <f>E7/E9</f>
        <v>0.75719237531464489</v>
      </c>
      <c r="F33" s="110">
        <f t="shared" ref="F33:BQ33" si="26">F7/F9</f>
        <v>0.75559895519090725</v>
      </c>
      <c r="G33" s="110">
        <f t="shared" si="26"/>
        <v>0.75879381850818461</v>
      </c>
      <c r="H33" s="110">
        <f t="shared" si="26"/>
        <v>0.81991629752113748</v>
      </c>
      <c r="I33" s="110">
        <f t="shared" si="26"/>
        <v>0.91405517955005633</v>
      </c>
      <c r="J33" s="110">
        <f t="shared" si="26"/>
        <v>0.91924524083546988</v>
      </c>
      <c r="K33" s="110">
        <f t="shared" si="26"/>
        <v>0.90417692791900361</v>
      </c>
      <c r="L33" s="110">
        <f t="shared" si="26"/>
        <v>0.9105575270067946</v>
      </c>
      <c r="M33" s="110">
        <f t="shared" si="26"/>
        <v>0.89696187999648158</v>
      </c>
      <c r="N33" s="110">
        <f t="shared" si="26"/>
        <v>0.879741401950076</v>
      </c>
      <c r="O33" s="110">
        <f t="shared" si="26"/>
        <v>0.9020502210489072</v>
      </c>
      <c r="P33" s="110">
        <f t="shared" si="26"/>
        <v>0.86688074491748479</v>
      </c>
      <c r="Q33" s="110">
        <f t="shared" si="26"/>
        <v>0.89469544258511013</v>
      </c>
      <c r="R33" s="110">
        <f t="shared" si="26"/>
        <v>0.88491249167954145</v>
      </c>
      <c r="S33" s="110">
        <f t="shared" si="26"/>
        <v>0.82043904324084149</v>
      </c>
      <c r="T33" s="110">
        <f t="shared" si="26"/>
        <v>0.82905451000590913</v>
      </c>
      <c r="U33" s="110">
        <f t="shared" si="26"/>
        <v>0.87707903204268922</v>
      </c>
      <c r="V33" s="110">
        <f t="shared" si="26"/>
        <v>0.7870998116106751</v>
      </c>
      <c r="W33" s="110">
        <f t="shared" si="26"/>
        <v>0.749559832710048</v>
      </c>
      <c r="X33" s="110">
        <f t="shared" si="26"/>
        <v>0.71247261003802109</v>
      </c>
      <c r="Y33" s="110">
        <f t="shared" si="26"/>
        <v>0.73034128890394179</v>
      </c>
      <c r="Z33" s="110">
        <f t="shared" si="26"/>
        <v>0.6570706225954378</v>
      </c>
      <c r="AA33" s="110">
        <f t="shared" si="26"/>
        <v>0.65865647763380486</v>
      </c>
      <c r="AB33" s="110">
        <f t="shared" si="26"/>
        <v>0.63644158677533968</v>
      </c>
      <c r="AC33" s="110">
        <f t="shared" si="26"/>
        <v>0.63451874589842228</v>
      </c>
      <c r="AD33" s="110">
        <f t="shared" si="26"/>
        <v>0.67250354637502818</v>
      </c>
      <c r="AE33" s="110">
        <f t="shared" si="26"/>
        <v>0.64263658857370221</v>
      </c>
      <c r="AF33" s="110">
        <f t="shared" si="26"/>
        <v>0.6286759516489383</v>
      </c>
      <c r="AG33" s="110">
        <f t="shared" si="26"/>
        <v>0.67252913118506041</v>
      </c>
      <c r="AH33" s="110">
        <f t="shared" si="26"/>
        <v>0.64197854975233537</v>
      </c>
      <c r="AI33" s="110">
        <f t="shared" si="26"/>
        <v>0.69004191108180968</v>
      </c>
      <c r="AJ33" s="110">
        <f t="shared" si="26"/>
        <v>0.67048520804882517</v>
      </c>
      <c r="AK33" s="110">
        <f t="shared" si="26"/>
        <v>0.6541146810370172</v>
      </c>
      <c r="AL33" s="110">
        <f t="shared" si="26"/>
        <v>0.52289535336403048</v>
      </c>
      <c r="AM33" s="110">
        <f t="shared" si="26"/>
        <v>0.47327095427296662</v>
      </c>
      <c r="AN33" s="110">
        <f t="shared" si="26"/>
        <v>0.46528420120978603</v>
      </c>
      <c r="AO33" s="110">
        <f t="shared" si="26"/>
        <v>0.5370376215839372</v>
      </c>
      <c r="AP33" s="110">
        <f t="shared" si="26"/>
        <v>0.52004776496377092</v>
      </c>
      <c r="AQ33" s="110">
        <f t="shared" si="26"/>
        <v>0.51714403712664536</v>
      </c>
      <c r="AR33" s="110">
        <f t="shared" si="26"/>
        <v>0.49160322372261583</v>
      </c>
      <c r="AS33" s="110">
        <f t="shared" si="26"/>
        <v>0.5327167723182431</v>
      </c>
      <c r="AT33" s="110">
        <f t="shared" si="26"/>
        <v>0.56853881888313951</v>
      </c>
      <c r="AU33" s="110">
        <f t="shared" si="26"/>
        <v>0.6243527170192269</v>
      </c>
      <c r="AV33" s="110">
        <f t="shared" si="26"/>
        <v>0.68613418456732667</v>
      </c>
      <c r="AW33" s="110">
        <f t="shared" si="26"/>
        <v>0.8381723714414665</v>
      </c>
      <c r="AX33" s="110">
        <f t="shared" si="26"/>
        <v>0.82184816678652983</v>
      </c>
      <c r="AY33" s="110">
        <f t="shared" si="26"/>
        <v>0.87617435514846664</v>
      </c>
      <c r="AZ33" s="110">
        <f t="shared" si="26"/>
        <v>0.85988045983540518</v>
      </c>
      <c r="BA33" s="110">
        <f t="shared" si="26"/>
        <v>0.93170495729111302</v>
      </c>
      <c r="BB33" s="110">
        <f t="shared" si="26"/>
        <v>0.85676221077331949</v>
      </c>
      <c r="BC33" s="110">
        <f t="shared" si="26"/>
        <v>0.81647090526398858</v>
      </c>
      <c r="BD33" s="110">
        <f t="shared" si="26"/>
        <v>0.7835679343391363</v>
      </c>
      <c r="BE33" s="110">
        <f t="shared" si="26"/>
        <v>0.7970016685259107</v>
      </c>
      <c r="BF33" s="110">
        <f t="shared" si="26"/>
        <v>0.79350801899483592</v>
      </c>
      <c r="BG33" s="110">
        <f t="shared" si="26"/>
        <v>0.74044408617007096</v>
      </c>
      <c r="BH33" s="110">
        <f t="shared" si="26"/>
        <v>0.75511008052122308</v>
      </c>
      <c r="BI33" s="110">
        <f t="shared" si="26"/>
        <v>0.76051444955021119</v>
      </c>
      <c r="BJ33" s="110">
        <f t="shared" si="26"/>
        <v>0.62791029154034095</v>
      </c>
      <c r="BK33" s="110">
        <f t="shared" si="26"/>
        <v>0.6589473239689243</v>
      </c>
      <c r="BL33" s="110">
        <f t="shared" si="26"/>
        <v>0.61845280015402748</v>
      </c>
      <c r="BM33" s="110">
        <f t="shared" si="26"/>
        <v>0.72683253349296217</v>
      </c>
      <c r="BN33" s="110">
        <f t="shared" si="26"/>
        <v>0.60725067588882553</v>
      </c>
      <c r="BO33" s="110">
        <f t="shared" si="26"/>
        <v>0.60100842286616152</v>
      </c>
      <c r="BP33" s="110">
        <f t="shared" si="26"/>
        <v>0.58300552381010351</v>
      </c>
      <c r="BQ33" s="110">
        <f t="shared" si="26"/>
        <v>0.58945089221985136</v>
      </c>
      <c r="BR33" s="110" t="e">
        <f t="shared" ref="BR33:CK33" si="27">BR7/BR9</f>
        <v>#DIV/0!</v>
      </c>
      <c r="BS33" s="110">
        <f t="shared" si="27"/>
        <v>0.4612527079399843</v>
      </c>
      <c r="BT33" s="110">
        <f t="shared" si="27"/>
        <v>0.31966176992567319</v>
      </c>
      <c r="BU33" s="110">
        <f t="shared" si="27"/>
        <v>0.57667496377544503</v>
      </c>
      <c r="BV33" s="110">
        <f t="shared" si="27"/>
        <v>0.72112420719301551</v>
      </c>
      <c r="BW33" s="110">
        <f t="shared" si="27"/>
        <v>0.79786689466669392</v>
      </c>
      <c r="BX33" s="110">
        <f t="shared" si="27"/>
        <v>0.57700492788902247</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560</v>
      </c>
      <c r="E34" s="109">
        <f>(E10-I10)/I10</f>
        <v>0.21986740600109558</v>
      </c>
      <c r="F34" s="109">
        <f t="shared" ref="F34:BQ34" si="28">(F10-J10)/J10</f>
        <v>0.41475717711269233</v>
      </c>
      <c r="G34" s="109">
        <f t="shared" si="28"/>
        <v>0.11543595082627388</v>
      </c>
      <c r="H34" s="109">
        <f t="shared" si="28"/>
        <v>6.6699178294025744E-3</v>
      </c>
      <c r="I34" s="109">
        <f t="shared" si="28"/>
        <v>3.3731168101946998E-2</v>
      </c>
      <c r="J34" s="109">
        <f t="shared" si="28"/>
        <v>-9.5842546847273134E-3</v>
      </c>
      <c r="K34" s="109">
        <f t="shared" si="28"/>
        <v>0.58718319698770305</v>
      </c>
      <c r="L34" s="109">
        <f t="shared" si="28"/>
        <v>0.60233735910197506</v>
      </c>
      <c r="M34" s="109">
        <f t="shared" si="28"/>
        <v>0.7245053271468096</v>
      </c>
      <c r="N34" s="109">
        <f t="shared" si="28"/>
        <v>0.79948612648589978</v>
      </c>
      <c r="O34" s="109">
        <f t="shared" si="28"/>
        <v>0.23974129906423303</v>
      </c>
      <c r="P34" s="109">
        <f t="shared" si="28"/>
        <v>0.27881330382876646</v>
      </c>
      <c r="Q34" s="109">
        <f t="shared" si="28"/>
        <v>0.38993551108247515</v>
      </c>
      <c r="R34" s="109">
        <f t="shared" si="28"/>
        <v>0.34335509964007827</v>
      </c>
      <c r="S34" s="109">
        <f t="shared" si="28"/>
        <v>0.22326804455474786</v>
      </c>
      <c r="T34" s="109">
        <f t="shared" si="28"/>
        <v>7.9686422472584312E-2</v>
      </c>
      <c r="U34" s="109">
        <f t="shared" si="28"/>
        <v>5.1076201845967568E-2</v>
      </c>
      <c r="V34" s="109">
        <f t="shared" si="28"/>
        <v>2.4053623224236351E-2</v>
      </c>
      <c r="W34" s="109">
        <f t="shared" si="28"/>
        <v>0.43477251812157913</v>
      </c>
      <c r="X34" s="109">
        <f t="shared" si="28"/>
        <v>0.29845487819418726</v>
      </c>
      <c r="Y34" s="109">
        <f t="shared" si="28"/>
        <v>0.12045663371917209</v>
      </c>
      <c r="Z34" s="109">
        <f t="shared" si="28"/>
        <v>0.9355896331045841</v>
      </c>
      <c r="AA34" s="109">
        <f t="shared" si="28"/>
        <v>0.19192511371548621</v>
      </c>
      <c r="AB34" s="109">
        <f t="shared" si="28"/>
        <v>0.26719091854402666</v>
      </c>
      <c r="AC34" s="109">
        <f t="shared" si="28"/>
        <v>0.67583848342061792</v>
      </c>
      <c r="AD34" s="109">
        <f t="shared" si="28"/>
        <v>4.055112778166918E-2</v>
      </c>
      <c r="AE34" s="109">
        <f t="shared" si="28"/>
        <v>0.90764465867419952</v>
      </c>
      <c r="AF34" s="109">
        <f t="shared" si="28"/>
        <v>0.49158137050861322</v>
      </c>
      <c r="AG34" s="109">
        <f t="shared" si="28"/>
        <v>0.14629281131048527</v>
      </c>
      <c r="AH34" s="109">
        <f t="shared" si="28"/>
        <v>-0.21885736568180247</v>
      </c>
      <c r="AI34" s="109">
        <f t="shared" si="28"/>
        <v>-0.38044142927017788</v>
      </c>
      <c r="AJ34" s="109">
        <f t="shared" si="28"/>
        <v>1.1962805421238249E-2</v>
      </c>
      <c r="AK34" s="109">
        <f t="shared" si="28"/>
        <v>0.76822867355896318</v>
      </c>
      <c r="AL34" s="109">
        <f t="shared" si="28"/>
        <v>1.059020705530338</v>
      </c>
      <c r="AM34" s="109">
        <f t="shared" si="28"/>
        <v>1.3196526372251343</v>
      </c>
      <c r="AN34" s="109">
        <f t="shared" si="28"/>
        <v>0.51600339666700479</v>
      </c>
      <c r="AO34" s="109">
        <f t="shared" si="28"/>
        <v>-0.1616277012030555</v>
      </c>
      <c r="AP34" s="109">
        <f t="shared" si="28"/>
        <v>-8.9903016104122865E-2</v>
      </c>
      <c r="AQ34" s="109">
        <f t="shared" si="28"/>
        <v>0.41875096770393577</v>
      </c>
      <c r="AR34" s="109">
        <f t="shared" si="28"/>
        <v>0.81948200496315238</v>
      </c>
      <c r="AS34" s="109">
        <f t="shared" si="28"/>
        <v>1.0144357365190646</v>
      </c>
      <c r="AT34" s="109">
        <f t="shared" si="28"/>
        <v>0.76293786442432243</v>
      </c>
      <c r="AU34" s="109">
        <f t="shared" si="28"/>
        <v>0.17060120858155689</v>
      </c>
      <c r="AV34" s="109">
        <f t="shared" si="28"/>
        <v>0.33447375861987449</v>
      </c>
      <c r="AW34" s="109">
        <f t="shared" si="28"/>
        <v>0.50089650068759661</v>
      </c>
      <c r="AX34" s="109">
        <f t="shared" si="28"/>
        <v>2.9044077244580717</v>
      </c>
      <c r="AY34" s="109">
        <f t="shared" si="28"/>
        <v>4.8551942429185226</v>
      </c>
      <c r="AZ34" s="109">
        <f t="shared" si="28"/>
        <v>5.6656510444711188</v>
      </c>
      <c r="BA34" s="109">
        <f t="shared" si="28"/>
        <v>1.9350735926947034</v>
      </c>
      <c r="BB34" s="109">
        <f t="shared" si="28"/>
        <v>0.79629230769230774</v>
      </c>
      <c r="BC34" s="109">
        <f t="shared" si="28"/>
        <v>0.36562250000000002</v>
      </c>
      <c r="BD34" s="109">
        <f t="shared" si="28"/>
        <v>5.7552777777777779E-2</v>
      </c>
      <c r="BE34" s="109">
        <f t="shared" si="28"/>
        <v>3.1295437134005462</v>
      </c>
      <c r="BF34" s="109">
        <f t="shared" si="28"/>
        <v>5.2857932104101346</v>
      </c>
      <c r="BG34" s="109">
        <f t="shared" si="28"/>
        <v>4.1334702258726903</v>
      </c>
      <c r="BH34" s="109">
        <f t="shared" si="28"/>
        <v>3.6201232032854209</v>
      </c>
      <c r="BI34" s="109">
        <f t="shared" si="28"/>
        <v>1.1842925526315788</v>
      </c>
      <c r="BJ34" s="109" t="e">
        <f t="shared" si="28"/>
        <v>#DIV/0!</v>
      </c>
      <c r="BK34" s="109" t="e">
        <f t="shared" si="28"/>
        <v>#DIV/0!</v>
      </c>
      <c r="BL34" s="109" t="e">
        <f t="shared" si="28"/>
        <v>#DIV/0!</v>
      </c>
      <c r="BM34" s="109" t="e">
        <f t="shared" si="28"/>
        <v>#DIV/0!</v>
      </c>
      <c r="BN34" s="109" t="e">
        <f t="shared" si="28"/>
        <v>#DIV/0!</v>
      </c>
      <c r="BO34" s="109" t="e">
        <f t="shared" si="28"/>
        <v>#DIV/0!</v>
      </c>
      <c r="BP34" s="109">
        <f t="shared" si="28"/>
        <v>-1</v>
      </c>
      <c r="BQ34" s="109">
        <f t="shared" si="28"/>
        <v>-1</v>
      </c>
      <c r="BR34" s="109">
        <f t="shared" ref="BR34:CK34" si="29">(BR10-BV10)/BV10</f>
        <v>-1</v>
      </c>
      <c r="BS34" s="109">
        <f t="shared" si="29"/>
        <v>-1</v>
      </c>
      <c r="BT34" s="109">
        <f t="shared" si="29"/>
        <v>1.315625</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564</v>
      </c>
      <c r="E35" s="109">
        <f>E10/E12</f>
        <v>0.70915430588002248</v>
      </c>
      <c r="F35" s="109">
        <f t="shared" ref="F35:BQ35" si="30">F10/F12</f>
        <v>0.69576840668178341</v>
      </c>
      <c r="G35" s="109">
        <f t="shared" si="30"/>
        <v>0.68099215532701163</v>
      </c>
      <c r="H35" s="109">
        <f t="shared" si="30"/>
        <v>0.58850623607089947</v>
      </c>
      <c r="I35" s="109">
        <f t="shared" si="30"/>
        <v>0.57513878862546131</v>
      </c>
      <c r="J35" s="109">
        <f t="shared" si="30"/>
        <v>0.50221812670912358</v>
      </c>
      <c r="K35" s="109">
        <f t="shared" si="30"/>
        <v>0.58305610184849888</v>
      </c>
      <c r="L35" s="109">
        <f t="shared" si="30"/>
        <v>0.51203749968775703</v>
      </c>
      <c r="M35" s="109">
        <f t="shared" si="30"/>
        <v>0.476639829207813</v>
      </c>
      <c r="N35" s="109">
        <f t="shared" si="30"/>
        <v>0.4665920384394498</v>
      </c>
      <c r="O35" s="109">
        <f t="shared" si="30"/>
        <v>0.39934116385222834</v>
      </c>
      <c r="P35" s="109">
        <f t="shared" si="30"/>
        <v>0.33672618521228931</v>
      </c>
      <c r="Q35" s="109">
        <f t="shared" si="30"/>
        <v>0.32318716766489347</v>
      </c>
      <c r="R35" s="109">
        <f t="shared" si="30"/>
        <v>0.32246513571391067</v>
      </c>
      <c r="S35" s="109">
        <f t="shared" si="30"/>
        <v>0.38920245051154445</v>
      </c>
      <c r="T35" s="109">
        <f t="shared" si="30"/>
        <v>0.36846146978125727</v>
      </c>
      <c r="U35" s="109">
        <f t="shared" si="30"/>
        <v>0.36426704659252368</v>
      </c>
      <c r="V35" s="109">
        <f t="shared" si="30"/>
        <v>0.37310077977233874</v>
      </c>
      <c r="W35" s="109">
        <f t="shared" si="30"/>
        <v>0.49649093308979492</v>
      </c>
      <c r="X35" s="109">
        <f t="shared" si="30"/>
        <v>0.54070029292672028</v>
      </c>
      <c r="Y35" s="109">
        <f t="shared" si="30"/>
        <v>0.52136884878808376</v>
      </c>
      <c r="Z35" s="109">
        <f t="shared" si="30"/>
        <v>0.55474254517856592</v>
      </c>
      <c r="AA35" s="109">
        <f t="shared" si="30"/>
        <v>0.53584316086290817</v>
      </c>
      <c r="AB35" s="109">
        <f t="shared" si="30"/>
        <v>0.61670927188382985</v>
      </c>
      <c r="AC35" s="109">
        <f t="shared" si="30"/>
        <v>0.64075138343469351</v>
      </c>
      <c r="AD35" s="109">
        <f t="shared" si="30"/>
        <v>0.48068797270859592</v>
      </c>
      <c r="AE35" s="109">
        <f t="shared" si="30"/>
        <v>0.61198253498474187</v>
      </c>
      <c r="AF35" s="109">
        <f t="shared" si="30"/>
        <v>0.61058790892197079</v>
      </c>
      <c r="AG35" s="109">
        <f t="shared" si="30"/>
        <v>0.5592298364639543</v>
      </c>
      <c r="AH35" s="109">
        <f t="shared" si="30"/>
        <v>0.57908997274507312</v>
      </c>
      <c r="AI35" s="109">
        <f t="shared" si="30"/>
        <v>0.54370842914094297</v>
      </c>
      <c r="AJ35" s="109">
        <f t="shared" si="30"/>
        <v>0.76781846793982955</v>
      </c>
      <c r="AK35" s="109">
        <f t="shared" si="30"/>
        <v>0.78082944605792459</v>
      </c>
      <c r="AL35" s="109">
        <f t="shared" si="30"/>
        <v>0.8634841466696872</v>
      </c>
      <c r="AM35" s="109">
        <f t="shared" si="30"/>
        <v>0.89333768072599939</v>
      </c>
      <c r="AN35" s="109">
        <f t="shared" si="30"/>
        <v>0.86716680697367032</v>
      </c>
      <c r="AO35" s="109">
        <f t="shared" si="30"/>
        <v>0.74956044056168347</v>
      </c>
      <c r="AP35" s="109">
        <f t="shared" si="30"/>
        <v>0.73271451408517685</v>
      </c>
      <c r="AQ35" s="109">
        <f t="shared" si="30"/>
        <v>0.62444984512292689</v>
      </c>
      <c r="AR35" s="109">
        <f t="shared" si="30"/>
        <v>0.64752562301809646</v>
      </c>
      <c r="AS35" s="109">
        <f t="shared" si="30"/>
        <v>0.71695951199636132</v>
      </c>
      <c r="AT35" s="109">
        <f t="shared" si="30"/>
        <v>0.76185401700649391</v>
      </c>
      <c r="AU35" s="109">
        <f t="shared" si="30"/>
        <v>0.49300584909934997</v>
      </c>
      <c r="AV35" s="109">
        <f t="shared" si="30"/>
        <v>0.50051636169168323</v>
      </c>
      <c r="AW35" s="109">
        <f t="shared" si="30"/>
        <v>0.48500355474318085</v>
      </c>
      <c r="AX35" s="109">
        <f t="shared" si="30"/>
        <v>0.52583289522407317</v>
      </c>
      <c r="AY35" s="109">
        <f t="shared" si="30"/>
        <v>0.4544701451317551</v>
      </c>
      <c r="AZ35" s="109">
        <f t="shared" si="30"/>
        <v>0.3396368431040902</v>
      </c>
      <c r="BA35" s="109">
        <f t="shared" si="30"/>
        <v>0.2728077707060016</v>
      </c>
      <c r="BB35" s="109">
        <f t="shared" si="30"/>
        <v>0.1219742531415743</v>
      </c>
      <c r="BC35" s="109">
        <f t="shared" si="30"/>
        <v>7.0091383934293996E-2</v>
      </c>
      <c r="BD35" s="109">
        <f t="shared" si="30"/>
        <v>6.1404279827612096E-2</v>
      </c>
      <c r="BE35" s="109">
        <f t="shared" si="30"/>
        <v>0.13913571176320158</v>
      </c>
      <c r="BF35" s="109">
        <f t="shared" si="30"/>
        <v>0.18465909090909091</v>
      </c>
      <c r="BG35" s="109">
        <f t="shared" si="30"/>
        <v>0.2109704641350211</v>
      </c>
      <c r="BH35" s="109">
        <f t="shared" si="30"/>
        <v>0.51724137931034486</v>
      </c>
      <c r="BI35" s="109">
        <f t="shared" si="30"/>
        <v>0.33068560260150076</v>
      </c>
      <c r="BJ35" s="109">
        <f t="shared" si="30"/>
        <v>0.15021298949052789</v>
      </c>
      <c r="BK35" s="109">
        <f t="shared" si="30"/>
        <v>0.26876379690949226</v>
      </c>
      <c r="BL35" s="109">
        <f t="shared" si="30"/>
        <v>0.26876379690949226</v>
      </c>
      <c r="BM35" s="109">
        <f t="shared" si="30"/>
        <v>0.2638888888888889</v>
      </c>
      <c r="BN35" s="109">
        <f t="shared" si="30"/>
        <v>0</v>
      </c>
      <c r="BO35" s="109" t="e">
        <f t="shared" si="30"/>
        <v>#DIV/0!</v>
      </c>
      <c r="BP35" s="109" t="e">
        <f t="shared" si="30"/>
        <v>#DIV/0!</v>
      </c>
      <c r="BQ35" s="109" t="e">
        <f t="shared" si="30"/>
        <v>#DIV/0!</v>
      </c>
      <c r="BR35" s="109" t="e">
        <f t="shared" ref="BR35:CK35" si="31">BR10/BR12</f>
        <v>#DIV/0!</v>
      </c>
      <c r="BS35" s="109" t="e">
        <f t="shared" si="31"/>
        <v>#DIV/0!</v>
      </c>
      <c r="BT35" s="109">
        <f t="shared" si="31"/>
        <v>0.88109393579072537</v>
      </c>
      <c r="BU35" s="109">
        <f t="shared" si="31"/>
        <v>0.63002114164904865</v>
      </c>
      <c r="BV35" s="109">
        <f t="shared" si="31"/>
        <v>0.54385507624136586</v>
      </c>
      <c r="BW35" s="109">
        <f t="shared" si="31"/>
        <v>0.44235326920395929</v>
      </c>
      <c r="BX35" s="109">
        <f t="shared" si="31"/>
        <v>0.37647058823529411</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561</v>
      </c>
      <c r="E36" s="109">
        <f>(E11-I11)/I11</f>
        <v>-0.32273271602703368</v>
      </c>
      <c r="F36" s="109">
        <f t="shared" ref="F36:BQ36" si="32">(F11-J11)/J11</f>
        <v>-0.37587034348267656</v>
      </c>
      <c r="G36" s="109">
        <f t="shared" si="32"/>
        <v>-0.26930419528053795</v>
      </c>
      <c r="H36" s="109">
        <f t="shared" si="32"/>
        <v>-0.26139099206346378</v>
      </c>
      <c r="I36" s="109">
        <f t="shared" si="32"/>
        <v>-0.30454073481671562</v>
      </c>
      <c r="J36" s="109">
        <f t="shared" si="32"/>
        <v>-0.14129881856569118</v>
      </c>
      <c r="K36" s="109">
        <f t="shared" si="32"/>
        <v>-0.24541087162332154</v>
      </c>
      <c r="L36" s="109">
        <f t="shared" si="32"/>
        <v>-0.22478409183525991</v>
      </c>
      <c r="M36" s="109">
        <f t="shared" si="32"/>
        <v>-9.5808536032976011E-2</v>
      </c>
      <c r="N36" s="109">
        <f t="shared" si="32"/>
        <v>-2.091185770333796E-2</v>
      </c>
      <c r="O36" s="109">
        <f t="shared" si="32"/>
        <v>0.18820982713199211</v>
      </c>
      <c r="P36" s="109">
        <f t="shared" si="32"/>
        <v>0.46965479459172893</v>
      </c>
      <c r="Q36" s="109">
        <f t="shared" si="32"/>
        <v>0.66783962341137393</v>
      </c>
      <c r="R36" s="109">
        <f t="shared" si="32"/>
        <v>0.67984084481747098</v>
      </c>
      <c r="S36" s="109">
        <f t="shared" si="32"/>
        <v>0.89298589128272299</v>
      </c>
      <c r="T36" s="109">
        <f t="shared" si="32"/>
        <v>1.1785415544278082</v>
      </c>
      <c r="U36" s="109">
        <f t="shared" si="32"/>
        <v>0.99817334093056453</v>
      </c>
      <c r="V36" s="109">
        <f t="shared" si="32"/>
        <v>1.1437520204618408</v>
      </c>
      <c r="W36" s="109">
        <f t="shared" si="32"/>
        <v>0.67977827949146374</v>
      </c>
      <c r="X36" s="109">
        <f t="shared" si="32"/>
        <v>0.77467401378147949</v>
      </c>
      <c r="Y36" s="109">
        <f t="shared" si="32"/>
        <v>0.83461686782764688</v>
      </c>
      <c r="Z36" s="109">
        <f t="shared" si="32"/>
        <v>0.43802980320404228</v>
      </c>
      <c r="AA36" s="109">
        <f t="shared" si="32"/>
        <v>0.62841009691418603</v>
      </c>
      <c r="AB36" s="109">
        <f t="shared" si="32"/>
        <v>0.23489108580589058</v>
      </c>
      <c r="AC36" s="109">
        <f t="shared" si="32"/>
        <v>0.19210869732526639</v>
      </c>
      <c r="AD36" s="109">
        <f t="shared" si="32"/>
        <v>0.54662605592620017</v>
      </c>
      <c r="AE36" s="109">
        <f t="shared" si="32"/>
        <v>0.44123017558998251</v>
      </c>
      <c r="AF36" s="109">
        <f t="shared" si="32"/>
        <v>2.1458576269493577</v>
      </c>
      <c r="AG36" s="109">
        <f t="shared" si="32"/>
        <v>2.2187807908689154</v>
      </c>
      <c r="AH36" s="109">
        <f t="shared" si="32"/>
        <v>2.5912434703707112</v>
      </c>
      <c r="AI36" s="109">
        <f t="shared" si="32"/>
        <v>3.3547515191988655</v>
      </c>
      <c r="AJ36" s="109">
        <f t="shared" si="32"/>
        <v>0.99769739210968877</v>
      </c>
      <c r="AK36" s="109">
        <f t="shared" si="32"/>
        <v>0.48548468264603761</v>
      </c>
      <c r="AL36" s="109">
        <f t="shared" si="32"/>
        <v>-0.10762200703270347</v>
      </c>
      <c r="AM36" s="109">
        <f t="shared" si="32"/>
        <v>-0.53948058751014416</v>
      </c>
      <c r="AN36" s="109">
        <f t="shared" si="32"/>
        <v>-0.57338752818087979</v>
      </c>
      <c r="AO36" s="109">
        <f t="shared" si="32"/>
        <v>-0.29045611752878037</v>
      </c>
      <c r="AP36" s="109">
        <f t="shared" si="32"/>
        <v>6.20788453645989E-2</v>
      </c>
      <c r="AQ36" s="109">
        <f t="shared" si="32"/>
        <v>-0.17029123722809944</v>
      </c>
      <c r="AR36" s="109">
        <f t="shared" si="32"/>
        <v>-7.5346108283048671E-3</v>
      </c>
      <c r="AS36" s="109">
        <f t="shared" si="32"/>
        <v>-0.25105825017981209</v>
      </c>
      <c r="AT36" s="109">
        <f t="shared" si="32"/>
        <v>-0.38888234024443258</v>
      </c>
      <c r="AU36" s="109">
        <f t="shared" si="32"/>
        <v>2.8747140188311237E-3</v>
      </c>
      <c r="AV36" s="109">
        <f t="shared" si="32"/>
        <v>-0.31507189663453838</v>
      </c>
      <c r="AW36" s="109">
        <f t="shared" si="32"/>
        <v>-0.40211513188977888</v>
      </c>
      <c r="AX36" s="109">
        <f t="shared" si="32"/>
        <v>-0.51089764944960281</v>
      </c>
      <c r="AY36" s="109">
        <f t="shared" si="32"/>
        <v>-0.47024040123999361</v>
      </c>
      <c r="AZ36" s="109">
        <f t="shared" si="32"/>
        <v>-0.15212723327360295</v>
      </c>
      <c r="BA36" s="109">
        <f t="shared" si="32"/>
        <v>0.26449003072004679</v>
      </c>
      <c r="BB36" s="109">
        <f t="shared" si="32"/>
        <v>1.9285156794425087</v>
      </c>
      <c r="BC36" s="109">
        <f t="shared" si="32"/>
        <v>3.8443409090909091</v>
      </c>
      <c r="BD36" s="109">
        <f t="shared" si="32"/>
        <v>16.319892857142857</v>
      </c>
      <c r="BE36" s="109">
        <f t="shared" si="32"/>
        <v>11.62360119047619</v>
      </c>
      <c r="BF36" s="109">
        <f t="shared" si="32"/>
        <v>3.9059829059829059</v>
      </c>
      <c r="BG36" s="109">
        <f t="shared" si="32"/>
        <v>6.0566037735849054</v>
      </c>
      <c r="BH36" s="109">
        <f t="shared" si="32"/>
        <v>0.58490566037735847</v>
      </c>
      <c r="BI36" s="109">
        <f t="shared" si="32"/>
        <v>0.58490566037735847</v>
      </c>
      <c r="BJ36" s="109">
        <f t="shared" si="32"/>
        <v>2.9</v>
      </c>
      <c r="BK36" s="109" t="e">
        <f t="shared" si="32"/>
        <v>#DIV/0!</v>
      </c>
      <c r="BL36" s="109" t="e">
        <f t="shared" si="32"/>
        <v>#DIV/0!</v>
      </c>
      <c r="BM36" s="109" t="e">
        <f t="shared" si="32"/>
        <v>#DIV/0!</v>
      </c>
      <c r="BN36" s="109" t="e">
        <f t="shared" si="32"/>
        <v>#DIV/0!</v>
      </c>
      <c r="BO36" s="109" t="e">
        <f t="shared" si="32"/>
        <v>#DIV/0!</v>
      </c>
      <c r="BP36" s="109">
        <f t="shared" si="32"/>
        <v>-1</v>
      </c>
      <c r="BQ36" s="109">
        <f t="shared" si="32"/>
        <v>-1</v>
      </c>
      <c r="BR36" s="109">
        <f t="shared" ref="BR36:CK36" si="33">(BR11-BV11)/BV11</f>
        <v>-1</v>
      </c>
      <c r="BS36" s="109">
        <f t="shared" si="33"/>
        <v>-1</v>
      </c>
      <c r="BT36" s="109">
        <f t="shared" si="33"/>
        <v>-0.81132075471698117</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565</v>
      </c>
      <c r="B37" s="109"/>
      <c r="C37" s="109"/>
      <c r="D37" s="109"/>
      <c r="E37" s="109">
        <f>E11/E12</f>
        <v>0.2908456941199774</v>
      </c>
      <c r="F37" s="109">
        <f t="shared" ref="F37:BQ37" si="34">F11/F12</f>
        <v>0.30423159331821664</v>
      </c>
      <c r="G37" s="109">
        <f t="shared" si="34"/>
        <v>0.31900784467298843</v>
      </c>
      <c r="H37" s="109">
        <f t="shared" si="34"/>
        <v>0.41149376392910048</v>
      </c>
      <c r="I37" s="109">
        <f t="shared" si="34"/>
        <v>0.42486121137453881</v>
      </c>
      <c r="J37" s="109">
        <f t="shared" si="34"/>
        <v>0.49778187329087642</v>
      </c>
      <c r="K37" s="109">
        <f t="shared" si="34"/>
        <v>0.41694389815150112</v>
      </c>
      <c r="L37" s="109">
        <f t="shared" si="34"/>
        <v>0.48796250031224303</v>
      </c>
      <c r="M37" s="109">
        <f t="shared" si="34"/>
        <v>0.523360170792187</v>
      </c>
      <c r="N37" s="109">
        <f t="shared" si="34"/>
        <v>0.53340796156055015</v>
      </c>
      <c r="O37" s="111">
        <f t="shared" si="34"/>
        <v>0.6006588361477716</v>
      </c>
      <c r="P37" s="111">
        <f t="shared" si="34"/>
        <v>0.66327381478771064</v>
      </c>
      <c r="Q37" s="111">
        <f t="shared" si="34"/>
        <v>0.6768128323351067</v>
      </c>
      <c r="R37" s="111">
        <f t="shared" si="34"/>
        <v>0.67753486428608933</v>
      </c>
      <c r="S37" s="111">
        <f t="shared" si="34"/>
        <v>0.61079754948845555</v>
      </c>
      <c r="T37" s="111">
        <f t="shared" si="34"/>
        <v>0.63153853021874262</v>
      </c>
      <c r="U37" s="111">
        <f t="shared" si="34"/>
        <v>0.63573295340747638</v>
      </c>
      <c r="V37" s="111">
        <f t="shared" si="34"/>
        <v>0.6268992202276612</v>
      </c>
      <c r="W37" s="111">
        <f t="shared" si="34"/>
        <v>0.50350906691020503</v>
      </c>
      <c r="X37" s="111">
        <f t="shared" si="34"/>
        <v>0.45929970707327977</v>
      </c>
      <c r="Y37" s="111">
        <f t="shared" si="34"/>
        <v>0.47863115121191629</v>
      </c>
      <c r="Z37" s="111">
        <f t="shared" si="34"/>
        <v>0.4452574548214342</v>
      </c>
      <c r="AA37" s="111">
        <f t="shared" si="34"/>
        <v>0.46415683913709171</v>
      </c>
      <c r="AB37" s="111">
        <f t="shared" si="34"/>
        <v>0.38329072811617015</v>
      </c>
      <c r="AC37" s="111">
        <f t="shared" si="34"/>
        <v>0.35924861656530654</v>
      </c>
      <c r="AD37" s="111">
        <f t="shared" si="34"/>
        <v>0.51931202729140413</v>
      </c>
      <c r="AE37" s="111">
        <f t="shared" si="34"/>
        <v>0.38801746501525824</v>
      </c>
      <c r="AF37" s="111">
        <f t="shared" si="34"/>
        <v>0.38941209107802921</v>
      </c>
      <c r="AG37" s="111">
        <f t="shared" si="34"/>
        <v>0.44077016353604587</v>
      </c>
      <c r="AH37" s="111">
        <f t="shared" si="34"/>
        <v>0.42091002725492688</v>
      </c>
      <c r="AI37" s="111">
        <f t="shared" si="34"/>
        <v>0.45629157085905703</v>
      </c>
      <c r="AJ37" s="111">
        <f t="shared" si="34"/>
        <v>0.23218153206017045</v>
      </c>
      <c r="AK37" s="111">
        <f t="shared" si="34"/>
        <v>0.21917055394207538</v>
      </c>
      <c r="AL37" s="111">
        <f t="shared" si="34"/>
        <v>0.13651585333031283</v>
      </c>
      <c r="AM37" s="111">
        <f t="shared" si="34"/>
        <v>0.10666231927400065</v>
      </c>
      <c r="AN37" s="111">
        <f t="shared" si="34"/>
        <v>0.13283319302632965</v>
      </c>
      <c r="AO37" s="111">
        <f t="shared" si="34"/>
        <v>0.25043955943831658</v>
      </c>
      <c r="AP37" s="111">
        <f t="shared" si="34"/>
        <v>0.26728548591482315</v>
      </c>
      <c r="AQ37" s="111">
        <f t="shared" si="34"/>
        <v>0.37555015487707316</v>
      </c>
      <c r="AR37" s="111">
        <f t="shared" si="34"/>
        <v>0.35247437698190348</v>
      </c>
      <c r="AS37" s="111">
        <f t="shared" si="34"/>
        <v>0.28304048800363862</v>
      </c>
      <c r="AT37" s="111">
        <f t="shared" si="34"/>
        <v>0.23814598299350609</v>
      </c>
      <c r="AU37" s="111">
        <f t="shared" si="34"/>
        <v>0.50699415090065003</v>
      </c>
      <c r="AV37" s="111">
        <f t="shared" si="34"/>
        <v>0.49948363830831671</v>
      </c>
      <c r="AW37" s="111">
        <f t="shared" si="34"/>
        <v>0.51499644525681909</v>
      </c>
      <c r="AX37" s="111">
        <f t="shared" si="34"/>
        <v>0.47416710477592688</v>
      </c>
      <c r="AY37" s="111">
        <f t="shared" si="34"/>
        <v>0.5455298548682449</v>
      </c>
      <c r="AZ37" s="111">
        <f t="shared" si="34"/>
        <v>0.66036315689590974</v>
      </c>
      <c r="BA37" s="111">
        <f t="shared" si="34"/>
        <v>0.7271922292939984</v>
      </c>
      <c r="BB37" s="111">
        <f t="shared" si="34"/>
        <v>0.87802574685842572</v>
      </c>
      <c r="BC37" s="111">
        <f t="shared" si="34"/>
        <v>0.92990861606570596</v>
      </c>
      <c r="BD37" s="111">
        <f t="shared" si="34"/>
        <v>0.9385957201723879</v>
      </c>
      <c r="BE37" s="111">
        <f t="shared" si="34"/>
        <v>0.86086428823679839</v>
      </c>
      <c r="BF37" s="111">
        <f t="shared" si="34"/>
        <v>0.81534090909090906</v>
      </c>
      <c r="BG37" s="111">
        <f t="shared" si="34"/>
        <v>0.78902953586497893</v>
      </c>
      <c r="BH37" s="111">
        <f t="shared" si="34"/>
        <v>0.48275862068965519</v>
      </c>
      <c r="BI37" s="111">
        <f t="shared" si="34"/>
        <v>0.66931439739849918</v>
      </c>
      <c r="BJ37" s="111">
        <f t="shared" si="34"/>
        <v>0.84978701050947214</v>
      </c>
      <c r="BK37" s="111">
        <f t="shared" si="34"/>
        <v>0.73123620309050774</v>
      </c>
      <c r="BL37" s="111">
        <f t="shared" si="34"/>
        <v>0.73123620309050774</v>
      </c>
      <c r="BM37" s="111">
        <f t="shared" si="34"/>
        <v>0.73611111111111116</v>
      </c>
      <c r="BN37" s="111">
        <f t="shared" si="34"/>
        <v>1</v>
      </c>
      <c r="BO37" s="111" t="e">
        <f t="shared" si="34"/>
        <v>#DIV/0!</v>
      </c>
      <c r="BP37" s="111" t="e">
        <f t="shared" si="34"/>
        <v>#DIV/0!</v>
      </c>
      <c r="BQ37" s="111" t="e">
        <f t="shared" si="34"/>
        <v>#DIV/0!</v>
      </c>
      <c r="BR37" s="111" t="e">
        <f t="shared" ref="BR37:CK37" si="35">BR11/BR12</f>
        <v>#DIV/0!</v>
      </c>
      <c r="BS37" s="111" t="e">
        <f t="shared" si="35"/>
        <v>#DIV/0!</v>
      </c>
      <c r="BT37" s="111">
        <f t="shared" si="35"/>
        <v>0.11890606420927467</v>
      </c>
      <c r="BU37" s="111">
        <f t="shared" si="35"/>
        <v>0.3699788583509514</v>
      </c>
      <c r="BV37" s="111">
        <f t="shared" si="35"/>
        <v>0.45614492375863419</v>
      </c>
      <c r="BW37" s="111">
        <f t="shared" si="35"/>
        <v>0.55764673079604066</v>
      </c>
      <c r="BX37" s="111">
        <f t="shared" si="35"/>
        <v>0.62352941176470589</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4" customFormat="1" x14ac:dyDescent="0.25">
      <c r="A38" s="191" t="s">
        <v>635</v>
      </c>
      <c r="B38" s="192"/>
      <c r="C38" s="192"/>
      <c r="D38" s="192"/>
      <c r="E38" s="193">
        <f>E1</f>
        <v>43100</v>
      </c>
      <c r="F38" s="193">
        <f t="shared" ref="F38:U38" si="36">F1</f>
        <v>43008</v>
      </c>
      <c r="G38" s="193">
        <f t="shared" si="36"/>
        <v>42916</v>
      </c>
      <c r="H38" s="193">
        <f t="shared" si="36"/>
        <v>42825</v>
      </c>
      <c r="I38" s="193">
        <f t="shared" si="36"/>
        <v>42735</v>
      </c>
      <c r="J38" s="193">
        <f t="shared" si="36"/>
        <v>42643</v>
      </c>
      <c r="K38" s="193">
        <f t="shared" si="36"/>
        <v>42551</v>
      </c>
      <c r="L38" s="193">
        <f t="shared" si="36"/>
        <v>42460</v>
      </c>
      <c r="M38" s="193">
        <f t="shared" si="36"/>
        <v>42369</v>
      </c>
      <c r="N38" s="193">
        <f t="shared" si="36"/>
        <v>42277</v>
      </c>
      <c r="O38" s="193">
        <f t="shared" si="36"/>
        <v>42185</v>
      </c>
      <c r="P38" s="193">
        <f t="shared" si="36"/>
        <v>42094</v>
      </c>
      <c r="Q38" s="193">
        <f t="shared" si="36"/>
        <v>42004</v>
      </c>
      <c r="R38" s="193">
        <f t="shared" si="36"/>
        <v>41912</v>
      </c>
      <c r="S38" s="193">
        <f t="shared" si="36"/>
        <v>41820</v>
      </c>
      <c r="T38" s="193">
        <f t="shared" si="36"/>
        <v>41729</v>
      </c>
      <c r="U38" s="193">
        <f t="shared" si="36"/>
        <v>41639</v>
      </c>
    </row>
    <row r="39" spans="1:89" s="232" customFormat="1" x14ac:dyDescent="0.25">
      <c r="A39" s="229" t="s">
        <v>552</v>
      </c>
      <c r="B39" s="230"/>
      <c r="C39" s="230"/>
      <c r="D39" s="230"/>
      <c r="E39" s="231">
        <f>E2/E9</f>
        <v>5.8729835069126025E-2</v>
      </c>
      <c r="F39" s="231">
        <f t="shared" ref="F39:U39" si="37">F2/F9</f>
        <v>5.4790197966374451E-2</v>
      </c>
      <c r="G39" s="231">
        <f t="shared" si="37"/>
        <v>4.8770391375439787E-2</v>
      </c>
      <c r="H39" s="231">
        <f t="shared" si="37"/>
        <v>6.6590279939330574E-2</v>
      </c>
      <c r="I39" s="231">
        <f t="shared" si="37"/>
        <v>4.9777090151832036E-2</v>
      </c>
      <c r="J39" s="231">
        <f t="shared" si="37"/>
        <v>6.136443074404991E-2</v>
      </c>
      <c r="K39" s="231">
        <f t="shared" si="37"/>
        <v>4.7986238934046382E-2</v>
      </c>
      <c r="L39" s="231">
        <f t="shared" si="37"/>
        <v>6.3346935888986378E-2</v>
      </c>
      <c r="M39" s="231">
        <f t="shared" si="37"/>
        <v>5.1548913164028834E-2</v>
      </c>
      <c r="N39" s="231">
        <f t="shared" si="37"/>
        <v>3.2691183757421451E-2</v>
      </c>
      <c r="O39" s="231">
        <f t="shared" si="37"/>
        <v>2.8693412108217037E-2</v>
      </c>
      <c r="P39" s="231">
        <f t="shared" si="37"/>
        <v>3.1663516425255868E-2</v>
      </c>
      <c r="Q39" s="231">
        <f t="shared" si="37"/>
        <v>2.9874433016640226E-2</v>
      </c>
      <c r="R39" s="231">
        <f t="shared" si="37"/>
        <v>3.3712106959483248E-2</v>
      </c>
      <c r="S39" s="231">
        <f t="shared" si="37"/>
        <v>5.5615510080103236E-2</v>
      </c>
      <c r="T39" s="231">
        <f t="shared" si="37"/>
        <v>5.8351428974943942E-2</v>
      </c>
      <c r="U39" s="231">
        <f t="shared" si="37"/>
        <v>4.1312812000540461E-2</v>
      </c>
    </row>
    <row r="40" spans="1:89" s="232" customFormat="1" x14ac:dyDescent="0.25">
      <c r="A40" s="229" t="s">
        <v>553</v>
      </c>
      <c r="B40" s="230"/>
      <c r="C40" s="230"/>
      <c r="D40" s="230"/>
      <c r="E40" s="231">
        <f>E3/E9</f>
        <v>1.0013086277810366E-2</v>
      </c>
      <c r="F40" s="231">
        <f t="shared" ref="F40:U40" si="38">F3/F9</f>
        <v>8.6685614157093922E-3</v>
      </c>
      <c r="G40" s="231">
        <f t="shared" si="38"/>
        <v>8.5508811933094966E-3</v>
      </c>
      <c r="H40" s="231">
        <f t="shared" si="38"/>
        <v>8.7411081907626635E-3</v>
      </c>
      <c r="I40" s="231">
        <f t="shared" si="38"/>
        <v>9.0114640229200255E-3</v>
      </c>
      <c r="J40" s="231">
        <f t="shared" si="38"/>
        <v>8.6941141881268121E-3</v>
      </c>
      <c r="K40" s="231">
        <f t="shared" si="38"/>
        <v>4.8867418924475421E-3</v>
      </c>
      <c r="L40" s="231">
        <f t="shared" si="38"/>
        <v>4.9439841955105672E-3</v>
      </c>
      <c r="M40" s="231">
        <f t="shared" si="38"/>
        <v>4.5987707093758639E-3</v>
      </c>
      <c r="N40" s="231">
        <f t="shared" si="38"/>
        <v>4.625511422180332E-3</v>
      </c>
      <c r="O40" s="231">
        <f t="shared" si="38"/>
        <v>2.3480425160858007E-3</v>
      </c>
      <c r="P40" s="231">
        <f t="shared" si="38"/>
        <v>2.3221858219087234E-3</v>
      </c>
      <c r="Q40" s="231">
        <f t="shared" si="38"/>
        <v>2.5194542549126413E-3</v>
      </c>
      <c r="R40" s="231">
        <f t="shared" si="38"/>
        <v>2.721796802993939E-3</v>
      </c>
      <c r="S40" s="231">
        <f t="shared" si="38"/>
        <v>3.5300888586036784E-3</v>
      </c>
      <c r="T40" s="231">
        <f t="shared" si="38"/>
        <v>3.7394635234311996E-3</v>
      </c>
      <c r="U40" s="231">
        <f t="shared" si="38"/>
        <v>4.3459473267063653E-3</v>
      </c>
    </row>
    <row r="41" spans="1:89" x14ac:dyDescent="0.25">
      <c r="A41" s="189" t="s">
        <v>558</v>
      </c>
      <c r="B41" s="64"/>
      <c r="C41" s="64"/>
      <c r="D41" s="64"/>
      <c r="E41" s="90">
        <f>E4/E9</f>
        <v>0.1740647033384187</v>
      </c>
      <c r="F41" s="90">
        <f t="shared" ref="F41:U41" si="39">F4/F9</f>
        <v>0.18094228542700871</v>
      </c>
      <c r="G41" s="90">
        <f t="shared" si="39"/>
        <v>0.18388490892306605</v>
      </c>
      <c r="H41" s="90">
        <f t="shared" si="39"/>
        <v>0.10475231434876926</v>
      </c>
      <c r="I41" s="90">
        <f t="shared" si="39"/>
        <v>2.7156266275191542E-2</v>
      </c>
      <c r="J41" s="90">
        <f t="shared" si="39"/>
        <v>1.0696214232353346E-2</v>
      </c>
      <c r="K41" s="90">
        <f t="shared" si="39"/>
        <v>4.2950091254502554E-2</v>
      </c>
      <c r="L41" s="90">
        <f t="shared" si="39"/>
        <v>2.1151552908708494E-2</v>
      </c>
      <c r="M41" s="90">
        <f t="shared" si="39"/>
        <v>4.6890436130113594E-2</v>
      </c>
      <c r="N41" s="220">
        <f t="shared" si="39"/>
        <v>8.2941902870322146E-2</v>
      </c>
      <c r="O41" s="220">
        <f t="shared" si="39"/>
        <v>6.6908324326790072E-2</v>
      </c>
      <c r="P41" s="220">
        <f t="shared" si="39"/>
        <v>9.9133552835350802E-2</v>
      </c>
      <c r="Q41" s="220">
        <f t="shared" si="39"/>
        <v>7.2910670143337047E-2</v>
      </c>
      <c r="R41" s="220">
        <f t="shared" si="39"/>
        <v>7.8653604557981469E-2</v>
      </c>
      <c r="S41" s="220">
        <f t="shared" si="39"/>
        <v>0.12041535782045169</v>
      </c>
      <c r="T41" s="220">
        <f t="shared" si="39"/>
        <v>0.10885459749571579</v>
      </c>
      <c r="U41" s="220">
        <f t="shared" si="39"/>
        <v>7.7262208630064014E-2</v>
      </c>
    </row>
    <row r="42" spans="1:89" x14ac:dyDescent="0.25">
      <c r="A42" s="189" t="s">
        <v>335</v>
      </c>
      <c r="B42" s="64"/>
      <c r="C42" s="64"/>
      <c r="D42" s="64"/>
      <c r="E42" s="90">
        <f>E5/E9</f>
        <v>0.42778137670063071</v>
      </c>
      <c r="F42" s="90">
        <f t="shared" ref="F42:U42" si="40">F5/F9</f>
        <v>0.41972606680821822</v>
      </c>
      <c r="G42" s="90">
        <f t="shared" si="40"/>
        <v>0.39597454174162955</v>
      </c>
      <c r="H42" s="90">
        <f t="shared" si="40"/>
        <v>0.36000831380037901</v>
      </c>
      <c r="I42" s="90">
        <f t="shared" si="40"/>
        <v>0.28588898045331257</v>
      </c>
      <c r="J42" s="90">
        <f t="shared" si="40"/>
        <v>0.30208210122604473</v>
      </c>
      <c r="K42" s="90">
        <f t="shared" si="40"/>
        <v>0.26206154699765843</v>
      </c>
      <c r="L42" s="90">
        <f t="shared" si="40"/>
        <v>0.23322665382896388</v>
      </c>
      <c r="M42" s="90">
        <f t="shared" si="40"/>
        <v>0.22750939959453045</v>
      </c>
      <c r="N42" s="220">
        <f t="shared" si="40"/>
        <v>0.25474824686880077</v>
      </c>
      <c r="O42" s="220">
        <f t="shared" si="40"/>
        <v>0.24734589593004358</v>
      </c>
      <c r="P42" s="220">
        <f t="shared" si="40"/>
        <v>0.25702167840485052</v>
      </c>
      <c r="Q42" s="220">
        <f t="shared" si="40"/>
        <v>0.25321440350800078</v>
      </c>
      <c r="R42" s="220">
        <f t="shared" si="40"/>
        <v>0.24051588183892803</v>
      </c>
      <c r="S42" s="220">
        <f t="shared" si="40"/>
        <v>0.27128859889550289</v>
      </c>
      <c r="T42" s="220">
        <f t="shared" si="40"/>
        <v>0.28492883827670923</v>
      </c>
      <c r="U42" s="220">
        <f t="shared" si="40"/>
        <v>0.28441646419053668</v>
      </c>
    </row>
    <row r="43" spans="1:89" x14ac:dyDescent="0.25">
      <c r="A43" s="189" t="s">
        <v>336</v>
      </c>
      <c r="B43" s="64"/>
      <c r="C43" s="64"/>
      <c r="D43" s="64"/>
      <c r="E43" s="90">
        <f>E6/E9</f>
        <v>0.25371667336221199</v>
      </c>
      <c r="F43" s="90">
        <f t="shared" ref="F43:U43" si="41">F6/F9</f>
        <v>0.23878378138120948</v>
      </c>
      <c r="G43" s="90">
        <f t="shared" si="41"/>
        <v>0.21208963281856347</v>
      </c>
      <c r="H43" s="90">
        <f t="shared" si="41"/>
        <v>0.25525599945160976</v>
      </c>
      <c r="I43" s="90">
        <f t="shared" si="41"/>
        <v>0.25873271417812099</v>
      </c>
      <c r="J43" s="90">
        <f t="shared" si="41"/>
        <v>0.29138588699369139</v>
      </c>
      <c r="K43" s="90">
        <f t="shared" si="41"/>
        <v>0.21911145574315591</v>
      </c>
      <c r="L43" s="90">
        <f t="shared" si="41"/>
        <v>0.21207510092025539</v>
      </c>
      <c r="M43" s="90">
        <f t="shared" si="41"/>
        <v>0.18061896346441689</v>
      </c>
      <c r="N43" s="220">
        <f t="shared" si="41"/>
        <v>0.17180634399847861</v>
      </c>
      <c r="O43" s="220">
        <f t="shared" si="41"/>
        <v>0.18043757160325352</v>
      </c>
      <c r="P43" s="220">
        <f t="shared" si="41"/>
        <v>0.15788812556949974</v>
      </c>
      <c r="Q43" s="220">
        <f t="shared" si="41"/>
        <v>0.18030373336466374</v>
      </c>
      <c r="R43" s="220">
        <f t="shared" si="41"/>
        <v>0.16186227728094657</v>
      </c>
      <c r="S43" s="220">
        <f t="shared" si="41"/>
        <v>0.15087324107505123</v>
      </c>
      <c r="T43" s="220">
        <f t="shared" si="41"/>
        <v>0.17607424078099343</v>
      </c>
      <c r="U43" s="220">
        <f t="shared" si="41"/>
        <v>0.20715425556047271</v>
      </c>
    </row>
    <row r="44" spans="1:89" x14ac:dyDescent="0.25">
      <c r="A44" s="189" t="s">
        <v>337</v>
      </c>
      <c r="B44" s="64"/>
      <c r="C44" s="64"/>
      <c r="D44" s="64"/>
      <c r="E44" s="90">
        <f>E7/E9</f>
        <v>0.75719237531464489</v>
      </c>
      <c r="F44" s="90">
        <f t="shared" ref="F44:U44" si="42">F7/F9</f>
        <v>0.75559895519090725</v>
      </c>
      <c r="G44" s="90">
        <f t="shared" si="42"/>
        <v>0.75879381850818461</v>
      </c>
      <c r="H44" s="90">
        <f t="shared" si="42"/>
        <v>0.81991629752113748</v>
      </c>
      <c r="I44" s="90">
        <f t="shared" si="42"/>
        <v>0.91405517955005633</v>
      </c>
      <c r="J44" s="90">
        <f t="shared" si="42"/>
        <v>0.91924524083546988</v>
      </c>
      <c r="K44" s="90">
        <f t="shared" si="42"/>
        <v>0.90417692791900361</v>
      </c>
      <c r="L44" s="90">
        <f t="shared" si="42"/>
        <v>0.9105575270067946</v>
      </c>
      <c r="M44" s="90">
        <f t="shared" si="42"/>
        <v>0.89696187999648158</v>
      </c>
      <c r="N44" s="220">
        <f t="shared" si="42"/>
        <v>0.879741401950076</v>
      </c>
      <c r="O44" s="220">
        <f t="shared" si="42"/>
        <v>0.9020502210489072</v>
      </c>
      <c r="P44" s="220">
        <f t="shared" si="42"/>
        <v>0.86688074491748479</v>
      </c>
      <c r="Q44" s="220">
        <f t="shared" si="42"/>
        <v>0.89469544258511013</v>
      </c>
      <c r="R44" s="220">
        <f t="shared" si="42"/>
        <v>0.88491249167954145</v>
      </c>
      <c r="S44" s="220">
        <f t="shared" si="42"/>
        <v>0.82043904324084149</v>
      </c>
      <c r="T44" s="220">
        <f t="shared" si="42"/>
        <v>0.82905451000590913</v>
      </c>
      <c r="U44" s="220">
        <f t="shared" si="42"/>
        <v>0.87707903204268922</v>
      </c>
    </row>
    <row r="45" spans="1:89" s="232" customFormat="1" x14ac:dyDescent="0.25">
      <c r="A45" s="229" t="s">
        <v>338</v>
      </c>
      <c r="B45" s="230"/>
      <c r="C45" s="230"/>
      <c r="D45" s="230"/>
      <c r="E45" s="231">
        <f>E8/E9</f>
        <v>0.93125707865306362</v>
      </c>
      <c r="F45" s="231">
        <f t="shared" ref="F45:U45" si="43">F8/F9</f>
        <v>0.9365412406179161</v>
      </c>
      <c r="G45" s="231">
        <f t="shared" si="43"/>
        <v>0.9426787274312507</v>
      </c>
      <c r="H45" s="231">
        <f t="shared" si="43"/>
        <v>0.92466861186990668</v>
      </c>
      <c r="I45" s="231">
        <f t="shared" si="43"/>
        <v>0.94121144582524785</v>
      </c>
      <c r="J45" s="231">
        <f t="shared" si="43"/>
        <v>0.92994145506782333</v>
      </c>
      <c r="K45" s="231">
        <f t="shared" si="43"/>
        <v>0.94712701917350617</v>
      </c>
      <c r="L45" s="231">
        <f t="shared" si="43"/>
        <v>0.931709079915503</v>
      </c>
      <c r="M45" s="231">
        <f t="shared" si="43"/>
        <v>0.94385231612659526</v>
      </c>
      <c r="N45" s="231">
        <f t="shared" si="43"/>
        <v>0.96268330482039821</v>
      </c>
      <c r="O45" s="231">
        <f t="shared" si="43"/>
        <v>0.96895854537569714</v>
      </c>
      <c r="P45" s="231">
        <f t="shared" si="43"/>
        <v>0.96601429775283543</v>
      </c>
      <c r="Q45" s="231">
        <f t="shared" si="43"/>
        <v>0.9676061127284471</v>
      </c>
      <c r="R45" s="231">
        <f t="shared" si="43"/>
        <v>0.96356609623752287</v>
      </c>
      <c r="S45" s="231">
        <f t="shared" si="43"/>
        <v>0.94085440106129314</v>
      </c>
      <c r="T45" s="231">
        <f t="shared" si="43"/>
        <v>0.93790910750162493</v>
      </c>
      <c r="U45" s="231">
        <f t="shared" si="43"/>
        <v>0.95434124067275317</v>
      </c>
    </row>
    <row r="46" spans="1:89" x14ac:dyDescent="0.25">
      <c r="A46" s="190"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20">
        <f t="shared" si="44"/>
        <v>1</v>
      </c>
      <c r="O46" s="220">
        <f t="shared" si="44"/>
        <v>1</v>
      </c>
      <c r="P46" s="220">
        <f t="shared" si="44"/>
        <v>1</v>
      </c>
      <c r="Q46" s="220">
        <f t="shared" si="44"/>
        <v>1</v>
      </c>
      <c r="R46" s="220">
        <f t="shared" si="44"/>
        <v>1</v>
      </c>
      <c r="S46" s="220">
        <f t="shared" si="44"/>
        <v>1</v>
      </c>
      <c r="T46" s="220">
        <f t="shared" si="44"/>
        <v>1</v>
      </c>
      <c r="U46" s="220">
        <f t="shared" si="44"/>
        <v>1</v>
      </c>
    </row>
    <row r="47" spans="1:89" x14ac:dyDescent="0.25">
      <c r="A47" s="189" t="s">
        <v>340</v>
      </c>
      <c r="B47" s="64"/>
      <c r="C47" s="64"/>
      <c r="D47" s="64"/>
      <c r="E47" s="90">
        <f>E10/E14</f>
        <v>0.293690716989573</v>
      </c>
      <c r="F47" s="90">
        <f t="shared" ref="F47:U47" si="45">F10/F14</f>
        <v>0.32456454974588089</v>
      </c>
      <c r="G47" s="90">
        <f t="shared" si="45"/>
        <v>0.3378613917536426</v>
      </c>
      <c r="H47" s="90">
        <f t="shared" si="45"/>
        <v>0.28496231329994587</v>
      </c>
      <c r="I47" s="90">
        <f t="shared" si="45"/>
        <v>0.31348259541180812</v>
      </c>
      <c r="J47" s="90">
        <f t="shared" si="45"/>
        <v>0.29096239384442152</v>
      </c>
      <c r="K47" s="90">
        <f t="shared" si="45"/>
        <v>0.36306851817729452</v>
      </c>
      <c r="L47" s="90">
        <f t="shared" si="45"/>
        <v>0.31741088468502482</v>
      </c>
      <c r="M47" s="90">
        <f t="shared" si="45"/>
        <v>0.3020724046165833</v>
      </c>
      <c r="N47" s="220">
        <f t="shared" si="45"/>
        <v>0.29612362590511293</v>
      </c>
      <c r="O47" s="220">
        <f t="shared" si="45"/>
        <v>0.25155727472146605</v>
      </c>
      <c r="P47" s="220">
        <f t="shared" si="45"/>
        <v>0.21242841045605468</v>
      </c>
      <c r="Q47" s="220">
        <f t="shared" si="45"/>
        <v>0.20128130704974445</v>
      </c>
      <c r="R47" s="220">
        <f t="shared" si="45"/>
        <v>0.19754952526387204</v>
      </c>
      <c r="S47" s="220">
        <f t="shared" si="45"/>
        <v>0.24363293613319373</v>
      </c>
      <c r="T47" s="220">
        <f t="shared" si="45"/>
        <v>0.21082204786682276</v>
      </c>
      <c r="U47" s="220">
        <f t="shared" si="45"/>
        <v>0.19782571551102468</v>
      </c>
    </row>
    <row r="48" spans="1:89" x14ac:dyDescent="0.25">
      <c r="A48" s="189" t="s">
        <v>341</v>
      </c>
      <c r="B48" s="64"/>
      <c r="C48" s="64"/>
      <c r="D48" s="64"/>
      <c r="E48" s="90">
        <f>E11/E14</f>
        <v>0.12045147259372019</v>
      </c>
      <c r="F48" s="90">
        <f t="shared" ref="F48:U48" si="46">F11/F14</f>
        <v>0.14191904828607707</v>
      </c>
      <c r="G48" s="90">
        <f t="shared" si="46"/>
        <v>0.15826971505977142</v>
      </c>
      <c r="H48" s="90">
        <f t="shared" si="46"/>
        <v>0.19925059020718947</v>
      </c>
      <c r="I48" s="90">
        <f t="shared" si="46"/>
        <v>0.23157296615274592</v>
      </c>
      <c r="J48" s="90">
        <f t="shared" si="46"/>
        <v>0.28839222991439417</v>
      </c>
      <c r="K48" s="90">
        <f t="shared" si="46"/>
        <v>0.25963059606957795</v>
      </c>
      <c r="L48" s="90">
        <f t="shared" si="46"/>
        <v>0.3024868471775507</v>
      </c>
      <c r="M48" s="90">
        <f t="shared" si="46"/>
        <v>0.33168160859426188</v>
      </c>
      <c r="N48" s="220">
        <f t="shared" si="46"/>
        <v>0.33852849309700167</v>
      </c>
      <c r="O48" s="220">
        <f t="shared" si="46"/>
        <v>0.37837346493689772</v>
      </c>
      <c r="P48" s="220">
        <f t="shared" si="46"/>
        <v>0.41843553712238801</v>
      </c>
      <c r="Q48" s="220">
        <f t="shared" si="46"/>
        <v>0.421519741964829</v>
      </c>
      <c r="R48" s="220">
        <f t="shared" si="46"/>
        <v>0.41507337062381522</v>
      </c>
      <c r="S48" s="220">
        <f t="shared" si="46"/>
        <v>0.3823470283119868</v>
      </c>
      <c r="T48" s="220">
        <f t="shared" si="46"/>
        <v>0.36134645591725123</v>
      </c>
      <c r="U48" s="220">
        <f t="shared" si="46"/>
        <v>0.34525309812735655</v>
      </c>
    </row>
    <row r="49" spans="1:21" x14ac:dyDescent="0.25">
      <c r="A49" s="189" t="s">
        <v>342</v>
      </c>
      <c r="B49" s="64"/>
      <c r="C49" s="64"/>
      <c r="D49" s="64"/>
      <c r="E49" s="90">
        <f>E12/E14</f>
        <v>0.41414218958329319</v>
      </c>
      <c r="F49" s="90">
        <f t="shared" ref="F49:U49" si="47">F12/F14</f>
        <v>0.46648359803195794</v>
      </c>
      <c r="G49" s="90">
        <f t="shared" si="47"/>
        <v>0.49613110681341399</v>
      </c>
      <c r="H49" s="90">
        <f t="shared" si="47"/>
        <v>0.48421290350713536</v>
      </c>
      <c r="I49" s="90">
        <f t="shared" si="47"/>
        <v>0.54505556156455393</v>
      </c>
      <c r="J49" s="90">
        <f t="shared" si="47"/>
        <v>0.57935462375881563</v>
      </c>
      <c r="K49" s="90">
        <f t="shared" si="47"/>
        <v>0.62269911424687252</v>
      </c>
      <c r="L49" s="90">
        <f t="shared" si="47"/>
        <v>0.61989773186257546</v>
      </c>
      <c r="M49" s="90">
        <f t="shared" si="47"/>
        <v>0.63375401321084524</v>
      </c>
      <c r="N49" s="220">
        <f t="shared" si="47"/>
        <v>0.63465211900211471</v>
      </c>
      <c r="O49" s="220">
        <f t="shared" si="47"/>
        <v>0.62993073965836388</v>
      </c>
      <c r="P49" s="220">
        <f t="shared" si="47"/>
        <v>0.63086394757844266</v>
      </c>
      <c r="Q49" s="220">
        <f t="shared" si="47"/>
        <v>0.62280104901457345</v>
      </c>
      <c r="R49" s="220">
        <f t="shared" si="47"/>
        <v>0.61262289588768726</v>
      </c>
      <c r="S49" s="220">
        <f t="shared" si="47"/>
        <v>0.62597996444518056</v>
      </c>
      <c r="T49" s="220">
        <f t="shared" si="47"/>
        <v>0.57216850378407402</v>
      </c>
      <c r="U49" s="220">
        <f t="shared" si="47"/>
        <v>0.54307881363838117</v>
      </c>
    </row>
    <row r="50" spans="1:21" x14ac:dyDescent="0.25">
      <c r="A50" s="189" t="s">
        <v>346</v>
      </c>
      <c r="B50" s="64"/>
      <c r="C50" s="64"/>
      <c r="D50" s="64"/>
      <c r="E50" s="90">
        <f>E13/E14</f>
        <v>0.58585781041670681</v>
      </c>
      <c r="F50" s="90">
        <f t="shared" ref="F50:U50" si="48">F13/F14</f>
        <v>0.53351640196804206</v>
      </c>
      <c r="G50" s="90">
        <f t="shared" si="48"/>
        <v>0.50386889318658601</v>
      </c>
      <c r="H50" s="90">
        <f t="shared" si="48"/>
        <v>0.51578709649286458</v>
      </c>
      <c r="I50" s="90">
        <f t="shared" si="48"/>
        <v>0.45494443843544602</v>
      </c>
      <c r="J50" s="90">
        <f t="shared" si="48"/>
        <v>0.42064537624118431</v>
      </c>
      <c r="K50" s="90">
        <f t="shared" si="48"/>
        <v>0.37730088575312754</v>
      </c>
      <c r="L50" s="90">
        <f t="shared" si="48"/>
        <v>0.38010226813742448</v>
      </c>
      <c r="M50" s="90">
        <f t="shared" si="48"/>
        <v>0.36624598678915482</v>
      </c>
      <c r="N50" s="220">
        <f t="shared" si="48"/>
        <v>0.36534788099788529</v>
      </c>
      <c r="O50" s="220">
        <f t="shared" si="48"/>
        <v>0.37006926034163612</v>
      </c>
      <c r="P50" s="220">
        <f t="shared" si="48"/>
        <v>0.36913605242155734</v>
      </c>
      <c r="Q50" s="220">
        <f t="shared" si="48"/>
        <v>0.37719895098542655</v>
      </c>
      <c r="R50" s="220">
        <f t="shared" si="48"/>
        <v>0.38737710411231274</v>
      </c>
      <c r="S50" s="220">
        <f t="shared" si="48"/>
        <v>0.3740200355548195</v>
      </c>
      <c r="T50" s="220">
        <f t="shared" si="48"/>
        <v>0.42783149621592598</v>
      </c>
      <c r="U50" s="220">
        <f t="shared" si="48"/>
        <v>0.45692118636161877</v>
      </c>
    </row>
    <row r="51" spans="1:21" x14ac:dyDescent="0.25">
      <c r="A51" s="190"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20">
        <f t="shared" si="49"/>
        <v>1</v>
      </c>
      <c r="O51" s="220">
        <f t="shared" si="49"/>
        <v>1</v>
      </c>
      <c r="P51" s="220">
        <f t="shared" si="49"/>
        <v>1</v>
      </c>
      <c r="Q51" s="220">
        <f t="shared" si="49"/>
        <v>1</v>
      </c>
      <c r="R51" s="220">
        <f t="shared" si="49"/>
        <v>1</v>
      </c>
      <c r="S51" s="220">
        <f t="shared" si="49"/>
        <v>1</v>
      </c>
      <c r="T51" s="220">
        <f t="shared" si="49"/>
        <v>1</v>
      </c>
      <c r="U51" s="220">
        <f t="shared" si="49"/>
        <v>1</v>
      </c>
    </row>
    <row r="54" spans="1:21" s="9" customFormat="1" x14ac:dyDescent="0.25">
      <c r="A54" s="236" t="s">
        <v>644</v>
      </c>
      <c r="B54" s="237"/>
      <c r="C54" s="237"/>
      <c r="D54" s="237"/>
      <c r="E54" s="238">
        <f>E1</f>
        <v>43100</v>
      </c>
      <c r="F54" s="238">
        <f t="shared" ref="F54:U54" si="50">F1</f>
        <v>43008</v>
      </c>
      <c r="G54" s="238">
        <f t="shared" si="50"/>
        <v>42916</v>
      </c>
      <c r="H54" s="238">
        <f t="shared" si="50"/>
        <v>42825</v>
      </c>
      <c r="I54" s="238">
        <f t="shared" si="50"/>
        <v>42735</v>
      </c>
      <c r="J54" s="238">
        <f t="shared" si="50"/>
        <v>42643</v>
      </c>
      <c r="K54" s="238">
        <f t="shared" si="50"/>
        <v>42551</v>
      </c>
      <c r="L54" s="238">
        <f t="shared" si="50"/>
        <v>42460</v>
      </c>
      <c r="M54" s="238">
        <f t="shared" si="50"/>
        <v>42369</v>
      </c>
      <c r="N54" s="238">
        <f t="shared" si="50"/>
        <v>42277</v>
      </c>
      <c r="O54" s="238">
        <f t="shared" si="50"/>
        <v>42185</v>
      </c>
      <c r="P54" s="238">
        <f t="shared" si="50"/>
        <v>42094</v>
      </c>
      <c r="Q54" s="238">
        <f t="shared" si="50"/>
        <v>42004</v>
      </c>
      <c r="R54" s="238">
        <f t="shared" si="50"/>
        <v>41912</v>
      </c>
      <c r="S54" s="238">
        <f t="shared" si="50"/>
        <v>41820</v>
      </c>
      <c r="T54" s="238">
        <f t="shared" si="50"/>
        <v>41729</v>
      </c>
      <c r="U54" s="238">
        <f t="shared" si="50"/>
        <v>41639</v>
      </c>
    </row>
    <row r="55" spans="1:21" x14ac:dyDescent="0.25">
      <c r="A55" s="189" t="s">
        <v>648</v>
      </c>
      <c r="B55" s="64"/>
      <c r="C55" s="64"/>
      <c r="D55" s="64"/>
      <c r="E55" s="220">
        <f>E2/E9</f>
        <v>5.8729835069126025E-2</v>
      </c>
      <c r="F55" s="220">
        <f t="shared" ref="F55:U55" si="51">F2/F9</f>
        <v>5.4790197966374451E-2</v>
      </c>
      <c r="G55" s="220">
        <f t="shared" si="51"/>
        <v>4.8770391375439787E-2</v>
      </c>
      <c r="H55" s="220">
        <f t="shared" si="51"/>
        <v>6.6590279939330574E-2</v>
      </c>
      <c r="I55" s="220">
        <f t="shared" si="51"/>
        <v>4.9777090151832036E-2</v>
      </c>
      <c r="J55" s="220">
        <f t="shared" si="51"/>
        <v>6.136443074404991E-2</v>
      </c>
      <c r="K55" s="220">
        <f t="shared" si="51"/>
        <v>4.7986238934046382E-2</v>
      </c>
      <c r="L55" s="220">
        <f t="shared" si="51"/>
        <v>6.3346935888986378E-2</v>
      </c>
      <c r="M55" s="220">
        <f t="shared" si="51"/>
        <v>5.1548913164028834E-2</v>
      </c>
      <c r="N55" s="220">
        <f t="shared" si="51"/>
        <v>3.2691183757421451E-2</v>
      </c>
      <c r="O55" s="220">
        <f t="shared" si="51"/>
        <v>2.8693412108217037E-2</v>
      </c>
      <c r="P55" s="220">
        <f t="shared" si="51"/>
        <v>3.1663516425255868E-2</v>
      </c>
      <c r="Q55" s="220">
        <f t="shared" si="51"/>
        <v>2.9874433016640226E-2</v>
      </c>
      <c r="R55" s="220">
        <f t="shared" si="51"/>
        <v>3.3712106959483248E-2</v>
      </c>
      <c r="S55" s="220">
        <f t="shared" si="51"/>
        <v>5.5615510080103236E-2</v>
      </c>
      <c r="T55" s="220">
        <f t="shared" si="51"/>
        <v>5.8351428974943942E-2</v>
      </c>
      <c r="U55" s="220">
        <f t="shared" si="51"/>
        <v>4.1312812000540461E-2</v>
      </c>
    </row>
    <row r="56" spans="1:21" x14ac:dyDescent="0.25">
      <c r="A56" s="189" t="s">
        <v>649</v>
      </c>
      <c r="B56" s="64"/>
      <c r="C56" s="64"/>
      <c r="D56" s="64"/>
      <c r="E56" s="220">
        <f>E4/E9</f>
        <v>0.1740647033384187</v>
      </c>
      <c r="F56" s="220">
        <f t="shared" ref="F56:U56" si="52">F4/F9</f>
        <v>0.18094228542700871</v>
      </c>
      <c r="G56" s="220">
        <f t="shared" si="52"/>
        <v>0.18388490892306605</v>
      </c>
      <c r="H56" s="220">
        <f t="shared" si="52"/>
        <v>0.10475231434876926</v>
      </c>
      <c r="I56" s="220">
        <f t="shared" si="52"/>
        <v>2.7156266275191542E-2</v>
      </c>
      <c r="J56" s="220">
        <f t="shared" si="52"/>
        <v>1.0696214232353346E-2</v>
      </c>
      <c r="K56" s="220">
        <f t="shared" si="52"/>
        <v>4.2950091254502554E-2</v>
      </c>
      <c r="L56" s="220">
        <f t="shared" si="52"/>
        <v>2.1151552908708494E-2</v>
      </c>
      <c r="M56" s="220">
        <f t="shared" si="52"/>
        <v>4.6890436130113594E-2</v>
      </c>
      <c r="N56" s="220">
        <f t="shared" si="52"/>
        <v>8.2941902870322146E-2</v>
      </c>
      <c r="O56" s="220">
        <f t="shared" si="52"/>
        <v>6.6908324326790072E-2</v>
      </c>
      <c r="P56" s="220">
        <f t="shared" si="52"/>
        <v>9.9133552835350802E-2</v>
      </c>
      <c r="Q56" s="220">
        <f t="shared" si="52"/>
        <v>7.2910670143337047E-2</v>
      </c>
      <c r="R56" s="220">
        <f t="shared" si="52"/>
        <v>7.8653604557981469E-2</v>
      </c>
      <c r="S56" s="220">
        <f t="shared" si="52"/>
        <v>0.12041535782045169</v>
      </c>
      <c r="T56" s="220">
        <f t="shared" si="52"/>
        <v>0.10885459749571579</v>
      </c>
      <c r="U56" s="220">
        <f t="shared" si="52"/>
        <v>7.7262208630064014E-2</v>
      </c>
    </row>
    <row r="57" spans="1:21" x14ac:dyDescent="0.25">
      <c r="A57" s="189" t="s">
        <v>650</v>
      </c>
      <c r="B57" s="64"/>
      <c r="C57" s="64"/>
      <c r="D57" s="64"/>
      <c r="E57" s="220">
        <f>E5/E9</f>
        <v>0.42778137670063071</v>
      </c>
      <c r="F57" s="220">
        <f t="shared" ref="F57:U57" si="53">F5/F9</f>
        <v>0.41972606680821822</v>
      </c>
      <c r="G57" s="220">
        <f t="shared" si="53"/>
        <v>0.39597454174162955</v>
      </c>
      <c r="H57" s="220">
        <f t="shared" si="53"/>
        <v>0.36000831380037901</v>
      </c>
      <c r="I57" s="220">
        <f t="shared" si="53"/>
        <v>0.28588898045331257</v>
      </c>
      <c r="J57" s="220">
        <f t="shared" si="53"/>
        <v>0.30208210122604473</v>
      </c>
      <c r="K57" s="220">
        <f t="shared" si="53"/>
        <v>0.26206154699765843</v>
      </c>
      <c r="L57" s="220">
        <f t="shared" si="53"/>
        <v>0.23322665382896388</v>
      </c>
      <c r="M57" s="220">
        <f t="shared" si="53"/>
        <v>0.22750939959453045</v>
      </c>
      <c r="N57" s="220">
        <f t="shared" si="53"/>
        <v>0.25474824686880077</v>
      </c>
      <c r="O57" s="220">
        <f t="shared" si="53"/>
        <v>0.24734589593004358</v>
      </c>
      <c r="P57" s="220">
        <f t="shared" si="53"/>
        <v>0.25702167840485052</v>
      </c>
      <c r="Q57" s="220">
        <f t="shared" si="53"/>
        <v>0.25321440350800078</v>
      </c>
      <c r="R57" s="220">
        <f t="shared" si="53"/>
        <v>0.24051588183892803</v>
      </c>
      <c r="S57" s="220">
        <f t="shared" si="53"/>
        <v>0.27128859889550289</v>
      </c>
      <c r="T57" s="220">
        <f t="shared" si="53"/>
        <v>0.28492883827670923</v>
      </c>
      <c r="U57" s="220">
        <f t="shared" si="53"/>
        <v>0.28441646419053668</v>
      </c>
    </row>
    <row r="58" spans="1:21" x14ac:dyDescent="0.25">
      <c r="A58" s="189" t="s">
        <v>651</v>
      </c>
      <c r="B58" s="64"/>
      <c r="C58" s="64"/>
      <c r="D58" s="64"/>
      <c r="E58" s="220">
        <f>E6/E9</f>
        <v>0.25371667336221199</v>
      </c>
      <c r="F58" s="220">
        <f t="shared" ref="F58:U58" si="54">F6/F9</f>
        <v>0.23878378138120948</v>
      </c>
      <c r="G58" s="220">
        <f t="shared" si="54"/>
        <v>0.21208963281856347</v>
      </c>
      <c r="H58" s="220">
        <f t="shared" si="54"/>
        <v>0.25525599945160976</v>
      </c>
      <c r="I58" s="220">
        <f t="shared" si="54"/>
        <v>0.25873271417812099</v>
      </c>
      <c r="J58" s="220">
        <f t="shared" si="54"/>
        <v>0.29138588699369139</v>
      </c>
      <c r="K58" s="220">
        <f t="shared" si="54"/>
        <v>0.21911145574315591</v>
      </c>
      <c r="L58" s="220">
        <f t="shared" si="54"/>
        <v>0.21207510092025539</v>
      </c>
      <c r="M58" s="220">
        <f t="shared" si="54"/>
        <v>0.18061896346441689</v>
      </c>
      <c r="N58" s="220">
        <f t="shared" si="54"/>
        <v>0.17180634399847861</v>
      </c>
      <c r="O58" s="220">
        <f t="shared" si="54"/>
        <v>0.18043757160325352</v>
      </c>
      <c r="P58" s="220">
        <f t="shared" si="54"/>
        <v>0.15788812556949974</v>
      </c>
      <c r="Q58" s="220">
        <f t="shared" si="54"/>
        <v>0.18030373336466374</v>
      </c>
      <c r="R58" s="220">
        <f t="shared" si="54"/>
        <v>0.16186227728094657</v>
      </c>
      <c r="S58" s="220">
        <f t="shared" si="54"/>
        <v>0.15087324107505123</v>
      </c>
      <c r="T58" s="220">
        <f t="shared" si="54"/>
        <v>0.17607424078099343</v>
      </c>
      <c r="U58" s="220">
        <f t="shared" si="54"/>
        <v>0.20715425556047271</v>
      </c>
    </row>
    <row r="59" spans="1:21" s="232" customFormat="1" x14ac:dyDescent="0.25">
      <c r="A59" s="234" t="s">
        <v>645</v>
      </c>
      <c r="B59" s="230"/>
      <c r="C59" s="230"/>
      <c r="D59" s="230"/>
      <c r="E59" s="231">
        <f>E55+E56</f>
        <v>0.23279453840754472</v>
      </c>
      <c r="F59" s="231">
        <f t="shared" ref="F59:U59" si="55">F55+F56</f>
        <v>0.23573248339338315</v>
      </c>
      <c r="G59" s="231">
        <f t="shared" si="55"/>
        <v>0.23265530029850584</v>
      </c>
      <c r="H59" s="231">
        <f t="shared" si="55"/>
        <v>0.17134259428809984</v>
      </c>
      <c r="I59" s="231">
        <f t="shared" si="55"/>
        <v>7.6933356427023578E-2</v>
      </c>
      <c r="J59" s="231">
        <f t="shared" si="55"/>
        <v>7.2060644976403257E-2</v>
      </c>
      <c r="K59" s="231">
        <f t="shared" si="55"/>
        <v>9.0936330188548936E-2</v>
      </c>
      <c r="L59" s="231">
        <f t="shared" si="55"/>
        <v>8.4498488797694865E-2</v>
      </c>
      <c r="M59" s="231">
        <f t="shared" si="55"/>
        <v>9.8439349294142428E-2</v>
      </c>
      <c r="N59" s="231">
        <f t="shared" si="55"/>
        <v>0.1156330866277436</v>
      </c>
      <c r="O59" s="231">
        <f t="shared" si="55"/>
        <v>9.5601736435007106E-2</v>
      </c>
      <c r="P59" s="231">
        <f t="shared" si="55"/>
        <v>0.13079706926060666</v>
      </c>
      <c r="Q59" s="231">
        <f t="shared" si="55"/>
        <v>0.10278510315997727</v>
      </c>
      <c r="R59" s="231">
        <f t="shared" si="55"/>
        <v>0.11236571151746472</v>
      </c>
      <c r="S59" s="231">
        <f t="shared" si="55"/>
        <v>0.17603086790055494</v>
      </c>
      <c r="T59" s="231">
        <f t="shared" si="55"/>
        <v>0.16720602647065974</v>
      </c>
      <c r="U59" s="231">
        <f t="shared" si="55"/>
        <v>0.11857502063060447</v>
      </c>
    </row>
    <row r="60" spans="1:21" x14ac:dyDescent="0.25">
      <c r="A60" s="189" t="s">
        <v>652</v>
      </c>
      <c r="B60" s="64"/>
      <c r="C60" s="64"/>
      <c r="D60" s="64"/>
      <c r="E60" s="220">
        <f>E3/E9</f>
        <v>1.0013086277810366E-2</v>
      </c>
      <c r="F60" s="220">
        <f t="shared" ref="F60:U60" si="56">F3/F9</f>
        <v>8.6685614157093922E-3</v>
      </c>
      <c r="G60" s="220">
        <f t="shared" si="56"/>
        <v>8.5508811933094966E-3</v>
      </c>
      <c r="H60" s="220">
        <f t="shared" si="56"/>
        <v>8.7411081907626635E-3</v>
      </c>
      <c r="I60" s="220">
        <f t="shared" si="56"/>
        <v>9.0114640229200255E-3</v>
      </c>
      <c r="J60" s="220">
        <f t="shared" si="56"/>
        <v>8.6941141881268121E-3</v>
      </c>
      <c r="K60" s="220">
        <f t="shared" si="56"/>
        <v>4.8867418924475421E-3</v>
      </c>
      <c r="L60" s="220">
        <f t="shared" si="56"/>
        <v>4.9439841955105672E-3</v>
      </c>
      <c r="M60" s="220">
        <f t="shared" si="56"/>
        <v>4.5987707093758639E-3</v>
      </c>
      <c r="N60" s="220">
        <f t="shared" si="56"/>
        <v>4.625511422180332E-3</v>
      </c>
      <c r="O60" s="220">
        <f t="shared" si="56"/>
        <v>2.3480425160858007E-3</v>
      </c>
      <c r="P60" s="220">
        <f t="shared" si="56"/>
        <v>2.3221858219087234E-3</v>
      </c>
      <c r="Q60" s="220">
        <f t="shared" si="56"/>
        <v>2.5194542549126413E-3</v>
      </c>
      <c r="R60" s="220">
        <f t="shared" si="56"/>
        <v>2.721796802993939E-3</v>
      </c>
      <c r="S60" s="220">
        <f t="shared" si="56"/>
        <v>3.5300888586036784E-3</v>
      </c>
      <c r="T60" s="220">
        <f t="shared" si="56"/>
        <v>3.7394635234311996E-3</v>
      </c>
      <c r="U60" s="220">
        <f t="shared" si="56"/>
        <v>4.3459473267063653E-3</v>
      </c>
    </row>
    <row r="61" spans="1:21" x14ac:dyDescent="0.25">
      <c r="A61" s="189" t="s">
        <v>653</v>
      </c>
      <c r="B61" s="64"/>
      <c r="C61" s="64"/>
      <c r="D61" s="64"/>
      <c r="E61" s="220">
        <f>E7/E9</f>
        <v>0.75719237531464489</v>
      </c>
      <c r="F61" s="220">
        <f t="shared" ref="F61:U61" si="57">F7/F9</f>
        <v>0.75559895519090725</v>
      </c>
      <c r="G61" s="220">
        <f t="shared" si="57"/>
        <v>0.75879381850818461</v>
      </c>
      <c r="H61" s="220">
        <f t="shared" si="57"/>
        <v>0.81991629752113748</v>
      </c>
      <c r="I61" s="220">
        <f t="shared" si="57"/>
        <v>0.91405517955005633</v>
      </c>
      <c r="J61" s="220">
        <f t="shared" si="57"/>
        <v>0.91924524083546988</v>
      </c>
      <c r="K61" s="220">
        <f t="shared" si="57"/>
        <v>0.90417692791900361</v>
      </c>
      <c r="L61" s="220">
        <f t="shared" si="57"/>
        <v>0.9105575270067946</v>
      </c>
      <c r="M61" s="220">
        <f t="shared" si="57"/>
        <v>0.89696187999648158</v>
      </c>
      <c r="N61" s="220">
        <f t="shared" si="57"/>
        <v>0.879741401950076</v>
      </c>
      <c r="O61" s="220">
        <f t="shared" si="57"/>
        <v>0.9020502210489072</v>
      </c>
      <c r="P61" s="220">
        <f t="shared" si="57"/>
        <v>0.86688074491748479</v>
      </c>
      <c r="Q61" s="220">
        <f t="shared" si="57"/>
        <v>0.89469544258511013</v>
      </c>
      <c r="R61" s="220">
        <f t="shared" si="57"/>
        <v>0.88491249167954145</v>
      </c>
      <c r="S61" s="220">
        <f t="shared" si="57"/>
        <v>0.82043904324084149</v>
      </c>
      <c r="T61" s="220">
        <f t="shared" si="57"/>
        <v>0.82905451000590913</v>
      </c>
      <c r="U61" s="220">
        <f t="shared" si="57"/>
        <v>0.87707903204268922</v>
      </c>
    </row>
    <row r="62" spans="1:21" s="232" customFormat="1" x14ac:dyDescent="0.25">
      <c r="A62" s="234" t="s">
        <v>646</v>
      </c>
      <c r="B62" s="230"/>
      <c r="C62" s="230"/>
      <c r="D62" s="230"/>
      <c r="E62" s="231">
        <f>E60+E61</f>
        <v>0.76720546159245528</v>
      </c>
      <c r="F62" s="231">
        <f t="shared" ref="F62:M62" si="58">F60+F61</f>
        <v>0.76426751660661663</v>
      </c>
      <c r="G62" s="231">
        <f t="shared" si="58"/>
        <v>0.7673446997014941</v>
      </c>
      <c r="H62" s="231">
        <f t="shared" si="58"/>
        <v>0.82865740571190016</v>
      </c>
      <c r="I62" s="231">
        <f t="shared" si="58"/>
        <v>0.92306664357297641</v>
      </c>
      <c r="J62" s="231">
        <f t="shared" si="58"/>
        <v>0.9279393550235967</v>
      </c>
      <c r="K62" s="231">
        <f t="shared" si="58"/>
        <v>0.90906366981145115</v>
      </c>
      <c r="L62" s="231">
        <f t="shared" si="58"/>
        <v>0.91550151120230516</v>
      </c>
      <c r="M62" s="231">
        <f t="shared" si="58"/>
        <v>0.90156065070585745</v>
      </c>
      <c r="N62" s="231">
        <f t="shared" ref="N62" si="59">N60+N61</f>
        <v>0.88436691337225637</v>
      </c>
      <c r="O62" s="231">
        <f t="shared" ref="O62" si="60">O60+O61</f>
        <v>0.90439826356499298</v>
      </c>
      <c r="P62" s="231">
        <f t="shared" ref="P62" si="61">P60+P61</f>
        <v>0.86920293073939348</v>
      </c>
      <c r="Q62" s="231">
        <f t="shared" ref="Q62" si="62">Q60+Q61</f>
        <v>0.89721489684002276</v>
      </c>
      <c r="R62" s="231">
        <f t="shared" ref="R62" si="63">R60+R61</f>
        <v>0.88763428848253534</v>
      </c>
      <c r="S62" s="231">
        <f t="shared" ref="S62" si="64">S60+S61</f>
        <v>0.82396913209944522</v>
      </c>
      <c r="T62" s="231">
        <f t="shared" ref="T62" si="65">T60+T61</f>
        <v>0.83279397352934037</v>
      </c>
      <c r="U62" s="231">
        <f t="shared" ref="U62" si="66">U60+U61</f>
        <v>0.88142497936939557</v>
      </c>
    </row>
    <row r="63" spans="1:21" x14ac:dyDescent="0.25">
      <c r="A63" s="233" t="s">
        <v>647</v>
      </c>
      <c r="B63" s="64"/>
      <c r="C63" s="64"/>
      <c r="D63" s="64"/>
      <c r="E63" s="220">
        <v>1</v>
      </c>
      <c r="F63" s="220">
        <v>1</v>
      </c>
      <c r="G63" s="220">
        <v>1</v>
      </c>
      <c r="H63" s="220">
        <v>1</v>
      </c>
      <c r="I63" s="220">
        <v>1</v>
      </c>
      <c r="J63" s="220">
        <v>1</v>
      </c>
      <c r="K63" s="220">
        <v>1</v>
      </c>
      <c r="L63" s="220">
        <v>1</v>
      </c>
      <c r="M63" s="220">
        <v>1</v>
      </c>
      <c r="N63" s="220">
        <v>1</v>
      </c>
      <c r="O63" s="220">
        <v>1</v>
      </c>
      <c r="P63" s="220">
        <v>1</v>
      </c>
      <c r="Q63" s="220">
        <v>1</v>
      </c>
      <c r="R63" s="220">
        <v>1</v>
      </c>
      <c r="S63" s="220">
        <v>1</v>
      </c>
      <c r="T63" s="220">
        <v>1</v>
      </c>
      <c r="U63" s="220">
        <v>1</v>
      </c>
    </row>
    <row r="64" spans="1:21" ht="42.6" customHeight="1" x14ac:dyDescent="0.25">
      <c r="A64" s="280" t="s">
        <v>705</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9" t="s">
        <v>654</v>
      </c>
      <c r="E66" s="240">
        <f>E1</f>
        <v>43100</v>
      </c>
      <c r="F66" s="240">
        <f t="shared" ref="F66:U66" si="67">F1</f>
        <v>43008</v>
      </c>
      <c r="G66" s="240">
        <f t="shared" si="67"/>
        <v>42916</v>
      </c>
      <c r="H66" s="240">
        <f t="shared" si="67"/>
        <v>42825</v>
      </c>
      <c r="I66" s="240">
        <f t="shared" si="67"/>
        <v>42735</v>
      </c>
      <c r="J66" s="240">
        <f t="shared" si="67"/>
        <v>42643</v>
      </c>
      <c r="K66" s="240">
        <f t="shared" si="67"/>
        <v>42551</v>
      </c>
      <c r="L66" s="240">
        <f t="shared" si="67"/>
        <v>42460</v>
      </c>
      <c r="M66" s="240">
        <f t="shared" si="67"/>
        <v>42369</v>
      </c>
      <c r="N66" s="240">
        <f t="shared" si="67"/>
        <v>42277</v>
      </c>
      <c r="O66" s="240">
        <f t="shared" si="67"/>
        <v>42185</v>
      </c>
      <c r="P66" s="240">
        <f t="shared" si="67"/>
        <v>42094</v>
      </c>
      <c r="Q66" s="240">
        <f t="shared" si="67"/>
        <v>42004</v>
      </c>
      <c r="R66" s="240">
        <f t="shared" si="67"/>
        <v>41912</v>
      </c>
      <c r="S66" s="240">
        <f t="shared" si="67"/>
        <v>41820</v>
      </c>
      <c r="T66" s="240">
        <f t="shared" si="67"/>
        <v>41729</v>
      </c>
      <c r="U66" s="240">
        <f t="shared" si="67"/>
        <v>41639</v>
      </c>
    </row>
    <row r="67" spans="1:21" x14ac:dyDescent="0.25">
      <c r="A67" s="17" t="s">
        <v>655</v>
      </c>
      <c r="E67" s="198">
        <f>E10</f>
        <v>15417053965.52</v>
      </c>
      <c r="F67" s="198">
        <f t="shared" ref="F67:U67" si="68">F10</f>
        <v>16437260780.52</v>
      </c>
      <c r="G67" s="198">
        <f t="shared" si="68"/>
        <v>16716537599.139999</v>
      </c>
      <c r="H67" s="198">
        <f t="shared" si="68"/>
        <v>12917288548.67</v>
      </c>
      <c r="I67" s="198">
        <f t="shared" si="68"/>
        <v>12638303056.279999</v>
      </c>
      <c r="J67" s="198">
        <f t="shared" si="68"/>
        <v>11618432510.140001</v>
      </c>
      <c r="K67" s="198">
        <f t="shared" si="68"/>
        <v>14986550851.940001</v>
      </c>
      <c r="L67" s="198">
        <f t="shared" si="68"/>
        <v>12831702149.719999</v>
      </c>
      <c r="M67" s="198">
        <f t="shared" si="68"/>
        <v>12225908869.02</v>
      </c>
      <c r="N67" s="198">
        <f t="shared" si="68"/>
        <v>11730864099.34</v>
      </c>
      <c r="O67" s="198">
        <f t="shared" si="68"/>
        <v>9442231294.0200005</v>
      </c>
      <c r="P67" s="198">
        <f t="shared" si="68"/>
        <v>8008115192.9899998</v>
      </c>
      <c r="Q67" s="198">
        <f t="shared" si="68"/>
        <v>7089516440.7800007</v>
      </c>
      <c r="R67" s="198">
        <f t="shared" si="68"/>
        <v>6519007802.6599998</v>
      </c>
      <c r="S67" s="198">
        <f t="shared" si="68"/>
        <v>7616291641.7700005</v>
      </c>
      <c r="T67" s="198">
        <f t="shared" si="68"/>
        <v>6262145669.749999</v>
      </c>
      <c r="U67" s="198">
        <f t="shared" si="68"/>
        <v>5100608182.3599997</v>
      </c>
    </row>
    <row r="68" spans="1:21" x14ac:dyDescent="0.25">
      <c r="A68" s="17" t="s">
        <v>656</v>
      </c>
      <c r="E68" s="198">
        <f>E11</f>
        <v>6323001531.1300001</v>
      </c>
      <c r="F68" s="198">
        <f t="shared" ref="F68:U68" si="69">F11</f>
        <v>7187354282</v>
      </c>
      <c r="G68" s="198">
        <f t="shared" si="69"/>
        <v>7830790102.6199999</v>
      </c>
      <c r="H68" s="198">
        <f t="shared" si="69"/>
        <v>9031992116.4099998</v>
      </c>
      <c r="I68" s="198">
        <f t="shared" si="69"/>
        <v>9336050449.7399998</v>
      </c>
      <c r="J68" s="198">
        <f t="shared" si="69"/>
        <v>11515803177.99</v>
      </c>
      <c r="K68" s="198">
        <f t="shared" si="69"/>
        <v>10716894844.67</v>
      </c>
      <c r="L68" s="198">
        <f t="shared" si="69"/>
        <v>12228380671.450001</v>
      </c>
      <c r="M68" s="198">
        <f t="shared" si="69"/>
        <v>13424295163.110001</v>
      </c>
      <c r="N68" s="198">
        <f t="shared" si="69"/>
        <v>13410722410.74</v>
      </c>
      <c r="O68" s="198">
        <f t="shared" si="69"/>
        <v>14202291606.99</v>
      </c>
      <c r="P68" s="198">
        <f t="shared" si="69"/>
        <v>15774161162.92</v>
      </c>
      <c r="Q68" s="198">
        <f t="shared" si="69"/>
        <v>14846739543.650002</v>
      </c>
      <c r="R68" s="198">
        <f t="shared" si="69"/>
        <v>13697155374.880001</v>
      </c>
      <c r="S68" s="198">
        <f t="shared" si="69"/>
        <v>11952679806.790001</v>
      </c>
      <c r="T68" s="198">
        <f t="shared" si="69"/>
        <v>10733242405.610001</v>
      </c>
      <c r="U68" s="198">
        <f t="shared" si="69"/>
        <v>8901778885.2399998</v>
      </c>
    </row>
    <row r="69" spans="1:21" x14ac:dyDescent="0.25">
      <c r="A69" s="17" t="s">
        <v>657</v>
      </c>
      <c r="E69" s="198">
        <f>E12</f>
        <v>21740055496.650002</v>
      </c>
      <c r="F69" s="198">
        <f t="shared" ref="F69:U69" si="70">F12</f>
        <v>23624615062.52</v>
      </c>
      <c r="G69" s="198">
        <f t="shared" si="70"/>
        <v>24547327701.759998</v>
      </c>
      <c r="H69" s="198">
        <f t="shared" si="70"/>
        <v>21949280665.080002</v>
      </c>
      <c r="I69" s="198">
        <f t="shared" si="70"/>
        <v>21974353506.019997</v>
      </c>
      <c r="J69" s="198">
        <f t="shared" si="70"/>
        <v>23134235688.130001</v>
      </c>
      <c r="K69" s="198">
        <f t="shared" si="70"/>
        <v>25703445696.610001</v>
      </c>
      <c r="L69" s="198">
        <f t="shared" si="70"/>
        <v>25060082821.169998</v>
      </c>
      <c r="M69" s="198">
        <f t="shared" si="70"/>
        <v>25650204032.130001</v>
      </c>
      <c r="N69" s="198">
        <f t="shared" si="70"/>
        <v>25141586510.080002</v>
      </c>
      <c r="O69" s="198">
        <f t="shared" si="70"/>
        <v>23644522901.010002</v>
      </c>
      <c r="P69" s="198">
        <f t="shared" si="70"/>
        <v>23782276355.91</v>
      </c>
      <c r="Q69" s="198">
        <f t="shared" si="70"/>
        <v>21936255984.43</v>
      </c>
      <c r="R69" s="198">
        <f t="shared" si="70"/>
        <v>20216163177.540001</v>
      </c>
      <c r="S69" s="198">
        <f t="shared" si="70"/>
        <v>19568971448.560001</v>
      </c>
      <c r="T69" s="198">
        <f t="shared" si="70"/>
        <v>16995388075.360001</v>
      </c>
      <c r="U69" s="198">
        <f t="shared" si="70"/>
        <v>14002387067.599998</v>
      </c>
    </row>
    <row r="70" spans="1:21" s="241" customFormat="1" x14ac:dyDescent="0.25">
      <c r="A70" s="241" t="s">
        <v>660</v>
      </c>
      <c r="E70" s="241">
        <f>E69/E74</f>
        <v>0.41414218958329319</v>
      </c>
      <c r="F70" s="241">
        <f t="shared" ref="F70:U70" si="71">F69/F74</f>
        <v>0.46648359803195794</v>
      </c>
      <c r="G70" s="241">
        <f t="shared" si="71"/>
        <v>0.49613110681341399</v>
      </c>
      <c r="H70" s="241">
        <f t="shared" si="71"/>
        <v>0.48421290350713536</v>
      </c>
      <c r="I70" s="241">
        <f t="shared" si="71"/>
        <v>0.54505556156455393</v>
      </c>
      <c r="J70" s="241">
        <f t="shared" si="71"/>
        <v>0.57935462375881563</v>
      </c>
      <c r="K70" s="241">
        <f t="shared" si="71"/>
        <v>0.62269911424687252</v>
      </c>
      <c r="L70" s="241">
        <f t="shared" si="71"/>
        <v>0.61989773186257546</v>
      </c>
      <c r="M70" s="241">
        <f t="shared" si="71"/>
        <v>0.63375401321084524</v>
      </c>
      <c r="N70" s="241">
        <f t="shared" si="71"/>
        <v>0.63465211900211471</v>
      </c>
      <c r="O70" s="241">
        <f t="shared" si="71"/>
        <v>0.62993073965836388</v>
      </c>
      <c r="P70" s="241">
        <f t="shared" si="71"/>
        <v>0.63086394757844266</v>
      </c>
      <c r="Q70" s="241">
        <f t="shared" si="71"/>
        <v>0.62280104901457345</v>
      </c>
      <c r="R70" s="241">
        <f t="shared" si="71"/>
        <v>0.61262289588768726</v>
      </c>
      <c r="S70" s="241">
        <f t="shared" si="71"/>
        <v>0.62597996444518056</v>
      </c>
      <c r="T70" s="241">
        <f t="shared" si="71"/>
        <v>0.57216850378407402</v>
      </c>
      <c r="U70" s="241">
        <f t="shared" si="71"/>
        <v>0.54307881363838117</v>
      </c>
    </row>
    <row r="71" spans="1:21" x14ac:dyDescent="0.25">
      <c r="A71" s="17" t="s">
        <v>658</v>
      </c>
      <c r="E71" s="198">
        <f>E13</f>
        <v>30754126558.370003</v>
      </c>
      <c r="F71" s="198">
        <f t="shared" ref="F71:U71" si="72">F13</f>
        <v>27019427219.330006</v>
      </c>
      <c r="G71" s="198">
        <f t="shared" si="72"/>
        <v>24930174040.520008</v>
      </c>
      <c r="H71" s="198">
        <f t="shared" si="72"/>
        <v>23380532948.110001</v>
      </c>
      <c r="I71" s="198">
        <f t="shared" si="72"/>
        <v>18341451075.340012</v>
      </c>
      <c r="J71" s="198">
        <f t="shared" si="72"/>
        <v>16796809546.370007</v>
      </c>
      <c r="K71" s="198">
        <f t="shared" si="72"/>
        <v>15574027016.189987</v>
      </c>
      <c r="L71" s="198">
        <f t="shared" si="72"/>
        <v>15366073838.370003</v>
      </c>
      <c r="M71" s="198">
        <f t="shared" si="72"/>
        <v>14823234395.779995</v>
      </c>
      <c r="N71" s="198">
        <f t="shared" si="72"/>
        <v>14473165820.079994</v>
      </c>
      <c r="O71" s="198">
        <f t="shared" si="72"/>
        <v>13890592330.599991</v>
      </c>
      <c r="P71" s="198">
        <f t="shared" si="72"/>
        <v>13915671747.159992</v>
      </c>
      <c r="Q71" s="198">
        <f t="shared" si="72"/>
        <v>13285675672.779999</v>
      </c>
      <c r="R71" s="198">
        <f t="shared" si="72"/>
        <v>12783196319.539993</v>
      </c>
      <c r="S71" s="198">
        <f t="shared" si="72"/>
        <v>11692366869.039989</v>
      </c>
      <c r="T71" s="198">
        <f t="shared" si="72"/>
        <v>12708078583.429996</v>
      </c>
      <c r="U71" s="198">
        <f t="shared" si="72"/>
        <v>11780955452.779999</v>
      </c>
    </row>
    <row r="72" spans="1:21" s="241" customFormat="1" x14ac:dyDescent="0.25">
      <c r="A72" s="241" t="s">
        <v>661</v>
      </c>
      <c r="E72" s="241">
        <f>E71/E74</f>
        <v>0.58585781041670681</v>
      </c>
      <c r="F72" s="241">
        <f t="shared" ref="F72:U72" si="73">F71/F74</f>
        <v>0.53351640196804206</v>
      </c>
      <c r="G72" s="241">
        <f t="shared" si="73"/>
        <v>0.50386889318658601</v>
      </c>
      <c r="H72" s="241">
        <f t="shared" si="73"/>
        <v>0.51578709649286458</v>
      </c>
      <c r="I72" s="241">
        <f t="shared" si="73"/>
        <v>0.45494443843544602</v>
      </c>
      <c r="J72" s="241">
        <f t="shared" si="73"/>
        <v>0.42064537624118431</v>
      </c>
      <c r="K72" s="241">
        <f t="shared" si="73"/>
        <v>0.37730088575312754</v>
      </c>
      <c r="L72" s="241">
        <f t="shared" si="73"/>
        <v>0.38010226813742448</v>
      </c>
      <c r="M72" s="241">
        <f t="shared" si="73"/>
        <v>0.36624598678915482</v>
      </c>
      <c r="N72" s="241">
        <f t="shared" si="73"/>
        <v>0.36534788099788529</v>
      </c>
      <c r="O72" s="241">
        <f t="shared" si="73"/>
        <v>0.37006926034163612</v>
      </c>
      <c r="P72" s="241">
        <f t="shared" si="73"/>
        <v>0.36913605242155734</v>
      </c>
      <c r="Q72" s="241">
        <f t="shared" si="73"/>
        <v>0.37719895098542655</v>
      </c>
      <c r="R72" s="241">
        <f t="shared" si="73"/>
        <v>0.38737710411231274</v>
      </c>
      <c r="S72" s="241">
        <f t="shared" si="73"/>
        <v>0.3740200355548195</v>
      </c>
      <c r="T72" s="241">
        <f t="shared" si="73"/>
        <v>0.42783149621592598</v>
      </c>
      <c r="U72" s="241">
        <f t="shared" si="73"/>
        <v>0.45692118636161877</v>
      </c>
    </row>
    <row r="73" spans="1:21" s="243" customFormat="1" x14ac:dyDescent="0.25">
      <c r="A73" s="242" t="s">
        <v>662</v>
      </c>
      <c r="E73" s="244">
        <f>E74/E71</f>
        <v>1.7068988109738157</v>
      </c>
      <c r="F73" s="244">
        <f t="shared" ref="F73:U73" si="74">F74/F71</f>
        <v>1.8743566201736017</v>
      </c>
      <c r="G73" s="244">
        <f t="shared" si="74"/>
        <v>1.9846432544699546</v>
      </c>
      <c r="H73" s="244">
        <f t="shared" si="74"/>
        <v>1.9387844457520933</v>
      </c>
      <c r="I73" s="244">
        <f t="shared" si="74"/>
        <v>2.1980706115212665</v>
      </c>
      <c r="J73" s="244">
        <f t="shared" si="74"/>
        <v>2.3772993986902464</v>
      </c>
      <c r="K73" s="244">
        <f t="shared" si="74"/>
        <v>2.6504045915606782</v>
      </c>
      <c r="L73" s="244">
        <f t="shared" si="74"/>
        <v>2.6308709098217058</v>
      </c>
      <c r="M73" s="244">
        <f t="shared" si="74"/>
        <v>2.7304053452350669</v>
      </c>
      <c r="N73" s="244">
        <f t="shared" si="74"/>
        <v>2.737117284678567</v>
      </c>
      <c r="O73" s="244">
        <f t="shared" si="74"/>
        <v>2.7021968781650005</v>
      </c>
      <c r="P73" s="244">
        <f t="shared" si="74"/>
        <v>2.7090282659738403</v>
      </c>
      <c r="Q73" s="244">
        <f t="shared" si="74"/>
        <v>2.6511208405736948</v>
      </c>
      <c r="R73" s="244">
        <f t="shared" si="74"/>
        <v>2.5814638743080405</v>
      </c>
      <c r="S73" s="244">
        <f t="shared" si="74"/>
        <v>2.6736535611430678</v>
      </c>
      <c r="T73" s="244">
        <f t="shared" si="74"/>
        <v>2.337368821241018</v>
      </c>
      <c r="U73" s="244">
        <f t="shared" si="74"/>
        <v>2.1885612439265949</v>
      </c>
    </row>
    <row r="74" spans="1:21" x14ac:dyDescent="0.25">
      <c r="A74" s="17" t="s">
        <v>659</v>
      </c>
      <c r="E74" s="198">
        <f>E14</f>
        <v>52494182055.020004</v>
      </c>
      <c r="F74" s="198">
        <f t="shared" ref="F74:U74" si="75">F14</f>
        <v>50644042281.850006</v>
      </c>
      <c r="G74" s="198">
        <f t="shared" si="75"/>
        <v>49477501742.280006</v>
      </c>
      <c r="H74" s="198">
        <f t="shared" si="75"/>
        <v>45329813613.190002</v>
      </c>
      <c r="I74" s="198">
        <f t="shared" si="75"/>
        <v>40315804581.360008</v>
      </c>
      <c r="J74" s="198">
        <f t="shared" si="75"/>
        <v>39931045234.500008</v>
      </c>
      <c r="K74" s="198">
        <f t="shared" si="75"/>
        <v>41277472712.799988</v>
      </c>
      <c r="L74" s="198">
        <f t="shared" si="75"/>
        <v>40426156659.540001</v>
      </c>
      <c r="M74" s="198">
        <f t="shared" si="75"/>
        <v>40473438427.909996</v>
      </c>
      <c r="N74" s="198">
        <f t="shared" si="75"/>
        <v>39614752330.159996</v>
      </c>
      <c r="O74" s="198">
        <f t="shared" si="75"/>
        <v>37535115231.609993</v>
      </c>
      <c r="P74" s="198">
        <f t="shared" si="75"/>
        <v>37697948103.069992</v>
      </c>
      <c r="Q74" s="198">
        <f t="shared" si="75"/>
        <v>35221931657.209999</v>
      </c>
      <c r="R74" s="198">
        <f t="shared" si="75"/>
        <v>32999359497.079994</v>
      </c>
      <c r="S74" s="198">
        <f t="shared" si="75"/>
        <v>31261338317.599991</v>
      </c>
      <c r="T74" s="198">
        <f t="shared" si="75"/>
        <v>29703466658.789997</v>
      </c>
      <c r="U74" s="198">
        <f t="shared" si="75"/>
        <v>25783342520.379997</v>
      </c>
    </row>
    <row r="75" spans="1:21" ht="83.4" customHeight="1" x14ac:dyDescent="0.25">
      <c r="A75" s="278" t="s">
        <v>706</v>
      </c>
      <c r="B75" s="277"/>
      <c r="C75" s="277"/>
      <c r="D75" s="277"/>
      <c r="E75" s="277"/>
      <c r="F75" s="277"/>
      <c r="G75" s="277"/>
      <c r="H75" s="277"/>
      <c r="I75" s="277"/>
      <c r="J75" s="277"/>
      <c r="K75" s="277"/>
      <c r="L75" s="277"/>
      <c r="M75" s="277"/>
      <c r="N75" s="277"/>
      <c r="O75" s="277"/>
      <c r="P75" s="277"/>
      <c r="Q75" s="277"/>
      <c r="R75" s="277"/>
      <c r="S75" s="277"/>
      <c r="T75" s="277"/>
      <c r="U75" s="277"/>
    </row>
    <row r="77" spans="1:21" s="245" customFormat="1" x14ac:dyDescent="0.25">
      <c r="A77" s="246" t="s">
        <v>663</v>
      </c>
      <c r="B77" s="247"/>
      <c r="C77" s="247"/>
      <c r="D77" s="247"/>
      <c r="E77" s="248">
        <f>E1</f>
        <v>43100</v>
      </c>
      <c r="F77" s="248">
        <f t="shared" ref="F77:U77" si="76">F1</f>
        <v>43008</v>
      </c>
      <c r="G77" s="248">
        <f t="shared" si="76"/>
        <v>42916</v>
      </c>
      <c r="H77" s="248">
        <f t="shared" si="76"/>
        <v>42825</v>
      </c>
      <c r="I77" s="248">
        <f t="shared" si="76"/>
        <v>42735</v>
      </c>
      <c r="J77" s="248">
        <f t="shared" si="76"/>
        <v>42643</v>
      </c>
      <c r="K77" s="248">
        <f t="shared" si="76"/>
        <v>42551</v>
      </c>
      <c r="L77" s="248">
        <f t="shared" si="76"/>
        <v>42460</v>
      </c>
      <c r="M77" s="248">
        <f t="shared" si="76"/>
        <v>42369</v>
      </c>
      <c r="N77" s="248">
        <f t="shared" si="76"/>
        <v>42277</v>
      </c>
      <c r="O77" s="248">
        <f t="shared" si="76"/>
        <v>42185</v>
      </c>
      <c r="P77" s="248">
        <f t="shared" si="76"/>
        <v>42094</v>
      </c>
      <c r="Q77" s="248">
        <f t="shared" si="76"/>
        <v>42004</v>
      </c>
      <c r="R77" s="248">
        <f t="shared" si="76"/>
        <v>41912</v>
      </c>
      <c r="S77" s="248">
        <f t="shared" si="76"/>
        <v>41820</v>
      </c>
      <c r="T77" s="248">
        <f t="shared" si="76"/>
        <v>41729</v>
      </c>
      <c r="U77" s="248">
        <f t="shared" si="76"/>
        <v>41639</v>
      </c>
    </row>
    <row r="78" spans="1:21" x14ac:dyDescent="0.25">
      <c r="A78" s="189" t="s">
        <v>655</v>
      </c>
      <c r="B78" s="64"/>
      <c r="C78" s="64"/>
      <c r="D78" s="64"/>
      <c r="E78" s="89">
        <f>E10</f>
        <v>15417053965.52</v>
      </c>
      <c r="F78" s="89">
        <f t="shared" ref="F78:U78" si="77">F10</f>
        <v>16437260780.52</v>
      </c>
      <c r="G78" s="89">
        <f t="shared" si="77"/>
        <v>16716537599.139999</v>
      </c>
      <c r="H78" s="89">
        <f t="shared" si="77"/>
        <v>12917288548.67</v>
      </c>
      <c r="I78" s="89">
        <f t="shared" si="77"/>
        <v>12638303056.279999</v>
      </c>
      <c r="J78" s="89">
        <f t="shared" si="77"/>
        <v>11618432510.140001</v>
      </c>
      <c r="K78" s="89">
        <f t="shared" si="77"/>
        <v>14986550851.940001</v>
      </c>
      <c r="L78" s="89">
        <f t="shared" si="77"/>
        <v>12831702149.719999</v>
      </c>
      <c r="M78" s="89">
        <f t="shared" si="77"/>
        <v>12225908869.02</v>
      </c>
      <c r="N78" s="89">
        <f t="shared" si="77"/>
        <v>11730864099.34</v>
      </c>
      <c r="O78" s="89">
        <f t="shared" si="77"/>
        <v>9442231294.0200005</v>
      </c>
      <c r="P78" s="89">
        <f t="shared" si="77"/>
        <v>8008115192.9899998</v>
      </c>
      <c r="Q78" s="89">
        <f t="shared" si="77"/>
        <v>7089516440.7800007</v>
      </c>
      <c r="R78" s="89">
        <f t="shared" si="77"/>
        <v>6519007802.6599998</v>
      </c>
      <c r="S78" s="89">
        <f t="shared" si="77"/>
        <v>7616291641.7700005</v>
      </c>
      <c r="T78" s="89">
        <f t="shared" si="77"/>
        <v>6262145669.749999</v>
      </c>
      <c r="U78" s="89">
        <f t="shared" si="77"/>
        <v>5100608182.3599997</v>
      </c>
    </row>
    <row r="79" spans="1:21" x14ac:dyDescent="0.25">
      <c r="A79" s="189" t="s">
        <v>664</v>
      </c>
      <c r="B79" s="64"/>
      <c r="C79" s="64"/>
      <c r="D79" s="64"/>
      <c r="E79" s="89">
        <f>E78</f>
        <v>15417053965.52</v>
      </c>
      <c r="F79" s="89">
        <f t="shared" ref="F79:U79" si="78">F78</f>
        <v>16437260780.52</v>
      </c>
      <c r="G79" s="89">
        <f t="shared" si="78"/>
        <v>16716537599.139999</v>
      </c>
      <c r="H79" s="89">
        <f t="shared" si="78"/>
        <v>12917288548.67</v>
      </c>
      <c r="I79" s="89">
        <f t="shared" si="78"/>
        <v>12638303056.279999</v>
      </c>
      <c r="J79" s="89">
        <f t="shared" si="78"/>
        <v>11618432510.140001</v>
      </c>
      <c r="K79" s="89">
        <f t="shared" si="78"/>
        <v>14986550851.940001</v>
      </c>
      <c r="L79" s="89">
        <f t="shared" si="78"/>
        <v>12831702149.719999</v>
      </c>
      <c r="M79" s="89">
        <f t="shared" si="78"/>
        <v>12225908869.02</v>
      </c>
      <c r="N79" s="89">
        <f t="shared" si="78"/>
        <v>11730864099.34</v>
      </c>
      <c r="O79" s="89">
        <f t="shared" si="78"/>
        <v>9442231294.0200005</v>
      </c>
      <c r="P79" s="89">
        <f t="shared" si="78"/>
        <v>8008115192.9899998</v>
      </c>
      <c r="Q79" s="89">
        <f t="shared" si="78"/>
        <v>7089516440.7800007</v>
      </c>
      <c r="R79" s="89">
        <f t="shared" si="78"/>
        <v>6519007802.6599998</v>
      </c>
      <c r="S79" s="89">
        <f t="shared" si="78"/>
        <v>7616291641.7700005</v>
      </c>
      <c r="T79" s="89">
        <f t="shared" si="78"/>
        <v>6262145669.749999</v>
      </c>
      <c r="U79" s="89">
        <f t="shared" si="78"/>
        <v>5100608182.3599997</v>
      </c>
    </row>
    <row r="80" spans="1:21" s="227" customFormat="1" x14ac:dyDescent="0.25">
      <c r="A80" s="231" t="s">
        <v>665</v>
      </c>
      <c r="B80" s="231"/>
      <c r="C80" s="231"/>
      <c r="D80" s="231"/>
      <c r="E80" s="231">
        <f>E79/E85</f>
        <v>0.293690716989573</v>
      </c>
      <c r="F80" s="231">
        <f t="shared" ref="F80:U80" si="79">F79/F85</f>
        <v>0.32456454974588089</v>
      </c>
      <c r="G80" s="231">
        <f t="shared" si="79"/>
        <v>0.3378613917536426</v>
      </c>
      <c r="H80" s="231">
        <f t="shared" si="79"/>
        <v>0.28496231329994587</v>
      </c>
      <c r="I80" s="231">
        <f t="shared" si="79"/>
        <v>0.31348259541180812</v>
      </c>
      <c r="J80" s="231">
        <f t="shared" si="79"/>
        <v>0.29096239384442152</v>
      </c>
      <c r="K80" s="231">
        <f t="shared" si="79"/>
        <v>0.36306851817729452</v>
      </c>
      <c r="L80" s="231">
        <f t="shared" si="79"/>
        <v>0.31741088468502482</v>
      </c>
      <c r="M80" s="231">
        <f t="shared" si="79"/>
        <v>0.3020724046165833</v>
      </c>
      <c r="N80" s="231">
        <f t="shared" si="79"/>
        <v>0.29612362590511293</v>
      </c>
      <c r="O80" s="231">
        <f t="shared" si="79"/>
        <v>0.25155727472146605</v>
      </c>
      <c r="P80" s="231">
        <f t="shared" si="79"/>
        <v>0.21242841045605468</v>
      </c>
      <c r="Q80" s="231">
        <f t="shared" si="79"/>
        <v>0.20128130704974445</v>
      </c>
      <c r="R80" s="231">
        <f t="shared" si="79"/>
        <v>0.19754952526387204</v>
      </c>
      <c r="S80" s="231">
        <f t="shared" si="79"/>
        <v>0.24363293613319373</v>
      </c>
      <c r="T80" s="231">
        <f t="shared" si="79"/>
        <v>0.21082204786682276</v>
      </c>
      <c r="U80" s="231">
        <f t="shared" si="79"/>
        <v>0.19782571551102468</v>
      </c>
    </row>
    <row r="81" spans="1:21" x14ac:dyDescent="0.25">
      <c r="A81" s="189" t="s">
        <v>656</v>
      </c>
      <c r="B81" s="64"/>
      <c r="C81" s="64"/>
      <c r="D81" s="64"/>
      <c r="E81" s="89">
        <f>E11</f>
        <v>6323001531.1300001</v>
      </c>
      <c r="F81" s="89">
        <f t="shared" ref="F81:U81" si="80">F11</f>
        <v>7187354282</v>
      </c>
      <c r="G81" s="89">
        <f t="shared" si="80"/>
        <v>7830790102.6199999</v>
      </c>
      <c r="H81" s="89">
        <f t="shared" si="80"/>
        <v>9031992116.4099998</v>
      </c>
      <c r="I81" s="89">
        <f t="shared" si="80"/>
        <v>9336050449.7399998</v>
      </c>
      <c r="J81" s="89">
        <f t="shared" si="80"/>
        <v>11515803177.99</v>
      </c>
      <c r="K81" s="89">
        <f t="shared" si="80"/>
        <v>10716894844.67</v>
      </c>
      <c r="L81" s="89">
        <f t="shared" si="80"/>
        <v>12228380671.450001</v>
      </c>
      <c r="M81" s="89">
        <f t="shared" si="80"/>
        <v>13424295163.110001</v>
      </c>
      <c r="N81" s="89">
        <f t="shared" si="80"/>
        <v>13410722410.74</v>
      </c>
      <c r="O81" s="89">
        <f t="shared" si="80"/>
        <v>14202291606.99</v>
      </c>
      <c r="P81" s="89">
        <f t="shared" si="80"/>
        <v>15774161162.92</v>
      </c>
      <c r="Q81" s="89">
        <f t="shared" si="80"/>
        <v>14846739543.650002</v>
      </c>
      <c r="R81" s="89">
        <f t="shared" si="80"/>
        <v>13697155374.880001</v>
      </c>
      <c r="S81" s="89">
        <f t="shared" si="80"/>
        <v>11952679806.790001</v>
      </c>
      <c r="T81" s="89">
        <f t="shared" si="80"/>
        <v>10733242405.610001</v>
      </c>
      <c r="U81" s="89">
        <f t="shared" si="80"/>
        <v>8901778885.2399998</v>
      </c>
    </row>
    <row r="82" spans="1:21" x14ac:dyDescent="0.25">
      <c r="A82" s="189" t="s">
        <v>658</v>
      </c>
      <c r="B82" s="64"/>
      <c r="C82" s="64"/>
      <c r="D82" s="64"/>
      <c r="E82" s="89">
        <f>E13</f>
        <v>30754126558.370003</v>
      </c>
      <c r="F82" s="89">
        <f t="shared" ref="F82:U82" si="81">F13</f>
        <v>27019427219.330006</v>
      </c>
      <c r="G82" s="89">
        <f t="shared" si="81"/>
        <v>24930174040.520008</v>
      </c>
      <c r="H82" s="89">
        <f t="shared" si="81"/>
        <v>23380532948.110001</v>
      </c>
      <c r="I82" s="89">
        <f t="shared" si="81"/>
        <v>18341451075.340012</v>
      </c>
      <c r="J82" s="89">
        <f t="shared" si="81"/>
        <v>16796809546.370007</v>
      </c>
      <c r="K82" s="89">
        <f t="shared" si="81"/>
        <v>15574027016.189987</v>
      </c>
      <c r="L82" s="89">
        <f t="shared" si="81"/>
        <v>15366073838.370003</v>
      </c>
      <c r="M82" s="89">
        <f t="shared" si="81"/>
        <v>14823234395.779995</v>
      </c>
      <c r="N82" s="89">
        <f t="shared" si="81"/>
        <v>14473165820.079994</v>
      </c>
      <c r="O82" s="89">
        <f t="shared" si="81"/>
        <v>13890592330.599991</v>
      </c>
      <c r="P82" s="89">
        <f t="shared" si="81"/>
        <v>13915671747.159992</v>
      </c>
      <c r="Q82" s="89">
        <f t="shared" si="81"/>
        <v>13285675672.779999</v>
      </c>
      <c r="R82" s="89">
        <f t="shared" si="81"/>
        <v>12783196319.539993</v>
      </c>
      <c r="S82" s="89">
        <f t="shared" si="81"/>
        <v>11692366869.039989</v>
      </c>
      <c r="T82" s="89">
        <f t="shared" si="81"/>
        <v>12708078583.429996</v>
      </c>
      <c r="U82" s="89">
        <f t="shared" si="81"/>
        <v>11780955452.779999</v>
      </c>
    </row>
    <row r="83" spans="1:21" x14ac:dyDescent="0.25">
      <c r="A83" s="189" t="s">
        <v>666</v>
      </c>
      <c r="B83" s="64"/>
      <c r="C83" s="64"/>
      <c r="D83" s="64"/>
      <c r="E83" s="89">
        <f>E81+E82</f>
        <v>37077128089.5</v>
      </c>
      <c r="F83" s="89">
        <f t="shared" ref="F83:U83" si="82">F81+F82</f>
        <v>34206781501.330006</v>
      </c>
      <c r="G83" s="89">
        <f t="shared" si="82"/>
        <v>32760964143.140007</v>
      </c>
      <c r="H83" s="89">
        <f t="shared" si="82"/>
        <v>32412525064.52</v>
      </c>
      <c r="I83" s="89">
        <f t="shared" si="82"/>
        <v>27677501525.080009</v>
      </c>
      <c r="J83" s="89">
        <f t="shared" si="82"/>
        <v>28312612724.360008</v>
      </c>
      <c r="K83" s="89">
        <f t="shared" si="82"/>
        <v>26290921860.859985</v>
      </c>
      <c r="L83" s="89">
        <f t="shared" si="82"/>
        <v>27594454509.820004</v>
      </c>
      <c r="M83" s="89">
        <f t="shared" si="82"/>
        <v>28247529558.889996</v>
      </c>
      <c r="N83" s="89">
        <f t="shared" si="82"/>
        <v>27883888230.819992</v>
      </c>
      <c r="O83" s="89">
        <f t="shared" si="82"/>
        <v>28092883937.589989</v>
      </c>
      <c r="P83" s="89">
        <f t="shared" si="82"/>
        <v>29689832910.079994</v>
      </c>
      <c r="Q83" s="89">
        <f t="shared" si="82"/>
        <v>28132415216.43</v>
      </c>
      <c r="R83" s="89">
        <f t="shared" si="82"/>
        <v>26480351694.419994</v>
      </c>
      <c r="S83" s="89">
        <f t="shared" si="82"/>
        <v>23645046675.82999</v>
      </c>
      <c r="T83" s="89">
        <f t="shared" si="82"/>
        <v>23441320989.039997</v>
      </c>
      <c r="U83" s="89">
        <f t="shared" si="82"/>
        <v>20682734338.019997</v>
      </c>
    </row>
    <row r="84" spans="1:21" s="227" customFormat="1" x14ac:dyDescent="0.25">
      <c r="A84" s="231" t="s">
        <v>667</v>
      </c>
      <c r="B84" s="231"/>
      <c r="C84" s="231"/>
      <c r="D84" s="231"/>
      <c r="E84" s="231">
        <f>E83/E85</f>
        <v>0.70630928301042695</v>
      </c>
      <c r="F84" s="231">
        <f t="shared" ref="F84:U84" si="83">F83/F85</f>
        <v>0.67543545025411911</v>
      </c>
      <c r="G84" s="231">
        <f t="shared" si="83"/>
        <v>0.6621386082463574</v>
      </c>
      <c r="H84" s="231">
        <f t="shared" si="83"/>
        <v>0.71503768670005408</v>
      </c>
      <c r="I84" s="231">
        <f t="shared" si="83"/>
        <v>0.68651740458819188</v>
      </c>
      <c r="J84" s="231">
        <f t="shared" si="83"/>
        <v>0.70903760615557854</v>
      </c>
      <c r="K84" s="231">
        <f t="shared" si="83"/>
        <v>0.63693148182270543</v>
      </c>
      <c r="L84" s="231">
        <f t="shared" si="83"/>
        <v>0.68258911531497524</v>
      </c>
      <c r="M84" s="231">
        <f t="shared" si="83"/>
        <v>0.69792759538341664</v>
      </c>
      <c r="N84" s="231">
        <f t="shared" si="83"/>
        <v>0.7038763740948869</v>
      </c>
      <c r="O84" s="231">
        <f t="shared" si="83"/>
        <v>0.74844272527853384</v>
      </c>
      <c r="P84" s="231">
        <f t="shared" si="83"/>
        <v>0.78757158954394535</v>
      </c>
      <c r="Q84" s="231">
        <f t="shared" si="83"/>
        <v>0.79871869295025555</v>
      </c>
      <c r="R84" s="231">
        <f t="shared" si="83"/>
        <v>0.80245047473612796</v>
      </c>
      <c r="S84" s="231">
        <f t="shared" si="83"/>
        <v>0.7563670638668063</v>
      </c>
      <c r="T84" s="231">
        <f t="shared" si="83"/>
        <v>0.78917795213317721</v>
      </c>
      <c r="U84" s="231">
        <f t="shared" si="83"/>
        <v>0.80217428448897532</v>
      </c>
    </row>
    <row r="85" spans="1:21" x14ac:dyDescent="0.25">
      <c r="A85" s="189" t="s">
        <v>659</v>
      </c>
      <c r="B85" s="64"/>
      <c r="C85" s="64"/>
      <c r="D85" s="64"/>
      <c r="E85" s="89">
        <f>E14</f>
        <v>52494182055.020004</v>
      </c>
      <c r="F85" s="89">
        <f t="shared" ref="F85:U85" si="84">F14</f>
        <v>50644042281.850006</v>
      </c>
      <c r="G85" s="89">
        <f t="shared" si="84"/>
        <v>49477501742.280006</v>
      </c>
      <c r="H85" s="89">
        <f t="shared" si="84"/>
        <v>45329813613.190002</v>
      </c>
      <c r="I85" s="89">
        <f t="shared" si="84"/>
        <v>40315804581.360008</v>
      </c>
      <c r="J85" s="89">
        <f t="shared" si="84"/>
        <v>39931045234.500008</v>
      </c>
      <c r="K85" s="89">
        <f t="shared" si="84"/>
        <v>41277472712.799988</v>
      </c>
      <c r="L85" s="89">
        <f t="shared" si="84"/>
        <v>40426156659.540001</v>
      </c>
      <c r="M85" s="89">
        <f t="shared" si="84"/>
        <v>40473438427.909996</v>
      </c>
      <c r="N85" s="89">
        <f t="shared" si="84"/>
        <v>39614752330.159996</v>
      </c>
      <c r="O85" s="89">
        <f t="shared" si="84"/>
        <v>37535115231.609993</v>
      </c>
      <c r="P85" s="89">
        <f t="shared" si="84"/>
        <v>37697948103.069992</v>
      </c>
      <c r="Q85" s="89">
        <f t="shared" si="84"/>
        <v>35221931657.209999</v>
      </c>
      <c r="R85" s="89">
        <f t="shared" si="84"/>
        <v>32999359497.079994</v>
      </c>
      <c r="S85" s="89">
        <f t="shared" si="84"/>
        <v>31261338317.599991</v>
      </c>
      <c r="T85" s="89">
        <f t="shared" si="84"/>
        <v>29703466658.789997</v>
      </c>
      <c r="U85" s="89">
        <f t="shared" si="84"/>
        <v>25783342520.379997</v>
      </c>
    </row>
    <row r="87" spans="1:21" s="56" customFormat="1" ht="85.8" customHeight="1" x14ac:dyDescent="0.25">
      <c r="A87" s="276" t="s">
        <v>707</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43" sqref="A43:AG43"/>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20.4414062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7.21875" bestFit="1" customWidth="1"/>
    <col min="66" max="68" width="17.21875" hidden="1" customWidth="1"/>
    <col min="69" max="69" width="17.21875" bestFit="1" customWidth="1"/>
    <col min="70" max="71" width="17.21875" hidden="1" customWidth="1"/>
    <col min="72" max="72" width="17.21875" bestFit="1" customWidth="1"/>
    <col min="73" max="73" width="17.21875" hidden="1" customWidth="1"/>
    <col min="74" max="76" width="17.21875" bestFit="1" customWidth="1"/>
    <col min="77" max="77" width="9.5546875" hidden="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352</v>
      </c>
      <c r="E2" s="26">
        <f>股权价值增加表!E4</f>
        <v>53123173258.809998</v>
      </c>
      <c r="F2" s="26">
        <f>股权价值增加表!F4</f>
        <v>38963503949.470001</v>
      </c>
      <c r="G2" s="26">
        <f>股权价值增加表!G4</f>
        <v>24430086476.77</v>
      </c>
      <c r="H2" s="26">
        <f>股权价值增加表!H4</f>
        <v>11007048624.780001</v>
      </c>
      <c r="I2" s="26">
        <f>股权价值增加表!I4</f>
        <v>30099861530.439999</v>
      </c>
      <c r="J2" s="26">
        <f>股权价值增加表!J4</f>
        <v>20932181906.599998</v>
      </c>
      <c r="K2" s="26">
        <f>股权价值增加表!K4</f>
        <v>12475770000.66</v>
      </c>
      <c r="L2" s="26">
        <f>股权价值增加表!L4</f>
        <v>5299611141.0799999</v>
      </c>
      <c r="M2" s="26">
        <f>股权价值增加表!M4</f>
        <v>19492382889.529999</v>
      </c>
      <c r="N2" s="26">
        <f>股权价值增加表!N4</f>
        <v>14788324545.110001</v>
      </c>
      <c r="O2" s="26">
        <f>股权价值增加表!O4</f>
        <v>10042263367.92</v>
      </c>
      <c r="P2" s="26">
        <f>股权价值增加表!P4</f>
        <v>4535504042.1400003</v>
      </c>
      <c r="Q2" s="26">
        <f>股权价值增加表!Q4</f>
        <v>22088368488.740002</v>
      </c>
      <c r="R2" s="26">
        <f>股权价值增加表!R4</f>
        <v>17760200636.82</v>
      </c>
      <c r="S2" s="26">
        <f>股权价值增加表!S4</f>
        <v>11664821009.41</v>
      </c>
      <c r="T2" s="26">
        <f>股权价值增加表!T4</f>
        <v>5136453372.2299995</v>
      </c>
      <c r="U2" s="26">
        <f>股权价值增加表!U4</f>
        <v>20237973217.990002</v>
      </c>
      <c r="V2" s="26">
        <f>股权价值增加表!V4</f>
        <v>15374222330.959999</v>
      </c>
      <c r="W2" s="26">
        <f>股权价值增加表!W4</f>
        <v>9975902570.6299992</v>
      </c>
      <c r="X2" s="26">
        <f>股权价值增加表!X4</f>
        <v>4776338536.5900002</v>
      </c>
      <c r="Y2" s="26">
        <f>股权价值增加表!Y4</f>
        <v>15942126516.790001</v>
      </c>
      <c r="Z2" s="26">
        <f>股权价值增加表!Z4</f>
        <v>11420363881.030001</v>
      </c>
      <c r="AA2" s="26">
        <f>股权价值增加表!AA4</f>
        <v>7160169875.2299995</v>
      </c>
      <c r="AB2" s="26">
        <f>股权价值增加表!AB4</f>
        <v>3281137342.6300001</v>
      </c>
      <c r="AC2" s="26">
        <f>股权价值增加表!AC4</f>
        <v>13662307339.379999</v>
      </c>
      <c r="AD2" s="26">
        <f>股权价值增加表!AD4</f>
        <v>10509011428.01</v>
      </c>
      <c r="AE2" s="26">
        <f>股权价值增加表!AE4</f>
        <v>6878445645.8699999</v>
      </c>
      <c r="AF2" s="26">
        <f>股权价值增加表!AF4</f>
        <v>3183673615.0500002</v>
      </c>
      <c r="AG2" s="26">
        <f>股权价值增加表!AG4</f>
        <v>9429776859.9500008</v>
      </c>
      <c r="AH2" s="26">
        <f>股权价值增加表!AH4</f>
        <v>6705726493.8800001</v>
      </c>
      <c r="AI2" s="26">
        <f>股权价值增加表!AI4</f>
        <v>4380333890.5100002</v>
      </c>
      <c r="AJ2" s="26">
        <f>股权价值增加表!AJ4</f>
        <v>2049227801.8900001</v>
      </c>
      <c r="AK2" s="26">
        <f>股权价值增加表!AK4</f>
        <v>6492919698.9300003</v>
      </c>
      <c r="AL2" s="26">
        <f>股权价值增加表!AL4</f>
        <v>4654460556.0100002</v>
      </c>
      <c r="AM2" s="26">
        <f>股权价值增加表!AM4</f>
        <v>2749958976.3099999</v>
      </c>
      <c r="AN2" s="26">
        <f>股权价值增加表!AN4</f>
        <v>1211789500.1500001</v>
      </c>
      <c r="AO2" s="26">
        <f>股权价值增加表!AO4</f>
        <v>7704393026.1300001</v>
      </c>
      <c r="AP2" s="26">
        <f>股权价值增加表!AP4</f>
        <v>6172540592.6899996</v>
      </c>
      <c r="AQ2" s="26">
        <f>股权价值增加表!AQ4</f>
        <v>4167736314.3200002</v>
      </c>
      <c r="AR2" s="26">
        <f>股权价值增加表!AR4</f>
        <v>1965085110.6700001</v>
      </c>
      <c r="AS2" s="26">
        <f>股权价值增加表!AS4</f>
        <v>7803583625.5100002</v>
      </c>
      <c r="AT2" s="26">
        <f>股权价值增加表!AT4</f>
        <v>5865382373.6400003</v>
      </c>
      <c r="AU2" s="26">
        <f>股权价值增加表!AU4</f>
        <v>3528589761.7600002</v>
      </c>
      <c r="AV2" s="26">
        <f>股权价值增加表!AV4</f>
        <v>1727878248.71</v>
      </c>
      <c r="AW2" s="26">
        <f>股权价值增加表!AW4</f>
        <v>4907571866.4799995</v>
      </c>
      <c r="AX2" s="26">
        <f>股权价值增加表!AX4</f>
        <v>3547624934.75</v>
      </c>
      <c r="AY2" s="26">
        <f>股权价值增加表!AY4</f>
        <v>2101792902.3800001</v>
      </c>
      <c r="AZ2" s="26">
        <f>股权价值增加表!AZ4</f>
        <v>1054923007.15</v>
      </c>
      <c r="BA2" s="26">
        <f>股权价值增加表!BA4</f>
        <v>3309540687.9699998</v>
      </c>
      <c r="BB2" s="26">
        <f>股权价值增加表!BB4</f>
        <v>2551255783.0999999</v>
      </c>
      <c r="BC2" s="26">
        <f>股权价值增加表!BC4</f>
        <v>1619465161.96</v>
      </c>
      <c r="BD2" s="26">
        <f>股权价值增加表!BD4</f>
        <v>795088991.48000002</v>
      </c>
      <c r="BE2" s="26">
        <f>股权价值增加表!BE4</f>
        <v>2104228713.8</v>
      </c>
      <c r="BF2" s="26">
        <f>股权价值增加表!BF4</f>
        <v>1695695569.3199999</v>
      </c>
      <c r="BG2" s="26">
        <f>股权价值增加表!BG4</f>
        <v>1054055275.14</v>
      </c>
      <c r="BH2" s="26">
        <f>股权价值增加表!BH4</f>
        <v>500646460.10000002</v>
      </c>
      <c r="BI2" s="26">
        <f>股权价值增加表!BI4</f>
        <v>1343705425.49</v>
      </c>
      <c r="BJ2" s="26">
        <f>股权价值增加表!BJ4</f>
        <v>1010725562.63</v>
      </c>
      <c r="BK2" s="26">
        <f>股权价值增加表!BK4</f>
        <v>728837860.20000005</v>
      </c>
      <c r="BL2" s="26">
        <f>股权价值增加表!BL4</f>
        <v>365414554.81999999</v>
      </c>
      <c r="BM2" s="26">
        <f>股权价值增加表!BM4</f>
        <v>881744022.69000006</v>
      </c>
      <c r="BN2" s="26">
        <f>股权价值增加表!BN4</f>
        <v>731509319.00999999</v>
      </c>
      <c r="BO2" s="26">
        <f>股权价值增加表!BO4</f>
        <v>439549140.19</v>
      </c>
      <c r="BP2" s="26">
        <f>股权价值增加表!BP4</f>
        <v>219102788.52000001</v>
      </c>
      <c r="BQ2" s="26">
        <f>股权价值增加表!BQ4</f>
        <v>571288456.37</v>
      </c>
      <c r="BR2" s="26">
        <f>股权价值增加表!BR4</f>
        <v>477877800</v>
      </c>
      <c r="BS2" s="26">
        <f>股权价值增加表!BS4</f>
        <v>290164514.67000002</v>
      </c>
      <c r="BT2" s="26">
        <f>股权价值增加表!BT4</f>
        <v>344853089.67000002</v>
      </c>
      <c r="BU2" s="26">
        <f>股权价值增加表!BU4</f>
        <v>160888819.90000001</v>
      </c>
      <c r="BV2" s="26">
        <f>股权价值增加表!BV4</f>
        <v>210406102.94</v>
      </c>
      <c r="BW2" s="26">
        <f>股权价值增加表!BW4</f>
        <v>180697101.69</v>
      </c>
      <c r="BX2" s="26">
        <f>股权价值增加表!BX4</f>
        <v>140004535.75999999</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0.76489759612636476</v>
      </c>
      <c r="F3" s="66">
        <f t="shared" ref="F3:BQ3" si="0">(F2-J2)/J2</f>
        <v>0.86141626913650393</v>
      </c>
      <c r="G3" s="66">
        <f t="shared" si="0"/>
        <v>0.95820269814829762</v>
      </c>
      <c r="H3" s="66">
        <f t="shared" si="0"/>
        <v>1.0769540126177806</v>
      </c>
      <c r="I3" s="66">
        <f t="shared" si="0"/>
        <v>0.54418583407817345</v>
      </c>
      <c r="J3" s="66">
        <f t="shared" si="0"/>
        <v>0.41545324101786529</v>
      </c>
      <c r="K3" s="66">
        <f t="shared" si="0"/>
        <v>0.24232650982982923</v>
      </c>
      <c r="L3" s="66">
        <f t="shared" si="0"/>
        <v>0.1684723664317293</v>
      </c>
      <c r="M3" s="66">
        <f t="shared" si="0"/>
        <v>-0.11752726782575</v>
      </c>
      <c r="N3" s="66">
        <f t="shared" si="0"/>
        <v>-0.16733347513815697</v>
      </c>
      <c r="O3" s="66">
        <f t="shared" si="0"/>
        <v>-0.13909837452122789</v>
      </c>
      <c r="P3" s="66">
        <f t="shared" si="0"/>
        <v>-0.11699694060088314</v>
      </c>
      <c r="Q3" s="66">
        <f t="shared" si="0"/>
        <v>9.1431846994695143E-2</v>
      </c>
      <c r="R3" s="66">
        <f t="shared" si="0"/>
        <v>0.15519343056820586</v>
      </c>
      <c r="S3" s="66">
        <f t="shared" si="0"/>
        <v>0.16929981290638668</v>
      </c>
      <c r="T3" s="66">
        <f t="shared" si="0"/>
        <v>7.5395584479884523E-2</v>
      </c>
      <c r="U3" s="66">
        <f t="shared" si="0"/>
        <v>0.26946509906791177</v>
      </c>
      <c r="V3" s="66">
        <f t="shared" si="0"/>
        <v>0.34621124958177785</v>
      </c>
      <c r="W3" s="66">
        <f t="shared" si="0"/>
        <v>0.39324942626581921</v>
      </c>
      <c r="X3" s="66">
        <f t="shared" si="0"/>
        <v>0.45569600959206402</v>
      </c>
      <c r="Y3" s="66">
        <f t="shared" si="0"/>
        <v>0.16686926452303485</v>
      </c>
      <c r="Z3" s="66">
        <f t="shared" si="0"/>
        <v>8.6721045006283276E-2</v>
      </c>
      <c r="AA3" s="66">
        <f t="shared" si="0"/>
        <v>4.0957542425177747E-2</v>
      </c>
      <c r="AB3" s="66">
        <f t="shared" si="0"/>
        <v>3.0613605339211016E-2</v>
      </c>
      <c r="AC3" s="66">
        <f t="shared" si="0"/>
        <v>0.4488473632293819</v>
      </c>
      <c r="AD3" s="66">
        <f t="shared" si="0"/>
        <v>0.56716970750314355</v>
      </c>
      <c r="AE3" s="66">
        <f t="shared" si="0"/>
        <v>0.5703016751239357</v>
      </c>
      <c r="AF3" s="66">
        <f t="shared" si="0"/>
        <v>0.55359673146816679</v>
      </c>
      <c r="AG3" s="66">
        <f t="shared" si="0"/>
        <v>0.45231687702898582</v>
      </c>
      <c r="AH3" s="66">
        <f t="shared" si="0"/>
        <v>0.44070970484889693</v>
      </c>
      <c r="AI3" s="66">
        <f t="shared" si="0"/>
        <v>0.59287244946020967</v>
      </c>
      <c r="AJ3" s="66">
        <f t="shared" si="0"/>
        <v>0.6910757203593022</v>
      </c>
      <c r="AK3" s="66">
        <f t="shared" si="0"/>
        <v>-0.1572444867611506</v>
      </c>
      <c r="AL3" s="66">
        <f t="shared" si="0"/>
        <v>-0.24594087537922832</v>
      </c>
      <c r="AM3" s="66">
        <f t="shared" si="0"/>
        <v>-0.3401792318623022</v>
      </c>
      <c r="AN3" s="66">
        <f t="shared" si="0"/>
        <v>-0.38333994106909813</v>
      </c>
      <c r="AO3" s="66">
        <f t="shared" si="0"/>
        <v>-1.2710903623271872E-2</v>
      </c>
      <c r="AP3" s="66">
        <f t="shared" si="0"/>
        <v>5.2367978672698157E-2</v>
      </c>
      <c r="AQ3" s="66">
        <f t="shared" si="0"/>
        <v>0.18113370941744289</v>
      </c>
      <c r="AR3" s="66">
        <f t="shared" si="0"/>
        <v>0.13728216217612207</v>
      </c>
      <c r="AS3" s="66">
        <f t="shared" si="0"/>
        <v>0.59011092202449833</v>
      </c>
      <c r="AT3" s="66">
        <f t="shared" si="0"/>
        <v>0.65332651605498204</v>
      </c>
      <c r="AU3" s="66">
        <f t="shared" si="0"/>
        <v>0.67884750099038915</v>
      </c>
      <c r="AV3" s="66">
        <f t="shared" si="0"/>
        <v>0.6379188215622188</v>
      </c>
      <c r="AW3" s="66">
        <f t="shared" si="0"/>
        <v>0.48285587916134587</v>
      </c>
      <c r="AX3" s="66">
        <f t="shared" si="0"/>
        <v>0.39054067344016918</v>
      </c>
      <c r="AY3" s="66">
        <f t="shared" si="0"/>
        <v>0.29783150125702629</v>
      </c>
      <c r="AZ3" s="66">
        <f t="shared" si="0"/>
        <v>0.3267986583317396</v>
      </c>
      <c r="BA3" s="66">
        <f t="shared" si="0"/>
        <v>0.57280464156072763</v>
      </c>
      <c r="BB3" s="66">
        <f t="shared" si="0"/>
        <v>0.50454823923559156</v>
      </c>
      <c r="BC3" s="66">
        <f t="shared" si="0"/>
        <v>0.53641388659138589</v>
      </c>
      <c r="BD3" s="66">
        <f t="shared" si="0"/>
        <v>0.5881246645011482</v>
      </c>
      <c r="BE3" s="66">
        <f t="shared" si="0"/>
        <v>0.56598959406051741</v>
      </c>
      <c r="BF3" s="66">
        <f t="shared" si="0"/>
        <v>0.67770127917576917</v>
      </c>
      <c r="BG3" s="66">
        <f t="shared" si="0"/>
        <v>0.4462136679490788</v>
      </c>
      <c r="BH3" s="66">
        <f t="shared" si="0"/>
        <v>0.37007804833229502</v>
      </c>
      <c r="BI3" s="66">
        <f t="shared" si="0"/>
        <v>0.5239178161828203</v>
      </c>
      <c r="BJ3" s="66">
        <f t="shared" si="0"/>
        <v>0.38169881963757052</v>
      </c>
      <c r="BK3" s="66">
        <f t="shared" si="0"/>
        <v>0.65814875643927273</v>
      </c>
      <c r="BL3" s="66">
        <f t="shared" si="0"/>
        <v>0.66777683336807203</v>
      </c>
      <c r="BM3" s="66">
        <f t="shared" si="0"/>
        <v>0.54343049095137108</v>
      </c>
      <c r="BN3" s="66">
        <f t="shared" si="0"/>
        <v>0.5307455567301933</v>
      </c>
      <c r="BO3" s="66">
        <f t="shared" si="0"/>
        <v>0.51482734093068894</v>
      </c>
      <c r="BP3" s="66">
        <f t="shared" si="0"/>
        <v>-0.36464890388638865</v>
      </c>
      <c r="BQ3" s="66">
        <f t="shared" si="0"/>
        <v>2.5508275635627311</v>
      </c>
      <c r="BR3" s="66">
        <f t="shared" ref="BR3:CJ3" si="1">(BR2-BV2)/BV2</f>
        <v>1.2712164396499135</v>
      </c>
      <c r="BS3" s="66">
        <f t="shared" si="1"/>
        <v>0.60580613610394218</v>
      </c>
      <c r="BT3" s="66">
        <f t="shared" si="1"/>
        <v>1.46315655273596</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32033253462.200001</v>
      </c>
      <c r="F4" s="26">
        <f>股权价值增加表!F5</f>
        <v>23762343011.110001</v>
      </c>
      <c r="G4" s="26">
        <f>股权价值增加表!G5</f>
        <v>14946177503.389999</v>
      </c>
      <c r="H4" s="26">
        <f>股权价值增加表!H5</f>
        <v>6688903404.2399998</v>
      </c>
      <c r="I4" s="26">
        <f>股权价值增加表!I5</f>
        <v>20744809250.07</v>
      </c>
      <c r="J4" s="26">
        <f>股权价值增加表!J5</f>
        <v>14628719989.24</v>
      </c>
      <c r="K4" s="26">
        <f>股权价值增加表!K5</f>
        <v>8851952029.6200008</v>
      </c>
      <c r="L4" s="26">
        <f>股权价值增加表!L5</f>
        <v>3868973210.0100002</v>
      </c>
      <c r="M4" s="26">
        <f>股权价值增加表!M5</f>
        <v>13619965426.6</v>
      </c>
      <c r="N4" s="26">
        <f>股权价值增加表!N5</f>
        <v>10094559402.790001</v>
      </c>
      <c r="O4" s="26">
        <f>股权价值增加表!O5</f>
        <v>6718028765.5799999</v>
      </c>
      <c r="P4" s="26">
        <f>股权价值增加表!P5</f>
        <v>3154336266.1700001</v>
      </c>
      <c r="Q4" s="26">
        <f>股权价值增加表!Q5</f>
        <v>15269639735.889999</v>
      </c>
      <c r="R4" s="26">
        <f>股权价值增加表!R5</f>
        <v>12406038868.049999</v>
      </c>
      <c r="S4" s="26">
        <f>股权价值增加表!S5</f>
        <v>8123296494.29</v>
      </c>
      <c r="T4" s="26">
        <f>股权价值增加表!T5</f>
        <v>3554897748.1999998</v>
      </c>
      <c r="U4" s="26">
        <f>股权价值增加表!U5</f>
        <v>13582949179.870001</v>
      </c>
      <c r="V4" s="26">
        <f>股权价值增加表!V5</f>
        <v>10039384410.16</v>
      </c>
      <c r="W4" s="26">
        <f>股权价值增加表!W5</f>
        <v>6429177035.0299997</v>
      </c>
      <c r="X4" s="26">
        <f>股权价值增加表!X5</f>
        <v>3111699665.1199999</v>
      </c>
      <c r="Y4" s="26">
        <f>股权价值增加表!Y5</f>
        <v>10381869493.6</v>
      </c>
      <c r="Z4" s="26">
        <f>股权价值增加表!Z5</f>
        <v>7545910596.1899996</v>
      </c>
      <c r="AA4" s="26">
        <f>股权价值增加表!AA5</f>
        <v>4813978177.7700005</v>
      </c>
      <c r="AB4" s="26">
        <f>股权价值增加表!AB5</f>
        <v>2216024656.5700002</v>
      </c>
      <c r="AC4" s="26">
        <f>股权价值增加表!AC5</f>
        <v>9488664821.2399998</v>
      </c>
      <c r="AD4" s="26">
        <f>股权价值增加表!AD5</f>
        <v>7067162108.7799997</v>
      </c>
      <c r="AE4" s="26">
        <f>股权价值增加表!AE5</f>
        <v>4637940337.5500002</v>
      </c>
      <c r="AF4" s="26">
        <f>股权价值增加表!AF5</f>
        <v>2131293503.98</v>
      </c>
      <c r="AG4" s="26">
        <f>股权价值增加表!AG5</f>
        <v>7041509863.6999998</v>
      </c>
      <c r="AH4" s="26">
        <f>股权价值增加表!AH5</f>
        <v>5021591295.8599997</v>
      </c>
      <c r="AI4" s="26">
        <f>股权价值增加表!AI5</f>
        <v>3243051207.7399998</v>
      </c>
      <c r="AJ4" s="26">
        <f>股权价值增加表!AJ5</f>
        <v>1557274955.4300001</v>
      </c>
      <c r="AK4" s="26">
        <f>股权价值增加表!AK5</f>
        <v>4606765873.4099998</v>
      </c>
      <c r="AL4" s="26">
        <f>股权价值增加表!AL5</f>
        <v>3253577491.3000002</v>
      </c>
      <c r="AM4" s="26">
        <f>股权价值增加表!AM5</f>
        <v>1966108249.5599999</v>
      </c>
      <c r="AN4" s="26">
        <f>股权价值增加表!AN5</f>
        <v>920678918.63</v>
      </c>
      <c r="AO4" s="26">
        <f>股权价值增加表!AO5</f>
        <v>5294196775.4300003</v>
      </c>
      <c r="AP4" s="26">
        <f>股权价值增加表!AP5</f>
        <v>4046162569.9699998</v>
      </c>
      <c r="AQ4" s="26">
        <f>股权价值增加表!AQ5</f>
        <v>2582073570.1300001</v>
      </c>
      <c r="AR4" s="26">
        <f>股权价值增加表!AR5</f>
        <v>1227427771.4100001</v>
      </c>
      <c r="AS4" s="26">
        <f>股权价值增加表!AS5</f>
        <v>4651703918.1899996</v>
      </c>
      <c r="AT4" s="26">
        <f>股权价值增加表!AT5</f>
        <v>3578426888.8699999</v>
      </c>
      <c r="AU4" s="26">
        <f>股权价值增加表!AU5</f>
        <v>2209440549.4899998</v>
      </c>
      <c r="AV4" s="26">
        <f>股权价值增加表!AV5</f>
        <v>1087781048.79</v>
      </c>
      <c r="AW4" s="26">
        <f>股权价值增加表!AW5</f>
        <v>3139049523.0500002</v>
      </c>
      <c r="AX4" s="26">
        <f>股权价值增加表!AX5</f>
        <v>2252345297.48</v>
      </c>
      <c r="AY4" s="26">
        <f>股权价值增加表!AY5</f>
        <v>1400629182.1400001</v>
      </c>
      <c r="AZ4" s="26">
        <f>股权价值增加表!AZ5</f>
        <v>690278011.37</v>
      </c>
      <c r="BA4" s="26">
        <f>股权价值增加表!BA5</f>
        <v>2071239585.1900001</v>
      </c>
      <c r="BB4" s="26">
        <f>股权价值增加表!BB5</f>
        <v>1569034978.9100001</v>
      </c>
      <c r="BC4" s="26">
        <f>股权价值增加表!BC5</f>
        <v>967239817.53999996</v>
      </c>
      <c r="BD4" s="26">
        <f>股权价值增加表!BD5</f>
        <v>469751672.69999999</v>
      </c>
      <c r="BE4" s="26">
        <f>股权价值增加表!BE5</f>
        <v>1252818732.1400001</v>
      </c>
      <c r="BF4" s="26">
        <f>股权价值增加表!BF5</f>
        <v>973372532.09000003</v>
      </c>
      <c r="BG4" s="26">
        <f>股权价值增加表!BG5</f>
        <v>572483914.66999996</v>
      </c>
      <c r="BH4" s="26">
        <f>股权价值增加表!BH5</f>
        <v>290169041.20999998</v>
      </c>
      <c r="BI4" s="26">
        <f>股权价值增加表!BI5</f>
        <v>861457343.46000004</v>
      </c>
      <c r="BJ4" s="26">
        <f>股权价值增加表!BJ5</f>
        <v>621831935.80999994</v>
      </c>
      <c r="BK4" s="26">
        <f>股权价值增加表!BK5</f>
        <v>452234197.25999999</v>
      </c>
      <c r="BL4" s="26">
        <f>股权价值增加表!BL5</f>
        <v>235189970.84999999</v>
      </c>
      <c r="BM4" s="26">
        <f>股权价值增加表!BM5</f>
        <v>576099921.12</v>
      </c>
      <c r="BN4" s="26">
        <f>股权价值增加表!BN5</f>
        <v>487704935.55000001</v>
      </c>
      <c r="BO4" s="26">
        <f>股权价值增加表!BO5</f>
        <v>287596089.52999997</v>
      </c>
      <c r="BP4" s="26">
        <f>股权价值增加表!BP5</f>
        <v>143189251.71000001</v>
      </c>
      <c r="BQ4" s="26">
        <f>股权价值增加表!BQ5</f>
        <v>363108488.54000002</v>
      </c>
      <c r="BR4" s="26">
        <f>股权价值增加表!BR5</f>
        <v>0</v>
      </c>
      <c r="BS4" s="26">
        <f>股权价值增加表!BS5</f>
        <v>176016395.74000001</v>
      </c>
      <c r="BT4" s="26">
        <f>股权价值增加表!BT5</f>
        <v>231885194.97</v>
      </c>
      <c r="BU4" s="26">
        <f>股权价值增加表!BU5</f>
        <v>95901275.469999999</v>
      </c>
      <c r="BV4" s="26">
        <f>股权价值增加表!BV5</f>
        <v>160030203.71000001</v>
      </c>
      <c r="BW4" s="26">
        <f>股权价值增加表!BW5</f>
        <v>142355825.75999999</v>
      </c>
      <c r="BX4" s="26">
        <f>股权价值增加表!BX5</f>
        <v>110766360.22</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0.60299962327434153</v>
      </c>
      <c r="F5" s="66">
        <f t="shared" si="2"/>
        <v>0.60986155254225349</v>
      </c>
      <c r="G5" s="66">
        <f t="shared" si="2"/>
        <v>0.61179388446299487</v>
      </c>
      <c r="H5" s="66">
        <f t="shared" si="2"/>
        <v>0.60769272783817574</v>
      </c>
      <c r="I5" s="66">
        <f t="shared" si="2"/>
        <v>0.68919949113688672</v>
      </c>
      <c r="J5" s="66">
        <f t="shared" si="2"/>
        <v>0.69886264387123009</v>
      </c>
      <c r="K5" s="66">
        <f t="shared" si="2"/>
        <v>0.70953151822706817</v>
      </c>
      <c r="L5" s="66">
        <f t="shared" si="2"/>
        <v>0.73004850865747628</v>
      </c>
      <c r="M5" s="66">
        <f t="shared" si="2"/>
        <v>0.69873270516945019</v>
      </c>
      <c r="N5" s="66">
        <f t="shared" si="2"/>
        <v>0.6826033180430795</v>
      </c>
      <c r="O5" s="66">
        <f t="shared" si="2"/>
        <v>0.6689755605335681</v>
      </c>
      <c r="P5" s="66">
        <f t="shared" si="2"/>
        <v>0.69547645352371468</v>
      </c>
      <c r="Q5" s="66">
        <f t="shared" si="2"/>
        <v>0.69129776351177818</v>
      </c>
      <c r="R5" s="66">
        <f t="shared" si="2"/>
        <v>0.6985303331725945</v>
      </c>
      <c r="S5" s="66">
        <f t="shared" si="2"/>
        <v>0.69639272542089969</v>
      </c>
      <c r="T5" s="66">
        <f t="shared" si="2"/>
        <v>0.69209189504559543</v>
      </c>
      <c r="U5" s="66">
        <f t="shared" si="2"/>
        <v>0.67116153547410584</v>
      </c>
      <c r="V5" s="66">
        <f t="shared" si="2"/>
        <v>0.65300112057980886</v>
      </c>
      <c r="W5" s="66">
        <f t="shared" si="2"/>
        <v>0.64447071224994767</v>
      </c>
      <c r="X5" s="66">
        <f t="shared" si="2"/>
        <v>0.65148222666426703</v>
      </c>
      <c r="Y5" s="66">
        <f t="shared" si="2"/>
        <v>0.65122237504927438</v>
      </c>
      <c r="Z5" s="66">
        <f t="shared" si="2"/>
        <v>0.66074169569362573</v>
      </c>
      <c r="AA5" s="66">
        <f t="shared" si="2"/>
        <v>0.67232736955355621</v>
      </c>
      <c r="AB5" s="66">
        <f t="shared" si="2"/>
        <v>0.67538308371869082</v>
      </c>
      <c r="AC5" s="66">
        <f t="shared" si="2"/>
        <v>0.6945140806406862</v>
      </c>
      <c r="AD5" s="66">
        <f t="shared" si="2"/>
        <v>0.67248590956364074</v>
      </c>
      <c r="AE5" s="66">
        <f t="shared" si="2"/>
        <v>0.67427156894592044</v>
      </c>
      <c r="AF5" s="66">
        <f t="shared" si="2"/>
        <v>0.66944472382622922</v>
      </c>
      <c r="AG5" s="66">
        <f t="shared" si="2"/>
        <v>0.74673133503366229</v>
      </c>
      <c r="AH5" s="66">
        <f t="shared" si="2"/>
        <v>0.74885119463833916</v>
      </c>
      <c r="AI5" s="66">
        <f t="shared" si="2"/>
        <v>0.74036621152695115</v>
      </c>
      <c r="AJ5" s="66">
        <f t="shared" si="2"/>
        <v>0.75993257264698799</v>
      </c>
      <c r="AK5" s="66">
        <f t="shared" ref="AK5:BP5" si="3">AK4/AK2</f>
        <v>0.70950605998857053</v>
      </c>
      <c r="AL5" s="66">
        <f t="shared" si="3"/>
        <v>0.69902353927972782</v>
      </c>
      <c r="AM5" s="66">
        <f t="shared" si="3"/>
        <v>0.71495911993501782</v>
      </c>
      <c r="AN5" s="66">
        <f t="shared" si="3"/>
        <v>0.75976802779363473</v>
      </c>
      <c r="AO5" s="66">
        <f t="shared" si="3"/>
        <v>0.68716597887391684</v>
      </c>
      <c r="AP5" s="66">
        <f t="shared" si="3"/>
        <v>0.65551007874484923</v>
      </c>
      <c r="AQ5" s="66">
        <f t="shared" si="3"/>
        <v>0.61953861170588143</v>
      </c>
      <c r="AR5" s="66">
        <f t="shared" si="3"/>
        <v>0.62461812200668798</v>
      </c>
      <c r="AS5" s="66">
        <f t="shared" si="3"/>
        <v>0.59609842623887932</v>
      </c>
      <c r="AT5" s="66">
        <f t="shared" si="3"/>
        <v>0.61009268636125802</v>
      </c>
      <c r="AU5" s="66">
        <f t="shared" si="3"/>
        <v>0.62615398747514606</v>
      </c>
      <c r="AV5" s="66">
        <f t="shared" si="3"/>
        <v>0.62954727834679092</v>
      </c>
      <c r="AW5" s="66">
        <f t="shared" si="3"/>
        <v>0.63963393883042852</v>
      </c>
      <c r="AX5" s="66">
        <f t="shared" si="3"/>
        <v>0.63488822491285202</v>
      </c>
      <c r="AY5" s="66">
        <f t="shared" si="3"/>
        <v>0.66639733179894856</v>
      </c>
      <c r="AZ5" s="66">
        <f t="shared" si="3"/>
        <v>0.65433970696578914</v>
      </c>
      <c r="BA5" s="66">
        <f t="shared" si="3"/>
        <v>0.62583898506485902</v>
      </c>
      <c r="BB5" s="66">
        <f t="shared" si="3"/>
        <v>0.61500496708467423</v>
      </c>
      <c r="BC5" s="66">
        <f t="shared" si="3"/>
        <v>0.59725879892925438</v>
      </c>
      <c r="BD5" s="66">
        <f t="shared" si="3"/>
        <v>0.5908164717833555</v>
      </c>
      <c r="BE5" s="66">
        <f t="shared" si="3"/>
        <v>0.59538144495592904</v>
      </c>
      <c r="BF5" s="66">
        <f t="shared" si="3"/>
        <v>0.57402552067782864</v>
      </c>
      <c r="BG5" s="66">
        <f t="shared" si="3"/>
        <v>0.54312513600765622</v>
      </c>
      <c r="BH5" s="66">
        <f t="shared" si="3"/>
        <v>0.5795887204556307</v>
      </c>
      <c r="BI5" s="66">
        <f t="shared" si="3"/>
        <v>0.64110580125540406</v>
      </c>
      <c r="BJ5" s="66">
        <f t="shared" si="3"/>
        <v>0.61523321344711679</v>
      </c>
      <c r="BK5" s="66">
        <f t="shared" si="3"/>
        <v>0.62048669800976397</v>
      </c>
      <c r="BL5" s="66">
        <f t="shared" si="3"/>
        <v>0.64362507663618518</v>
      </c>
      <c r="BM5" s="66">
        <f t="shared" si="3"/>
        <v>0.65336413550323869</v>
      </c>
      <c r="BN5" s="66">
        <f t="shared" si="3"/>
        <v>0.66671048867845373</v>
      </c>
      <c r="BO5" s="66">
        <f t="shared" si="3"/>
        <v>0.65429792310749002</v>
      </c>
      <c r="BP5" s="66">
        <f t="shared" si="3"/>
        <v>0.65352546481593266</v>
      </c>
      <c r="BQ5" s="66">
        <f t="shared" ref="BQ5:CK5" si="4">BQ4/BQ2</f>
        <v>0.63559570387123243</v>
      </c>
      <c r="BR5" s="66">
        <f t="shared" si="4"/>
        <v>0</v>
      </c>
      <c r="BS5" s="66">
        <f t="shared" si="4"/>
        <v>0.60660896436692457</v>
      </c>
      <c r="BT5" s="66">
        <f t="shared" si="4"/>
        <v>0.67241733339810794</v>
      </c>
      <c r="BU5" s="66">
        <f t="shared" si="4"/>
        <v>0.59607171915119506</v>
      </c>
      <c r="BV5" s="66">
        <f t="shared" si="4"/>
        <v>0.76057776591981596</v>
      </c>
      <c r="BW5" s="66">
        <f t="shared" si="4"/>
        <v>0.78781466016108292</v>
      </c>
      <c r="BX5" s="66">
        <f t="shared" si="4"/>
        <v>0.79116265497197202</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0.54415753242425746</v>
      </c>
      <c r="F6" s="66">
        <f t="shared" ref="F6:BQ6" si="5">(F4-J4)/J4</f>
        <v>0.62436242053905877</v>
      </c>
      <c r="G6" s="66">
        <f t="shared" si="5"/>
        <v>0.68846119515534854</v>
      </c>
      <c r="H6" s="66">
        <f t="shared" si="5"/>
        <v>0.72885751365094376</v>
      </c>
      <c r="I6" s="66">
        <f t="shared" si="5"/>
        <v>0.52311761449519323</v>
      </c>
      <c r="J6" s="66">
        <f t="shared" si="5"/>
        <v>0.4491687458094325</v>
      </c>
      <c r="K6" s="66">
        <f t="shared" si="5"/>
        <v>0.31764128117063356</v>
      </c>
      <c r="L6" s="66">
        <f t="shared" si="5"/>
        <v>0.22655699441572646</v>
      </c>
      <c r="M6" s="66">
        <f t="shared" si="5"/>
        <v>-0.10803622991920227</v>
      </c>
      <c r="N6" s="66">
        <f t="shared" si="5"/>
        <v>-0.18631889597032356</v>
      </c>
      <c r="O6" s="66">
        <f t="shared" si="5"/>
        <v>-0.17299229810185879</v>
      </c>
      <c r="P6" s="66">
        <f t="shared" si="5"/>
        <v>-0.11267876332949985</v>
      </c>
      <c r="Q6" s="66">
        <f t="shared" si="5"/>
        <v>0.12417704974702272</v>
      </c>
      <c r="R6" s="66">
        <f t="shared" si="5"/>
        <v>0.23573700948186738</v>
      </c>
      <c r="S6" s="66">
        <f t="shared" si="5"/>
        <v>0.26350487006803897</v>
      </c>
      <c r="T6" s="66">
        <f t="shared" si="5"/>
        <v>0.1424295821502132</v>
      </c>
      <c r="U6" s="66">
        <f t="shared" si="5"/>
        <v>0.30833364725335216</v>
      </c>
      <c r="V6" s="66">
        <f t="shared" si="5"/>
        <v>0.33044041301376914</v>
      </c>
      <c r="W6" s="66">
        <f t="shared" si="5"/>
        <v>0.33552267950001691</v>
      </c>
      <c r="X6" s="66">
        <f t="shared" si="5"/>
        <v>0.4041809760078845</v>
      </c>
      <c r="Y6" s="66">
        <f t="shared" si="5"/>
        <v>9.4133862791801581E-2</v>
      </c>
      <c r="Z6" s="66">
        <f t="shared" si="5"/>
        <v>6.7742678042607682E-2</v>
      </c>
      <c r="AA6" s="66">
        <f t="shared" si="5"/>
        <v>3.7956038113459767E-2</v>
      </c>
      <c r="AB6" s="66">
        <f t="shared" si="5"/>
        <v>3.9755741023830039E-2</v>
      </c>
      <c r="AC6" s="66">
        <f t="shared" si="5"/>
        <v>0.34753270319984031</v>
      </c>
      <c r="AD6" s="66">
        <f t="shared" si="5"/>
        <v>0.40735509769710854</v>
      </c>
      <c r="AE6" s="66">
        <f t="shared" si="5"/>
        <v>0.43011628261709234</v>
      </c>
      <c r="AF6" s="66">
        <f t="shared" si="5"/>
        <v>0.36860449501770864</v>
      </c>
      <c r="AG6" s="66">
        <f t="shared" si="5"/>
        <v>0.52851480999787914</v>
      </c>
      <c r="AH6" s="66">
        <f t="shared" si="5"/>
        <v>0.54340608431415338</v>
      </c>
      <c r="AI6" s="66">
        <f t="shared" si="5"/>
        <v>0.64947744279378816</v>
      </c>
      <c r="AJ6" s="66">
        <f t="shared" si="5"/>
        <v>0.69144196083828613</v>
      </c>
      <c r="AK6" s="66">
        <f t="shared" si="5"/>
        <v>-0.12984611852931488</v>
      </c>
      <c r="AL6" s="66">
        <f t="shared" si="5"/>
        <v>-0.19588562371478718</v>
      </c>
      <c r="AM6" s="66">
        <f t="shared" si="5"/>
        <v>-0.23855451978426317</v>
      </c>
      <c r="AN6" s="66">
        <f t="shared" si="5"/>
        <v>-0.2499119377326979</v>
      </c>
      <c r="AO6" s="66">
        <f t="shared" si="5"/>
        <v>0.13811989510501729</v>
      </c>
      <c r="AP6" s="66">
        <f t="shared" si="5"/>
        <v>0.13070986096007736</v>
      </c>
      <c r="AQ6" s="66">
        <f t="shared" si="5"/>
        <v>0.16865492068841337</v>
      </c>
      <c r="AR6" s="66">
        <f t="shared" si="5"/>
        <v>0.12837760206921883</v>
      </c>
      <c r="AS6" s="66">
        <f t="shared" si="5"/>
        <v>0.48188293431900253</v>
      </c>
      <c r="AT6" s="66">
        <f t="shared" si="5"/>
        <v>0.58875590384550036</v>
      </c>
      <c r="AU6" s="66">
        <f t="shared" si="5"/>
        <v>0.57746288429763337</v>
      </c>
      <c r="AV6" s="66">
        <f t="shared" si="5"/>
        <v>0.5758593361985741</v>
      </c>
      <c r="AW6" s="66">
        <f t="shared" si="5"/>
        <v>0.51554148805148836</v>
      </c>
      <c r="AX6" s="66">
        <f t="shared" si="5"/>
        <v>0.4354971863308566</v>
      </c>
      <c r="AY6" s="66">
        <f t="shared" si="5"/>
        <v>0.44806815925159887</v>
      </c>
      <c r="AZ6" s="66">
        <f t="shared" si="5"/>
        <v>0.46945301419040592</v>
      </c>
      <c r="BA6" s="66">
        <f t="shared" si="5"/>
        <v>0.65326358239552806</v>
      </c>
      <c r="BB6" s="66">
        <f t="shared" si="5"/>
        <v>0.61195732074030196</v>
      </c>
      <c r="BC6" s="66">
        <f t="shared" si="5"/>
        <v>0.6895493353687524</v>
      </c>
      <c r="BD6" s="66">
        <f t="shared" si="5"/>
        <v>0.61888970215824368</v>
      </c>
      <c r="BE6" s="66">
        <f t="shared" si="5"/>
        <v>0.45430152943861013</v>
      </c>
      <c r="BF6" s="66">
        <f t="shared" si="5"/>
        <v>0.5653305596504663</v>
      </c>
      <c r="BG6" s="66">
        <f t="shared" si="5"/>
        <v>0.26590142483379159</v>
      </c>
      <c r="BH6" s="66">
        <f t="shared" si="5"/>
        <v>0.23376451879006638</v>
      </c>
      <c r="BI6" s="66">
        <f t="shared" si="5"/>
        <v>0.49532626525140744</v>
      </c>
      <c r="BJ6" s="66">
        <f t="shared" si="5"/>
        <v>0.27501669653750938</v>
      </c>
      <c r="BK6" s="66">
        <f t="shared" si="5"/>
        <v>0.57246295663844948</v>
      </c>
      <c r="BL6" s="66">
        <f t="shared" si="5"/>
        <v>0.64251134803279975</v>
      </c>
      <c r="BM6" s="66">
        <f t="shared" si="5"/>
        <v>0.58657794929665175</v>
      </c>
      <c r="BN6" s="66" t="e">
        <f t="shared" si="5"/>
        <v>#DIV/0!</v>
      </c>
      <c r="BO6" s="66">
        <f t="shared" si="5"/>
        <v>0.63391647875132173</v>
      </c>
      <c r="BP6" s="66">
        <f t="shared" si="5"/>
        <v>-0.38249937979643317</v>
      </c>
      <c r="BQ6" s="66">
        <f t="shared" si="5"/>
        <v>2.7862738192005407</v>
      </c>
      <c r="BR6" s="66">
        <f t="shared" ref="BR6:CJ6" si="6">(BR4-BV4)/BV4</f>
        <v>-1</v>
      </c>
      <c r="BS6" s="66">
        <f t="shared" si="6"/>
        <v>0.23645375804112803</v>
      </c>
      <c r="BT6" s="66">
        <f t="shared" si="6"/>
        <v>1.0934622615515965</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356</v>
      </c>
      <c r="E7" s="27">
        <f>股权价值增加表!E6</f>
        <v>21089919796.609997</v>
      </c>
      <c r="F7" s="27">
        <f>股权价值增加表!F6</f>
        <v>15201160938.360001</v>
      </c>
      <c r="G7" s="27">
        <f>股权价值增加表!G6</f>
        <v>9483908973.3800011</v>
      </c>
      <c r="H7" s="27">
        <f>股权价值增加表!H6</f>
        <v>4318145220.5400009</v>
      </c>
      <c r="I7" s="27">
        <f>股权价值增加表!I6</f>
        <v>9355052280.3699989</v>
      </c>
      <c r="J7" s="27">
        <f>股权价值增加表!J6</f>
        <v>6303461917.3599987</v>
      </c>
      <c r="K7" s="27">
        <f>股权价值增加表!K6</f>
        <v>3623817971.039999</v>
      </c>
      <c r="L7" s="27">
        <f>股权价值增加表!L6</f>
        <v>1430637931.0699997</v>
      </c>
      <c r="M7" s="27">
        <f>股权价值增加表!M6</f>
        <v>5872417462.9299984</v>
      </c>
      <c r="N7" s="27">
        <f>股权价值增加表!N6</f>
        <v>4693765142.3199997</v>
      </c>
      <c r="O7" s="27">
        <f>股权价值增加表!O6</f>
        <v>3324234602.3400002</v>
      </c>
      <c r="P7" s="27">
        <f>股权价值增加表!P6</f>
        <v>1381167775.9700003</v>
      </c>
      <c r="Q7" s="27">
        <f>股权价值增加表!Q6</f>
        <v>6818728752.8500023</v>
      </c>
      <c r="R7" s="27">
        <f>股权价值增加表!R6</f>
        <v>5354161768.7700005</v>
      </c>
      <c r="S7" s="27">
        <f>股权价值增加表!S6</f>
        <v>3541524515.1199999</v>
      </c>
      <c r="T7" s="27">
        <f>股权价值增加表!T6</f>
        <v>1581555624.0299997</v>
      </c>
      <c r="U7" s="27">
        <f>股权价值增加表!U6</f>
        <v>6655024038.1200008</v>
      </c>
      <c r="V7" s="27">
        <f>股权价值增加表!V6</f>
        <v>5334837920.7999992</v>
      </c>
      <c r="W7" s="27">
        <f>股权价值增加表!W6</f>
        <v>3546725535.5999994</v>
      </c>
      <c r="X7" s="27">
        <f>股权价值增加表!X6</f>
        <v>1664638871.4700003</v>
      </c>
      <c r="Y7" s="27">
        <f>股权价值增加表!Y6</f>
        <v>5560257023.1900005</v>
      </c>
      <c r="Z7" s="27">
        <f>股权价值增加表!Z6</f>
        <v>3874453284.8400011</v>
      </c>
      <c r="AA7" s="27">
        <f>股权价值增加表!AA6</f>
        <v>2346191697.4599991</v>
      </c>
      <c r="AB7" s="27">
        <f>股权价值增加表!AB6</f>
        <v>1065112686.0599999</v>
      </c>
      <c r="AC7" s="27">
        <f>股权价值增加表!AC6</f>
        <v>4173642518.1399994</v>
      </c>
      <c r="AD7" s="27">
        <f>股权价值增加表!AD6</f>
        <v>3441849319.2300005</v>
      </c>
      <c r="AE7" s="27">
        <f>股权价值增加表!AE6</f>
        <v>2240505308.3199997</v>
      </c>
      <c r="AF7" s="27">
        <f>股权价值增加表!AF6</f>
        <v>1052380111.0700002</v>
      </c>
      <c r="AG7" s="27">
        <f>股权价值增加表!AG6</f>
        <v>2388266996.250001</v>
      </c>
      <c r="AH7" s="27">
        <f>股权价值增加表!AH6</f>
        <v>1684135198.0200005</v>
      </c>
      <c r="AI7" s="27">
        <f>股权价值增加表!AI6</f>
        <v>1137282682.7700005</v>
      </c>
      <c r="AJ7" s="27">
        <f>股权价值增加表!AJ6</f>
        <v>491952846.46000004</v>
      </c>
      <c r="AK7" s="27">
        <f>股权价值增加表!AK6</f>
        <v>1886153825.5200005</v>
      </c>
      <c r="AL7" s="27">
        <f>股权价值增加表!AL6</f>
        <v>1400883064.71</v>
      </c>
      <c r="AM7" s="27">
        <f>股权价值增加表!AM6</f>
        <v>783850726.75</v>
      </c>
      <c r="AN7" s="27">
        <f>股权价值增加表!AN6</f>
        <v>291110581.5200001</v>
      </c>
      <c r="AO7" s="27">
        <f>股权价值增加表!AO6</f>
        <v>2410196250.6999998</v>
      </c>
      <c r="AP7" s="27">
        <f>股权价值增加表!AP6</f>
        <v>2126378022.7199998</v>
      </c>
      <c r="AQ7" s="27">
        <f>股权价值增加表!AQ6</f>
        <v>1585662744.1900001</v>
      </c>
      <c r="AR7" s="27">
        <f>股权价值增加表!AR6</f>
        <v>737657339.25999999</v>
      </c>
      <c r="AS7" s="27">
        <f>股权价值增加表!AS6</f>
        <v>3151879707.3200006</v>
      </c>
      <c r="AT7" s="27">
        <f>股权价值增加表!AT6</f>
        <v>2286955484.7700005</v>
      </c>
      <c r="AU7" s="27">
        <f>股权价值增加表!AU6</f>
        <v>1319149212.2700005</v>
      </c>
      <c r="AV7" s="27">
        <f>股权价值增加表!AV6</f>
        <v>640097199.92000008</v>
      </c>
      <c r="AW7" s="27">
        <f>股权价值增加表!AW6</f>
        <v>1768522343.4299994</v>
      </c>
      <c r="AX7" s="27">
        <f>股权价值增加表!AX6</f>
        <v>1295279637.27</v>
      </c>
      <c r="AY7" s="27">
        <f>股权价值增加表!AY6</f>
        <v>701163720.24000001</v>
      </c>
      <c r="AZ7" s="27">
        <f>股权价值增加表!AZ6</f>
        <v>364644995.77999997</v>
      </c>
      <c r="BA7" s="27">
        <f>股权价值增加表!BA6</f>
        <v>1238301102.7799997</v>
      </c>
      <c r="BB7" s="27">
        <f>股权价值增加表!BB6</f>
        <v>982220804.18999982</v>
      </c>
      <c r="BC7" s="27">
        <f>股权价值增加表!BC6</f>
        <v>652225344.42000008</v>
      </c>
      <c r="BD7" s="27">
        <f>股权价值增加表!BD6</f>
        <v>325337318.78000003</v>
      </c>
      <c r="BE7" s="27">
        <f>股权价值增加表!BE6</f>
        <v>851409981.65999985</v>
      </c>
      <c r="BF7" s="27">
        <f>股权价值增加表!BF6</f>
        <v>722323037.2299999</v>
      </c>
      <c r="BG7" s="27">
        <f>股权价值增加表!BG6</f>
        <v>481571360.47000003</v>
      </c>
      <c r="BH7" s="27">
        <f>股权价值增加表!BH6</f>
        <v>210477418.89000005</v>
      </c>
      <c r="BI7" s="27">
        <f>股权价值增加表!BI6</f>
        <v>482248082.02999997</v>
      </c>
      <c r="BJ7" s="27">
        <f>股权价值增加表!BJ6</f>
        <v>388893626.82000005</v>
      </c>
      <c r="BK7" s="27">
        <f>股权价值增加表!BK6</f>
        <v>276603662.94000006</v>
      </c>
      <c r="BL7" s="27">
        <f>股权价值增加表!BL6</f>
        <v>130224583.97</v>
      </c>
      <c r="BM7" s="27">
        <f>股权价值增加表!BM6</f>
        <v>305644101.57000005</v>
      </c>
      <c r="BN7" s="27">
        <f>股权价值增加表!BN6</f>
        <v>243804383.45999998</v>
      </c>
      <c r="BO7" s="27">
        <f>股权价值增加表!BO6</f>
        <v>151953050.66000003</v>
      </c>
      <c r="BP7" s="27">
        <f>股权价值增加表!BP6</f>
        <v>75913536.810000002</v>
      </c>
      <c r="BQ7" s="27">
        <f>股权价值增加表!BQ6</f>
        <v>208179967.82999998</v>
      </c>
      <c r="BR7" s="27">
        <f>股权价值增加表!BR6</f>
        <v>477877800</v>
      </c>
      <c r="BS7" s="27">
        <f>股权价值增加表!BS6</f>
        <v>114148118.93000001</v>
      </c>
      <c r="BT7" s="27">
        <f>股权价值增加表!BT6</f>
        <v>112967894.70000002</v>
      </c>
      <c r="BU7" s="27">
        <f>股权价值增加表!BU6</f>
        <v>64987544.430000007</v>
      </c>
      <c r="BV7" s="27">
        <f>股权价值增加表!BV6</f>
        <v>50375899.229999989</v>
      </c>
      <c r="BW7" s="27">
        <f>股权价值增加表!BW6</f>
        <v>38341275.930000007</v>
      </c>
      <c r="BX7" s="27">
        <f>股权价值增加表!BX6</f>
        <v>29238175.539999992</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0.39700037672565852</v>
      </c>
      <c r="F8" s="66">
        <f t="shared" ref="F8:BQ8" si="7">F7/F2</f>
        <v>0.39013844745774651</v>
      </c>
      <c r="G8" s="66">
        <f t="shared" si="7"/>
        <v>0.38820611553700513</v>
      </c>
      <c r="H8" s="66">
        <f t="shared" si="7"/>
        <v>0.39230727216182426</v>
      </c>
      <c r="I8" s="66">
        <f t="shared" si="7"/>
        <v>0.31080050886311328</v>
      </c>
      <c r="J8" s="66">
        <f t="shared" si="7"/>
        <v>0.30113735612876996</v>
      </c>
      <c r="K8" s="66">
        <f t="shared" si="7"/>
        <v>0.29046848177293183</v>
      </c>
      <c r="L8" s="66">
        <f t="shared" si="7"/>
        <v>0.26995149134252366</v>
      </c>
      <c r="M8" s="66">
        <f t="shared" si="7"/>
        <v>0.30126729483054981</v>
      </c>
      <c r="N8" s="66">
        <f t="shared" si="7"/>
        <v>0.3173966819569205</v>
      </c>
      <c r="O8" s="66">
        <f t="shared" si="7"/>
        <v>0.33102443946643184</v>
      </c>
      <c r="P8" s="66">
        <f t="shared" si="7"/>
        <v>0.30452354647628532</v>
      </c>
      <c r="Q8" s="66">
        <f t="shared" si="7"/>
        <v>0.30870223648822182</v>
      </c>
      <c r="R8" s="66">
        <f t="shared" si="7"/>
        <v>0.3014696668274055</v>
      </c>
      <c r="S8" s="66">
        <f t="shared" si="7"/>
        <v>0.30360727457910031</v>
      </c>
      <c r="T8" s="66">
        <f t="shared" si="7"/>
        <v>0.30790810495440452</v>
      </c>
      <c r="U8" s="66">
        <f t="shared" si="7"/>
        <v>0.32883846452589416</v>
      </c>
      <c r="V8" s="66">
        <f t="shared" si="7"/>
        <v>0.3469988794201912</v>
      </c>
      <c r="W8" s="66">
        <f t="shared" si="7"/>
        <v>0.35552928775005233</v>
      </c>
      <c r="X8" s="66">
        <f t="shared" si="7"/>
        <v>0.34851777333573297</v>
      </c>
      <c r="Y8" s="66">
        <f t="shared" si="7"/>
        <v>0.34877762495072562</v>
      </c>
      <c r="Z8" s="66">
        <f t="shared" si="7"/>
        <v>0.33925830430637421</v>
      </c>
      <c r="AA8" s="66">
        <f t="shared" si="7"/>
        <v>0.32767263044644379</v>
      </c>
      <c r="AB8" s="66">
        <f t="shared" si="7"/>
        <v>0.32461691628130918</v>
      </c>
      <c r="AC8" s="66">
        <f t="shared" si="7"/>
        <v>0.3054859193593138</v>
      </c>
      <c r="AD8" s="66">
        <f t="shared" si="7"/>
        <v>0.32751409043635926</v>
      </c>
      <c r="AE8" s="66">
        <f t="shared" si="7"/>
        <v>0.3257284310540795</v>
      </c>
      <c r="AF8" s="66">
        <f t="shared" si="7"/>
        <v>0.33055527617377084</v>
      </c>
      <c r="AG8" s="66">
        <f t="shared" si="7"/>
        <v>0.25326866496633771</v>
      </c>
      <c r="AH8" s="66">
        <f t="shared" si="7"/>
        <v>0.25114880536166084</v>
      </c>
      <c r="AI8" s="66">
        <f t="shared" si="7"/>
        <v>0.25963378847304885</v>
      </c>
      <c r="AJ8" s="66">
        <f t="shared" si="7"/>
        <v>0.24006742735301198</v>
      </c>
      <c r="AK8" s="66">
        <f t="shared" si="7"/>
        <v>0.29049394001142953</v>
      </c>
      <c r="AL8" s="66">
        <f t="shared" si="7"/>
        <v>0.30097646072027218</v>
      </c>
      <c r="AM8" s="66">
        <f t="shared" si="7"/>
        <v>0.28504088006498224</v>
      </c>
      <c r="AN8" s="66">
        <f t="shared" si="7"/>
        <v>0.24023197220636527</v>
      </c>
      <c r="AO8" s="66">
        <f t="shared" si="7"/>
        <v>0.31283402112608311</v>
      </c>
      <c r="AP8" s="66">
        <f t="shared" si="7"/>
        <v>0.34448992125515082</v>
      </c>
      <c r="AQ8" s="66">
        <f t="shared" si="7"/>
        <v>0.38046138829411852</v>
      </c>
      <c r="AR8" s="66">
        <f t="shared" si="7"/>
        <v>0.37538187799331202</v>
      </c>
      <c r="AS8" s="66">
        <f t="shared" si="7"/>
        <v>0.40390157376112062</v>
      </c>
      <c r="AT8" s="66">
        <f t="shared" si="7"/>
        <v>0.38990731363874198</v>
      </c>
      <c r="AU8" s="66">
        <f t="shared" si="7"/>
        <v>0.37384601252485394</v>
      </c>
      <c r="AV8" s="66">
        <f t="shared" si="7"/>
        <v>0.37045272165320914</v>
      </c>
      <c r="AW8" s="66">
        <f t="shared" si="7"/>
        <v>0.36036606116957143</v>
      </c>
      <c r="AX8" s="66">
        <f t="shared" si="7"/>
        <v>0.36511177508714798</v>
      </c>
      <c r="AY8" s="66">
        <f t="shared" si="7"/>
        <v>0.33360266820105139</v>
      </c>
      <c r="AZ8" s="66">
        <f t="shared" si="7"/>
        <v>0.34566029303421092</v>
      </c>
      <c r="BA8" s="66">
        <f t="shared" si="7"/>
        <v>0.37416101493514092</v>
      </c>
      <c r="BB8" s="66">
        <f t="shared" si="7"/>
        <v>0.38499503291532583</v>
      </c>
      <c r="BC8" s="66">
        <f t="shared" si="7"/>
        <v>0.40274120107074568</v>
      </c>
      <c r="BD8" s="66">
        <f t="shared" si="7"/>
        <v>0.40918352821664455</v>
      </c>
      <c r="BE8" s="66">
        <f t="shared" si="7"/>
        <v>0.4046185550440709</v>
      </c>
      <c r="BF8" s="66">
        <f t="shared" si="7"/>
        <v>0.42597447932217136</v>
      </c>
      <c r="BG8" s="66">
        <f t="shared" si="7"/>
        <v>0.45687486399234384</v>
      </c>
      <c r="BH8" s="66">
        <f t="shared" si="7"/>
        <v>0.4204112795443693</v>
      </c>
      <c r="BI8" s="66">
        <f t="shared" si="7"/>
        <v>0.35889419874459599</v>
      </c>
      <c r="BJ8" s="66">
        <f t="shared" si="7"/>
        <v>0.38476678655288327</v>
      </c>
      <c r="BK8" s="66">
        <f t="shared" si="7"/>
        <v>0.37951330199023603</v>
      </c>
      <c r="BL8" s="66">
        <f t="shared" si="7"/>
        <v>0.35637492336381482</v>
      </c>
      <c r="BM8" s="66">
        <f t="shared" si="7"/>
        <v>0.34663586449676126</v>
      </c>
      <c r="BN8" s="66">
        <f t="shared" si="7"/>
        <v>0.33328951132154627</v>
      </c>
      <c r="BO8" s="66">
        <f t="shared" si="7"/>
        <v>0.34570207689250998</v>
      </c>
      <c r="BP8" s="66">
        <f t="shared" si="7"/>
        <v>0.34647453518406729</v>
      </c>
      <c r="BQ8" s="66">
        <f t="shared" si="7"/>
        <v>0.36440429612876757</v>
      </c>
      <c r="BR8" s="66">
        <f t="shared" ref="BR8:CJ8" si="8">BR7/BR2</f>
        <v>1</v>
      </c>
      <c r="BS8" s="66">
        <f t="shared" si="8"/>
        <v>0.39339103563307543</v>
      </c>
      <c r="BT8" s="66">
        <f t="shared" si="8"/>
        <v>0.32758266660189211</v>
      </c>
      <c r="BU8" s="66">
        <f t="shared" si="8"/>
        <v>0.403928280848805</v>
      </c>
      <c r="BV8" s="66">
        <f t="shared" si="8"/>
        <v>0.23942223408018409</v>
      </c>
      <c r="BW8" s="66">
        <f t="shared" si="8"/>
        <v>0.21218533983891708</v>
      </c>
      <c r="BX8" s="66">
        <f t="shared" si="8"/>
        <v>0.20883734502802792</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1.2543882347791513</v>
      </c>
      <c r="F9" s="66">
        <f t="shared" ref="F9:BQ9" si="9">(F7-J7)/J7</f>
        <v>1.4115575119912067</v>
      </c>
      <c r="G9" s="66">
        <f t="shared" si="9"/>
        <v>1.6171041286210674</v>
      </c>
      <c r="H9" s="66">
        <f t="shared" si="9"/>
        <v>2.018335475916246</v>
      </c>
      <c r="I9" s="66">
        <f t="shared" si="9"/>
        <v>0.593049598299908</v>
      </c>
      <c r="J9" s="66">
        <f t="shared" si="9"/>
        <v>0.342943612693065</v>
      </c>
      <c r="K9" s="66">
        <f t="shared" si="9"/>
        <v>9.0121006648903684E-2</v>
      </c>
      <c r="L9" s="66">
        <f t="shared" si="9"/>
        <v>3.5817629082213649E-2</v>
      </c>
      <c r="M9" s="66">
        <f t="shared" si="9"/>
        <v>-0.13878118989914023</v>
      </c>
      <c r="N9" s="66">
        <f t="shared" si="9"/>
        <v>-0.12334267341379045</v>
      </c>
      <c r="O9" s="66">
        <f t="shared" si="9"/>
        <v>-6.1354908557688513E-2</v>
      </c>
      <c r="P9" s="66">
        <f t="shared" si="9"/>
        <v>-0.12670300368531232</v>
      </c>
      <c r="Q9" s="66">
        <f t="shared" si="9"/>
        <v>2.4598666179460851E-2</v>
      </c>
      <c r="R9" s="66">
        <f t="shared" si="9"/>
        <v>3.6221996350928433E-3</v>
      </c>
      <c r="S9" s="66">
        <f t="shared" si="9"/>
        <v>-1.4664288025094351E-3</v>
      </c>
      <c r="T9" s="66">
        <f t="shared" si="9"/>
        <v>-4.9910673638560311E-2</v>
      </c>
      <c r="U9" s="66">
        <f t="shared" si="9"/>
        <v>0.19689144051508548</v>
      </c>
      <c r="V9" s="66">
        <f t="shared" si="9"/>
        <v>0.37692663418454558</v>
      </c>
      <c r="W9" s="66">
        <f t="shared" si="9"/>
        <v>0.51169469205764617</v>
      </c>
      <c r="X9" s="66">
        <f t="shared" si="9"/>
        <v>0.56287582831045901</v>
      </c>
      <c r="Y9" s="66">
        <f t="shared" si="9"/>
        <v>0.33223125819313137</v>
      </c>
      <c r="Z9" s="66">
        <f t="shared" si="9"/>
        <v>0.12568939703228535</v>
      </c>
      <c r="AA9" s="66">
        <f t="shared" si="9"/>
        <v>4.7170782745989709E-2</v>
      </c>
      <c r="AB9" s="66">
        <f t="shared" si="9"/>
        <v>1.20988365858169E-2</v>
      </c>
      <c r="AC9" s="66">
        <f t="shared" si="9"/>
        <v>0.74756110798891073</v>
      </c>
      <c r="AD9" s="66">
        <f t="shared" si="9"/>
        <v>1.0436894397056156</v>
      </c>
      <c r="AE9" s="66">
        <f t="shared" si="9"/>
        <v>0.97005137092473481</v>
      </c>
      <c r="AF9" s="66">
        <f t="shared" si="9"/>
        <v>1.1391889865923719</v>
      </c>
      <c r="AG9" s="66">
        <f t="shared" si="9"/>
        <v>0.26621008527317286</v>
      </c>
      <c r="AH9" s="66">
        <f t="shared" si="9"/>
        <v>0.20219541548147496</v>
      </c>
      <c r="AI9" s="66">
        <f t="shared" si="9"/>
        <v>0.45089191597155137</v>
      </c>
      <c r="AJ9" s="66">
        <f t="shared" si="9"/>
        <v>0.68991743237681491</v>
      </c>
      <c r="AK9" s="66">
        <f t="shared" si="9"/>
        <v>-0.21742728420052942</v>
      </c>
      <c r="AL9" s="66">
        <f t="shared" si="9"/>
        <v>-0.34118813788432978</v>
      </c>
      <c r="AM9" s="66">
        <f t="shared" si="9"/>
        <v>-0.50566365412689795</v>
      </c>
      <c r="AN9" s="66">
        <f t="shared" si="9"/>
        <v>-0.60535798123823292</v>
      </c>
      <c r="AO9" s="66">
        <f t="shared" si="9"/>
        <v>-0.23531464570094393</v>
      </c>
      <c r="AP9" s="66">
        <f t="shared" si="9"/>
        <v>-7.0214511440807509E-2</v>
      </c>
      <c r="AQ9" s="66">
        <f t="shared" si="9"/>
        <v>0.20203440933067868</v>
      </c>
      <c r="AR9" s="66">
        <f t="shared" si="9"/>
        <v>0.15241456977501708</v>
      </c>
      <c r="AS9" s="66">
        <f t="shared" si="9"/>
        <v>0.78221084909055694</v>
      </c>
      <c r="AT9" s="66">
        <f t="shared" si="9"/>
        <v>0.76560753289545191</v>
      </c>
      <c r="AU9" s="66">
        <f t="shared" si="9"/>
        <v>0.88137117507801366</v>
      </c>
      <c r="AV9" s="66">
        <f t="shared" si="9"/>
        <v>0.75539828416070665</v>
      </c>
      <c r="AW9" s="66">
        <f t="shared" si="9"/>
        <v>0.42818442094547687</v>
      </c>
      <c r="AX9" s="66">
        <f t="shared" si="9"/>
        <v>0.31872551644654673</v>
      </c>
      <c r="AY9" s="66">
        <f t="shared" si="9"/>
        <v>7.5032925719130131E-2</v>
      </c>
      <c r="AZ9" s="66">
        <f t="shared" si="9"/>
        <v>0.12082129756094973</v>
      </c>
      <c r="BA9" s="66">
        <f t="shared" si="9"/>
        <v>0.45441224492773225</v>
      </c>
      <c r="BB9" s="66">
        <f t="shared" si="9"/>
        <v>0.35980822092656595</v>
      </c>
      <c r="BC9" s="66">
        <f t="shared" si="9"/>
        <v>0.35436904674614905</v>
      </c>
      <c r="BD9" s="66">
        <f t="shared" si="9"/>
        <v>0.54571127152613075</v>
      </c>
      <c r="BE9" s="66">
        <f t="shared" si="9"/>
        <v>0.76550205876616595</v>
      </c>
      <c r="BF9" s="66">
        <f t="shared" si="9"/>
        <v>0.85737946681324273</v>
      </c>
      <c r="BG9" s="66">
        <f t="shared" si="9"/>
        <v>0.74101584683085298</v>
      </c>
      <c r="BH9" s="66">
        <f t="shared" si="9"/>
        <v>0.61626485931786879</v>
      </c>
      <c r="BI9" s="66">
        <f t="shared" si="9"/>
        <v>0.57780922174790683</v>
      </c>
      <c r="BJ9" s="66">
        <f t="shared" si="9"/>
        <v>0.59510514659718694</v>
      </c>
      <c r="BK9" s="66">
        <f t="shared" si="9"/>
        <v>0.82032319679392218</v>
      </c>
      <c r="BL9" s="66">
        <f t="shared" si="9"/>
        <v>0.71543297074844847</v>
      </c>
      <c r="BM9" s="66">
        <f t="shared" si="9"/>
        <v>0.46817248919737275</v>
      </c>
      <c r="BN9" s="66">
        <f t="shared" si="9"/>
        <v>-0.4898185614397656</v>
      </c>
      <c r="BO9" s="66">
        <f t="shared" si="9"/>
        <v>0.3311918942193296</v>
      </c>
      <c r="BP9" s="66">
        <f t="shared" si="9"/>
        <v>-0.32800786443265467</v>
      </c>
      <c r="BQ9" s="66">
        <f t="shared" si="9"/>
        <v>2.2033825813227446</v>
      </c>
      <c r="BR9" s="66">
        <f t="shared" ref="BR9:CK9" si="10">(BR7-BV7)/BV7</f>
        <v>8.4862386042612403</v>
      </c>
      <c r="BS9" s="66">
        <f t="shared" si="10"/>
        <v>1.9771601534179821</v>
      </c>
      <c r="BT9" s="66">
        <f t="shared" si="10"/>
        <v>2.8637121712827658</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359</v>
      </c>
      <c r="E10" s="27">
        <f>股权价值增加表!E8</f>
        <v>475378440.49000001</v>
      </c>
      <c r="F10" s="27">
        <f>股权价值增加表!F8</f>
        <v>304423717.72000003</v>
      </c>
      <c r="G10" s="27">
        <f>股权价值增加表!G8</f>
        <v>168049530.69</v>
      </c>
      <c r="H10" s="27">
        <f>股权价值增加表!H8</f>
        <v>65662825.07</v>
      </c>
      <c r="I10" s="27">
        <f>股权价值增加表!I8</f>
        <v>203761067.86000001</v>
      </c>
      <c r="J10" s="27">
        <f>股权价值增加表!J8</f>
        <v>71349811.150000006</v>
      </c>
      <c r="K10" s="27">
        <f>股权价值增加表!K8</f>
        <v>46576489</v>
      </c>
      <c r="L10" s="27">
        <f>股权价值增加表!L8</f>
        <v>12391312.449999999</v>
      </c>
      <c r="M10" s="27">
        <f>股权价值增加表!M8</f>
        <v>95650234.629999995</v>
      </c>
      <c r="N10" s="27">
        <f>股权价值增加表!N8</f>
        <v>66574350.329999998</v>
      </c>
      <c r="O10" s="27">
        <f>股权价值增加表!O8</f>
        <v>43914758.340000004</v>
      </c>
      <c r="P10" s="27">
        <f>股权价值增加表!P8</f>
        <v>15741136.26</v>
      </c>
      <c r="Q10" s="27">
        <f>股权价值增加表!Q8</f>
        <v>107719792.73999999</v>
      </c>
      <c r="R10" s="27">
        <f>股权价值增加表!R8</f>
        <v>77169296.909999996</v>
      </c>
      <c r="S10" s="27">
        <f>股权价值增加表!S8</f>
        <v>42471754.68</v>
      </c>
      <c r="T10" s="27">
        <f>股权价值增加表!T8</f>
        <v>16211541.390000001</v>
      </c>
      <c r="U10" s="27">
        <f>股权价值增加表!U8</f>
        <v>124987791.27</v>
      </c>
      <c r="V10" s="27">
        <f>股权价值增加表!V8</f>
        <v>103692578.84</v>
      </c>
      <c r="W10" s="27">
        <f>股权价值增加表!W8</f>
        <v>71270991.959999993</v>
      </c>
      <c r="X10" s="27">
        <f>股权价值增加表!X8</f>
        <v>37477122.899999999</v>
      </c>
      <c r="Y10" s="27">
        <f>股权价值增加表!Y8</f>
        <v>88203142.469999999</v>
      </c>
      <c r="Z10" s="27">
        <f>股权价值增加表!Z8</f>
        <v>60403158.270000003</v>
      </c>
      <c r="AA10" s="27">
        <f>股权价值增加表!AA8</f>
        <v>26438278.57</v>
      </c>
      <c r="AB10" s="27">
        <f>股权价值增加表!AB8</f>
        <v>5891628.04</v>
      </c>
      <c r="AC10" s="27">
        <f>股权价值增加表!AC8</f>
        <v>60570135.009999998</v>
      </c>
      <c r="AD10" s="27">
        <f>股权价值增加表!AD8</f>
        <v>44222697.229999997</v>
      </c>
      <c r="AE10" s="27">
        <f>股权价值增加表!AE8</f>
        <v>21190332.379999999</v>
      </c>
      <c r="AF10" s="27">
        <f>股权价值增加表!AF8</f>
        <v>5550792.3799999999</v>
      </c>
      <c r="AG10" s="27">
        <f>股权价值增加表!AG8</f>
        <v>27279924.27</v>
      </c>
      <c r="AH10" s="27">
        <f>股权价值增加表!AH8</f>
        <v>18299304.010000002</v>
      </c>
      <c r="AI10" s="27">
        <f>股权价值增加表!AI8</f>
        <v>10643212.15</v>
      </c>
      <c r="AJ10" s="27">
        <f>股权价值增加表!AJ8</f>
        <v>4012920.88</v>
      </c>
      <c r="AK10" s="27">
        <f>股权价值增加表!AK8</f>
        <v>27503335.260000002</v>
      </c>
      <c r="AL10" s="27">
        <f>股权价值增加表!AL8</f>
        <v>22542449.609999999</v>
      </c>
      <c r="AM10" s="27">
        <f>股权价值增加表!AM8</f>
        <v>15171273.380000001</v>
      </c>
      <c r="AN10" s="27">
        <f>股权价值增加表!AN8</f>
        <v>7452994.5999999996</v>
      </c>
      <c r="AO10" s="27">
        <f>股权价值增加表!AO8</f>
        <v>48551437.280000001</v>
      </c>
      <c r="AP10" s="27">
        <f>股权价值增加表!AP8</f>
        <v>38282893.909999996</v>
      </c>
      <c r="AQ10" s="27">
        <f>股权价值增加表!AQ8</f>
        <v>31496366.91</v>
      </c>
      <c r="AR10" s="27">
        <f>股权价值增加表!AR8</f>
        <v>15203092.939999999</v>
      </c>
      <c r="AS10" s="27">
        <f>股权价值增加表!AS8</f>
        <v>66652892.759999998</v>
      </c>
      <c r="AT10" s="27">
        <f>股权价值增加表!AT8</f>
        <v>51980200.600000001</v>
      </c>
      <c r="AU10" s="27">
        <f>股权价值增加表!AU8</f>
        <v>27940093.84</v>
      </c>
      <c r="AV10" s="27">
        <f>股权价值增加表!AV8</f>
        <v>11767810.68</v>
      </c>
      <c r="AW10" s="27">
        <f>股权价值增加表!AW8</f>
        <v>35246912</v>
      </c>
      <c r="AX10" s="27">
        <f>股权价值增加表!AX8</f>
        <v>28646260.920000002</v>
      </c>
      <c r="AY10" s="27">
        <f>股权价值增加表!AY8</f>
        <v>12901095.949999999</v>
      </c>
      <c r="AZ10" s="27">
        <f>股权价值增加表!AZ8</f>
        <v>3704089.66</v>
      </c>
      <c r="BA10" s="27">
        <f>股权价值增加表!BA8</f>
        <v>24391547.969999999</v>
      </c>
      <c r="BB10" s="27">
        <f>股权价值增加表!BB8</f>
        <v>17824759.629999999</v>
      </c>
      <c r="BC10" s="27">
        <f>股权价值增加表!BC8</f>
        <v>11130050.93</v>
      </c>
      <c r="BD10" s="27">
        <f>股权价值增加表!BD8</f>
        <v>5116990.8099999996</v>
      </c>
      <c r="BE10" s="27">
        <f>股权价值增加表!BE8</f>
        <v>13071649.359999999</v>
      </c>
      <c r="BF10" s="27">
        <f>股权价值增加表!BF8</f>
        <v>12274977.810000001</v>
      </c>
      <c r="BG10" s="27">
        <f>股权价值增加表!BG8</f>
        <v>7784529.9000000004</v>
      </c>
      <c r="BH10" s="27">
        <f>股权价值增加表!BH8</f>
        <v>3340067.99</v>
      </c>
      <c r="BI10" s="27">
        <f>股权价值增加表!BI8</f>
        <v>10033587.91</v>
      </c>
      <c r="BJ10" s="27">
        <f>股权价值增加表!BJ8</f>
        <v>7705082.3300000001</v>
      </c>
      <c r="BK10" s="27">
        <f>股权价值增加表!BK8</f>
        <v>4887731.57</v>
      </c>
      <c r="BL10" s="27">
        <f>股权价值增加表!BL8</f>
        <v>2091601.66</v>
      </c>
      <c r="BM10" s="27">
        <f>股权价值增加表!BM8</f>
        <v>5214040.9400000004</v>
      </c>
      <c r="BN10" s="27">
        <f>股权价值增加表!BN8</f>
        <v>4255415.29</v>
      </c>
      <c r="BO10" s="27">
        <f>股权价值增加表!BO8</f>
        <v>2423002.52</v>
      </c>
      <c r="BP10" s="27">
        <f>股权价值增加表!BP8</f>
        <v>1645637.62</v>
      </c>
      <c r="BQ10" s="27">
        <f>股权价值增加表!BQ8</f>
        <v>4091150.91</v>
      </c>
      <c r="BR10" s="27">
        <f>股权价值增加表!BR8</f>
        <v>0</v>
      </c>
      <c r="BS10" s="27">
        <f>股权价值增加表!BS8</f>
        <v>1939877.85</v>
      </c>
      <c r="BT10" s="27">
        <f>股权价值增加表!BT8</f>
        <v>1899489.84</v>
      </c>
      <c r="BU10" s="27">
        <f>股权价值增加表!BU8</f>
        <v>575201.6</v>
      </c>
      <c r="BV10" s="27">
        <f>股权价值增加表!BV8</f>
        <v>1076291.96</v>
      </c>
      <c r="BW10" s="27">
        <f>股权价值增加表!BW8</f>
        <v>769057.81</v>
      </c>
      <c r="BX10" s="27">
        <f>股权价值增加表!BX8</f>
        <v>526966.91</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8.9486077605720367E-3</v>
      </c>
      <c r="F11" s="57">
        <f t="shared" ref="F11:BQ11" si="11">F10/F2</f>
        <v>7.8130477719558621E-3</v>
      </c>
      <c r="G11" s="57">
        <f t="shared" si="11"/>
        <v>6.8787939350846905E-3</v>
      </c>
      <c r="H11" s="57">
        <f t="shared" si="11"/>
        <v>5.9655251201647533E-3</v>
      </c>
      <c r="I11" s="57">
        <f t="shared" si="11"/>
        <v>6.7695018348817452E-3</v>
      </c>
      <c r="J11" s="57">
        <f t="shared" si="11"/>
        <v>3.4086179581452581E-3</v>
      </c>
      <c r="K11" s="57">
        <f t="shared" si="11"/>
        <v>3.7333558567956915E-3</v>
      </c>
      <c r="L11" s="57">
        <f t="shared" si="11"/>
        <v>2.3381550306490586E-3</v>
      </c>
      <c r="M11" s="57">
        <f t="shared" si="11"/>
        <v>4.9070570372069227E-3</v>
      </c>
      <c r="N11" s="57">
        <f t="shared" si="11"/>
        <v>4.5018183180199336E-3</v>
      </c>
      <c r="O11" s="57">
        <f t="shared" si="11"/>
        <v>4.3729940881938678E-3</v>
      </c>
      <c r="P11" s="57">
        <f t="shared" si="11"/>
        <v>3.4706476091183932E-3</v>
      </c>
      <c r="Q11" s="57">
        <f t="shared" si="11"/>
        <v>4.8767654702479438E-3</v>
      </c>
      <c r="R11" s="57">
        <f t="shared" si="11"/>
        <v>4.3450689824986862E-3</v>
      </c>
      <c r="S11" s="57">
        <f t="shared" si="11"/>
        <v>3.6410121206093154E-3</v>
      </c>
      <c r="T11" s="57">
        <f t="shared" si="11"/>
        <v>3.1561741565974215E-3</v>
      </c>
      <c r="U11" s="57">
        <f t="shared" si="11"/>
        <v>6.1759045692824349E-3</v>
      </c>
      <c r="V11" s="57">
        <f t="shared" si="11"/>
        <v>6.7445739113052893E-3</v>
      </c>
      <c r="W11" s="57">
        <f t="shared" si="11"/>
        <v>7.1443151589940879E-3</v>
      </c>
      <c r="X11" s="57">
        <f t="shared" si="11"/>
        <v>7.846412605157645E-3</v>
      </c>
      <c r="Y11" s="57">
        <f t="shared" si="11"/>
        <v>5.5327087247178611E-3</v>
      </c>
      <c r="Z11" s="57">
        <f t="shared" si="11"/>
        <v>5.2890747527172708E-3</v>
      </c>
      <c r="AA11" s="57">
        <f t="shared" si="11"/>
        <v>3.6924094023887593E-3</v>
      </c>
      <c r="AB11" s="57">
        <f t="shared" si="11"/>
        <v>1.795605433351826E-3</v>
      </c>
      <c r="AC11" s="57">
        <f t="shared" si="11"/>
        <v>4.4333752349000151E-3</v>
      </c>
      <c r="AD11" s="57">
        <f t="shared" si="11"/>
        <v>4.2080739499561152E-3</v>
      </c>
      <c r="AE11" s="57">
        <f t="shared" si="11"/>
        <v>3.080686171115306E-3</v>
      </c>
      <c r="AF11" s="57">
        <f t="shared" si="11"/>
        <v>1.7435180395879944E-3</v>
      </c>
      <c r="AG11" s="57">
        <f t="shared" si="11"/>
        <v>2.892955440532518E-3</v>
      </c>
      <c r="AH11" s="57">
        <f t="shared" si="11"/>
        <v>2.728907006079194E-3</v>
      </c>
      <c r="AI11" s="57">
        <f t="shared" si="11"/>
        <v>2.4297718886358262E-3</v>
      </c>
      <c r="AJ11" s="57">
        <f t="shared" si="11"/>
        <v>1.9582600217988885E-3</v>
      </c>
      <c r="AK11" s="57">
        <f t="shared" si="11"/>
        <v>4.2358964126003916E-3</v>
      </c>
      <c r="AL11" s="57">
        <f t="shared" si="11"/>
        <v>4.8431927478453781E-3</v>
      </c>
      <c r="AM11" s="57">
        <f t="shared" si="11"/>
        <v>5.5169089832595962E-3</v>
      </c>
      <c r="AN11" s="57">
        <f t="shared" si="11"/>
        <v>6.1504036790857143E-3</v>
      </c>
      <c r="AO11" s="57">
        <f t="shared" si="11"/>
        <v>6.3017861517882497E-3</v>
      </c>
      <c r="AP11" s="57">
        <f t="shared" si="11"/>
        <v>6.2021291452238588E-3</v>
      </c>
      <c r="AQ11" s="57">
        <f t="shared" si="11"/>
        <v>7.5571880115786272E-3</v>
      </c>
      <c r="AR11" s="57">
        <f t="shared" si="11"/>
        <v>7.7366078738525844E-3</v>
      </c>
      <c r="AS11" s="57">
        <f t="shared" si="11"/>
        <v>8.5413184452987675E-3</v>
      </c>
      <c r="AT11" s="57">
        <f t="shared" si="11"/>
        <v>8.8622015222072532E-3</v>
      </c>
      <c r="AU11" s="57">
        <f t="shared" si="11"/>
        <v>7.9182040776720839E-3</v>
      </c>
      <c r="AV11" s="57">
        <f t="shared" si="11"/>
        <v>6.8105554825900584E-3</v>
      </c>
      <c r="AW11" s="57">
        <f t="shared" si="11"/>
        <v>7.1821489239404998E-3</v>
      </c>
      <c r="AX11" s="57">
        <f t="shared" si="11"/>
        <v>8.0747715575571963E-3</v>
      </c>
      <c r="AY11" s="57">
        <f t="shared" si="11"/>
        <v>6.1381385080286595E-3</v>
      </c>
      <c r="AZ11" s="57">
        <f t="shared" si="11"/>
        <v>3.5112417066407897E-3</v>
      </c>
      <c r="BA11" s="57">
        <f t="shared" si="11"/>
        <v>7.3700704326319201E-3</v>
      </c>
      <c r="BB11" s="57">
        <f t="shared" si="11"/>
        <v>6.9866611368701531E-3</v>
      </c>
      <c r="BC11" s="57">
        <f t="shared" si="11"/>
        <v>6.8726707998642989E-3</v>
      </c>
      <c r="BD11" s="57">
        <f t="shared" si="11"/>
        <v>6.4357460169019512E-3</v>
      </c>
      <c r="BE11" s="57">
        <f t="shared" si="11"/>
        <v>6.2120858223600958E-3</v>
      </c>
      <c r="BF11" s="57">
        <f t="shared" si="11"/>
        <v>7.2389042184750505E-3</v>
      </c>
      <c r="BG11" s="57">
        <f t="shared" si="11"/>
        <v>7.3853146828244433E-3</v>
      </c>
      <c r="BH11" s="57">
        <f t="shared" si="11"/>
        <v>6.6715102496337419E-3</v>
      </c>
      <c r="BI11" s="57">
        <f t="shared" si="11"/>
        <v>7.4671038158092718E-3</v>
      </c>
      <c r="BJ11" s="57">
        <f t="shared" si="11"/>
        <v>7.6233179558164868E-3</v>
      </c>
      <c r="BK11" s="57">
        <f t="shared" si="11"/>
        <v>6.7061987815215307E-3</v>
      </c>
      <c r="BL11" s="57">
        <f t="shared" si="11"/>
        <v>5.7239144757939503E-3</v>
      </c>
      <c r="BM11" s="57">
        <f t="shared" si="11"/>
        <v>5.9133272308363937E-3</v>
      </c>
      <c r="BN11" s="57">
        <f t="shared" si="11"/>
        <v>5.8173083779153156E-3</v>
      </c>
      <c r="BO11" s="57">
        <f t="shared" si="11"/>
        <v>5.5124724369899356E-3</v>
      </c>
      <c r="BP11" s="57">
        <f t="shared" si="11"/>
        <v>7.5108018072977834E-3</v>
      </c>
      <c r="BQ11" s="57">
        <f t="shared" si="11"/>
        <v>7.1612700456007991E-3</v>
      </c>
      <c r="BR11" s="57">
        <f t="shared" ref="BR11:CJ11" si="12">BR10/BR2</f>
        <v>0</v>
      </c>
      <c r="BS11" s="57">
        <f t="shared" si="12"/>
        <v>6.6854413683430439E-3</v>
      </c>
      <c r="BT11" s="57">
        <f t="shared" si="12"/>
        <v>5.5081131557141545E-3</v>
      </c>
      <c r="BU11" s="57">
        <f t="shared" si="12"/>
        <v>3.5751495993165648E-3</v>
      </c>
      <c r="BV11" s="57">
        <f t="shared" si="12"/>
        <v>5.1153077071482023E-3</v>
      </c>
      <c r="BW11" s="57">
        <f t="shared" si="12"/>
        <v>4.2560605721246089E-3</v>
      </c>
      <c r="BX11" s="57">
        <f t="shared" si="12"/>
        <v>3.7639274123471445E-3</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361</v>
      </c>
      <c r="E12" s="27">
        <f>股权价值增加表!E9</f>
        <v>1416999560.47</v>
      </c>
      <c r="F12" s="27">
        <f>股权价值增加表!F9</f>
        <v>1038617673.1799999</v>
      </c>
      <c r="G12" s="27">
        <f>股权价值增加表!G9</f>
        <v>671559854.64999998</v>
      </c>
      <c r="H12" s="27">
        <f>股权价值增加表!H9</f>
        <v>304224336.44999999</v>
      </c>
      <c r="I12" s="27">
        <f>股权价值增加表!I9</f>
        <v>1165983654.8900001</v>
      </c>
      <c r="J12" s="27">
        <f>股权价值增加表!J9</f>
        <v>803987150.49000001</v>
      </c>
      <c r="K12" s="27">
        <f>股权价值增加表!K9</f>
        <v>517908496.91000003</v>
      </c>
      <c r="L12" s="27">
        <f>股权价值增加表!L9</f>
        <v>244093669.31</v>
      </c>
      <c r="M12" s="27">
        <f>股权价值增加表!M9</f>
        <v>847269688.95000005</v>
      </c>
      <c r="N12" s="27">
        <f>股权价值增加表!N9</f>
        <v>579629667.38999999</v>
      </c>
      <c r="O12" s="27">
        <f>股权价值增加表!O9</f>
        <v>370192797.54000002</v>
      </c>
      <c r="P12" s="27">
        <f>股权价值增加表!P9</f>
        <v>161249607.06999999</v>
      </c>
      <c r="Q12" s="27">
        <f>股权价值增加表!Q9</f>
        <v>700428306.59000003</v>
      </c>
      <c r="R12" s="27">
        <f>股权价值增加表!R9</f>
        <v>514838924.38999999</v>
      </c>
      <c r="S12" s="27">
        <f>股权价值增加表!S9</f>
        <v>330760603.86000001</v>
      </c>
      <c r="T12" s="27">
        <f>股权价值增加表!T9</f>
        <v>119773632.52</v>
      </c>
      <c r="U12" s="27">
        <f>股权价值增加表!U9</f>
        <v>595849295.92999995</v>
      </c>
      <c r="V12" s="27">
        <f>股权价值增加表!V9</f>
        <v>460278237.80000001</v>
      </c>
      <c r="W12" s="27">
        <f>股权价值增加表!W9</f>
        <v>322569181.61000001</v>
      </c>
      <c r="X12" s="27">
        <f>股权价值增加表!X9</f>
        <v>134340553.72</v>
      </c>
      <c r="Y12" s="27">
        <f>股权价值增加表!Y9</f>
        <v>486416845.54000002</v>
      </c>
      <c r="Z12" s="27">
        <f>股权价值增加表!Z9</f>
        <v>339515631.80000001</v>
      </c>
      <c r="AA12" s="27">
        <f>股权价值增加表!AA9</f>
        <v>206667894.94999999</v>
      </c>
      <c r="AB12" s="27">
        <f>股权价值增加表!AB9</f>
        <v>94460901.930000007</v>
      </c>
      <c r="AC12" s="27">
        <f>股权价值增加表!AC9</f>
        <v>386726440.72000003</v>
      </c>
      <c r="AD12" s="27">
        <f>股权价值增加表!AD9</f>
        <v>286345415.00999999</v>
      </c>
      <c r="AE12" s="27">
        <f>股权价值增加表!AE9</f>
        <v>187948342.78999999</v>
      </c>
      <c r="AF12" s="27">
        <f>股权价值增加表!AF9</f>
        <v>85474453.390000001</v>
      </c>
      <c r="AG12" s="27">
        <f>股权价值增加表!AG9</f>
        <v>273624351.13999999</v>
      </c>
      <c r="AH12" s="27">
        <f>股权价值增加表!AH9</f>
        <v>201674303.13999999</v>
      </c>
      <c r="AI12" s="27">
        <f>股权价值增加表!AI9</f>
        <v>135418094.25</v>
      </c>
      <c r="AJ12" s="27">
        <f>股权价值增加表!AJ9</f>
        <v>61923604.390000001</v>
      </c>
      <c r="AK12" s="27">
        <f>股权价值增加表!AK9</f>
        <v>235225015.80000001</v>
      </c>
      <c r="AL12" s="27">
        <f>股权价值增加表!AL9</f>
        <v>165433233.72999999</v>
      </c>
      <c r="AM12" s="27">
        <f>股权价值增加表!AM9</f>
        <v>101363953.83</v>
      </c>
      <c r="AN12" s="27">
        <f>股权价值增加表!AN9</f>
        <v>54973468.200000003</v>
      </c>
      <c r="AO12" s="27">
        <f>股权价值增加表!AO9</f>
        <v>207141030.28999999</v>
      </c>
      <c r="AP12" s="27">
        <f>股权价值增加表!AP9</f>
        <v>163742472.84999999</v>
      </c>
      <c r="AQ12" s="27">
        <f>股权价值增加表!AQ9</f>
        <v>108594338.31999999</v>
      </c>
      <c r="AR12" s="27">
        <f>股权价值增加表!AR9</f>
        <v>50674850.340000004</v>
      </c>
      <c r="AS12" s="27">
        <f>股权价值增加表!AS9</f>
        <v>223516631.16999999</v>
      </c>
      <c r="AT12" s="27">
        <f>股权价值增加表!AT9</f>
        <v>159092253.09</v>
      </c>
      <c r="AU12" s="27">
        <f>股权价值增加表!AU9</f>
        <v>98006221.109999999</v>
      </c>
      <c r="AV12" s="27">
        <f>股权价值增加表!AV9</f>
        <v>45876275.130000003</v>
      </c>
      <c r="AW12" s="27">
        <f>股权价值增加表!AW9</f>
        <v>126715371.18000001</v>
      </c>
      <c r="AX12" s="27">
        <f>股权价值增加表!AX9</f>
        <v>91500805.799999997</v>
      </c>
      <c r="AY12" s="27">
        <f>股权价值增加表!AY9</f>
        <v>51590565.619999997</v>
      </c>
      <c r="AZ12" s="27">
        <f>股权价值增加表!AZ9</f>
        <v>24362096.32</v>
      </c>
      <c r="BA12" s="27">
        <f>股权价值增加表!BA9</f>
        <v>71325807.409999996</v>
      </c>
      <c r="BB12" s="27">
        <f>股权价值增加表!BB9</f>
        <v>53919101.100000001</v>
      </c>
      <c r="BC12" s="27">
        <f>股权价值增加表!BC9</f>
        <v>36750496.93</v>
      </c>
      <c r="BD12" s="27">
        <f>股权价值增加表!BD9</f>
        <v>20224518.170000002</v>
      </c>
      <c r="BE12" s="27">
        <f>股权价值增加表!BE9</f>
        <v>62230028.909999996</v>
      </c>
      <c r="BF12" s="27">
        <f>股权价值增加表!BF9</f>
        <v>51313792.130000003</v>
      </c>
      <c r="BG12" s="27">
        <f>股权价值增加表!BG9</f>
        <v>31944080.98</v>
      </c>
      <c r="BH12" s="27">
        <f>股权价值增加表!BH9</f>
        <v>16478870.1</v>
      </c>
      <c r="BI12" s="27">
        <f>股权价值增加表!BI9</f>
        <v>45496868.149999999</v>
      </c>
      <c r="BJ12" s="27">
        <f>股权价值增加表!BJ9</f>
        <v>25558883.579999998</v>
      </c>
      <c r="BK12" s="27">
        <f>股权价值增加表!BK9</f>
        <v>14473113.32</v>
      </c>
      <c r="BL12" s="27">
        <f>股权价值增加表!BL9</f>
        <v>7283411.1200000001</v>
      </c>
      <c r="BM12" s="27">
        <f>股权价值增加表!BM9</f>
        <v>32325991.07</v>
      </c>
      <c r="BN12" s="27">
        <f>股权价值增加表!BN9</f>
        <v>23584568.399999999</v>
      </c>
      <c r="BO12" s="27">
        <f>股权价值增加表!BO9</f>
        <v>13386234.01</v>
      </c>
      <c r="BP12" s="27">
        <f>股权价值增加表!BP9</f>
        <v>6782057.5899999999</v>
      </c>
      <c r="BQ12" s="27">
        <f>股权价值增加表!BQ9</f>
        <v>20799956.309999999</v>
      </c>
      <c r="BR12" s="27">
        <f>股权价值增加表!BR9</f>
        <v>0</v>
      </c>
      <c r="BS12" s="27">
        <f>股权价值增加表!BS9</f>
        <v>9768978.1500000004</v>
      </c>
      <c r="BT12" s="27">
        <f>股权价值增加表!BT9</f>
        <v>9684022.5099999998</v>
      </c>
      <c r="BU12" s="27">
        <f>股权价值增加表!BU9</f>
        <v>6853433.7699999996</v>
      </c>
      <c r="BV12" s="27">
        <f>股权价值增加表!BV9</f>
        <v>4024681.17</v>
      </c>
      <c r="BW12" s="27">
        <f>股权价值增加表!BW9</f>
        <v>3815283.33</v>
      </c>
      <c r="BX12" s="27">
        <f>股权价值增加表!BX9</f>
        <v>2622320.12</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2.6673850102412765E-2</v>
      </c>
      <c r="F13" s="57">
        <f t="shared" ref="F13:BQ13" si="13">F12/F2</f>
        <v>2.6656167128267932E-2</v>
      </c>
      <c r="G13" s="57">
        <f t="shared" si="13"/>
        <v>2.7489049426352649E-2</v>
      </c>
      <c r="H13" s="57">
        <f t="shared" si="13"/>
        <v>2.7639047197911382E-2</v>
      </c>
      <c r="I13" s="57">
        <f t="shared" si="13"/>
        <v>3.8737176704644986E-2</v>
      </c>
      <c r="J13" s="57">
        <f t="shared" si="13"/>
        <v>3.8409142156198235E-2</v>
      </c>
      <c r="K13" s="57">
        <f t="shared" si="13"/>
        <v>4.1513148838316298E-2</v>
      </c>
      <c r="L13" s="57">
        <f t="shared" si="13"/>
        <v>4.6058788619018659E-2</v>
      </c>
      <c r="M13" s="57">
        <f t="shared" si="13"/>
        <v>4.3466706649041689E-2</v>
      </c>
      <c r="N13" s="57">
        <f t="shared" si="13"/>
        <v>3.9195087017593479E-2</v>
      </c>
      <c r="O13" s="57">
        <f t="shared" si="13"/>
        <v>3.6863482262632197E-2</v>
      </c>
      <c r="P13" s="57">
        <f t="shared" si="13"/>
        <v>3.5552742445339576E-2</v>
      </c>
      <c r="Q13" s="57">
        <f t="shared" si="13"/>
        <v>3.1710278056392337E-2</v>
      </c>
      <c r="R13" s="57">
        <f t="shared" si="13"/>
        <v>2.8988350690287188E-2</v>
      </c>
      <c r="S13" s="57">
        <f t="shared" si="13"/>
        <v>2.8355394702857056E-2</v>
      </c>
      <c r="T13" s="57">
        <f t="shared" si="13"/>
        <v>2.3318352925688117E-2</v>
      </c>
      <c r="U13" s="57">
        <f t="shared" si="13"/>
        <v>2.9442142724071585E-2</v>
      </c>
      <c r="V13" s="57">
        <f t="shared" si="13"/>
        <v>2.9938310237202045E-2</v>
      </c>
      <c r="W13" s="57">
        <f t="shared" si="13"/>
        <v>3.2334836805611375E-2</v>
      </c>
      <c r="X13" s="57">
        <f t="shared" si="13"/>
        <v>2.8126262971282297E-2</v>
      </c>
      <c r="Y13" s="57">
        <f t="shared" si="13"/>
        <v>3.0511415464412061E-2</v>
      </c>
      <c r="Z13" s="57">
        <f t="shared" si="13"/>
        <v>2.9728967950308355E-2</v>
      </c>
      <c r="AA13" s="57">
        <f t="shared" si="13"/>
        <v>2.8863546333579324E-2</v>
      </c>
      <c r="AB13" s="57">
        <f t="shared" si="13"/>
        <v>2.8789072832374869E-2</v>
      </c>
      <c r="AC13" s="57">
        <f t="shared" si="13"/>
        <v>2.8306085576431619E-2</v>
      </c>
      <c r="AD13" s="57">
        <f t="shared" si="13"/>
        <v>2.7247607158061939E-2</v>
      </c>
      <c r="AE13" s="57">
        <f t="shared" si="13"/>
        <v>2.732424627108148E-2</v>
      </c>
      <c r="AF13" s="57">
        <f t="shared" si="13"/>
        <v>2.6847743746702381E-2</v>
      </c>
      <c r="AG13" s="57">
        <f t="shared" si="13"/>
        <v>2.9017054719728628E-2</v>
      </c>
      <c r="AH13" s="57">
        <f t="shared" si="13"/>
        <v>3.0074937193465705E-2</v>
      </c>
      <c r="AI13" s="57">
        <f t="shared" si="13"/>
        <v>3.0915016442783848E-2</v>
      </c>
      <c r="AJ13" s="57">
        <f t="shared" si="13"/>
        <v>3.0218018871736925E-2</v>
      </c>
      <c r="AK13" s="57">
        <f t="shared" si="13"/>
        <v>3.6227926219195947E-2</v>
      </c>
      <c r="AL13" s="57">
        <f t="shared" si="13"/>
        <v>3.5542944609636209E-2</v>
      </c>
      <c r="AM13" s="57">
        <f t="shared" si="13"/>
        <v>3.6860169443696224E-2</v>
      </c>
      <c r="AN13" s="57">
        <f t="shared" si="13"/>
        <v>4.5365526102673089E-2</v>
      </c>
      <c r="AO13" s="57">
        <f t="shared" si="13"/>
        <v>2.6886093373931778E-2</v>
      </c>
      <c r="AP13" s="57">
        <f t="shared" si="13"/>
        <v>2.6527565172097291E-2</v>
      </c>
      <c r="AQ13" s="57">
        <f t="shared" si="13"/>
        <v>2.6055952231641612E-2</v>
      </c>
      <c r="AR13" s="57">
        <f t="shared" si="13"/>
        <v>2.5787610961401211E-2</v>
      </c>
      <c r="AS13" s="57">
        <f t="shared" si="13"/>
        <v>2.8642818722326709E-2</v>
      </c>
      <c r="AT13" s="57">
        <f t="shared" si="13"/>
        <v>2.7123935483726845E-2</v>
      </c>
      <c r="AU13" s="57">
        <f t="shared" si="13"/>
        <v>2.7774898111452936E-2</v>
      </c>
      <c r="AV13" s="57">
        <f t="shared" si="13"/>
        <v>2.65506410328681E-2</v>
      </c>
      <c r="AW13" s="57">
        <f t="shared" si="13"/>
        <v>2.5820380144710494E-2</v>
      </c>
      <c r="AX13" s="57">
        <f t="shared" si="13"/>
        <v>2.5792130645977667E-2</v>
      </c>
      <c r="AY13" s="57">
        <f t="shared" si="13"/>
        <v>2.4545979559442113E-2</v>
      </c>
      <c r="AZ13" s="57">
        <f t="shared" si="13"/>
        <v>2.3093719783225795E-2</v>
      </c>
      <c r="BA13" s="57">
        <f t="shared" si="13"/>
        <v>2.1551572902326122E-2</v>
      </c>
      <c r="BB13" s="57">
        <f t="shared" si="13"/>
        <v>2.1134337629794046E-2</v>
      </c>
      <c r="BC13" s="57">
        <f t="shared" si="13"/>
        <v>2.2692983951270524E-2</v>
      </c>
      <c r="BD13" s="57">
        <f t="shared" si="13"/>
        <v>2.5436798127909607E-2</v>
      </c>
      <c r="BE13" s="57">
        <f t="shared" si="13"/>
        <v>2.9573795140177314E-2</v>
      </c>
      <c r="BF13" s="57">
        <f t="shared" si="13"/>
        <v>3.0261205524395884E-2</v>
      </c>
      <c r="BG13" s="57">
        <f t="shared" si="13"/>
        <v>3.0305887872680279E-2</v>
      </c>
      <c r="BH13" s="57">
        <f t="shared" si="13"/>
        <v>3.2915183494373418E-2</v>
      </c>
      <c r="BI13" s="57">
        <f t="shared" si="13"/>
        <v>3.3859257607305529E-2</v>
      </c>
      <c r="BJ13" s="57">
        <f t="shared" si="13"/>
        <v>2.5287659207404882E-2</v>
      </c>
      <c r="BK13" s="57">
        <f t="shared" si="13"/>
        <v>1.9857795691387986E-2</v>
      </c>
      <c r="BL13" s="57">
        <f t="shared" si="13"/>
        <v>1.9931913012024779E-2</v>
      </c>
      <c r="BM13" s="57">
        <f t="shared" si="13"/>
        <v>3.6661423540338578E-2</v>
      </c>
      <c r="BN13" s="57">
        <f t="shared" si="13"/>
        <v>3.2240967800544987E-2</v>
      </c>
      <c r="BO13" s="57">
        <f t="shared" si="13"/>
        <v>3.0454465237296679E-2</v>
      </c>
      <c r="BP13" s="57">
        <f t="shared" si="13"/>
        <v>3.0953771222226704E-2</v>
      </c>
      <c r="BQ13" s="57">
        <f t="shared" si="13"/>
        <v>3.6408851042018471E-2</v>
      </c>
      <c r="BR13" s="57">
        <f t="shared" ref="BR13:CJ13" si="14">BR12/BR2</f>
        <v>0</v>
      </c>
      <c r="BS13" s="57">
        <f t="shared" si="14"/>
        <v>3.3667032514675753E-2</v>
      </c>
      <c r="BT13" s="57">
        <f t="shared" si="14"/>
        <v>2.8081588363517124E-2</v>
      </c>
      <c r="BU13" s="57">
        <f t="shared" si="14"/>
        <v>4.2597327609586122E-2</v>
      </c>
      <c r="BV13" s="57">
        <f t="shared" si="14"/>
        <v>1.9128157946766828E-2</v>
      </c>
      <c r="BW13" s="57">
        <f t="shared" si="14"/>
        <v>2.1114247513197067E-2</v>
      </c>
      <c r="BX13" s="57">
        <f t="shared" si="14"/>
        <v>1.8730251171971031E-2</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363</v>
      </c>
      <c r="E14" s="26">
        <f>股权价值增加表!E10</f>
        <v>2034568276.1500001</v>
      </c>
      <c r="F14" s="26">
        <f>股权价值增加表!F10</f>
        <v>1413716412.74</v>
      </c>
      <c r="G14" s="26">
        <f>股权价值增加表!G10</f>
        <v>811531490.39999998</v>
      </c>
      <c r="H14" s="26">
        <f>股权价值增加表!H10</f>
        <v>393700215.00999999</v>
      </c>
      <c r="I14" s="26">
        <f>股权价值增加表!I10</f>
        <v>1423283407.77</v>
      </c>
      <c r="J14" s="26">
        <f>股权价值增加表!J10</f>
        <v>1071440217.97</v>
      </c>
      <c r="K14" s="26">
        <f>股权价值增加表!K10</f>
        <v>627040756.5</v>
      </c>
      <c r="L14" s="26">
        <f>股权价值增加表!L10</f>
        <v>274088818.70999998</v>
      </c>
      <c r="M14" s="26">
        <f>股权价值增加表!M10</f>
        <v>1281515644.4300001</v>
      </c>
      <c r="N14" s="26">
        <f>股权价值增加表!N10</f>
        <v>1035578756.38</v>
      </c>
      <c r="O14" s="26">
        <f>股权价值增加表!O10</f>
        <v>730369026.32000005</v>
      </c>
      <c r="P14" s="26">
        <f>股权价值增加表!P10</f>
        <v>300713066.91000003</v>
      </c>
      <c r="Q14" s="26">
        <f>股权价值增加表!Q10</f>
        <v>1358892533.97</v>
      </c>
      <c r="R14" s="26">
        <f>股权价值增加表!R10</f>
        <v>975322236.10000002</v>
      </c>
      <c r="S14" s="26">
        <f>股权价值增加表!S10</f>
        <v>638873818.64999998</v>
      </c>
      <c r="T14" s="26">
        <f>股权价值增加表!T10</f>
        <v>211292618.38</v>
      </c>
      <c r="U14" s="26">
        <f>股权价值增加表!U10</f>
        <v>1388192012.74</v>
      </c>
      <c r="V14" s="26">
        <f>股权价值增加表!V10</f>
        <v>1043147668.91</v>
      </c>
      <c r="W14" s="26">
        <f>股权价值增加表!W10</f>
        <v>658123589.13</v>
      </c>
      <c r="X14" s="26">
        <f>股权价值增加表!X10</f>
        <v>254200787.16999999</v>
      </c>
      <c r="Y14" s="26">
        <f>股权价值增加表!Y10</f>
        <v>1054199281.34</v>
      </c>
      <c r="Z14" s="26">
        <f>股权价值增加表!Z10</f>
        <v>740436544.39999998</v>
      </c>
      <c r="AA14" s="26">
        <f>股权价值增加表!AA10</f>
        <v>474545735.98000002</v>
      </c>
      <c r="AB14" s="26">
        <f>股权价值增加表!AB10</f>
        <v>204398170.28</v>
      </c>
      <c r="AC14" s="26">
        <f>股权价值增加表!AC10</f>
        <v>851728952.30999994</v>
      </c>
      <c r="AD14" s="26">
        <f>股权价值增加表!AD10</f>
        <v>687770387.03999996</v>
      </c>
      <c r="AE14" s="26">
        <f>股权价值增加表!AE10</f>
        <v>453609327.23000002</v>
      </c>
      <c r="AF14" s="26">
        <f>股权价值增加表!AF10</f>
        <v>211001819.52000001</v>
      </c>
      <c r="AG14" s="26">
        <f>股权价值增加表!AG10</f>
        <v>535734805.25999999</v>
      </c>
      <c r="AH14" s="26">
        <f>股权价值增加表!AH10</f>
        <v>349718849.01999998</v>
      </c>
      <c r="AI14" s="26">
        <f>股权价值增加表!AI10</f>
        <v>231579042.43000001</v>
      </c>
      <c r="AJ14" s="26">
        <f>股权价值增加表!AJ10</f>
        <v>93355014.730000004</v>
      </c>
      <c r="AK14" s="26">
        <f>股权价值增加表!AK10</f>
        <v>449667767.81999999</v>
      </c>
      <c r="AL14" s="26">
        <f>股权价值增加表!AL10</f>
        <v>327717791.43000001</v>
      </c>
      <c r="AM14" s="26">
        <f>股权价值增加表!AM10</f>
        <v>185985696.27000001</v>
      </c>
      <c r="AN14" s="26">
        <f>股权价值增加表!AN10</f>
        <v>86283274.980000004</v>
      </c>
      <c r="AO14" s="26">
        <f>股权价值增加表!AO10</f>
        <v>454186980.87</v>
      </c>
      <c r="AP14" s="26">
        <f>股权价值增加表!AP10</f>
        <v>342525356.25999999</v>
      </c>
      <c r="AQ14" s="26">
        <f>股权价值增加表!AQ10</f>
        <v>232675377.80000001</v>
      </c>
      <c r="AR14" s="26">
        <f>股权价值增加表!AR10</f>
        <v>123487610.18000001</v>
      </c>
      <c r="AS14" s="26">
        <f>股权价值增加表!AS10</f>
        <v>571193496.42999995</v>
      </c>
      <c r="AT14" s="26">
        <f>股权价值增加表!AT10</f>
        <v>355413740.13</v>
      </c>
      <c r="AU14" s="26">
        <f>股权价值增加表!AU10</f>
        <v>193897929.34999999</v>
      </c>
      <c r="AV14" s="26">
        <f>股权价值增加表!AV10</f>
        <v>92133047.010000005</v>
      </c>
      <c r="AW14" s="26">
        <f>股权价值增加表!AW10</f>
        <v>316788486.07999998</v>
      </c>
      <c r="AX14" s="26">
        <f>股权价值增加表!AX10</f>
        <v>223846039.24000001</v>
      </c>
      <c r="AY14" s="26">
        <f>股权价值增加表!AY10</f>
        <v>119736582.02</v>
      </c>
      <c r="AZ14" s="26">
        <f>股权价值增加表!AZ10</f>
        <v>62325603.270000003</v>
      </c>
      <c r="BA14" s="26">
        <f>股权价值增加表!BA10</f>
        <v>235623560.65000001</v>
      </c>
      <c r="BB14" s="26">
        <f>股权价值增加表!BB10</f>
        <v>177688539.74000001</v>
      </c>
      <c r="BC14" s="26">
        <f>股权价值增加表!BC10</f>
        <v>103933515.34999999</v>
      </c>
      <c r="BD14" s="26">
        <f>股权价值增加表!BD10</f>
        <v>63851770.979999997</v>
      </c>
      <c r="BE14" s="26">
        <f>股权价值增加表!BE10</f>
        <v>215272387.62</v>
      </c>
      <c r="BF14" s="26">
        <f>股权价值增加表!BF10</f>
        <v>160555181.15000001</v>
      </c>
      <c r="BG14" s="26">
        <f>股权价值增加表!BG10</f>
        <v>96407186.329999998</v>
      </c>
      <c r="BH14" s="26">
        <f>股权价值增加表!BH10</f>
        <v>47077206.840000004</v>
      </c>
      <c r="BI14" s="26">
        <f>股权价值增加表!BI10</f>
        <v>124971388.59</v>
      </c>
      <c r="BJ14" s="26">
        <f>股权价值增加表!BJ10</f>
        <v>85502720.159999996</v>
      </c>
      <c r="BK14" s="26">
        <f>股权价值增加表!BK10</f>
        <v>55261708.299999997</v>
      </c>
      <c r="BL14" s="26">
        <f>股权价值增加表!BL10</f>
        <v>34325551.969999999</v>
      </c>
      <c r="BM14" s="26">
        <f>股权价值增加表!BM10</f>
        <v>80369841.780000001</v>
      </c>
      <c r="BN14" s="26">
        <f>股权价值增加表!BN10</f>
        <v>59399179.420000002</v>
      </c>
      <c r="BO14" s="26">
        <f>股权价值增加表!BO10</f>
        <v>27287259.789999999</v>
      </c>
      <c r="BP14" s="26">
        <f>股权价值增加表!BP10</f>
        <v>16644550.83</v>
      </c>
      <c r="BQ14" s="26">
        <f>股权价值增加表!BQ10</f>
        <v>64562414.719999999</v>
      </c>
      <c r="BR14" s="26">
        <f>股权价值增加表!BR10</f>
        <v>0</v>
      </c>
      <c r="BS14" s="26">
        <f>股权价值增加表!BS10</f>
        <v>28483931.850000001</v>
      </c>
      <c r="BT14" s="26">
        <f>股权价值增加表!BT10</f>
        <v>32842193.23</v>
      </c>
      <c r="BU14" s="26">
        <f>股权价值增加表!BU10</f>
        <v>15643981.039999999</v>
      </c>
      <c r="BV14" s="26">
        <f>股权价值增加表!BV10</f>
        <v>9185742.0099999998</v>
      </c>
      <c r="BW14" s="26">
        <f>股权价值增加表!BW10</f>
        <v>6116144.1100000003</v>
      </c>
      <c r="BX14" s="26">
        <f>股权价值增加表!BX10</f>
        <v>5895552.0499999998</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3.8299072727410635E-2</v>
      </c>
      <c r="F15" s="57">
        <f t="shared" ref="F15:BQ15" si="15">F14/F2</f>
        <v>3.6283092366984876E-2</v>
      </c>
      <c r="G15" s="57">
        <f t="shared" si="15"/>
        <v>3.321852712931108E-2</v>
      </c>
      <c r="H15" s="57">
        <f t="shared" si="15"/>
        <v>3.5768009066814578E-2</v>
      </c>
      <c r="I15" s="57">
        <f t="shared" si="15"/>
        <v>4.7285380576606077E-2</v>
      </c>
      <c r="J15" s="57">
        <f t="shared" si="15"/>
        <v>5.1186265376003195E-2</v>
      </c>
      <c r="K15" s="57">
        <f t="shared" si="15"/>
        <v>5.0260685830760585E-2</v>
      </c>
      <c r="L15" s="57">
        <f t="shared" si="15"/>
        <v>5.1718666032946677E-2</v>
      </c>
      <c r="M15" s="57">
        <f t="shared" si="15"/>
        <v>6.5744432155513649E-2</v>
      </c>
      <c r="N15" s="57">
        <f t="shared" si="15"/>
        <v>7.0026780465974478E-2</v>
      </c>
      <c r="O15" s="57">
        <f t="shared" si="15"/>
        <v>7.2729523172352081E-2</v>
      </c>
      <c r="P15" s="57">
        <f t="shared" si="15"/>
        <v>6.6302017177370581E-2</v>
      </c>
      <c r="Q15" s="57">
        <f t="shared" si="15"/>
        <v>6.1520729096072591E-2</v>
      </c>
      <c r="R15" s="57">
        <f t="shared" si="15"/>
        <v>5.4916172178707631E-2</v>
      </c>
      <c r="S15" s="57">
        <f t="shared" si="15"/>
        <v>5.4769277482665281E-2</v>
      </c>
      <c r="T15" s="57">
        <f t="shared" si="15"/>
        <v>4.1135897294881305E-2</v>
      </c>
      <c r="U15" s="57">
        <f t="shared" si="15"/>
        <v>6.8593430665576924E-2</v>
      </c>
      <c r="V15" s="57">
        <f t="shared" si="15"/>
        <v>6.7850434737720067E-2</v>
      </c>
      <c r="W15" s="57">
        <f t="shared" si="15"/>
        <v>6.5971332866419333E-2</v>
      </c>
      <c r="X15" s="57">
        <f t="shared" si="15"/>
        <v>5.322084798274853E-2</v>
      </c>
      <c r="Y15" s="57">
        <f t="shared" si="15"/>
        <v>6.6126641275223455E-2</v>
      </c>
      <c r="Z15" s="57">
        <f t="shared" si="15"/>
        <v>6.4834759392379371E-2</v>
      </c>
      <c r="AA15" s="57">
        <f t="shared" si="15"/>
        <v>6.6275764995695249E-2</v>
      </c>
      <c r="AB15" s="57">
        <f t="shared" si="15"/>
        <v>6.2294914517709389E-2</v>
      </c>
      <c r="AC15" s="57">
        <f t="shared" si="15"/>
        <v>6.2341516052342866E-2</v>
      </c>
      <c r="AD15" s="57">
        <f t="shared" si="15"/>
        <v>6.5445774015133698E-2</v>
      </c>
      <c r="AE15" s="57">
        <f t="shared" si="15"/>
        <v>6.5946487125671915E-2</v>
      </c>
      <c r="AF15" s="57">
        <f t="shared" si="15"/>
        <v>6.627620950921069E-2</v>
      </c>
      <c r="AG15" s="57">
        <f t="shared" si="15"/>
        <v>5.6813094648651169E-2</v>
      </c>
      <c r="AH15" s="57">
        <f t="shared" si="15"/>
        <v>5.2152268563170873E-2</v>
      </c>
      <c r="AI15" s="57">
        <f t="shared" si="15"/>
        <v>5.2867897338081088E-2</v>
      </c>
      <c r="AJ15" s="57">
        <f t="shared" si="15"/>
        <v>4.555619177326152E-2</v>
      </c>
      <c r="AK15" s="57">
        <f t="shared" si="15"/>
        <v>6.9255094575419271E-2</v>
      </c>
      <c r="AL15" s="57">
        <f t="shared" si="15"/>
        <v>7.0409403514407165E-2</v>
      </c>
      <c r="AM15" s="57">
        <f t="shared" si="15"/>
        <v>6.7632171196809171E-2</v>
      </c>
      <c r="AN15" s="57">
        <f t="shared" si="15"/>
        <v>7.1203187491985634E-2</v>
      </c>
      <c r="AO15" s="57">
        <f t="shared" si="15"/>
        <v>5.8951688903926935E-2</v>
      </c>
      <c r="AP15" s="57">
        <f t="shared" si="15"/>
        <v>5.5491794847918059E-2</v>
      </c>
      <c r="AQ15" s="57">
        <f t="shared" si="15"/>
        <v>5.58277588245078E-2</v>
      </c>
      <c r="AR15" s="57">
        <f t="shared" si="15"/>
        <v>6.2840845676092189E-2</v>
      </c>
      <c r="AS15" s="57">
        <f t="shared" si="15"/>
        <v>7.3196306189730845E-2</v>
      </c>
      <c r="AT15" s="57">
        <f t="shared" si="15"/>
        <v>6.0595152624198588E-2</v>
      </c>
      <c r="AU15" s="57">
        <f t="shared" si="15"/>
        <v>5.4950544676887293E-2</v>
      </c>
      <c r="AV15" s="57">
        <f t="shared" si="15"/>
        <v>5.3321492459775292E-2</v>
      </c>
      <c r="AW15" s="57">
        <f t="shared" si="15"/>
        <v>6.4550962206737769E-2</v>
      </c>
      <c r="AX15" s="57">
        <f t="shared" si="15"/>
        <v>6.3097436554626754E-2</v>
      </c>
      <c r="AY15" s="57">
        <f t="shared" si="15"/>
        <v>5.6968782168982629E-2</v>
      </c>
      <c r="AZ15" s="57">
        <f t="shared" si="15"/>
        <v>5.9080712855414955E-2</v>
      </c>
      <c r="BA15" s="57">
        <f t="shared" si="15"/>
        <v>7.1195245160900672E-2</v>
      </c>
      <c r="BB15" s="57">
        <f t="shared" si="15"/>
        <v>6.9647481415639492E-2</v>
      </c>
      <c r="BC15" s="57">
        <f t="shared" si="15"/>
        <v>6.4177679021024281E-2</v>
      </c>
      <c r="BD15" s="57">
        <f t="shared" si="15"/>
        <v>8.030770349510763E-2</v>
      </c>
      <c r="BE15" s="57">
        <f t="shared" si="15"/>
        <v>0.10230465263029433</v>
      </c>
      <c r="BF15" s="57">
        <f t="shared" si="15"/>
        <v>9.4683965715841978E-2</v>
      </c>
      <c r="BG15" s="57">
        <f t="shared" si="15"/>
        <v>9.1463122099735394E-2</v>
      </c>
      <c r="BH15" s="57">
        <f t="shared" si="15"/>
        <v>9.4032836725933738E-2</v>
      </c>
      <c r="BI15" s="57">
        <f t="shared" si="15"/>
        <v>9.3005048740074509E-2</v>
      </c>
      <c r="BJ15" s="57">
        <f t="shared" si="15"/>
        <v>8.4595387038113617E-2</v>
      </c>
      <c r="BK15" s="57">
        <f t="shared" si="15"/>
        <v>7.5821676284538314E-2</v>
      </c>
      <c r="BL15" s="57">
        <f t="shared" si="15"/>
        <v>9.3935918854979553E-2</v>
      </c>
      <c r="BM15" s="57">
        <f t="shared" si="15"/>
        <v>9.1148723112190688E-2</v>
      </c>
      <c r="BN15" s="57">
        <f t="shared" si="15"/>
        <v>8.1200851276083327E-2</v>
      </c>
      <c r="BO15" s="57">
        <f t="shared" si="15"/>
        <v>6.2080111857811343E-2</v>
      </c>
      <c r="BP15" s="57">
        <f t="shared" si="15"/>
        <v>7.5966859858018931E-2</v>
      </c>
      <c r="BQ15" s="57">
        <f t="shared" si="15"/>
        <v>0.11301193643966365</v>
      </c>
      <c r="BR15" s="57">
        <f t="shared" ref="BR15:CK15" si="16">BR14/BR2</f>
        <v>0</v>
      </c>
      <c r="BS15" s="57">
        <f t="shared" si="16"/>
        <v>9.8164766571799358E-2</v>
      </c>
      <c r="BT15" s="57">
        <f t="shared" si="16"/>
        <v>9.5235316758877392E-2</v>
      </c>
      <c r="BU15" s="57">
        <f t="shared" si="16"/>
        <v>9.7234730478621648E-2</v>
      </c>
      <c r="BV15" s="57">
        <f t="shared" si="16"/>
        <v>4.365720329233716E-2</v>
      </c>
      <c r="BW15" s="57">
        <f t="shared" si="16"/>
        <v>3.3847494247543179E-2</v>
      </c>
      <c r="BX15" s="57">
        <f t="shared" si="16"/>
        <v>4.2109721788630719E-2</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365</v>
      </c>
      <c r="E16" s="26">
        <f>股权价值增加表!E11</f>
        <v>303316067.55000001</v>
      </c>
      <c r="F16" s="26">
        <f>股权价值增加表!F11</f>
        <v>208781164.30000001</v>
      </c>
      <c r="G16" s="26">
        <f>股权价值增加表!G11</f>
        <v>160473460.19999999</v>
      </c>
      <c r="H16" s="26">
        <f>股权价值增加表!H11</f>
        <v>71958361.349999994</v>
      </c>
      <c r="I16" s="26">
        <f>股权价值增加表!I11</f>
        <v>74298764.329999998</v>
      </c>
      <c r="J16" s="26">
        <f>股权价值增加表!J11</f>
        <v>56663357.93</v>
      </c>
      <c r="K16" s="26">
        <f>股权价值增加表!K11</f>
        <v>56372451.719999999</v>
      </c>
      <c r="L16" s="26">
        <f>股权价值增加表!L11</f>
        <v>28291211.010000002</v>
      </c>
      <c r="M16" s="26">
        <f>股权价值增加表!M11</f>
        <v>-8353337.2699999996</v>
      </c>
      <c r="N16" s="26">
        <f>股权价值增加表!N11</f>
        <v>1489222.48</v>
      </c>
      <c r="O16" s="26">
        <f>股权价值增加表!O11</f>
        <v>12302685.4</v>
      </c>
      <c r="P16" s="26">
        <f>股权价值增加表!P11</f>
        <v>13048536.42</v>
      </c>
      <c r="Q16" s="26">
        <f>股权价值增加表!Q11</f>
        <v>74266280.049999997</v>
      </c>
      <c r="R16" s="26">
        <f>股权价值增加表!R11</f>
        <v>50672932.799999997</v>
      </c>
      <c r="S16" s="26">
        <f>股权价值增加表!S11</f>
        <v>50135872.240000002</v>
      </c>
      <c r="T16" s="26">
        <f>股权价值增加表!T11</f>
        <v>24087895.77</v>
      </c>
      <c r="U16" s="26">
        <f>股权价值增加表!U11</f>
        <v>26910586.48</v>
      </c>
      <c r="V16" s="26">
        <f>股权价值增加表!V11</f>
        <v>36608679.799999997</v>
      </c>
      <c r="W16" s="26">
        <f>股权价值增加表!W11</f>
        <v>38692589.719999999</v>
      </c>
      <c r="X16" s="26">
        <f>股权价值增加表!X11</f>
        <v>34038177.93</v>
      </c>
      <c r="Y16" s="26">
        <f>股权价值增加表!Y11</f>
        <v>35128514.390000001</v>
      </c>
      <c r="Z16" s="26">
        <f>股权价值增加表!Z11</f>
        <v>28015822.309999999</v>
      </c>
      <c r="AA16" s="26">
        <f>股权价值增加表!AA11</f>
        <v>23438151.510000002</v>
      </c>
      <c r="AB16" s="26">
        <f>股权价值增加表!AB11</f>
        <v>33907296.439999998</v>
      </c>
      <c r="AC16" s="26">
        <f>股权价值增加表!AC11</f>
        <v>-4942440.8600000003</v>
      </c>
      <c r="AD16" s="26">
        <f>股权价值增加表!AD11</f>
        <v>11019800.369999999</v>
      </c>
      <c r="AE16" s="26">
        <f>股权价值增加表!AE11</f>
        <v>24665000.32</v>
      </c>
      <c r="AF16" s="26">
        <f>股权价值增加表!AF11</f>
        <v>21404559.370000001</v>
      </c>
      <c r="AG16" s="26">
        <f>股权价值增加表!AG11</f>
        <v>32473493.739999998</v>
      </c>
      <c r="AH16" s="26">
        <f>股权价值增加表!AH11</f>
        <v>26681684.399999999</v>
      </c>
      <c r="AI16" s="26">
        <f>股权价值增加表!AI11</f>
        <v>19810756.25</v>
      </c>
      <c r="AJ16" s="26">
        <f>股权价值增加表!AJ11</f>
        <v>11777030.560000001</v>
      </c>
      <c r="AK16" s="26">
        <f>股权价值增加表!AK11</f>
        <v>9698789.8499999996</v>
      </c>
      <c r="AL16" s="26">
        <f>股权价值增加表!AL11</f>
        <v>17117832.879999999</v>
      </c>
      <c r="AM16" s="26">
        <f>股权价值增加表!AM11</f>
        <v>8787308.0199999996</v>
      </c>
      <c r="AN16" s="26">
        <f>股权价值增加表!AN11</f>
        <v>4961474.53</v>
      </c>
      <c r="AO16" s="26">
        <f>股权价值增加表!AO11</f>
        <v>253477.72</v>
      </c>
      <c r="AP16" s="26">
        <f>股权价值增加表!AP11</f>
        <v>12498116.42</v>
      </c>
      <c r="AQ16" s="26">
        <f>股权价值增加表!AQ11</f>
        <v>5659589.3600000003</v>
      </c>
      <c r="AR16" s="26">
        <f>股权价值增加表!AR11</f>
        <v>5173226.71</v>
      </c>
      <c r="AS16" s="26">
        <f>股权价值增加表!AS11</f>
        <v>19881064.43</v>
      </c>
      <c r="AT16" s="26">
        <f>股权价值增加表!AT11</f>
        <v>7375206.6200000001</v>
      </c>
      <c r="AU16" s="26">
        <f>股权价值增加表!AU11</f>
        <v>7022059.2599999998</v>
      </c>
      <c r="AV16" s="26">
        <f>股权价值增加表!AV11</f>
        <v>13769376.550000001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276474.87</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674</v>
      </c>
      <c r="E17" s="57">
        <f>E16/E2</f>
        <v>5.709675249862785E-3</v>
      </c>
      <c r="F17" s="57">
        <f t="shared" ref="F17:BQ17" si="17">F16/F2</f>
        <v>5.3583775363416708E-3</v>
      </c>
      <c r="G17" s="57">
        <f t="shared" si="17"/>
        <v>6.5686816275738712E-3</v>
      </c>
      <c r="H17" s="57">
        <f t="shared" si="17"/>
        <v>6.5374801005240613E-3</v>
      </c>
      <c r="I17" s="57">
        <f t="shared" si="17"/>
        <v>2.468408841511169E-3</v>
      </c>
      <c r="J17" s="57">
        <f t="shared" si="17"/>
        <v>2.7069972056823098E-3</v>
      </c>
      <c r="K17" s="57">
        <f t="shared" si="17"/>
        <v>4.518554904187698E-3</v>
      </c>
      <c r="L17" s="57">
        <f t="shared" si="17"/>
        <v>5.3383560145951721E-3</v>
      </c>
      <c r="M17" s="57">
        <f t="shared" si="17"/>
        <v>-4.2854366843403494E-4</v>
      </c>
      <c r="N17" s="57">
        <f t="shared" si="17"/>
        <v>1.0070258300440366E-4</v>
      </c>
      <c r="O17" s="57">
        <f t="shared" si="17"/>
        <v>1.2250908932841689E-3</v>
      </c>
      <c r="P17" s="57">
        <f t="shared" si="17"/>
        <v>2.8769760314982036E-3</v>
      </c>
      <c r="Q17" s="57">
        <f t="shared" si="17"/>
        <v>3.3622347475712727E-3</v>
      </c>
      <c r="R17" s="57">
        <f t="shared" si="17"/>
        <v>2.8531734430379211E-3</v>
      </c>
      <c r="S17" s="57">
        <f t="shared" si="17"/>
        <v>4.2980404242427247E-3</v>
      </c>
      <c r="T17" s="57">
        <f t="shared" si="17"/>
        <v>4.6895968919391162E-3</v>
      </c>
      <c r="U17" s="57">
        <f t="shared" si="17"/>
        <v>1.3297075843582281E-3</v>
      </c>
      <c r="V17" s="57">
        <f t="shared" si="17"/>
        <v>2.3811727846734005E-3</v>
      </c>
      <c r="W17" s="57">
        <f t="shared" si="17"/>
        <v>3.878605414001801E-3</v>
      </c>
      <c r="X17" s="57">
        <f t="shared" si="17"/>
        <v>7.1264165362744745E-3</v>
      </c>
      <c r="Y17" s="57">
        <f t="shared" si="17"/>
        <v>2.2035024219010679E-3</v>
      </c>
      <c r="Z17" s="57">
        <f t="shared" si="17"/>
        <v>2.453146204608785E-3</v>
      </c>
      <c r="AA17" s="57">
        <f t="shared" si="17"/>
        <v>3.2734071842460467E-3</v>
      </c>
      <c r="AB17" s="57">
        <f t="shared" si="17"/>
        <v>1.0334007052817106E-2</v>
      </c>
      <c r="AC17" s="57">
        <f t="shared" si="17"/>
        <v>-3.6175740577537688E-4</v>
      </c>
      <c r="AD17" s="57">
        <f t="shared" si="17"/>
        <v>1.0486048517017097E-3</v>
      </c>
      <c r="AE17" s="57">
        <f t="shared" si="17"/>
        <v>3.5858392418655683E-3</v>
      </c>
      <c r="AF17" s="57">
        <f t="shared" si="17"/>
        <v>6.72322667399555E-3</v>
      </c>
      <c r="AG17" s="57">
        <f t="shared" si="17"/>
        <v>3.4437181517964553E-3</v>
      </c>
      <c r="AH17" s="57">
        <f t="shared" si="17"/>
        <v>3.9789401527710851E-3</v>
      </c>
      <c r="AI17" s="57">
        <f t="shared" si="17"/>
        <v>4.5226589445430251E-3</v>
      </c>
      <c r="AJ17" s="57">
        <f t="shared" si="17"/>
        <v>5.7470577693402658E-3</v>
      </c>
      <c r="AK17" s="57">
        <f t="shared" si="17"/>
        <v>1.4937486215328229E-3</v>
      </c>
      <c r="AL17" s="57">
        <f t="shared" si="17"/>
        <v>3.6777264892484396E-3</v>
      </c>
      <c r="AM17" s="57">
        <f t="shared" si="17"/>
        <v>3.1954324030648434E-3</v>
      </c>
      <c r="AN17" s="57">
        <f t="shared" si="17"/>
        <v>4.094336953229789E-3</v>
      </c>
      <c r="AO17" s="57">
        <f t="shared" si="17"/>
        <v>3.2900413976845703E-5</v>
      </c>
      <c r="AP17" s="57">
        <f t="shared" si="17"/>
        <v>2.0247929085798538E-3</v>
      </c>
      <c r="AQ17" s="57">
        <f t="shared" si="17"/>
        <v>1.3579528389437968E-3</v>
      </c>
      <c r="AR17" s="57">
        <f t="shared" si="17"/>
        <v>2.632571323201455E-3</v>
      </c>
      <c r="AS17" s="57">
        <f t="shared" si="17"/>
        <v>2.5476839083275258E-3</v>
      </c>
      <c r="AT17" s="57">
        <f t="shared" si="17"/>
        <v>1.2574127567787227E-3</v>
      </c>
      <c r="AU17" s="57">
        <f t="shared" si="17"/>
        <v>1.9900469405934899E-3</v>
      </c>
      <c r="AV17" s="57">
        <f t="shared" si="17"/>
        <v>7.9689506828851779E-3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1.3140059443943048E-3</v>
      </c>
      <c r="BW17" s="57">
        <f t="shared" si="18"/>
        <v>0</v>
      </c>
      <c r="BX17" s="57">
        <f t="shared" si="18"/>
        <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366</v>
      </c>
      <c r="E18" s="26">
        <f>股权价值增加表!E12</f>
        <v>44395019.140000001</v>
      </c>
      <c r="F18" s="26">
        <f>股权价值增加表!F12</f>
        <v>0</v>
      </c>
      <c r="G18" s="26">
        <f>股权价值增加表!G12</f>
        <v>0</v>
      </c>
      <c r="H18" s="26">
        <f>股权价值增加表!H12</f>
        <v>0</v>
      </c>
      <c r="I18" s="26">
        <f>股权价值增加表!I12</f>
        <v>40318044.189999998</v>
      </c>
      <c r="J18" s="26">
        <f>股权价值增加表!J12</f>
        <v>0</v>
      </c>
      <c r="K18" s="26">
        <f>股权价值增加表!K12</f>
        <v>0</v>
      </c>
      <c r="L18" s="26">
        <f>股权价值增加表!L12</f>
        <v>0</v>
      </c>
      <c r="M18" s="26">
        <f>股权价值增加表!M12</f>
        <v>54769113.090000004</v>
      </c>
      <c r="N18" s="26">
        <f>股权价值增加表!N12</f>
        <v>0</v>
      </c>
      <c r="O18" s="26">
        <f>股权价值增加表!O12</f>
        <v>0</v>
      </c>
      <c r="P18" s="26">
        <f>股权价值增加表!P12</f>
        <v>0</v>
      </c>
      <c r="Q18" s="26">
        <f>股权价值增加表!Q12</f>
        <v>42570352.189999998</v>
      </c>
      <c r="R18" s="26">
        <f>股权价值增加表!R12</f>
        <v>0</v>
      </c>
      <c r="S18" s="26">
        <f>股权价值增加表!S12</f>
        <v>0</v>
      </c>
      <c r="T18" s="26">
        <f>股权价值增加表!T12</f>
        <v>0</v>
      </c>
      <c r="U18" s="26">
        <f>股权价值增加表!U12</f>
        <v>37617640.960000001</v>
      </c>
      <c r="V18" s="26">
        <f>股权价值增加表!V12</f>
        <v>0</v>
      </c>
      <c r="W18" s="26">
        <f>股权价值增加表!W12</f>
        <v>0</v>
      </c>
      <c r="X18" s="26">
        <f>股权价值增加表!X12</f>
        <v>0</v>
      </c>
      <c r="Y18" s="26">
        <f>股权价值增加表!Y12</f>
        <v>29079492.07</v>
      </c>
      <c r="Z18" s="26">
        <f>股权价值增加表!Z12</f>
        <v>0</v>
      </c>
      <c r="AA18" s="26">
        <f>股权价值增加表!AA12</f>
        <v>0</v>
      </c>
      <c r="AB18" s="26">
        <f>股权价值增加表!AB12</f>
        <v>0</v>
      </c>
      <c r="AC18" s="26">
        <f>股权价值增加表!AC12</f>
        <v>29497185.960000001</v>
      </c>
      <c r="AD18" s="26">
        <f>股权价值增加表!AD12</f>
        <v>0</v>
      </c>
      <c r="AE18" s="26">
        <f>股权价值增加表!AE12</f>
        <v>0</v>
      </c>
      <c r="AF18" s="26">
        <f>股权价值增加表!AF12</f>
        <v>0</v>
      </c>
      <c r="AG18" s="26">
        <f>股权价值增加表!AG12</f>
        <v>13910526.890000001</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8.3569968465009733E-4</v>
      </c>
      <c r="F19" s="57">
        <f t="shared" ref="F19:BQ19" si="19">F18/F2</f>
        <v>0</v>
      </c>
      <c r="G19" s="57">
        <f t="shared" si="19"/>
        <v>0</v>
      </c>
      <c r="H19" s="57">
        <f t="shared" si="19"/>
        <v>0</v>
      </c>
      <c r="I19" s="57">
        <f t="shared" si="19"/>
        <v>1.3394760686598623E-3</v>
      </c>
      <c r="J19" s="57">
        <f t="shared" si="19"/>
        <v>0</v>
      </c>
      <c r="K19" s="57">
        <f t="shared" si="19"/>
        <v>0</v>
      </c>
      <c r="L19" s="57">
        <f t="shared" si="19"/>
        <v>0</v>
      </c>
      <c r="M19" s="57">
        <f t="shared" si="19"/>
        <v>2.8097700214691707E-3</v>
      </c>
      <c r="N19" s="57">
        <f t="shared" si="19"/>
        <v>0</v>
      </c>
      <c r="O19" s="57">
        <f t="shared" si="19"/>
        <v>0</v>
      </c>
      <c r="P19" s="57">
        <f t="shared" si="19"/>
        <v>0</v>
      </c>
      <c r="Q19" s="57">
        <f t="shared" si="19"/>
        <v>1.9272746292557147E-3</v>
      </c>
      <c r="R19" s="57">
        <f t="shared" si="19"/>
        <v>0</v>
      </c>
      <c r="S19" s="57">
        <f t="shared" si="19"/>
        <v>0</v>
      </c>
      <c r="T19" s="57">
        <f t="shared" si="19"/>
        <v>0</v>
      </c>
      <c r="U19" s="57">
        <f t="shared" si="19"/>
        <v>1.8587652308266131E-3</v>
      </c>
      <c r="V19" s="57">
        <f t="shared" si="19"/>
        <v>0</v>
      </c>
      <c r="W19" s="57">
        <f t="shared" si="19"/>
        <v>0</v>
      </c>
      <c r="X19" s="57">
        <f t="shared" si="19"/>
        <v>0</v>
      </c>
      <c r="Y19" s="57">
        <f t="shared" si="19"/>
        <v>1.8240660704438602E-3</v>
      </c>
      <c r="Z19" s="57">
        <f t="shared" si="19"/>
        <v>0</v>
      </c>
      <c r="AA19" s="57">
        <f t="shared" si="19"/>
        <v>0</v>
      </c>
      <c r="AB19" s="57">
        <f t="shared" si="19"/>
        <v>0</v>
      </c>
      <c r="AC19" s="57">
        <f t="shared" si="19"/>
        <v>2.1590193535595426E-3</v>
      </c>
      <c r="AD19" s="57">
        <f t="shared" si="19"/>
        <v>0</v>
      </c>
      <c r="AE19" s="57">
        <f t="shared" si="19"/>
        <v>0</v>
      </c>
      <c r="AF19" s="57">
        <f t="shared" si="19"/>
        <v>0</v>
      </c>
      <c r="AG19" s="57">
        <f t="shared" si="19"/>
        <v>1.4751703138470402E-3</v>
      </c>
      <c r="AH19" s="57">
        <f t="shared" si="19"/>
        <v>0</v>
      </c>
      <c r="AI19" s="57">
        <f t="shared" si="19"/>
        <v>0</v>
      </c>
      <c r="AJ19" s="57">
        <f t="shared" si="19"/>
        <v>0</v>
      </c>
      <c r="AK19" s="57">
        <f t="shared" si="19"/>
        <v>1.6741406723066864E-3</v>
      </c>
      <c r="AL19" s="57">
        <f t="shared" si="19"/>
        <v>0</v>
      </c>
      <c r="AM19" s="57">
        <f t="shared" si="19"/>
        <v>0</v>
      </c>
      <c r="AN19" s="57">
        <f t="shared" si="19"/>
        <v>0</v>
      </c>
      <c r="AO19" s="57">
        <f t="shared" si="19"/>
        <v>1.5719207767472027E-3</v>
      </c>
      <c r="AP19" s="57">
        <f t="shared" si="19"/>
        <v>0</v>
      </c>
      <c r="AQ19" s="57">
        <f t="shared" si="19"/>
        <v>0</v>
      </c>
      <c r="AR19" s="57">
        <f t="shared" si="19"/>
        <v>0</v>
      </c>
      <c r="AS19" s="57">
        <f t="shared" si="19"/>
        <v>-6.0899616484720018E-5</v>
      </c>
      <c r="AT19" s="57">
        <f t="shared" si="19"/>
        <v>0</v>
      </c>
      <c r="AU19" s="57">
        <f t="shared" si="19"/>
        <v>0</v>
      </c>
      <c r="AV19" s="57">
        <f t="shared" si="19"/>
        <v>0</v>
      </c>
      <c r="AW19" s="57">
        <f t="shared" si="19"/>
        <v>6.0527936234392506E-4</v>
      </c>
      <c r="AX19" s="57">
        <f t="shared" si="19"/>
        <v>0</v>
      </c>
      <c r="AY19" s="57">
        <f t="shared" si="19"/>
        <v>0</v>
      </c>
      <c r="AZ19" s="57">
        <f t="shared" si="19"/>
        <v>0</v>
      </c>
      <c r="BA19" s="57">
        <f t="shared" si="19"/>
        <v>3.8924141186194637E-4</v>
      </c>
      <c r="BB19" s="57">
        <f t="shared" si="19"/>
        <v>0</v>
      </c>
      <c r="BC19" s="57">
        <f t="shared" si="19"/>
        <v>0</v>
      </c>
      <c r="BD19" s="57">
        <f t="shared" si="19"/>
        <v>0</v>
      </c>
      <c r="BE19" s="57">
        <f t="shared" si="19"/>
        <v>6.0949870210824414E-4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368</v>
      </c>
      <c r="E20" s="26">
        <f>股权价值增加表!E13-股权价值增加表!E14</f>
        <v>-209567024.45000002</v>
      </c>
      <c r="F20" s="26">
        <f>股权价值增加表!F13-股权价值增加表!F14</f>
        <v>-44044410.340000004</v>
      </c>
      <c r="G20" s="26">
        <f>股权价值增加表!G13-股权价值增加表!G14</f>
        <v>8272793.5800000001</v>
      </c>
      <c r="H20" s="26">
        <f>股权价值增加表!H13-股权价值增加表!H14</f>
        <v>53251872.310000002</v>
      </c>
      <c r="I20" s="26">
        <f>股权价值增加表!I13-股权价值增加表!I14</f>
        <v>2552225.3100000024</v>
      </c>
      <c r="J20" s="26">
        <f>股权价值增加表!J13-股权价值增加表!J14</f>
        <v>22481660.299999997</v>
      </c>
      <c r="K20" s="26">
        <f>股权价值增加表!K13-股权价值增加表!K14</f>
        <v>43103730.730000004</v>
      </c>
      <c r="L20" s="26">
        <f>股权价值增加表!L13-股权价值增加表!L14</f>
        <v>16984083.77</v>
      </c>
      <c r="M20" s="26">
        <f>股权价值增加表!M13-股权价值增加表!M14</f>
        <v>139435832.10000002</v>
      </c>
      <c r="N20" s="26">
        <f>股权价值增加表!N13-股权价值增加表!N14</f>
        <v>194442542.82999998</v>
      </c>
      <c r="O20" s="26">
        <f>股权价值增加表!O13-股权价值增加表!O14</f>
        <v>-26135573.91</v>
      </c>
      <c r="P20" s="26">
        <f>股权价值增加表!P13-股权价值增加表!P14</f>
        <v>6338361.2000000002</v>
      </c>
      <c r="Q20" s="26">
        <f>股权价值增加表!Q13-股权价值增加表!Q14</f>
        <v>23213789.189999998</v>
      </c>
      <c r="R20" s="26">
        <f>股权价值增加表!R13-股权价值增加表!R14</f>
        <v>173288465.27000001</v>
      </c>
      <c r="S20" s="26">
        <f>股权价值增加表!S13-股权价值增加表!S14</f>
        <v>104466073.95999999</v>
      </c>
      <c r="T20" s="26">
        <f>股权价值增加表!T13-股权价值增加表!T14</f>
        <v>81031233.650000006</v>
      </c>
      <c r="U20" s="26">
        <f>股权价值增加表!U13-股权价值增加表!U14</f>
        <v>164775067.25999999</v>
      </c>
      <c r="V20" s="26">
        <f>股权价值增加表!V13-股权价值增加表!V14</f>
        <v>161025394.76000002</v>
      </c>
      <c r="W20" s="26">
        <f>股权价值增加表!W13-股权价值增加表!W14</f>
        <v>50366519.18</v>
      </c>
      <c r="X20" s="26">
        <f>股权价值增加表!X13-股权价值增加表!X14</f>
        <v>37239941.109999999</v>
      </c>
      <c r="Y20" s="26">
        <f>股权价值增加表!Y13-股权价值增加表!Y14</f>
        <v>-48020750.480000004</v>
      </c>
      <c r="Z20" s="26">
        <f>股权价值增加表!Z13-股权价值增加表!Z14</f>
        <v>59027274.390000001</v>
      </c>
      <c r="AA20" s="26">
        <f>股权价值增加表!AA13-股权价值增加表!AA14</f>
        <v>51528480.980000004</v>
      </c>
      <c r="AB20" s="26">
        <f>股权价值增加表!AB13-股权价值增加表!AB14</f>
        <v>6243480.21</v>
      </c>
      <c r="AC20" s="26">
        <f>股权价值增加表!AC13-股权价值增加表!AC14</f>
        <v>84429613.639999986</v>
      </c>
      <c r="AD20" s="26">
        <f>股权价值增加表!AD13-股权价值增加表!AD14</f>
        <v>41535118.689999998</v>
      </c>
      <c r="AE20" s="26">
        <f>股权价值增加表!AE13-股权价值增加表!AE14</f>
        <v>24173126.23</v>
      </c>
      <c r="AF20" s="26">
        <f>股权价值增加表!AF13-股权价值增加表!AF14</f>
        <v>4996996.1899999995</v>
      </c>
      <c r="AG20" s="26">
        <f>股权价值增加表!AG13-股权价值增加表!AG14</f>
        <v>265004227.04000002</v>
      </c>
      <c r="AH20" s="26">
        <f>股权价值增加表!AH13-股权价值增加表!AH14</f>
        <v>187131429.67000002</v>
      </c>
      <c r="AI20" s="26">
        <f>股权价值增加表!AI13-股权价值增加表!AI14</f>
        <v>102621083.2</v>
      </c>
      <c r="AJ20" s="26">
        <f>股权价值增加表!AJ13-股权价值增加表!AJ14</f>
        <v>21848577.91</v>
      </c>
      <c r="AK20" s="26">
        <f>股权价值增加表!AK13-股权价值增加表!AK14</f>
        <v>310914866.68000001</v>
      </c>
      <c r="AL20" s="26">
        <f>股权价值增加表!AL13-股权价值增加表!AL14</f>
        <v>338343753.64000005</v>
      </c>
      <c r="AM20" s="26">
        <f>股权价值增加表!AM13-股权价值增加表!AM14</f>
        <v>215799081.34</v>
      </c>
      <c r="AN20" s="26">
        <f>股权价值增加表!AN13-股权价值增加表!AN14</f>
        <v>128828220.28999999</v>
      </c>
      <c r="AO20" s="26">
        <f>股权价值增加表!AO13-股权价值增加表!AO14</f>
        <v>372370057.50999999</v>
      </c>
      <c r="AP20" s="26">
        <f>股权价值增加表!AP13-股权价值增加表!AP14</f>
        <v>252425567.59999999</v>
      </c>
      <c r="AQ20" s="26">
        <f>股权价值增加表!AQ13-股权价值增加表!AQ14</f>
        <v>96544943.620000005</v>
      </c>
      <c r="AR20" s="26">
        <f>股权价值增加表!AR13-股权价值增加表!AR14</f>
        <v>15686721.01</v>
      </c>
      <c r="AS20" s="26">
        <f>股权价值增加表!AS13-股权价值增加表!AS14</f>
        <v>121400185.56999999</v>
      </c>
      <c r="AT20" s="26">
        <f>股权价值增加表!AT13-股权价值增加表!AT14</f>
        <v>61727284.800000004</v>
      </c>
      <c r="AU20" s="26">
        <f>股权价值增加表!AU13-股权价值增加表!AU14</f>
        <v>61010704.560000002</v>
      </c>
      <c r="AV20" s="26">
        <f>股权价值增加表!AV13-股权价值增加表!AV14</f>
        <v>57585802.619999997</v>
      </c>
      <c r="AW20" s="26">
        <f>股权价值增加表!AW13-股权价值增加表!AW14</f>
        <v>-129102.28999999992</v>
      </c>
      <c r="AX20" s="26">
        <f>股权价值增加表!AX13-股权价值增加表!AX14</f>
        <v>-70025.51999999999</v>
      </c>
      <c r="AY20" s="26">
        <f>股权价值增加表!AY13-股权价值增加表!AY14</f>
        <v>-10289.570000000007</v>
      </c>
      <c r="AZ20" s="26">
        <f>股权价值增加表!AZ13-股权价值增加表!AZ14</f>
        <v>-24864.43</v>
      </c>
      <c r="BA20" s="26">
        <f>股权价值增加表!BA13-股权价值增加表!BA14</f>
        <v>-43043234.099999994</v>
      </c>
      <c r="BB20" s="26">
        <f>股权价值增加表!BB13-股权价值增加表!BB14</f>
        <v>-262428.03000000003</v>
      </c>
      <c r="BC20" s="26">
        <f>股权价值增加表!BC13-股权价值增加表!BC14</f>
        <v>7463.57</v>
      </c>
      <c r="BD20" s="26">
        <f>股权价值增加表!BD13-股权价值增加表!BD14</f>
        <v>600</v>
      </c>
      <c r="BE20" s="26">
        <f>股权价值增加表!BE13-股权价值增加表!BE14</f>
        <v>-43506441.950000003</v>
      </c>
      <c r="BF20" s="26">
        <f>股权价值增加表!BF13-股权价值增加表!BF14</f>
        <v>-22765954.760000002</v>
      </c>
      <c r="BG20" s="26">
        <f>股权价值增加表!BG13-股权价值增加表!BG14</f>
        <v>-23131649.710000001</v>
      </c>
      <c r="BH20" s="26">
        <f>股权价值增加表!BH13-股权价值增加表!BH14</f>
        <v>553046</v>
      </c>
      <c r="BI20" s="26">
        <f>股权价值增加表!BI13-股权价值增加表!BI14</f>
        <v>-709893.22</v>
      </c>
      <c r="BJ20" s="26">
        <f>股权价值增加表!BJ13-股权价值增加表!BJ14</f>
        <v>-768238.36</v>
      </c>
      <c r="BK20" s="26">
        <f>股权价值增加表!BK13-股权价值增加表!BK14</f>
        <v>-622822.48</v>
      </c>
      <c r="BL20" s="26">
        <f>股权价值增加表!BL13-股权价值增加表!BL14</f>
        <v>186713.60000000001</v>
      </c>
      <c r="BM20" s="26">
        <f>股权价值增加表!BM13-股权价值增加表!BM14</f>
        <v>-784648.24999999988</v>
      </c>
      <c r="BN20" s="26">
        <f>股权价值增加表!BN13-股权价值增加表!BN14</f>
        <v>-731504.58</v>
      </c>
      <c r="BO20" s="26">
        <f>股权价值增加表!BO13-股权价值增加表!BO14</f>
        <v>342483.06</v>
      </c>
      <c r="BP20" s="26">
        <f>股权价值增加表!BP13-股权价值增加表!BP14</f>
        <v>-25758.54</v>
      </c>
      <c r="BQ20" s="26">
        <f>股权价值增加表!BQ13-股权价值增加表!BQ14</f>
        <v>-6602698.8300000001</v>
      </c>
      <c r="BR20" s="26">
        <f>股权价值增加表!BR13-股权价值增加表!BR14</f>
        <v>-1756600</v>
      </c>
      <c r="BS20" s="26">
        <f>股权价值增加表!BS13-股权价值增加表!BS14</f>
        <v>-1747142.42</v>
      </c>
      <c r="BT20" s="26">
        <f>股权价值增加表!BT13-股权价值增加表!BT14</f>
        <v>-5721846.9800000004</v>
      </c>
      <c r="BU20" s="26">
        <f>股权价值增加表!BU13-股权价值增加表!BU14</f>
        <v>-21752.42</v>
      </c>
      <c r="BV20" s="26">
        <f>股权价值增加表!BV13-股权价值增加表!BV14</f>
        <v>-2629595.2000000002</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-3.9449266976016957E-3</v>
      </c>
      <c r="F21" s="57">
        <f t="shared" ref="F21:BQ21" si="21">F20/F2</f>
        <v>-1.1304016804320064E-3</v>
      </c>
      <c r="G21" s="57">
        <f t="shared" si="21"/>
        <v>3.3863136701813999E-4</v>
      </c>
      <c r="H21" s="57">
        <f t="shared" si="21"/>
        <v>4.8379792009017632E-3</v>
      </c>
      <c r="I21" s="57">
        <f t="shared" si="21"/>
        <v>8.4791928608008246E-5</v>
      </c>
      <c r="J21" s="57">
        <f t="shared" si="21"/>
        <v>1.0740237401105062E-3</v>
      </c>
      <c r="K21" s="57">
        <f t="shared" si="21"/>
        <v>3.4549956217307396E-3</v>
      </c>
      <c r="L21" s="57">
        <f t="shared" si="21"/>
        <v>3.2047792409423529E-3</v>
      </c>
      <c r="M21" s="57">
        <f t="shared" si="21"/>
        <v>7.1533497412928212E-3</v>
      </c>
      <c r="N21" s="57">
        <f t="shared" si="21"/>
        <v>1.3148382173847785E-2</v>
      </c>
      <c r="O21" s="57">
        <f t="shared" si="21"/>
        <v>-2.6025581039320345E-3</v>
      </c>
      <c r="P21" s="57">
        <f t="shared" si="21"/>
        <v>1.3974987434934249E-3</v>
      </c>
      <c r="Q21" s="57">
        <f t="shared" si="21"/>
        <v>1.0509508297017818E-3</v>
      </c>
      <c r="R21" s="57">
        <f t="shared" si="21"/>
        <v>9.7571231774680935E-3</v>
      </c>
      <c r="S21" s="57">
        <f t="shared" si="21"/>
        <v>8.9556516877307684E-3</v>
      </c>
      <c r="T21" s="57">
        <f t="shared" si="21"/>
        <v>1.5775716779225849E-2</v>
      </c>
      <c r="U21" s="57">
        <f t="shared" si="21"/>
        <v>8.1418759420793987E-3</v>
      </c>
      <c r="V21" s="57">
        <f t="shared" si="21"/>
        <v>1.047372616927319E-2</v>
      </c>
      <c r="W21" s="57">
        <f t="shared" si="21"/>
        <v>5.0488182721715623E-3</v>
      </c>
      <c r="X21" s="57">
        <f t="shared" si="21"/>
        <v>7.796754946224338E-3</v>
      </c>
      <c r="Y21" s="57">
        <f t="shared" si="21"/>
        <v>-3.0121922837223311E-3</v>
      </c>
      <c r="Z21" s="57">
        <f t="shared" si="21"/>
        <v>5.1685983918645807E-3</v>
      </c>
      <c r="AA21" s="57">
        <f t="shared" si="21"/>
        <v>7.1965444784010523E-3</v>
      </c>
      <c r="AB21" s="57">
        <f t="shared" si="21"/>
        <v>1.9028402526410338E-3</v>
      </c>
      <c r="AC21" s="57">
        <f t="shared" si="21"/>
        <v>6.1797477938914111E-3</v>
      </c>
      <c r="AD21" s="57">
        <f t="shared" si="21"/>
        <v>3.9523335733839945E-3</v>
      </c>
      <c r="AE21" s="57">
        <f t="shared" si="21"/>
        <v>3.51432975915339E-3</v>
      </c>
      <c r="AF21" s="57">
        <f t="shared" si="21"/>
        <v>1.5695692442774228E-3</v>
      </c>
      <c r="AG21" s="57">
        <f t="shared" si="21"/>
        <v>2.8102916004886794E-2</v>
      </c>
      <c r="AH21" s="57">
        <f t="shared" si="21"/>
        <v>2.7906212673717908E-2</v>
      </c>
      <c r="AI21" s="57">
        <f t="shared" si="21"/>
        <v>2.3427685141155275E-2</v>
      </c>
      <c r="AJ21" s="57">
        <f t="shared" si="21"/>
        <v>1.0661859013355706E-2</v>
      </c>
      <c r="AK21" s="57">
        <f t="shared" si="21"/>
        <v>4.7885216681678222E-2</v>
      </c>
      <c r="AL21" s="57">
        <f t="shared" si="21"/>
        <v>7.2692366724027541E-2</v>
      </c>
      <c r="AM21" s="57">
        <f t="shared" si="21"/>
        <v>7.8473563860057091E-2</v>
      </c>
      <c r="AN21" s="57">
        <f t="shared" si="21"/>
        <v>0.10631237543653672</v>
      </c>
      <c r="AO21" s="57">
        <f t="shared" si="21"/>
        <v>4.8332173118256078E-2</v>
      </c>
      <c r="AP21" s="57">
        <f t="shared" si="21"/>
        <v>4.0894922246269533E-2</v>
      </c>
      <c r="AQ21" s="57">
        <f t="shared" si="21"/>
        <v>2.316483969685882E-2</v>
      </c>
      <c r="AR21" s="57">
        <f t="shared" si="21"/>
        <v>7.9827183692067049E-3</v>
      </c>
      <c r="AS21" s="57">
        <f t="shared" si="21"/>
        <v>1.5556978869700512E-2</v>
      </c>
      <c r="AT21" s="57">
        <f t="shared" si="21"/>
        <v>1.0524000119312364E-2</v>
      </c>
      <c r="AU21" s="57">
        <f t="shared" si="21"/>
        <v>1.7290393239017082E-2</v>
      </c>
      <c r="AV21" s="57">
        <f t="shared" si="21"/>
        <v>3.3327465440920058E-2</v>
      </c>
      <c r="AW21" s="57">
        <f t="shared" si="21"/>
        <v>-2.6306754849949801E-5</v>
      </c>
      <c r="AX21" s="57">
        <f t="shared" si="21"/>
        <v>-1.9738704425622904E-5</v>
      </c>
      <c r="AY21" s="57">
        <f t="shared" si="21"/>
        <v>-4.8956155424963334E-6</v>
      </c>
      <c r="AZ21" s="57">
        <f t="shared" si="21"/>
        <v>-2.3569900202645324E-5</v>
      </c>
      <c r="BA21" s="57">
        <f t="shared" si="21"/>
        <v>-1.3005802967299905E-2</v>
      </c>
      <c r="BB21" s="57">
        <f t="shared" si="21"/>
        <v>-1.0286229696699675E-4</v>
      </c>
      <c r="BC21" s="57">
        <f t="shared" si="21"/>
        <v>4.6086635114564727E-6</v>
      </c>
      <c r="BD21" s="57">
        <f t="shared" si="21"/>
        <v>7.546325083474541E-7</v>
      </c>
      <c r="BE21" s="57">
        <f t="shared" si="21"/>
        <v>-2.0675719167158532E-2</v>
      </c>
      <c r="BF21" s="57">
        <f t="shared" si="21"/>
        <v>-1.3425732290572359E-2</v>
      </c>
      <c r="BG21" s="57">
        <f t="shared" si="21"/>
        <v>-2.1945385840346606E-2</v>
      </c>
      <c r="BH21" s="57">
        <f t="shared" si="21"/>
        <v>1.1046637579131861E-3</v>
      </c>
      <c r="BI21" s="57">
        <f t="shared" si="21"/>
        <v>-5.2831015379812727E-4</v>
      </c>
      <c r="BJ21" s="57">
        <f t="shared" si="21"/>
        <v>-7.6008600989666648E-4</v>
      </c>
      <c r="BK21" s="57">
        <f t="shared" si="21"/>
        <v>-8.5454188648911779E-4</v>
      </c>
      <c r="BL21" s="57">
        <f t="shared" si="21"/>
        <v>5.1096377398533971E-4</v>
      </c>
      <c r="BM21" s="57">
        <f t="shared" si="21"/>
        <v>-8.898821311044637E-4</v>
      </c>
      <c r="BN21" s="57">
        <f t="shared" si="21"/>
        <v>-9.9999352159996203E-4</v>
      </c>
      <c r="BO21" s="57">
        <f t="shared" si="21"/>
        <v>7.79168990870868E-4</v>
      </c>
      <c r="BP21" s="57">
        <f t="shared" si="21"/>
        <v>-1.1756372510817554E-4</v>
      </c>
      <c r="BQ21" s="57">
        <f t="shared" si="21"/>
        <v>-1.1557556881078837E-2</v>
      </c>
      <c r="BR21" s="57">
        <f t="shared" ref="BR21:CK21" si="22">BR20/BR2</f>
        <v>-3.6758351193547805E-3</v>
      </c>
      <c r="BS21" s="57">
        <f t="shared" si="22"/>
        <v>-6.0212132485841698E-3</v>
      </c>
      <c r="BT21" s="57">
        <f t="shared" si="22"/>
        <v>-1.6592129087419232E-2</v>
      </c>
      <c r="BU21" s="57">
        <f t="shared" si="22"/>
        <v>-1.352015634990682E-4</v>
      </c>
      <c r="BV21" s="57">
        <f t="shared" si="22"/>
        <v>-1.2497713532339236E-2</v>
      </c>
      <c r="BW21" s="57">
        <f t="shared" si="22"/>
        <v>0</v>
      </c>
      <c r="BX21" s="57">
        <f t="shared" si="22"/>
        <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7.6521978827306616E-2</v>
      </c>
      <c r="F22" s="66">
        <f t="shared" ref="F22:BQ22" si="23">F11+F13+F15+F17+F19+F21</f>
        <v>7.4980283123118344E-2</v>
      </c>
      <c r="G22" s="66">
        <f t="shared" si="23"/>
        <v>7.4493683485340439E-2</v>
      </c>
      <c r="H22" s="66">
        <f t="shared" si="23"/>
        <v>8.0748040686316538E-2</v>
      </c>
      <c r="I22" s="66">
        <f t="shared" si="23"/>
        <v>9.6684735954911852E-2</v>
      </c>
      <c r="J22" s="66">
        <f t="shared" si="23"/>
        <v>9.6785046436139513E-2</v>
      </c>
      <c r="K22" s="66">
        <f t="shared" si="23"/>
        <v>0.103480741051791</v>
      </c>
      <c r="L22" s="66">
        <f t="shared" si="23"/>
        <v>0.10865874493815193</v>
      </c>
      <c r="M22" s="66">
        <f t="shared" si="23"/>
        <v>0.12365277193609023</v>
      </c>
      <c r="N22" s="66">
        <f t="shared" si="23"/>
        <v>0.12697277055844008</v>
      </c>
      <c r="O22" s="66">
        <f t="shared" si="23"/>
        <v>0.11258853231253028</v>
      </c>
      <c r="P22" s="66">
        <f t="shared" si="23"/>
        <v>0.10959988200682019</v>
      </c>
      <c r="Q22" s="66">
        <f t="shared" si="23"/>
        <v>0.10444823282924164</v>
      </c>
      <c r="R22" s="66">
        <f t="shared" si="23"/>
        <v>0.10085988847199952</v>
      </c>
      <c r="S22" s="66">
        <f t="shared" si="23"/>
        <v>0.10001937641810515</v>
      </c>
      <c r="T22" s="66">
        <f t="shared" si="23"/>
        <v>8.8075738048331798E-2</v>
      </c>
      <c r="U22" s="66">
        <f t="shared" si="23"/>
        <v>0.11554182671619519</v>
      </c>
      <c r="V22" s="66">
        <f t="shared" si="23"/>
        <v>0.117388217840174</v>
      </c>
      <c r="W22" s="66">
        <f t="shared" si="23"/>
        <v>0.11437790851719815</v>
      </c>
      <c r="X22" s="66">
        <f t="shared" si="23"/>
        <v>0.10411669504168729</v>
      </c>
      <c r="Y22" s="66">
        <f t="shared" si="23"/>
        <v>0.10318614167297598</v>
      </c>
      <c r="Z22" s="66">
        <f t="shared" si="23"/>
        <v>0.10747454669187836</v>
      </c>
      <c r="AA22" s="66">
        <f t="shared" si="23"/>
        <v>0.10930167239431042</v>
      </c>
      <c r="AB22" s="66">
        <f t="shared" si="23"/>
        <v>0.10511644008889422</v>
      </c>
      <c r="AC22" s="66">
        <f t="shared" si="23"/>
        <v>0.10305798660535008</v>
      </c>
      <c r="AD22" s="66">
        <f t="shared" si="23"/>
        <v>0.10190239354823745</v>
      </c>
      <c r="AE22" s="66">
        <f t="shared" si="23"/>
        <v>0.10345158856888766</v>
      </c>
      <c r="AF22" s="66">
        <f t="shared" si="23"/>
        <v>0.10316026721377404</v>
      </c>
      <c r="AG22" s="66">
        <f t="shared" si="23"/>
        <v>0.12174490927944261</v>
      </c>
      <c r="AH22" s="66">
        <f t="shared" si="23"/>
        <v>0.11684126558920477</v>
      </c>
      <c r="AI22" s="66">
        <f t="shared" si="23"/>
        <v>0.11416302975519907</v>
      </c>
      <c r="AJ22" s="66">
        <f t="shared" si="23"/>
        <v>9.4141387449493311E-2</v>
      </c>
      <c r="AK22" s="66">
        <f t="shared" si="23"/>
        <v>0.16077202318273334</v>
      </c>
      <c r="AL22" s="66">
        <f t="shared" si="23"/>
        <v>0.18716563408516473</v>
      </c>
      <c r="AM22" s="66">
        <f t="shared" si="23"/>
        <v>0.19167824588688692</v>
      </c>
      <c r="AN22" s="66">
        <f t="shared" si="23"/>
        <v>0.23312582966351092</v>
      </c>
      <c r="AO22" s="66">
        <f t="shared" si="23"/>
        <v>0.14207656273862707</v>
      </c>
      <c r="AP22" s="66">
        <f t="shared" si="23"/>
        <v>0.13114120432008858</v>
      </c>
      <c r="AQ22" s="66">
        <f t="shared" si="23"/>
        <v>0.11396369160353065</v>
      </c>
      <c r="AR22" s="66">
        <f t="shared" si="23"/>
        <v>0.10698035420375415</v>
      </c>
      <c r="AS22" s="66">
        <f t="shared" si="23"/>
        <v>0.12842420651889963</v>
      </c>
      <c r="AT22" s="66">
        <f t="shared" si="23"/>
        <v>0.10836270250622376</v>
      </c>
      <c r="AU22" s="66">
        <f t="shared" si="23"/>
        <v>0.10992408704562288</v>
      </c>
      <c r="AV22" s="66">
        <f t="shared" si="23"/>
        <v>0.1279791050990387</v>
      </c>
      <c r="AW22" s="66">
        <f t="shared" si="23"/>
        <v>9.8132463882882728E-2</v>
      </c>
      <c r="AX22" s="66">
        <f t="shared" si="23"/>
        <v>9.6944600053735994E-2</v>
      </c>
      <c r="AY22" s="66">
        <f t="shared" si="23"/>
        <v>8.7648004620910908E-2</v>
      </c>
      <c r="AZ22" s="66">
        <f t="shared" si="23"/>
        <v>8.5662104445078893E-2</v>
      </c>
      <c r="BA22" s="66">
        <f t="shared" si="23"/>
        <v>8.7500326940420758E-2</v>
      </c>
      <c r="BB22" s="66">
        <f t="shared" si="23"/>
        <v>9.7665617885336689E-2</v>
      </c>
      <c r="BC22" s="66">
        <f t="shared" si="23"/>
        <v>9.3747942435670556E-2</v>
      </c>
      <c r="BD22" s="66">
        <f t="shared" si="23"/>
        <v>0.11218100227242753</v>
      </c>
      <c r="BE22" s="66">
        <f t="shared" si="23"/>
        <v>0.11802431312778146</v>
      </c>
      <c r="BF22" s="66">
        <f t="shared" si="23"/>
        <v>0.11875834316814056</v>
      </c>
      <c r="BG22" s="66">
        <f t="shared" si="23"/>
        <v>0.10720893881489352</v>
      </c>
      <c r="BH22" s="66">
        <f t="shared" si="23"/>
        <v>0.13472419422785409</v>
      </c>
      <c r="BI22" s="66">
        <f t="shared" si="23"/>
        <v>0.13380310000939119</v>
      </c>
      <c r="BJ22" s="66">
        <f t="shared" si="23"/>
        <v>0.11674627819143832</v>
      </c>
      <c r="BK22" s="66">
        <f t="shared" si="23"/>
        <v>0.10153112887095872</v>
      </c>
      <c r="BL22" s="66">
        <f t="shared" si="23"/>
        <v>0.12010271011678363</v>
      </c>
      <c r="BM22" s="66">
        <f t="shared" si="23"/>
        <v>0.1328335917522612</v>
      </c>
      <c r="BN22" s="66">
        <f t="shared" si="23"/>
        <v>0.11825913393294367</v>
      </c>
      <c r="BO22" s="66">
        <f t="shared" si="23"/>
        <v>9.8826218522968828E-2</v>
      </c>
      <c r="BP22" s="66">
        <f t="shared" si="23"/>
        <v>0.11431386916243526</v>
      </c>
      <c r="BQ22" s="66">
        <f t="shared" si="23"/>
        <v>0.14502450064620406</v>
      </c>
      <c r="BR22" s="66">
        <f t="shared" ref="BR22:CJ22" si="24">BR11+BR13+BR15+BR17+BR19+BR21</f>
        <v>-3.6758351193547805E-3</v>
      </c>
      <c r="BS22" s="66">
        <f t="shared" si="24"/>
        <v>0.13249602720623399</v>
      </c>
      <c r="BT22" s="66">
        <f t="shared" si="24"/>
        <v>0.11223288919068942</v>
      </c>
      <c r="BU22" s="66">
        <f t="shared" si="24"/>
        <v>0.1432720061240253</v>
      </c>
      <c r="BV22" s="66">
        <f t="shared" si="24"/>
        <v>5.6716961358307255E-2</v>
      </c>
      <c r="BW22" s="66">
        <f t="shared" si="24"/>
        <v>5.9217802332864854E-2</v>
      </c>
      <c r="BX22" s="66">
        <f t="shared" si="24"/>
        <v>6.4603900372948886E-2</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371</v>
      </c>
      <c r="E23" s="27">
        <f>股权价值增加表!E17</f>
        <v>12976868489.444864</v>
      </c>
      <c r="F23" s="27">
        <f>股权价值增加表!F17</f>
        <v>9632101468.6763554</v>
      </c>
      <c r="G23" s="27">
        <f>股权价值增加表!G17</f>
        <v>6015253794.3666124</v>
      </c>
      <c r="H23" s="27">
        <f>股权价值增加表!H17</f>
        <v>2731529799.6172357</v>
      </c>
      <c r="I23" s="27">
        <f>股权价值增加表!I17</f>
        <v>5198846948.33745</v>
      </c>
      <c r="J23" s="27">
        <f>股权价值增加表!J17</f>
        <v>3473305059.7947035</v>
      </c>
      <c r="K23" s="27">
        <f>股权价值增加表!K17</f>
        <v>1954607702.1922765</v>
      </c>
      <c r="L23" s="27">
        <f>股权价值增加表!L17</f>
        <v>721000333.34214818</v>
      </c>
      <c r="M23" s="27">
        <f>股权价值增加表!M17</f>
        <v>2780084158.4731569</v>
      </c>
      <c r="N23" s="27">
        <f>股权价值增加表!N17</f>
        <v>2425905129.0165901</v>
      </c>
      <c r="O23" s="27">
        <f>股权价值增加表!O17</f>
        <v>1595368430.4082131</v>
      </c>
      <c r="P23" s="27">
        <f>股权价值增加表!P17</f>
        <v>679335239.70540893</v>
      </c>
      <c r="Q23" s="27">
        <f>股权价值增加表!Q17</f>
        <v>3502019156.6366949</v>
      </c>
      <c r="R23" s="27">
        <f>股权价值增加表!R17</f>
        <v>2966362444.4020944</v>
      </c>
      <c r="S23" s="27">
        <f>股权价值增加表!S17</f>
        <v>1971593633.1989527</v>
      </c>
      <c r="T23" s="27">
        <f>股权价值增加表!T17</f>
        <v>1005380525.758021</v>
      </c>
      <c r="U23" s="27">
        <f>股权价值增加表!U17</f>
        <v>3961465014.3701439</v>
      </c>
      <c r="V23" s="27">
        <f>股权价值增加表!V17</f>
        <v>3224710489.0601788</v>
      </c>
      <c r="W23" s="27">
        <f>股权价值增加表!W17</f>
        <v>2086961396.7269118</v>
      </c>
      <c r="X23" s="27">
        <f>股权价值增加表!X17</f>
        <v>1029771535.3962491</v>
      </c>
      <c r="Y23" s="27">
        <f>股权价值增加表!Y17</f>
        <v>3228903517.857789</v>
      </c>
      <c r="Z23" s="27">
        <f>股权价值增加表!Z17</f>
        <v>2320500788.4320965</v>
      </c>
      <c r="AA23" s="27">
        <f>股权价值增加表!AA17</f>
        <v>1396958503.3643105</v>
      </c>
      <c r="AB23" s="27">
        <f>股权价值增加表!AB17</f>
        <v>612826996.55925703</v>
      </c>
      <c r="AC23" s="27">
        <f>股权价值增加表!AC17</f>
        <v>2497148688.5564556</v>
      </c>
      <c r="AD23" s="27">
        <f>股权价值增加表!AD17</f>
        <v>2054796496.5119445</v>
      </c>
      <c r="AE23" s="27">
        <f>股权价值增加表!AE17</f>
        <v>1325651144.0420835</v>
      </c>
      <c r="AF23" s="27">
        <f>股权价值增加表!AF17</f>
        <v>616169979.182217</v>
      </c>
      <c r="AG23" s="27">
        <f>股权价值增加表!AG17</f>
        <v>1579703752.0022938</v>
      </c>
      <c r="AH23" s="27">
        <f>股权价值增加表!AH17</f>
        <v>1109662091.3399243</v>
      </c>
      <c r="AI23" s="27">
        <f>股权价值增加表!AI17</f>
        <v>725999847.28519285</v>
      </c>
      <c r="AJ23" s="27">
        <f>股权价值增加表!AJ17</f>
        <v>298466721.86496413</v>
      </c>
      <c r="AK23" s="27">
        <f>股权价值增加表!AK17</f>
        <v>1290981391.2196319</v>
      </c>
      <c r="AL23" s="27">
        <f>股权价值增加表!AL17</f>
        <v>1059499489.8109273</v>
      </c>
      <c r="AM23" s="27">
        <f>股权价值增加表!AM17</f>
        <v>614523337.51661706</v>
      </c>
      <c r="AN23" s="27">
        <f>股权价值增加表!AN17</f>
        <v>242347482.90481988</v>
      </c>
      <c r="AO23" s="27">
        <f>股权价值增加表!AO17</f>
        <v>1795727124.8941958</v>
      </c>
      <c r="AP23" s="27">
        <f>股权价值增加表!AP17</f>
        <v>1418415284.2236533</v>
      </c>
      <c r="AQ23" s="27">
        <f>股权价值增加表!AQ17</f>
        <v>1002718524.9564688</v>
      </c>
      <c r="AR23" s="27">
        <f>股权价值增加表!AR17</f>
        <v>417528706.48540634</v>
      </c>
      <c r="AS23" s="27">
        <f>股权价值增加表!AS17</f>
        <v>1656943109.3026452</v>
      </c>
      <c r="AT23" s="27">
        <f>股权价值增加表!AT17</f>
        <v>1240831837.8900557</v>
      </c>
      <c r="AU23" s="27">
        <f>股权价值增加表!AU17</f>
        <v>715986600.52951312</v>
      </c>
      <c r="AV23" s="27">
        <f>股权价值增加表!AV17</f>
        <v>372481444.04489732</v>
      </c>
      <c r="AW23" s="27">
        <f>股权价值增加表!AW17</f>
        <v>901293934.54950595</v>
      </c>
      <c r="AX23" s="27">
        <f>股权价值增加表!AX17</f>
        <v>637770011.06146145</v>
      </c>
      <c r="AY23" s="27">
        <f>股权价值增加表!AY17</f>
        <v>330516793.41538543</v>
      </c>
      <c r="AZ23" s="27">
        <f>股权价值增加表!AZ17</f>
        <v>182024470.8472316</v>
      </c>
      <c r="BA23" s="27">
        <f>股权价值增加表!BA17</f>
        <v>614842253.92293417</v>
      </c>
      <c r="BB23" s="27">
        <f>股权价值增加表!BB17</f>
        <v>491126519.55461949</v>
      </c>
      <c r="BC23" s="27">
        <f>股权价值增加表!BC17</f>
        <v>335027971.60200769</v>
      </c>
      <c r="BD23" s="27">
        <f>股权价值增加表!BD17</f>
        <v>158274240.51798815</v>
      </c>
      <c r="BE23" s="27">
        <f>股权价值增加表!BE17</f>
        <v>404717295.60229045</v>
      </c>
      <c r="BF23" s="27">
        <f>股权价值增加表!BF17</f>
        <v>317635246.67797565</v>
      </c>
      <c r="BG23" s="27">
        <f>股权价值增加表!BG17</f>
        <v>215229500.09370551</v>
      </c>
      <c r="BH23" s="27">
        <f>股权价值增加表!BH17</f>
        <v>96207531.906359017</v>
      </c>
      <c r="BI23" s="27">
        <f>股权价值增加表!BI17</f>
        <v>231411393.13307896</v>
      </c>
      <c r="BJ23" s="27">
        <f>股权价值增加表!BJ17</f>
        <v>186125459.34605753</v>
      </c>
      <c r="BK23" s="27">
        <f>股权价值增加表!BK17</f>
        <v>137365288.72577456</v>
      </c>
      <c r="BL23" s="27">
        <f>股权价值增加表!BL17</f>
        <v>58406257.035491951</v>
      </c>
      <c r="BM23" s="27">
        <f>股权价值增加表!BM17</f>
        <v>151861158.2411426</v>
      </c>
      <c r="BN23" s="27">
        <f>股权价值增加表!BN17</f>
        <v>121954644.70661359</v>
      </c>
      <c r="BO23" s="27">
        <f>股权价值增加表!BO17</f>
        <v>90617412.915097833</v>
      </c>
      <c r="BP23" s="27">
        <f>股权价值增加表!BP17</f>
        <v>34014032.465076312</v>
      </c>
      <c r="BQ23" s="27">
        <f>股权价值增加表!BQ17</f>
        <v>98689418.820438549</v>
      </c>
      <c r="BR23" s="27">
        <f>股权价值增加表!BR17</f>
        <v>452015666.9892509</v>
      </c>
      <c r="BS23" s="27">
        <f>股权价值增加表!BS17</f>
        <v>60254463.795434579</v>
      </c>
      <c r="BT23" s="27">
        <f>股权价值增加表!BT17</f>
        <v>51274074.184352919</v>
      </c>
      <c r="BU23" s="27">
        <f>股权价值增加表!BU17</f>
        <v>27829944.136092931</v>
      </c>
      <c r="BV23" s="27">
        <f>股权价值增加表!BV17</f>
        <v>21845886.112457793</v>
      </c>
      <c r="BW23" s="27">
        <f>股权价值增加表!BW17</f>
        <v>23281522.612663776</v>
      </c>
      <c r="BX23" s="27">
        <f>股权价值增加表!BX17</f>
        <v>15630176.787137341</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0.2442788653874845</v>
      </c>
      <c r="F24" s="57">
        <f t="shared" ref="F24:BQ24" si="25">F23/F2</f>
        <v>0.24720829731247451</v>
      </c>
      <c r="G24" s="57">
        <f t="shared" si="25"/>
        <v>0.24622318877529872</v>
      </c>
      <c r="H24" s="57">
        <f t="shared" si="25"/>
        <v>0.24816187269926149</v>
      </c>
      <c r="I24" s="57">
        <f t="shared" si="25"/>
        <v>0.17271996228553591</v>
      </c>
      <c r="J24" s="57">
        <f t="shared" si="25"/>
        <v>0.16593134319645658</v>
      </c>
      <c r="K24" s="57">
        <f t="shared" si="25"/>
        <v>0.15667230977237259</v>
      </c>
      <c r="L24" s="57">
        <f t="shared" si="25"/>
        <v>0.13604778051606567</v>
      </c>
      <c r="M24" s="57">
        <f t="shared" si="25"/>
        <v>0.14262413037076302</v>
      </c>
      <c r="N24" s="57">
        <f t="shared" si="25"/>
        <v>0.16404191844834479</v>
      </c>
      <c r="O24" s="57">
        <f t="shared" si="25"/>
        <v>0.15886542425332281</v>
      </c>
      <c r="P24" s="57">
        <f t="shared" si="25"/>
        <v>0.14978164133326979</v>
      </c>
      <c r="Q24" s="57">
        <f t="shared" si="25"/>
        <v>0.15854584997628599</v>
      </c>
      <c r="R24" s="57">
        <f t="shared" si="25"/>
        <v>0.16702302553115908</v>
      </c>
      <c r="S24" s="57">
        <f t="shared" si="25"/>
        <v>0.16902047889191527</v>
      </c>
      <c r="T24" s="57">
        <f t="shared" si="25"/>
        <v>0.1957343818584171</v>
      </c>
      <c r="U24" s="57">
        <f t="shared" si="25"/>
        <v>0.19574415736693959</v>
      </c>
      <c r="V24" s="57">
        <f t="shared" si="25"/>
        <v>0.20974787664975969</v>
      </c>
      <c r="W24" s="57">
        <f t="shared" si="25"/>
        <v>0.2092002585180737</v>
      </c>
      <c r="X24" s="57">
        <f t="shared" si="25"/>
        <v>0.2155985233264977</v>
      </c>
      <c r="Y24" s="57">
        <f t="shared" si="25"/>
        <v>0.20253907246672254</v>
      </c>
      <c r="Z24" s="57">
        <f t="shared" si="25"/>
        <v>0.20318974181607347</v>
      </c>
      <c r="AA24" s="57">
        <f t="shared" si="25"/>
        <v>0.19510130733028694</v>
      </c>
      <c r="AB24" s="57">
        <f t="shared" si="25"/>
        <v>0.18677273535524871</v>
      </c>
      <c r="AC24" s="57">
        <f t="shared" si="25"/>
        <v>0.18277649788763844</v>
      </c>
      <c r="AD24" s="57">
        <f t="shared" si="25"/>
        <v>0.19552709696701162</v>
      </c>
      <c r="AE24" s="57">
        <f t="shared" si="25"/>
        <v>0.19272539353975116</v>
      </c>
      <c r="AF24" s="57">
        <f t="shared" si="25"/>
        <v>0.19354056152911892</v>
      </c>
      <c r="AG24" s="57">
        <f t="shared" si="25"/>
        <v>0.16752291973223529</v>
      </c>
      <c r="AH24" s="57">
        <f t="shared" si="25"/>
        <v>0.1654797720057119</v>
      </c>
      <c r="AI24" s="57">
        <f t="shared" si="25"/>
        <v>0.16574075525568327</v>
      </c>
      <c r="AJ24" s="57">
        <f t="shared" si="25"/>
        <v>0.14564838598699895</v>
      </c>
      <c r="AK24" s="57">
        <f t="shared" si="25"/>
        <v>0.19882910171095738</v>
      </c>
      <c r="AL24" s="57">
        <f t="shared" si="25"/>
        <v>0.22763099548515131</v>
      </c>
      <c r="AM24" s="57">
        <f t="shared" si="25"/>
        <v>0.22346636542964288</v>
      </c>
      <c r="AN24" s="57">
        <f t="shared" si="25"/>
        <v>0.19999140351919301</v>
      </c>
      <c r="AO24" s="57">
        <f t="shared" si="25"/>
        <v>0.23307833839782821</v>
      </c>
      <c r="AP24" s="57">
        <f t="shared" si="25"/>
        <v>0.22979440360480585</v>
      </c>
      <c r="AQ24" s="57">
        <f t="shared" si="25"/>
        <v>0.24059068264736669</v>
      </c>
      <c r="AR24" s="57">
        <f t="shared" si="25"/>
        <v>0.21247359934606039</v>
      </c>
      <c r="AS24" s="57">
        <f t="shared" si="25"/>
        <v>0.21233105055555246</v>
      </c>
      <c r="AT24" s="57">
        <f t="shared" si="25"/>
        <v>0.21155173846236511</v>
      </c>
      <c r="AU24" s="57">
        <f t="shared" si="25"/>
        <v>0.20291012808822279</v>
      </c>
      <c r="AV24" s="57">
        <f t="shared" si="25"/>
        <v>0.21557157995534965</v>
      </c>
      <c r="AW24" s="57">
        <f t="shared" si="25"/>
        <v>0.18365374141651994</v>
      </c>
      <c r="AX24" s="57">
        <f t="shared" si="25"/>
        <v>0.17977379875034757</v>
      </c>
      <c r="AY24" s="57">
        <f t="shared" si="25"/>
        <v>0.15725469100267644</v>
      </c>
      <c r="AZ24" s="57">
        <f t="shared" si="25"/>
        <v>0.17254763581182322</v>
      </c>
      <c r="BA24" s="57">
        <f t="shared" si="25"/>
        <v>0.18577872638274318</v>
      </c>
      <c r="BB24" s="57">
        <f t="shared" si="25"/>
        <v>0.19250383391894074</v>
      </c>
      <c r="BC24" s="57">
        <f t="shared" si="25"/>
        <v>0.20687568925319227</v>
      </c>
      <c r="BD24" s="57">
        <f t="shared" si="25"/>
        <v>0.19906481188146274</v>
      </c>
      <c r="BE24" s="57">
        <f t="shared" si="25"/>
        <v>0.19233522142724524</v>
      </c>
      <c r="BF24" s="57">
        <f t="shared" si="25"/>
        <v>0.18731855671790915</v>
      </c>
      <c r="BG24" s="57">
        <f t="shared" si="25"/>
        <v>0.20419185328313891</v>
      </c>
      <c r="BH24" s="57">
        <f t="shared" si="25"/>
        <v>0.1921666077238264</v>
      </c>
      <c r="BI24" s="57">
        <f t="shared" si="25"/>
        <v>0.17221884257012041</v>
      </c>
      <c r="BJ24" s="57">
        <f t="shared" si="25"/>
        <v>0.18415034330559735</v>
      </c>
      <c r="BK24" s="57">
        <f t="shared" si="25"/>
        <v>0.18847167007498788</v>
      </c>
      <c r="BL24" s="57">
        <f t="shared" si="25"/>
        <v>0.15983560661469098</v>
      </c>
      <c r="BM24" s="57">
        <f t="shared" si="25"/>
        <v>0.17222816864451071</v>
      </c>
      <c r="BN24" s="57">
        <f t="shared" si="25"/>
        <v>0.1667164607986989</v>
      </c>
      <c r="BO24" s="57">
        <f t="shared" si="25"/>
        <v>0.20615991394256272</v>
      </c>
      <c r="BP24" s="57">
        <f t="shared" si="25"/>
        <v>0.15524235312035503</v>
      </c>
      <c r="BQ24" s="57">
        <f t="shared" si="25"/>
        <v>0.1727488411852689</v>
      </c>
      <c r="BR24" s="57">
        <f t="shared" ref="BR24:CJ24" si="26">BR23/BR2</f>
        <v>0.94588128385384485</v>
      </c>
      <c r="BS24" s="57">
        <f t="shared" si="26"/>
        <v>0.20765621138739562</v>
      </c>
      <c r="BT24" s="57">
        <f t="shared" si="26"/>
        <v>0.14868381847301579</v>
      </c>
      <c r="BU24" s="57">
        <f t="shared" si="26"/>
        <v>0.17297624628852742</v>
      </c>
      <c r="BV24" s="57">
        <f t="shared" si="26"/>
        <v>0.10382724553710987</v>
      </c>
      <c r="BW24" s="57">
        <f t="shared" si="26"/>
        <v>0.12884281150566015</v>
      </c>
      <c r="BX24" s="57">
        <f t="shared" si="26"/>
        <v>0.1116405029472121</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675</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52" t="s">
        <v>600</v>
      </c>
      <c r="B26" s="153"/>
      <c r="C26" s="153"/>
      <c r="D26" s="153"/>
      <c r="E26" s="154">
        <f>POWER(E2/Y2,1/6)-1</f>
        <v>0.22214563123958619</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36891</v>
      </c>
      <c r="BU27" s="1">
        <v>36707</v>
      </c>
      <c r="BV27" s="1">
        <v>36525</v>
      </c>
      <c r="BW27" s="1">
        <v>36160</v>
      </c>
      <c r="BX27" s="1">
        <v>35795</v>
      </c>
      <c r="BY27" s="1">
        <v>25569</v>
      </c>
      <c r="BZ27" s="1"/>
      <c r="CA27" s="1"/>
      <c r="CB27" s="1"/>
      <c r="CC27" s="1"/>
      <c r="CD27" s="1"/>
      <c r="CE27" s="1"/>
      <c r="CF27" s="1"/>
      <c r="CG27" s="1"/>
      <c r="CH27" s="1"/>
      <c r="CI27" s="1"/>
      <c r="CJ27" s="1"/>
      <c r="CK27" s="1"/>
    </row>
    <row r="28" spans="1:89" s="26" customFormat="1" x14ac:dyDescent="0.25">
      <c r="A28" s="17" t="s">
        <v>374</v>
      </c>
      <c r="E28" s="26">
        <f>股权价值增加表!E15</f>
        <v>16605695408.359997</v>
      </c>
      <c r="F28" s="26">
        <f>股权价值增加表!F15</f>
        <v>12191577560.08</v>
      </c>
      <c r="G28" s="26">
        <f>股权价值增加表!G15</f>
        <v>7680567431.0200014</v>
      </c>
      <c r="H28" s="26">
        <f>股权价值增加表!H15</f>
        <v>3535851354.9700007</v>
      </c>
      <c r="I28" s="26">
        <f>股权价值增加表!I15</f>
        <v>6449959566.6399994</v>
      </c>
      <c r="J28" s="26">
        <f>股权价值增加表!J15</f>
        <v>4322503040.1199989</v>
      </c>
      <c r="K28" s="26">
        <f>股权价值增加表!K15</f>
        <v>2419023507.6399989</v>
      </c>
      <c r="L28" s="26">
        <f>股权价值增加表!L15</f>
        <v>888757003.35999966</v>
      </c>
      <c r="M28" s="26">
        <f>股权价值增加表!M15</f>
        <v>3741001951.1999979</v>
      </c>
      <c r="N28" s="26">
        <f>股权价值增加表!N15</f>
        <v>3204935688.5700002</v>
      </c>
      <c r="O28" s="26">
        <f>股权价值增加表!O15</f>
        <v>2141319760.8299999</v>
      </c>
      <c r="P28" s="26">
        <f>股权价值增加表!P15</f>
        <v>896753790.51000011</v>
      </c>
      <c r="Q28" s="26">
        <f>股权价值增加表!Q15</f>
        <v>4558065276.5000019</v>
      </c>
      <c r="R28" s="26">
        <f>股权价值增加表!R15</f>
        <v>3909446843.8400006</v>
      </c>
      <c r="S28" s="26">
        <f>股权价值增加表!S15</f>
        <v>2583748539.6499996</v>
      </c>
      <c r="T28" s="26">
        <f>股权价值增加表!T15</f>
        <v>1291221169.6199999</v>
      </c>
      <c r="U28" s="26">
        <f>股权价值增加表!U15</f>
        <v>4646241778.000001</v>
      </c>
      <c r="V28" s="26">
        <f>股权价值增加表!V15</f>
        <v>3852136150.2099996</v>
      </c>
      <c r="W28" s="26">
        <f>股权价值增加表!W15</f>
        <v>2506435702.3599992</v>
      </c>
      <c r="X28" s="26">
        <f>股权价值增加表!X15</f>
        <v>1241822170.8600004</v>
      </c>
      <c r="Y28" s="26">
        <f>股权价值增加表!Y15</f>
        <v>3819208996.9000006</v>
      </c>
      <c r="Z28" s="26">
        <f>股权价值增加表!Z15</f>
        <v>2765109402.4500017</v>
      </c>
      <c r="AA28" s="26">
        <f>股权价值增加表!AA15</f>
        <v>1666630117.4299991</v>
      </c>
      <c r="AB28" s="26">
        <f>股权价值增加表!AB15</f>
        <v>732698169.57999992</v>
      </c>
      <c r="AC28" s="26">
        <f>股权价值增加表!AC15</f>
        <v>2934491858.6399989</v>
      </c>
      <c r="AD28" s="26">
        <f>股权价值增加表!AD15</f>
        <v>2454026138.2700005</v>
      </c>
      <c r="AE28" s="26">
        <f>股权价值增加表!AE15</f>
        <v>1577265431.8299997</v>
      </c>
      <c r="AF28" s="26">
        <f>股权价值增加表!AF15</f>
        <v>733945482.60000002</v>
      </c>
      <c r="AG28" s="26">
        <f>股权价值增加表!AG15</f>
        <v>1770248121.990001</v>
      </c>
      <c r="AH28" s="26">
        <f>股权价值增加表!AH15</f>
        <v>1274892487.1200006</v>
      </c>
      <c r="AI28" s="26">
        <f>股权价值增加表!AI15</f>
        <v>842452660.89000034</v>
      </c>
      <c r="AJ28" s="26">
        <f>股权价值增加表!AJ15</f>
        <v>342732853.81000006</v>
      </c>
      <c r="AK28" s="26">
        <f>股权价值增加表!AK15</f>
        <v>1464103722.5200005</v>
      </c>
      <c r="AL28" s="26">
        <f>股权价值增加表!AL15</f>
        <v>1206415510.7</v>
      </c>
      <c r="AM28" s="26">
        <f>股权价值增加表!AM15</f>
        <v>688341576.59000003</v>
      </c>
      <c r="AN28" s="26">
        <f>股权价值增加表!AN15</f>
        <v>266267589.50000009</v>
      </c>
      <c r="AO28" s="26">
        <f>股权价值增加表!AO15</f>
        <v>2060322686.5799997</v>
      </c>
      <c r="AP28" s="26">
        <f>股权价值增加表!AP15</f>
        <v>1821754750.8799996</v>
      </c>
      <c r="AQ28" s="26">
        <f>股权价值增加表!AQ15</f>
        <v>1303782015.4200003</v>
      </c>
      <c r="AR28" s="26">
        <f>股权价值增加表!AR15</f>
        <v>558805280.0999999</v>
      </c>
      <c r="AS28" s="26">
        <f>股权价值增加表!AS15</f>
        <v>2392511043.3500004</v>
      </c>
      <c r="AT28" s="26">
        <f>股权价值增加表!AT15</f>
        <v>1774821369.1300004</v>
      </c>
      <c r="AU28" s="26">
        <f>股权价值增加表!AU15</f>
        <v>1053293613.2700006</v>
      </c>
      <c r="AV28" s="26">
        <f>股权价值增加表!AV15</f>
        <v>534136493.17000008</v>
      </c>
      <c r="AW28" s="26">
        <f>股权价值增加表!AW15</f>
        <v>1286672019.9099994</v>
      </c>
      <c r="AX28" s="26">
        <f>股权价值增加表!AX15</f>
        <v>951216505.78999996</v>
      </c>
      <c r="AY28" s="26">
        <f>股权价值增加表!AY15</f>
        <v>516925187.08000004</v>
      </c>
      <c r="AZ28" s="26">
        <f>股权价值增加表!AZ15</f>
        <v>274228342.09999996</v>
      </c>
      <c r="BA28" s="26">
        <f>股权价值增加表!BA15</f>
        <v>862628742.35999978</v>
      </c>
      <c r="BB28" s="26">
        <f>股权价值增加表!BB15</f>
        <v>732525975.68999982</v>
      </c>
      <c r="BC28" s="26">
        <f>股权价值增加表!BC15</f>
        <v>500418744.78000009</v>
      </c>
      <c r="BD28" s="26">
        <f>股权价值增加表!BD15</f>
        <v>236144638.82000005</v>
      </c>
      <c r="BE28" s="26">
        <f>股权价值增加表!BE15</f>
        <v>516046949.14999986</v>
      </c>
      <c r="BF28" s="26">
        <f>股权价值增加表!BF15</f>
        <v>475413131.37999982</v>
      </c>
      <c r="BG28" s="26">
        <f>股权价值增加表!BG15</f>
        <v>322303913.55000001</v>
      </c>
      <c r="BH28" s="26">
        <f>股权价值增加表!BH15</f>
        <v>144134319.96000004</v>
      </c>
      <c r="BI28" s="26">
        <f>股权价值增加表!BI15</f>
        <v>301036344.15999997</v>
      </c>
      <c r="BJ28" s="26">
        <f>股权价值增加表!BJ15</f>
        <v>269358702.39000005</v>
      </c>
      <c r="BK28" s="26">
        <f>股权价值增加表!BK15</f>
        <v>201358287.27000007</v>
      </c>
      <c r="BL28" s="26">
        <f>股权价值增加表!BL15</f>
        <v>86710732.819999993</v>
      </c>
      <c r="BM28" s="26">
        <f>股权价值增加表!BM15</f>
        <v>186949579.53000006</v>
      </c>
      <c r="BN28" s="26">
        <f>股权价值增加表!BN15</f>
        <v>155833715.76999998</v>
      </c>
      <c r="BO28" s="26">
        <f>股权价值增加表!BO15</f>
        <v>109199037.40000002</v>
      </c>
      <c r="BP28" s="26">
        <f>股权价值增加表!BP15</f>
        <v>50815532.230000004</v>
      </c>
      <c r="BQ28" s="26">
        <f>股权价值增加表!BQ15</f>
        <v>112123747.05999999</v>
      </c>
      <c r="BR28" s="26">
        <f>股权价值增加表!BR15</f>
        <v>476121200</v>
      </c>
      <c r="BS28" s="26">
        <f>股权价值增加表!BS15</f>
        <v>72208188.660000011</v>
      </c>
      <c r="BT28" s="26">
        <f>股权价值增加表!BT15</f>
        <v>62820342.140000023</v>
      </c>
      <c r="BU28" s="26">
        <f>股权价值增加表!BU15</f>
        <v>41893175.600000009</v>
      </c>
      <c r="BV28" s="26">
        <f>股权价值增加表!BV15</f>
        <v>33183114.019999992</v>
      </c>
      <c r="BW28" s="26">
        <f>股权价值增加表!BW15</f>
        <v>27640790.680000007</v>
      </c>
      <c r="BX28" s="26">
        <f>股权价值增加表!BX15</f>
        <v>20193336.459999993</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379</v>
      </c>
      <c r="E29" s="59">
        <f t="shared" ref="E29:AJ29" si="27">E28/E34</f>
        <v>0.99428935388276074</v>
      </c>
      <c r="F29" s="59">
        <f t="shared" si="27"/>
        <v>0.99281531775028131</v>
      </c>
      <c r="G29" s="59">
        <f t="shared" si="27"/>
        <v>0.99227378322515558</v>
      </c>
      <c r="H29" s="59">
        <f t="shared" si="27"/>
        <v>0.99210716611787186</v>
      </c>
      <c r="I29" s="59">
        <f t="shared" si="27"/>
        <v>0.97496464870947896</v>
      </c>
      <c r="J29" s="59">
        <f t="shared" si="27"/>
        <v>0.99145780951261153</v>
      </c>
      <c r="K29" s="59">
        <f t="shared" si="27"/>
        <v>0.98708000291728082</v>
      </c>
      <c r="L29" s="59">
        <f t="shared" si="27"/>
        <v>1.0039695283164829</v>
      </c>
      <c r="M29" s="59">
        <f t="shared" si="27"/>
        <v>1.0747017712879108</v>
      </c>
      <c r="N29" s="59">
        <f t="shared" si="27"/>
        <v>0.97832044042588606</v>
      </c>
      <c r="O29" s="59">
        <f t="shared" si="27"/>
        <v>0.97223229302223946</v>
      </c>
      <c r="P29" s="59">
        <f t="shared" si="27"/>
        <v>0.94428141030989976</v>
      </c>
      <c r="Q29" s="59">
        <f t="shared" si="27"/>
        <v>0.99754421961370332</v>
      </c>
      <c r="R29" s="59">
        <f t="shared" si="27"/>
        <v>0.99627400351465445</v>
      </c>
      <c r="S29" s="59">
        <f t="shared" si="27"/>
        <v>0.99625762290973641</v>
      </c>
      <c r="T29" s="59">
        <f t="shared" si="27"/>
        <v>0.99719520969533337</v>
      </c>
      <c r="U29" s="59">
        <f t="shared" si="27"/>
        <v>0.97741231007503848</v>
      </c>
      <c r="V29" s="59">
        <f t="shared" si="27"/>
        <v>1.0002821615201021</v>
      </c>
      <c r="W29" s="59">
        <f t="shared" si="27"/>
        <v>1.0033162263544542</v>
      </c>
      <c r="X29" s="59">
        <f t="shared" si="27"/>
        <v>0.99836532490441721</v>
      </c>
      <c r="Y29" s="59">
        <f t="shared" si="27"/>
        <v>0.99630614760930991</v>
      </c>
      <c r="Z29" s="59">
        <f t="shared" si="27"/>
        <v>1.0035513593833474</v>
      </c>
      <c r="AA29" s="59">
        <f t="shared" si="27"/>
        <v>1.0005503519610059</v>
      </c>
      <c r="AB29" s="59">
        <f t="shared" si="27"/>
        <v>0.98537280234710189</v>
      </c>
      <c r="AC29" s="59">
        <f t="shared" si="27"/>
        <v>0.98110571348315356</v>
      </c>
      <c r="AD29" s="59">
        <f t="shared" si="27"/>
        <v>1.0178121173915431</v>
      </c>
      <c r="AE29" s="59">
        <f t="shared" si="27"/>
        <v>1.0148267053933693</v>
      </c>
      <c r="AF29" s="59">
        <f t="shared" si="27"/>
        <v>1.0090819951769503</v>
      </c>
      <c r="AG29" s="59">
        <f t="shared" si="27"/>
        <v>0.85089598692230861</v>
      </c>
      <c r="AH29" s="59">
        <f t="shared" si="27"/>
        <v>0.96405282674067572</v>
      </c>
      <c r="AI29" s="59">
        <f t="shared" si="27"/>
        <v>0.98914970917932243</v>
      </c>
      <c r="AJ29" s="59">
        <f t="shared" si="27"/>
        <v>0.90273348064229109</v>
      </c>
      <c r="AK29" s="59">
        <f t="shared" ref="AK29:BP29" si="28">AK28/AK34</f>
        <v>0.97058136784485094</v>
      </c>
      <c r="AL29" s="59">
        <f t="shared" si="28"/>
        <v>0.99140883621505882</v>
      </c>
      <c r="AM29" s="59">
        <f t="shared" si="28"/>
        <v>0.98630042266223483</v>
      </c>
      <c r="AN29" s="59">
        <f t="shared" si="28"/>
        <v>0.98723855201352706</v>
      </c>
      <c r="AO29" s="59">
        <f t="shared" si="28"/>
        <v>0.96048610714362492</v>
      </c>
      <c r="AP29" s="59">
        <f t="shared" si="28"/>
        <v>1.000510966683652</v>
      </c>
      <c r="AQ29" s="59">
        <f t="shared" si="28"/>
        <v>1.006077867174203</v>
      </c>
      <c r="AR29" s="59">
        <f t="shared" si="28"/>
        <v>1.0011244298507793</v>
      </c>
      <c r="AS29" s="59">
        <f t="shared" si="28"/>
        <v>0.91507188879143087</v>
      </c>
      <c r="AT29" s="59">
        <f t="shared" si="28"/>
        <v>0.96548633119950444</v>
      </c>
      <c r="AU29" s="59">
        <f t="shared" si="28"/>
        <v>0.98456731169518719</v>
      </c>
      <c r="AV29" s="59">
        <f t="shared" si="28"/>
        <v>0.99134230748992735</v>
      </c>
      <c r="AW29" s="59">
        <f t="shared" si="28"/>
        <v>0.96403292804296792</v>
      </c>
      <c r="AX29" s="59">
        <f t="shared" si="28"/>
        <v>0.98547563561850604</v>
      </c>
      <c r="AY29" s="59">
        <f t="shared" si="28"/>
        <v>0.9736136279436497</v>
      </c>
      <c r="AZ29" s="59">
        <f t="shared" si="28"/>
        <v>0.97846311184239132</v>
      </c>
      <c r="BA29" s="59">
        <f t="shared" si="28"/>
        <v>0.99210418756983887</v>
      </c>
      <c r="BB29" s="59">
        <f t="shared" si="28"/>
        <v>0.99732047880922403</v>
      </c>
      <c r="BC29" s="59">
        <f t="shared" si="28"/>
        <v>1.0017871444628232</v>
      </c>
      <c r="BD29" s="59">
        <f t="shared" si="28"/>
        <v>1.0006895429131994</v>
      </c>
      <c r="BE29" s="59">
        <f t="shared" si="28"/>
        <v>0.99017810797445305</v>
      </c>
      <c r="BF29" s="59">
        <f t="shared" si="28"/>
        <v>1.0005386084981325</v>
      </c>
      <c r="BG29" s="59">
        <f t="shared" si="28"/>
        <v>1.0007783418210567</v>
      </c>
      <c r="BH29" s="59">
        <f t="shared" si="28"/>
        <v>0.99966071042613769</v>
      </c>
      <c r="BI29" s="59">
        <f t="shared" si="28"/>
        <v>0.9914627605213977</v>
      </c>
      <c r="BJ29" s="59">
        <f t="shared" si="28"/>
        <v>0.99963588232311906</v>
      </c>
      <c r="BK29" s="59">
        <f t="shared" si="28"/>
        <v>0.99700841856084677</v>
      </c>
      <c r="BL29" s="59">
        <f t="shared" si="28"/>
        <v>0.99343206482315771</v>
      </c>
      <c r="BM29" s="59">
        <f t="shared" si="28"/>
        <v>1.0015865706463962</v>
      </c>
      <c r="BN29" s="59">
        <f t="shared" si="28"/>
        <v>0.99855666154900924</v>
      </c>
      <c r="BO29" s="59">
        <f t="shared" si="28"/>
        <v>0.99700661736928853</v>
      </c>
      <c r="BP29" s="59">
        <f t="shared" si="28"/>
        <v>0.99525086304214128</v>
      </c>
      <c r="BQ29" s="59">
        <f t="shared" ref="BQ29:CK29" si="29">BQ28/BQ34</f>
        <v>0.99712458914898616</v>
      </c>
      <c r="BR29" s="59">
        <f t="shared" si="29"/>
        <v>0.99724612304057503</v>
      </c>
      <c r="BS29" s="59">
        <f t="shared" si="29"/>
        <v>0.99312319548575034</v>
      </c>
      <c r="BT29" s="59">
        <f t="shared" si="29"/>
        <v>1</v>
      </c>
      <c r="BU29" s="59">
        <f t="shared" si="29"/>
        <v>1</v>
      </c>
      <c r="BV29" s="59">
        <f t="shared" si="29"/>
        <v>1</v>
      </c>
      <c r="BW29" s="59">
        <f t="shared" si="29"/>
        <v>1</v>
      </c>
      <c r="BX29" s="59">
        <f t="shared" si="29"/>
        <v>1</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104557555.26000001</v>
      </c>
      <c r="F30" s="26">
        <f>股权价值增加表!F20</f>
        <v>73582078.549999997</v>
      </c>
      <c r="G30" s="26">
        <f>股权价值增加表!G20</f>
        <v>49677651.479999997</v>
      </c>
      <c r="H30" s="26">
        <f>股权价值增加表!H20</f>
        <v>22864854.079999998</v>
      </c>
      <c r="I30" s="26">
        <f>股权价值增加表!I20</f>
        <v>22768159.899999999</v>
      </c>
      <c r="J30" s="26">
        <f>股权价值增加表!J20</f>
        <v>6503727.0099999998</v>
      </c>
      <c r="K30" s="26">
        <f>股权价值增加表!K20</f>
        <v>474195.83</v>
      </c>
      <c r="L30" s="26">
        <f>股权价值增加表!L20</f>
        <v>-1417252.38</v>
      </c>
      <c r="M30" s="26">
        <f>股权价值增加表!M20</f>
        <v>-2612485.2000000002</v>
      </c>
      <c r="N30" s="26">
        <f>股权价值增加表!N20</f>
        <v>-5628039.8899999997</v>
      </c>
      <c r="O30" s="26">
        <f>股权价值增加表!O20</f>
        <v>-689378.71</v>
      </c>
      <c r="P30" s="26">
        <f>股权价值增加表!P20</f>
        <v>-1190284.95</v>
      </c>
      <c r="Q30" s="26">
        <f>股权价值增加表!Q20</f>
        <v>-3321122.95</v>
      </c>
      <c r="R30" s="26">
        <f>股权价值增加表!R20</f>
        <v>-2235497.3199999998</v>
      </c>
      <c r="S30" s="26">
        <f>股权价值增加表!S20</f>
        <v>-1697746.4</v>
      </c>
      <c r="T30" s="26">
        <f>股权价值增加表!T20</f>
        <v>-978018.41</v>
      </c>
      <c r="U30" s="26">
        <f>股权价值增加表!U20</f>
        <v>-1986405.44</v>
      </c>
      <c r="V30" s="26">
        <f>股权价值增加表!V20</f>
        <v>-926748.31</v>
      </c>
      <c r="W30" s="26">
        <f>股权价值增加表!W20</f>
        <v>-442085.19</v>
      </c>
      <c r="X30" s="26">
        <f>股权价值增加表!X20</f>
        <v>-283175.13</v>
      </c>
      <c r="Y30" s="26">
        <f>股权价值增加表!Y20</f>
        <v>45037.04</v>
      </c>
      <c r="Z30" s="26">
        <f>股权价值增加表!Z20</f>
        <v>2848.66</v>
      </c>
      <c r="AA30" s="26">
        <f>股权价值增加表!AA20</f>
        <v>-6070.92</v>
      </c>
      <c r="AB30" s="26">
        <f>股权价值增加表!AB20</f>
        <v>-10951.73</v>
      </c>
      <c r="AC30" s="26">
        <f>股权价值增加表!AC20</f>
        <v>-5583.1</v>
      </c>
      <c r="AD30" s="26">
        <f>股权价值增加表!AD20</f>
        <v>0</v>
      </c>
      <c r="AE30" s="26">
        <f>股权价值增加表!AE20</f>
        <v>0</v>
      </c>
      <c r="AF30" s="26">
        <f>股权价值增加表!AF20</f>
        <v>0</v>
      </c>
      <c r="AG30" s="26">
        <f>股权价值增加表!AG20</f>
        <v>22855763.780000001</v>
      </c>
      <c r="AH30" s="26">
        <f>股权价值增加表!AH20</f>
        <v>9510047.1899999995</v>
      </c>
      <c r="AI30" s="26">
        <f>股权价值增加表!AI20</f>
        <v>8301952.8799999999</v>
      </c>
      <c r="AJ30" s="26">
        <f>股权价值增加表!AJ20</f>
        <v>3320814.66</v>
      </c>
      <c r="AK30" s="26">
        <f>股权价值增加表!AK20</f>
        <v>14509124.640000001</v>
      </c>
      <c r="AL30" s="26">
        <f>股权价值增加表!AL20</f>
        <v>10957442.83</v>
      </c>
      <c r="AM30" s="26">
        <f>股权价值增加表!AM20</f>
        <v>8560969.9100000001</v>
      </c>
      <c r="AN30" s="26">
        <f>股权价值增加表!AN20</f>
        <v>3441883.41</v>
      </c>
      <c r="AO30" s="26">
        <f>股权价值增加表!AO20</f>
        <v>11811196.189999999</v>
      </c>
      <c r="AP30" s="26">
        <f>股权价值增加表!AP20</f>
        <v>0</v>
      </c>
      <c r="AQ30" s="26">
        <f>股权价值增加表!AQ20</f>
        <v>0</v>
      </c>
      <c r="AR30" s="26">
        <f>股权价值增加表!AR20</f>
        <v>0</v>
      </c>
      <c r="AS30" s="26">
        <f>股权价值增加表!AS20</f>
        <v>0</v>
      </c>
      <c r="AT30" s="26">
        <f>股权价值增加表!AT20</f>
        <v>2000000</v>
      </c>
      <c r="AU30" s="26">
        <f>股权价值增加表!AU20</f>
        <v>2000000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380</v>
      </c>
      <c r="E31" s="59">
        <f>E30/E34</f>
        <v>6.2605305894439349E-3</v>
      </c>
      <c r="F31" s="59">
        <f t="shared" ref="F31:BQ31" si="30">F30/F34</f>
        <v>5.9921215557492656E-3</v>
      </c>
      <c r="G31" s="59">
        <f t="shared" si="30"/>
        <v>6.417993412402602E-3</v>
      </c>
      <c r="H31" s="59">
        <f t="shared" si="30"/>
        <v>6.4155371104959585E-3</v>
      </c>
      <c r="I31" s="59">
        <f t="shared" si="30"/>
        <v>3.441595375803031E-3</v>
      </c>
      <c r="J31" s="59">
        <f t="shared" si="30"/>
        <v>1.4917678195140369E-3</v>
      </c>
      <c r="K31" s="59">
        <f t="shared" si="30"/>
        <v>1.9349511064338978E-4</v>
      </c>
      <c r="L31" s="59">
        <f t="shared" si="30"/>
        <v>-1.6009755175764979E-3</v>
      </c>
      <c r="M31" s="59">
        <f t="shared" si="30"/>
        <v>-7.505054818276283E-4</v>
      </c>
      <c r="N31" s="59">
        <f t="shared" si="30"/>
        <v>-1.7179834477040539E-3</v>
      </c>
      <c r="O31" s="59">
        <f t="shared" si="30"/>
        <v>-3.1300147518566873E-4</v>
      </c>
      <c r="P31" s="59">
        <f t="shared" si="30"/>
        <v>-1.2533696128760492E-3</v>
      </c>
      <c r="Q31" s="59">
        <f t="shared" si="30"/>
        <v>-7.268362343294118E-4</v>
      </c>
      <c r="R31" s="59">
        <f t="shared" si="30"/>
        <v>-5.6968874467546804E-4</v>
      </c>
      <c r="S31" s="59">
        <f t="shared" si="30"/>
        <v>-6.5462747895609155E-4</v>
      </c>
      <c r="T31" s="59">
        <f t="shared" si="30"/>
        <v>-7.5531233253623418E-4</v>
      </c>
      <c r="U31" s="59">
        <f t="shared" si="30"/>
        <v>-4.1787259953823759E-4</v>
      </c>
      <c r="V31" s="59">
        <f t="shared" si="30"/>
        <v>-2.4064824465287025E-4</v>
      </c>
      <c r="W31" s="59">
        <f t="shared" si="30"/>
        <v>-1.76964940349499E-4</v>
      </c>
      <c r="X31" s="59">
        <f t="shared" si="30"/>
        <v>-2.2765919090614529E-4</v>
      </c>
      <c r="Y31" s="59">
        <f t="shared" si="30"/>
        <v>1.1748684049117843E-5</v>
      </c>
      <c r="Z31" s="59">
        <f t="shared" si="30"/>
        <v>1.0338746860749783E-6</v>
      </c>
      <c r="AA31" s="59">
        <f t="shared" si="30"/>
        <v>-3.644636610847901E-6</v>
      </c>
      <c r="AB31" s="59">
        <f t="shared" si="30"/>
        <v>-1.4728488931308225E-5</v>
      </c>
      <c r="AC31" s="59">
        <f t="shared" si="30"/>
        <v>-1.8666302626875967E-6</v>
      </c>
      <c r="AD31" s="59">
        <f t="shared" si="30"/>
        <v>0</v>
      </c>
      <c r="AE31" s="59">
        <f t="shared" si="30"/>
        <v>0</v>
      </c>
      <c r="AF31" s="59">
        <f t="shared" si="30"/>
        <v>0</v>
      </c>
      <c r="AG31" s="59">
        <f t="shared" si="30"/>
        <v>1.0985961480125274E-2</v>
      </c>
      <c r="AH31" s="59">
        <f t="shared" si="30"/>
        <v>7.1913419904668045E-3</v>
      </c>
      <c r="AI31" s="59">
        <f t="shared" si="30"/>
        <v>9.7475794879644494E-3</v>
      </c>
      <c r="AJ31" s="59">
        <f t="shared" si="30"/>
        <v>8.7467849763000396E-3</v>
      </c>
      <c r="AK31" s="59">
        <f t="shared" si="30"/>
        <v>9.6183663921599379E-3</v>
      </c>
      <c r="AL31" s="59">
        <f t="shared" si="30"/>
        <v>9.0046137069972765E-3</v>
      </c>
      <c r="AM31" s="59">
        <f t="shared" si="30"/>
        <v>1.2266712527319886E-2</v>
      </c>
      <c r="AN31" s="59">
        <f t="shared" si="30"/>
        <v>1.2761447986472945E-2</v>
      </c>
      <c r="AO31" s="59">
        <f t="shared" si="30"/>
        <v>5.5061713988471496E-3</v>
      </c>
      <c r="AP31" s="59">
        <f t="shared" si="30"/>
        <v>0</v>
      </c>
      <c r="AQ31" s="59">
        <f t="shared" si="30"/>
        <v>0</v>
      </c>
      <c r="AR31" s="59">
        <f t="shared" si="30"/>
        <v>0</v>
      </c>
      <c r="AS31" s="59">
        <f t="shared" si="30"/>
        <v>0</v>
      </c>
      <c r="AT31" s="59">
        <f t="shared" si="30"/>
        <v>1.0879814137833782E-3</v>
      </c>
      <c r="AU31" s="59">
        <f t="shared" si="30"/>
        <v>1.8695021013913694E-3</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-9183658.6800000034</v>
      </c>
      <c r="F32" s="26">
        <f>股权价值增加表!F27</f>
        <v>14644411.640000006</v>
      </c>
      <c r="G32" s="26">
        <f>股权价值增加表!G27</f>
        <v>10126134.460000001</v>
      </c>
      <c r="H32" s="26">
        <f>股权价值增加表!H27</f>
        <v>5265058.0200000023</v>
      </c>
      <c r="I32" s="26">
        <f>股权价值增加表!I27</f>
        <v>142855284.78</v>
      </c>
      <c r="J32" s="26">
        <f>股权价值增加表!J27</f>
        <v>30738043.640000001</v>
      </c>
      <c r="K32" s="26">
        <f>股权价值增加表!K27</f>
        <v>31188664.899999999</v>
      </c>
      <c r="L32" s="26">
        <f>股权价值增加表!L27</f>
        <v>-2096744.8</v>
      </c>
      <c r="M32" s="26">
        <f>股权价值增加表!M27</f>
        <v>-257421953.75999999</v>
      </c>
      <c r="N32" s="26">
        <f>股权价值增加表!N27</f>
        <v>76649344.689999998</v>
      </c>
      <c r="O32" s="26">
        <f>股权价值增加表!O27</f>
        <v>61847128.860000007</v>
      </c>
      <c r="P32" s="26">
        <f>股权价值增加表!P27</f>
        <v>54104443.760000005</v>
      </c>
      <c r="Q32" s="26">
        <f>股权价值增加表!Q27</f>
        <v>14542286.969999993</v>
      </c>
      <c r="R32" s="26">
        <f>股权价值增加表!R27</f>
        <v>16856560.550000001</v>
      </c>
      <c r="S32" s="26">
        <f>股权价值增加表!S27</f>
        <v>11403430.07</v>
      </c>
      <c r="T32" s="26">
        <f>股权价值增加表!T27</f>
        <v>4609809.4399999995</v>
      </c>
      <c r="U32" s="26">
        <f>股权价值增加表!U27</f>
        <v>109359586.15000001</v>
      </c>
      <c r="V32" s="26">
        <f>股权价值增加表!V27</f>
        <v>-159869.67999999947</v>
      </c>
      <c r="W32" s="26">
        <f>股权价值增加表!W27</f>
        <v>-7842349.8800000008</v>
      </c>
      <c r="X32" s="26">
        <f>股权价值增加表!X27</f>
        <v>2316474.69</v>
      </c>
      <c r="Y32" s="26">
        <f>股权价值增加表!Y27</f>
        <v>14114861.820000002</v>
      </c>
      <c r="Z32" s="26">
        <f>股权价值增加表!Z27</f>
        <v>-9787995.3100000005</v>
      </c>
      <c r="AA32" s="26">
        <f>股权价值增加表!AA27</f>
        <v>-910657.71</v>
      </c>
      <c r="AB32" s="26">
        <f>股权价值增加表!AB27</f>
        <v>10887364.109999999</v>
      </c>
      <c r="AC32" s="26">
        <f>股权价值增加表!AC27</f>
        <v>56518484</v>
      </c>
      <c r="AD32" s="26">
        <f>股权价值增加表!AD27</f>
        <v>-42946434.719999999</v>
      </c>
      <c r="AE32" s="26">
        <f>股权价值增加表!AE27</f>
        <v>-23043983.529999997</v>
      </c>
      <c r="AF32" s="26">
        <f>股权价值增加表!AF27</f>
        <v>-6605696.4299999997</v>
      </c>
      <c r="AG32" s="26">
        <f>股权价值增加表!AG27</f>
        <v>287347954.63999999</v>
      </c>
      <c r="AH32" s="26">
        <f>股权价值增加表!AH27</f>
        <v>38027577.149999999</v>
      </c>
      <c r="AI32" s="26">
        <f>股权价值增加表!AI27</f>
        <v>939172.3900000006</v>
      </c>
      <c r="AJ32" s="26">
        <f>股权价值增加表!AJ27</f>
        <v>33607506.350000001</v>
      </c>
      <c r="AK32" s="26">
        <f>股权价值增加表!AK27</f>
        <v>29868328.169999998</v>
      </c>
      <c r="AL32" s="26">
        <f>股权价值增加表!AL27</f>
        <v>-503114.74000000069</v>
      </c>
      <c r="AM32" s="26">
        <f>股权价值增加表!AM27</f>
        <v>1000000</v>
      </c>
      <c r="AN32" s="26">
        <f>股权价值增加表!AN27</f>
        <v>0</v>
      </c>
      <c r="AO32" s="26">
        <f>股权价值增加表!AO27</f>
        <v>72949394.600000009</v>
      </c>
      <c r="AP32" s="26">
        <f>股权价值增加表!AP27</f>
        <v>-930380.59</v>
      </c>
      <c r="AQ32" s="26">
        <f>股权价值增加表!AQ27</f>
        <v>-7876342.5499999998</v>
      </c>
      <c r="AR32" s="26">
        <f>股权价值增加表!AR27</f>
        <v>-627631.6099999994</v>
      </c>
      <c r="AS32" s="26">
        <f>股权价值增加表!AS27</f>
        <v>222049706.08999997</v>
      </c>
      <c r="AT32" s="26">
        <f>股权价值增加表!AT27</f>
        <v>61445327.950000003</v>
      </c>
      <c r="AU32" s="26">
        <f>股权价值增加表!AU27</f>
        <v>14509944.859999999</v>
      </c>
      <c r="AV32" s="26">
        <f>股权价值增加表!AV27</f>
        <v>4664775.71</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381</v>
      </c>
      <c r="E33" s="59">
        <f>E32/E34</f>
        <v>-5.4988447220463753E-4</v>
      </c>
      <c r="F33" s="59">
        <f t="shared" ref="F33:BQ33" si="32">F32/F34</f>
        <v>1.192560693969544E-3</v>
      </c>
      <c r="G33" s="59">
        <f t="shared" si="32"/>
        <v>1.3082233624419112E-3</v>
      </c>
      <c r="H33" s="59">
        <f t="shared" si="32"/>
        <v>1.4772967716321587E-3</v>
      </c>
      <c r="I33" s="59">
        <f t="shared" si="32"/>
        <v>2.159375591471813E-2</v>
      </c>
      <c r="J33" s="59">
        <f t="shared" si="32"/>
        <v>7.0504226678742643E-3</v>
      </c>
      <c r="K33" s="59">
        <f t="shared" si="32"/>
        <v>1.272650197207577E-2</v>
      </c>
      <c r="L33" s="59">
        <f t="shared" si="32"/>
        <v>-2.3685527989064522E-3</v>
      </c>
      <c r="M33" s="59">
        <f t="shared" si="32"/>
        <v>-7.3951265806083119E-2</v>
      </c>
      <c r="N33" s="59">
        <f t="shared" si="32"/>
        <v>2.339754302181796E-2</v>
      </c>
      <c r="O33" s="59">
        <f t="shared" si="32"/>
        <v>2.8080708452946208E-2</v>
      </c>
      <c r="P33" s="59">
        <f t="shared" si="32"/>
        <v>5.6971959302976306E-2</v>
      </c>
      <c r="Q33" s="59">
        <f t="shared" si="32"/>
        <v>3.1826166206260042E-3</v>
      </c>
      <c r="R33" s="59">
        <f t="shared" si="32"/>
        <v>4.2956852300209949E-3</v>
      </c>
      <c r="S33" s="59">
        <f t="shared" si="32"/>
        <v>4.3970045692196353E-3</v>
      </c>
      <c r="T33" s="59">
        <f t="shared" si="32"/>
        <v>3.5601026372028628E-3</v>
      </c>
      <c r="U33" s="59">
        <f t="shared" si="32"/>
        <v>2.3005562524499704E-2</v>
      </c>
      <c r="V33" s="59">
        <f t="shared" si="32"/>
        <v>-4.1513275449313688E-5</v>
      </c>
      <c r="W33" s="59">
        <f t="shared" si="32"/>
        <v>-3.1392614141046E-3</v>
      </c>
      <c r="X33" s="59">
        <f t="shared" si="32"/>
        <v>1.862334286488943E-3</v>
      </c>
      <c r="Y33" s="59">
        <f t="shared" si="32"/>
        <v>3.6821037066409445E-3</v>
      </c>
      <c r="Z33" s="59">
        <f t="shared" si="32"/>
        <v>-3.5523932580334653E-3</v>
      </c>
      <c r="AA33" s="59">
        <f t="shared" si="32"/>
        <v>-5.4670732439513457E-4</v>
      </c>
      <c r="AB33" s="59">
        <f t="shared" si="32"/>
        <v>1.4641926141829412E-2</v>
      </c>
      <c r="AC33" s="59">
        <f t="shared" si="32"/>
        <v>1.8896153147109084E-2</v>
      </c>
      <c r="AD33" s="59">
        <f t="shared" si="32"/>
        <v>-1.7812117391543286E-2</v>
      </c>
      <c r="AE33" s="59">
        <f t="shared" si="32"/>
        <v>-1.4826705393369395E-2</v>
      </c>
      <c r="AF33" s="59">
        <f t="shared" si="32"/>
        <v>-9.0819951769502954E-3</v>
      </c>
      <c r="AG33" s="59">
        <f t="shared" si="32"/>
        <v>0.13811805159756615</v>
      </c>
      <c r="AH33" s="59">
        <f t="shared" si="32"/>
        <v>2.8755831268857349E-2</v>
      </c>
      <c r="AI33" s="59">
        <f t="shared" si="32"/>
        <v>1.1027113327131478E-3</v>
      </c>
      <c r="AJ33" s="59">
        <f t="shared" si="32"/>
        <v>8.8519734381408754E-2</v>
      </c>
      <c r="AK33" s="59">
        <f t="shared" si="32"/>
        <v>1.9800265762988985E-2</v>
      </c>
      <c r="AL33" s="59">
        <f t="shared" si="32"/>
        <v>-4.1344992205598184E-4</v>
      </c>
      <c r="AM33" s="59">
        <f t="shared" si="32"/>
        <v>1.4328648104452791E-3</v>
      </c>
      <c r="AN33" s="59">
        <f t="shared" si="32"/>
        <v>0</v>
      </c>
      <c r="AO33" s="59">
        <f t="shared" si="32"/>
        <v>3.4007721457527902E-2</v>
      </c>
      <c r="AP33" s="59">
        <f t="shared" si="32"/>
        <v>-5.1096668365209757E-4</v>
      </c>
      <c r="AQ33" s="59">
        <f t="shared" si="32"/>
        <v>-6.0778671742029791E-3</v>
      </c>
      <c r="AR33" s="59">
        <f t="shared" si="32"/>
        <v>-1.1244298507793865E-3</v>
      </c>
      <c r="AS33" s="59">
        <f t="shared" si="32"/>
        <v>8.4928111208569038E-2</v>
      </c>
      <c r="AT33" s="59">
        <f t="shared" si="32"/>
        <v>3.3425687386712165E-2</v>
      </c>
      <c r="AU33" s="59">
        <f t="shared" si="32"/>
        <v>1.3563186203421448E-2</v>
      </c>
      <c r="AV33" s="59">
        <f t="shared" si="32"/>
        <v>8.6576925100726176E-3</v>
      </c>
      <c r="AW33" s="59">
        <f t="shared" si="32"/>
        <v>3.5967071957031999E-2</v>
      </c>
      <c r="AX33" s="59">
        <f t="shared" si="32"/>
        <v>1.4524364381493888E-2</v>
      </c>
      <c r="AY33" s="59">
        <f t="shared" si="32"/>
        <v>2.638637205635036E-2</v>
      </c>
      <c r="AZ33" s="59">
        <f t="shared" si="32"/>
        <v>2.1536888157608763E-2</v>
      </c>
      <c r="BA33" s="59">
        <f t="shared" si="32"/>
        <v>7.8958124301611327E-3</v>
      </c>
      <c r="BB33" s="59">
        <f t="shared" si="32"/>
        <v>2.6795211907759795E-3</v>
      </c>
      <c r="BC33" s="59">
        <f t="shared" si="32"/>
        <v>-1.7871444628232076E-3</v>
      </c>
      <c r="BD33" s="59">
        <f t="shared" si="32"/>
        <v>-6.8954291319951971E-4</v>
      </c>
      <c r="BE33" s="59">
        <f t="shared" si="32"/>
        <v>9.8218920255469314E-3</v>
      </c>
      <c r="BF33" s="59">
        <f t="shared" si="32"/>
        <v>-5.3860849813256101E-4</v>
      </c>
      <c r="BG33" s="59">
        <f t="shared" si="32"/>
        <v>-7.7834182105671534E-4</v>
      </c>
      <c r="BH33" s="59">
        <f t="shared" si="32"/>
        <v>3.3928957386225486E-4</v>
      </c>
      <c r="BI33" s="59">
        <f t="shared" si="32"/>
        <v>8.5372394786021721E-3</v>
      </c>
      <c r="BJ33" s="59">
        <f t="shared" si="32"/>
        <v>3.6411767688086712E-4</v>
      </c>
      <c r="BK33" s="59">
        <f t="shared" si="32"/>
        <v>2.9915814391532573E-3</v>
      </c>
      <c r="BL33" s="59">
        <f t="shared" si="32"/>
        <v>6.5679351768424109E-3</v>
      </c>
      <c r="BM33" s="59">
        <f t="shared" si="32"/>
        <v>-1.5865706463961409E-3</v>
      </c>
      <c r="BN33" s="59">
        <f t="shared" si="32"/>
        <v>1.4433384509907332E-3</v>
      </c>
      <c r="BO33" s="59">
        <f t="shared" si="32"/>
        <v>2.9933826307113921E-3</v>
      </c>
      <c r="BP33" s="59">
        <f t="shared" si="32"/>
        <v>4.7491369578587005E-3</v>
      </c>
      <c r="BQ33" s="59">
        <f t="shared" si="32"/>
        <v>2.8754108510138381E-3</v>
      </c>
      <c r="BR33" s="59">
        <f t="shared" ref="BR33:CJ33" si="33">BR32/BR34</f>
        <v>2.7538769594249281E-3</v>
      </c>
      <c r="BS33" s="59">
        <f t="shared" si="33"/>
        <v>6.876804514249605E-3</v>
      </c>
      <c r="BT33" s="59">
        <f t="shared" si="33"/>
        <v>0</v>
      </c>
      <c r="BU33" s="59">
        <f t="shared" si="33"/>
        <v>0</v>
      </c>
      <c r="BV33" s="59">
        <f t="shared" si="33"/>
        <v>0</v>
      </c>
      <c r="BW33" s="59">
        <f t="shared" si="33"/>
        <v>0</v>
      </c>
      <c r="BX33" s="59">
        <f t="shared" si="33"/>
        <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377</v>
      </c>
      <c r="E34" s="58">
        <f>股权价值增加表!E31</f>
        <v>16701069304.939997</v>
      </c>
      <c r="F34" s="58">
        <f>股权价值增加表!F31</f>
        <v>12279804050.269999</v>
      </c>
      <c r="G34" s="58">
        <f>股权价值增加表!G31</f>
        <v>7740371216.960001</v>
      </c>
      <c r="H34" s="58">
        <f>股权价值增加表!H31</f>
        <v>3563981267.0700006</v>
      </c>
      <c r="I34" s="58">
        <f>股权价值增加表!I31</f>
        <v>6615583011.3199987</v>
      </c>
      <c r="J34" s="58">
        <f>股权价值增加表!J31</f>
        <v>4359744810.7699995</v>
      </c>
      <c r="K34" s="58">
        <f>股权价值增加表!K31</f>
        <v>2450686368.3699989</v>
      </c>
      <c r="L34" s="58">
        <f>股权价值增加表!L31</f>
        <v>885243006.17999971</v>
      </c>
      <c r="M34" s="58">
        <f>股权价值增加表!M31</f>
        <v>3480967512.2399979</v>
      </c>
      <c r="N34" s="58">
        <f>股权价值增加表!N31</f>
        <v>3275956993.3700004</v>
      </c>
      <c r="O34" s="58">
        <f>股权价值增加表!O31</f>
        <v>2202477510.98</v>
      </c>
      <c r="P34" s="58">
        <f>股权价值增加表!P31</f>
        <v>949667949.32000005</v>
      </c>
      <c r="Q34" s="58">
        <f>股权价值增加表!Q31</f>
        <v>4569286440.5200024</v>
      </c>
      <c r="R34" s="58">
        <f>股权价值增加表!R31</f>
        <v>3924067907.0700006</v>
      </c>
      <c r="S34" s="58">
        <f>股权价值增加表!S31</f>
        <v>2593454223.3199997</v>
      </c>
      <c r="T34" s="58">
        <f>股权价值增加表!T31</f>
        <v>1294852960.6499999</v>
      </c>
      <c r="U34" s="58">
        <f>股权价值增加表!U31</f>
        <v>4753614958.710001</v>
      </c>
      <c r="V34" s="58">
        <f>股权价值增加表!V31</f>
        <v>3851049532.2199998</v>
      </c>
      <c r="W34" s="58">
        <f>股权价值增加表!W31</f>
        <v>2498151267.289999</v>
      </c>
      <c r="X34" s="58">
        <f>股权价值增加表!X31</f>
        <v>1243855470.4200003</v>
      </c>
      <c r="Y34" s="58">
        <f>股权价值增加表!Y31</f>
        <v>3833368895.7600007</v>
      </c>
      <c r="Z34" s="58">
        <f>股权价值增加表!Z31</f>
        <v>2755324255.8000016</v>
      </c>
      <c r="AA34" s="58">
        <f>股权价值增加表!AA31</f>
        <v>1665713388.799999</v>
      </c>
      <c r="AB34" s="58">
        <f>股权价值增加表!AB31</f>
        <v>743574581.95999992</v>
      </c>
      <c r="AC34" s="58">
        <f>股权价值增加表!AC31</f>
        <v>2991004759.539999</v>
      </c>
      <c r="AD34" s="58">
        <f>股权价值增加表!AD31</f>
        <v>2411079703.5500007</v>
      </c>
      <c r="AE34" s="58">
        <f>股权价值增加表!AE31</f>
        <v>1554221448.2999997</v>
      </c>
      <c r="AF34" s="58">
        <f>股权价值增加表!AF31</f>
        <v>727339786.17000008</v>
      </c>
      <c r="AG34" s="58">
        <f>股权价值增加表!AG31</f>
        <v>2080451840.4100008</v>
      </c>
      <c r="AH34" s="58">
        <f>股权价值增加表!AH31</f>
        <v>1322430111.4600008</v>
      </c>
      <c r="AI34" s="58">
        <f>股权价值增加表!AI31</f>
        <v>851693786.16000032</v>
      </c>
      <c r="AJ34" s="58">
        <f>股权价值增加表!AJ31</f>
        <v>379661174.82000011</v>
      </c>
      <c r="AK34" s="58">
        <f>股权价值增加表!AK31</f>
        <v>1508481175.3300006</v>
      </c>
      <c r="AL34" s="58">
        <f>股权价值增加表!AL31</f>
        <v>1216869838.79</v>
      </c>
      <c r="AM34" s="58">
        <f>股权价值增加表!AM31</f>
        <v>697902546.5</v>
      </c>
      <c r="AN34" s="58">
        <f>股权价值增加表!AN31</f>
        <v>269709472.91000009</v>
      </c>
      <c r="AO34" s="58">
        <f>股权价值增加表!AO31</f>
        <v>2145083277.3699996</v>
      </c>
      <c r="AP34" s="58">
        <f>股权价值增加表!AP31</f>
        <v>1820824370.2899997</v>
      </c>
      <c r="AQ34" s="58">
        <f>股权价值增加表!AQ31</f>
        <v>1295905672.8700004</v>
      </c>
      <c r="AR34" s="58">
        <f>股权价值增加表!AR31</f>
        <v>558177648.48999989</v>
      </c>
      <c r="AS34" s="58">
        <f>股权价值增加表!AS31</f>
        <v>2614560749.4400005</v>
      </c>
      <c r="AT34" s="58">
        <f>股权价值增加表!AT31</f>
        <v>1838266697.0800004</v>
      </c>
      <c r="AU34" s="58">
        <f>股权价值增加表!AU31</f>
        <v>1069803558.1300006</v>
      </c>
      <c r="AV34" s="58">
        <f>股权价值增加表!AV31</f>
        <v>538801268.88000011</v>
      </c>
      <c r="AW34" s="58">
        <f>股权价值增加表!AW31</f>
        <v>1334676422.8499994</v>
      </c>
      <c r="AX34" s="58">
        <f>股权价值增加表!AX31</f>
        <v>965235944.36000001</v>
      </c>
      <c r="AY34" s="58">
        <f>股权价值增加表!AY31</f>
        <v>530934625.65000004</v>
      </c>
      <c r="AZ34" s="58">
        <f>股权价值增加表!AZ31</f>
        <v>280264364.36999995</v>
      </c>
      <c r="BA34" s="58">
        <f>股权价值增加表!BA31</f>
        <v>869494104.71999979</v>
      </c>
      <c r="BB34" s="58">
        <f>股权价值增加表!BB31</f>
        <v>734494068.10999978</v>
      </c>
      <c r="BC34" s="58">
        <f>股权价值增加表!BC31</f>
        <v>499526019.62000006</v>
      </c>
      <c r="BD34" s="58">
        <f>股权价值增加表!BD31</f>
        <v>235981919.16000006</v>
      </c>
      <c r="BE34" s="58">
        <f>股权价值增加表!BE31</f>
        <v>521165783.19999987</v>
      </c>
      <c r="BF34" s="58">
        <f>股权价值增加表!BF31</f>
        <v>475157207.66999984</v>
      </c>
      <c r="BG34" s="58">
        <f>股权价值增加表!BG31</f>
        <v>322053246.04000002</v>
      </c>
      <c r="BH34" s="58">
        <f>股权价值增加表!BH31</f>
        <v>144183239.83000004</v>
      </c>
      <c r="BI34" s="58">
        <f>股权价值增加表!BI31</f>
        <v>303628493.31999999</v>
      </c>
      <c r="BJ34" s="58">
        <f>股权价值增加表!BJ31</f>
        <v>269456816.38000005</v>
      </c>
      <c r="BK34" s="58">
        <f>股权价值增加表!BK31</f>
        <v>201962474.46000007</v>
      </c>
      <c r="BL34" s="58">
        <f>股权价值增加表!BL31</f>
        <v>87284008.529999986</v>
      </c>
      <c r="BM34" s="58">
        <f>股权价值增加表!BM31</f>
        <v>186653440.66000006</v>
      </c>
      <c r="BN34" s="58">
        <f>股权价值增加表!BN31</f>
        <v>156058961.66999999</v>
      </c>
      <c r="BO34" s="58">
        <f>股权价值增加表!BO31</f>
        <v>109526893.30000003</v>
      </c>
      <c r="BP34" s="58">
        <f>股权价值增加表!BP31</f>
        <v>51058013.730000004</v>
      </c>
      <c r="BQ34" s="58">
        <f>股权价值增加表!BQ31</f>
        <v>112447078.60999998</v>
      </c>
      <c r="BR34" s="58">
        <f>股权价值增加表!BR31</f>
        <v>477436000</v>
      </c>
      <c r="BS34" s="58">
        <f>股权价值增加表!BS31</f>
        <v>72708188.660000011</v>
      </c>
      <c r="BT34" s="58">
        <f>股权价值增加表!BT31</f>
        <v>62820342.140000023</v>
      </c>
      <c r="BU34" s="58">
        <f>股权价值增加表!BU31</f>
        <v>41893175.600000009</v>
      </c>
      <c r="BV34" s="58">
        <f>股权价值增加表!BV31</f>
        <v>33183114.019999992</v>
      </c>
      <c r="BW34" s="58">
        <f>股权价值增加表!BW31</f>
        <v>27640790.680000007</v>
      </c>
      <c r="BX34" s="58">
        <f>股权价值增加表!BX31</f>
        <v>20193336.459999993</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682</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36891</v>
      </c>
      <c r="BU38" s="1">
        <v>36707</v>
      </c>
      <c r="BV38" s="1">
        <v>36525</v>
      </c>
      <c r="BW38" s="1">
        <v>36160</v>
      </c>
      <c r="BX38" s="1">
        <v>35795</v>
      </c>
      <c r="BY38" s="1">
        <v>25569</v>
      </c>
      <c r="BZ38" s="1"/>
      <c r="CA38" s="1"/>
      <c r="CB38" s="1"/>
      <c r="CC38" s="1"/>
      <c r="CD38" s="1"/>
      <c r="CE38" s="1"/>
      <c r="CF38" s="1"/>
      <c r="CG38" s="1"/>
      <c r="CH38" s="1"/>
      <c r="CI38" s="1"/>
      <c r="CJ38" s="1"/>
      <c r="CK38" s="1"/>
    </row>
    <row r="39" spans="1:89" x14ac:dyDescent="0.25">
      <c r="A39" s="17" t="s">
        <v>377</v>
      </c>
      <c r="E39" s="26">
        <f>股权价值增加表!E31</f>
        <v>16701069304.939997</v>
      </c>
      <c r="F39" s="26">
        <f>股权价值增加表!F31</f>
        <v>12279804050.269999</v>
      </c>
      <c r="G39" s="26">
        <f>股权价值增加表!G31</f>
        <v>7740371216.960001</v>
      </c>
      <c r="H39" s="26">
        <f>股权价值增加表!H31</f>
        <v>3563981267.0700006</v>
      </c>
      <c r="I39" s="26">
        <f>股权价值增加表!I31</f>
        <v>6615583011.3199987</v>
      </c>
      <c r="J39" s="26">
        <f>股权价值增加表!J31</f>
        <v>4359744810.7699995</v>
      </c>
      <c r="K39" s="26">
        <f>股权价值增加表!K31</f>
        <v>2450686368.3699989</v>
      </c>
      <c r="L39" s="26">
        <f>股权价值增加表!L31</f>
        <v>885243006.17999971</v>
      </c>
      <c r="M39" s="26">
        <f>股权价值增加表!M31</f>
        <v>3480967512.2399979</v>
      </c>
      <c r="N39" s="26">
        <f>股权价值增加表!N31</f>
        <v>3275956993.3700004</v>
      </c>
      <c r="O39" s="26">
        <f>股权价值增加表!O31</f>
        <v>2202477510.98</v>
      </c>
      <c r="P39" s="26">
        <f>股权价值增加表!P31</f>
        <v>949667949.32000005</v>
      </c>
      <c r="Q39" s="26">
        <f>股权价值增加表!Q31</f>
        <v>4569286440.5200024</v>
      </c>
      <c r="R39" s="26">
        <f>股权价值增加表!R31</f>
        <v>3924067907.0700006</v>
      </c>
      <c r="S39" s="26">
        <f>股权价值增加表!S31</f>
        <v>2593454223.3199997</v>
      </c>
      <c r="T39" s="26">
        <f>股权价值增加表!T31</f>
        <v>1294852960.6499999</v>
      </c>
      <c r="U39" s="26">
        <f>股权价值增加表!U31</f>
        <v>4753614958.710001</v>
      </c>
      <c r="V39" s="26">
        <f>股权价值增加表!V31</f>
        <v>3851049532.2199998</v>
      </c>
      <c r="W39" s="26">
        <f>股权价值增加表!W31</f>
        <v>2498151267.289999</v>
      </c>
      <c r="X39" s="26">
        <f>股权价值增加表!X31</f>
        <v>1243855470.4200003</v>
      </c>
      <c r="Y39" s="26">
        <f>股权价值增加表!Y31</f>
        <v>3833368895.7600007</v>
      </c>
      <c r="Z39" s="26">
        <f>股权价值增加表!Z31</f>
        <v>2755324255.8000016</v>
      </c>
      <c r="AA39" s="26">
        <f>股权价值增加表!AA31</f>
        <v>1665713388.799999</v>
      </c>
      <c r="AB39" s="26">
        <f>股权价值增加表!AB31</f>
        <v>743574581.95999992</v>
      </c>
      <c r="AC39" s="26">
        <f>股权价值增加表!AC31</f>
        <v>2991004759.539999</v>
      </c>
      <c r="AD39" s="26">
        <f>股权价值增加表!AD31</f>
        <v>2411079703.5500007</v>
      </c>
      <c r="AE39" s="26">
        <f>股权价值增加表!AE31</f>
        <v>1554221448.2999997</v>
      </c>
      <c r="AF39" s="26">
        <f>股权价值增加表!AF31</f>
        <v>727339786.17000008</v>
      </c>
      <c r="AG39" s="26">
        <f>股权价值增加表!AG31</f>
        <v>2080451840.4100008</v>
      </c>
      <c r="AH39" s="26">
        <f>股权价值增加表!AH31</f>
        <v>1322430111.4600008</v>
      </c>
      <c r="AI39" s="26">
        <f>股权价值增加表!AI31</f>
        <v>851693786.16000032</v>
      </c>
      <c r="AJ39" s="26">
        <f>股权价值增加表!AJ31</f>
        <v>379661174.82000011</v>
      </c>
      <c r="AK39" s="26">
        <f>股权价值增加表!AK31</f>
        <v>1508481175.3300006</v>
      </c>
      <c r="AL39" s="26">
        <f>股权价值增加表!AL31</f>
        <v>1216869838.79</v>
      </c>
      <c r="AM39" s="26">
        <f>股权价值增加表!AM31</f>
        <v>697902546.5</v>
      </c>
      <c r="AN39" s="26">
        <f>股权价值增加表!AN31</f>
        <v>269709472.91000009</v>
      </c>
      <c r="AO39" s="26">
        <f>股权价值增加表!AO31</f>
        <v>2145083277.3699996</v>
      </c>
      <c r="AP39" s="26">
        <f>股权价值增加表!AP31</f>
        <v>1820824370.2899997</v>
      </c>
      <c r="AQ39" s="26">
        <f>股权价值增加表!AQ31</f>
        <v>1295905672.8700004</v>
      </c>
      <c r="AR39" s="26">
        <f>股权价值增加表!AR31</f>
        <v>558177648.48999989</v>
      </c>
      <c r="AS39" s="26">
        <f>股权价值增加表!AS31</f>
        <v>2614560749.4400005</v>
      </c>
      <c r="AT39" s="26">
        <f>股权价值增加表!AT31</f>
        <v>1838266697.0800004</v>
      </c>
      <c r="AU39" s="26">
        <f>股权价值增加表!AU31</f>
        <v>1069803558.1300006</v>
      </c>
      <c r="AV39" s="26">
        <f>股权价值增加表!AV31</f>
        <v>538801268.88000011</v>
      </c>
      <c r="AW39" s="26">
        <f>股权价值增加表!AW31</f>
        <v>1334676422.8499994</v>
      </c>
      <c r="AX39" s="26">
        <f>股权价值增加表!AX31</f>
        <v>965235944.36000001</v>
      </c>
      <c r="AY39" s="26">
        <f>股权价值增加表!AY31</f>
        <v>530934625.65000004</v>
      </c>
      <c r="AZ39" s="26">
        <f>股权价值增加表!AZ31</f>
        <v>280264364.36999995</v>
      </c>
      <c r="BA39" s="26">
        <f>股权价值增加表!BA31</f>
        <v>869494104.71999979</v>
      </c>
      <c r="BB39" s="26">
        <f>股权价值增加表!BB31</f>
        <v>734494068.10999978</v>
      </c>
      <c r="BC39" s="26">
        <f>股权价值增加表!BC31</f>
        <v>499526019.62000006</v>
      </c>
      <c r="BD39" s="26">
        <f>股权价值增加表!BD31</f>
        <v>235981919.16000006</v>
      </c>
      <c r="BE39" s="26">
        <f>股权价值增加表!BE31</f>
        <v>521165783.19999987</v>
      </c>
      <c r="BF39" s="26">
        <f>股权价值增加表!BF31</f>
        <v>475157207.66999984</v>
      </c>
      <c r="BG39" s="26">
        <f>股权价值增加表!BG31</f>
        <v>322053246.04000002</v>
      </c>
      <c r="BH39" s="26">
        <f>股权价值增加表!BH31</f>
        <v>144183239.83000004</v>
      </c>
      <c r="BI39" s="26">
        <f>股权价值增加表!BI31</f>
        <v>303628493.31999999</v>
      </c>
      <c r="BJ39" s="26">
        <f>股权价值增加表!BJ31</f>
        <v>269456816.38000005</v>
      </c>
      <c r="BK39" s="26">
        <f>股权价值增加表!BK31</f>
        <v>201962474.46000007</v>
      </c>
      <c r="BL39" s="26">
        <f>股权价值增加表!BL31</f>
        <v>87284008.529999986</v>
      </c>
      <c r="BM39" s="26">
        <f>股权价值增加表!BM31</f>
        <v>186653440.66000006</v>
      </c>
      <c r="BN39" s="26">
        <f>股权价值增加表!BN31</f>
        <v>156058961.66999999</v>
      </c>
      <c r="BO39" s="26">
        <f>股权价值增加表!BO31</f>
        <v>109526893.30000003</v>
      </c>
      <c r="BP39" s="26">
        <f>股权价值增加表!BP31</f>
        <v>51058013.730000004</v>
      </c>
      <c r="BQ39" s="26">
        <f>股权价值增加表!BQ31</f>
        <v>112447078.60999998</v>
      </c>
      <c r="BR39" s="26">
        <f>股权价值增加表!BR31</f>
        <v>477436000</v>
      </c>
      <c r="BS39" s="26">
        <f>股权价值增加表!BS31</f>
        <v>72708188.660000011</v>
      </c>
      <c r="BT39" s="26">
        <f>股权价值增加表!BT31</f>
        <v>62820342.140000023</v>
      </c>
      <c r="BU39" s="26">
        <f>股权价值增加表!BU31</f>
        <v>41893175.600000009</v>
      </c>
      <c r="BV39" s="26">
        <f>股权价值增加表!BV31</f>
        <v>33183114.019999992</v>
      </c>
      <c r="BW39" s="26">
        <f>股权价值增加表!BW31</f>
        <v>27640790.680000007</v>
      </c>
      <c r="BX39" s="26">
        <f>股权价值增加表!BX31</f>
        <v>20193336.459999993</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15743517896.349997</v>
      </c>
      <c r="F40" s="26">
        <f>股权价值增加表!F38</f>
        <v>11562383864.239998</v>
      </c>
      <c r="G40" s="26">
        <f>股权价值增加表!G38</f>
        <v>7289927872.1000013</v>
      </c>
      <c r="H40" s="26">
        <f>股权价值增加表!H38</f>
        <v>3356669918.9100008</v>
      </c>
      <c r="I40" s="26">
        <f>股权价值增加表!I38</f>
        <v>5696745034.8899984</v>
      </c>
      <c r="J40" s="26">
        <f>股权价值增加表!J38</f>
        <v>3701630802.0899997</v>
      </c>
      <c r="K40" s="26">
        <f>股权价值增加表!K38</f>
        <v>2023015803.9099989</v>
      </c>
      <c r="L40" s="26">
        <f>股权价值增加表!L38</f>
        <v>668951399.84999967</v>
      </c>
      <c r="M40" s="26">
        <f>股权价值增加表!M38</f>
        <v>2627443505.7999978</v>
      </c>
      <c r="N40" s="26">
        <f>股权价值增加表!N38</f>
        <v>2569741465.7400002</v>
      </c>
      <c r="O40" s="26">
        <f>股权价值增加表!O38</f>
        <v>1866471973.1900001</v>
      </c>
      <c r="P40" s="26">
        <f>股权价值增加表!P38</f>
        <v>828586792.04000008</v>
      </c>
      <c r="Q40" s="26">
        <f>股权价值增加表!Q38</f>
        <v>4104584025.5000024</v>
      </c>
      <c r="R40" s="26">
        <f>股权价值增加表!R38</f>
        <v>3591491753.1800008</v>
      </c>
      <c r="S40" s="26">
        <f>股权价值增加表!S38</f>
        <v>2365129286.8199997</v>
      </c>
      <c r="T40" s="26">
        <f>股权价值增加表!T38</f>
        <v>1188889057.3099999</v>
      </c>
      <c r="U40" s="26">
        <f>股权价值增加表!U38</f>
        <v>4477452074.000001</v>
      </c>
      <c r="V40" s="26">
        <f>股权价值增加表!V38</f>
        <v>3610570337.8299999</v>
      </c>
      <c r="W40" s="26">
        <f>股权价值增加表!W38</f>
        <v>2365778129.7099991</v>
      </c>
      <c r="X40" s="26">
        <f>股权价值增加表!X38</f>
        <v>1153241986.5200002</v>
      </c>
      <c r="Y40" s="26">
        <f>股权价值增加表!Y38</f>
        <v>3532419573.8500009</v>
      </c>
      <c r="Z40" s="26">
        <f>股权价值增加表!Z38</f>
        <v>2485904999.6400018</v>
      </c>
      <c r="AA40" s="26">
        <f>股权价值增加表!AA38</f>
        <v>1489319230.289999</v>
      </c>
      <c r="AB40" s="26">
        <f>股权价值增加表!AB38</f>
        <v>675855596.93999994</v>
      </c>
      <c r="AC40" s="26">
        <f>股权价值增加表!AC38</f>
        <v>2815038129.2799988</v>
      </c>
      <c r="AD40" s="26">
        <f>股权价值增加表!AD38</f>
        <v>2315480621.4000006</v>
      </c>
      <c r="AE40" s="26">
        <f>股权价值增加表!AE38</f>
        <v>1502530516.3099997</v>
      </c>
      <c r="AF40" s="26">
        <f>股权价值增加表!AF38</f>
        <v>701526867.46000004</v>
      </c>
      <c r="AG40" s="26">
        <f>股权价值增加表!AG38</f>
        <v>2015214770.8100009</v>
      </c>
      <c r="AH40" s="26">
        <f>股权价值增加表!AH38</f>
        <v>1307760247.3300006</v>
      </c>
      <c r="AI40" s="26">
        <f>股权价值增加表!AI38</f>
        <v>817165669.16000032</v>
      </c>
      <c r="AJ40" s="26">
        <f>股权价值增加表!AJ38</f>
        <v>366267101.94000012</v>
      </c>
      <c r="AK40" s="26">
        <f>股权价值增加表!AK38</f>
        <v>1440071913.4100006</v>
      </c>
      <c r="AL40" s="26">
        <f>股权价值增加表!AL38</f>
        <v>1174882397.8499999</v>
      </c>
      <c r="AM40" s="26">
        <f>股权价值增加表!AM38</f>
        <v>660975960.62</v>
      </c>
      <c r="AN40" s="26">
        <f>股权价值增加表!AN38</f>
        <v>241632533.57000008</v>
      </c>
      <c r="AO40" s="26">
        <f>股权价值增加表!AO38</f>
        <v>2083420276.3599997</v>
      </c>
      <c r="AP40" s="26">
        <f>股权价值增加表!AP38</f>
        <v>1794101141.9299998</v>
      </c>
      <c r="AQ40" s="26">
        <f>股权价值增加表!AQ38</f>
        <v>1313870023.5200005</v>
      </c>
      <c r="AR40" s="26">
        <f>股权价值增加表!AR38</f>
        <v>577382326.12999988</v>
      </c>
      <c r="AS40" s="26">
        <f>股权价值增加表!AS38</f>
        <v>2554438870.9300003</v>
      </c>
      <c r="AT40" s="26">
        <f>股权价值增加表!AT38</f>
        <v>1779391185.3900003</v>
      </c>
      <c r="AU40" s="26">
        <f>股权价值增加表!AU38</f>
        <v>1032962378.7100006</v>
      </c>
      <c r="AV40" s="26">
        <f>股权价值增加表!AV38</f>
        <v>526097731.23000014</v>
      </c>
      <c r="AW40" s="26">
        <f>股权价值增加表!AW38</f>
        <v>1320482169.5799994</v>
      </c>
      <c r="AX40" s="26">
        <f>股权价值增加表!AX38</f>
        <v>949759925.34000003</v>
      </c>
      <c r="AY40" s="26">
        <f>股权价值增加表!AY38</f>
        <v>519134029.45000005</v>
      </c>
      <c r="AZ40" s="26">
        <f>股权价值增加表!AZ38</f>
        <v>275821349.10999995</v>
      </c>
      <c r="BA40" s="26">
        <f>股权价值增加表!BA38</f>
        <v>860735226.22999978</v>
      </c>
      <c r="BB40" s="26">
        <f>股权价值增加表!BB38</f>
        <v>727311822.78999972</v>
      </c>
      <c r="BC40" s="26">
        <f>股权价值增加表!BC38</f>
        <v>496010901.81000006</v>
      </c>
      <c r="BD40" s="26">
        <f>股权价值增加表!BD38</f>
        <v>233695292.22000006</v>
      </c>
      <c r="BE40" s="26">
        <f>股权价值增加表!BE38</f>
        <v>510556894.31999987</v>
      </c>
      <c r="BF40" s="26">
        <f>股权价值增加表!BF38</f>
        <v>469049687.60999984</v>
      </c>
      <c r="BG40" s="26">
        <f>股权价值增加表!BG38</f>
        <v>320252599.36000001</v>
      </c>
      <c r="BH40" s="26">
        <f>股权价值增加表!BH38</f>
        <v>144104748.75000003</v>
      </c>
      <c r="BI40" s="26">
        <f>股权价值增加表!BI38</f>
        <v>301910737.31</v>
      </c>
      <c r="BJ40" s="26">
        <f>股权价值增加表!BJ38</f>
        <v>269949748.20000005</v>
      </c>
      <c r="BK40" s="26">
        <f>股权价值增加表!BK38</f>
        <v>202565479.35000005</v>
      </c>
      <c r="BL40" s="26">
        <f>股权价值增加表!BL38</f>
        <v>87497093.169999987</v>
      </c>
      <c r="BM40" s="26">
        <f>股权价值增加表!BM38</f>
        <v>189797831.46000007</v>
      </c>
      <c r="BN40" s="26">
        <f>股权价值增加表!BN38</f>
        <v>158615377.20999998</v>
      </c>
      <c r="BO40" s="26">
        <f>股权价值增加表!BO38</f>
        <v>111980680.08000003</v>
      </c>
      <c r="BP40" s="26">
        <f>股权价值增加表!BP38</f>
        <v>53171178.090000004</v>
      </c>
      <c r="BQ40" s="26">
        <f>股权价值增加表!BQ38</f>
        <v>114032318.35999998</v>
      </c>
      <c r="BR40" s="26">
        <f>股权价值增加表!BR38</f>
        <v>477436000</v>
      </c>
      <c r="BS40" s="26">
        <f>股权价值增加表!BS38</f>
        <v>75012535.080000013</v>
      </c>
      <c r="BT40" s="26">
        <f>股权价值增加表!BT38</f>
        <v>56870014.540000021</v>
      </c>
      <c r="BU40" s="26">
        <f>股权价值增加表!BU38</f>
        <v>39462722.670000009</v>
      </c>
      <c r="BV40" s="26">
        <f>股权价值增加表!BV38</f>
        <v>30593906.569999993</v>
      </c>
      <c r="BW40" s="26">
        <f>股权价值增加表!BW38</f>
        <v>23597489.070000008</v>
      </c>
      <c r="BX40" s="26">
        <f>股权价值增加表!BX38</f>
        <v>16821063.929999992</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5.7334736543292242E-2</v>
      </c>
      <c r="F41" s="59">
        <f t="shared" ref="F41:BQ41" si="34">1-F40/F39</f>
        <v>5.8422771494812786E-2</v>
      </c>
      <c r="G41" s="59">
        <f t="shared" si="34"/>
        <v>5.8194023546703888E-2</v>
      </c>
      <c r="H41" s="59">
        <f t="shared" si="34"/>
        <v>5.8168473015132727E-2</v>
      </c>
      <c r="I41" s="59">
        <f t="shared" si="34"/>
        <v>0.1388899473950771</v>
      </c>
      <c r="J41" s="59">
        <f t="shared" si="34"/>
        <v>0.15095241516297986</v>
      </c>
      <c r="K41" s="59">
        <f t="shared" si="34"/>
        <v>0.17451052487979213</v>
      </c>
      <c r="L41" s="59">
        <f t="shared" si="34"/>
        <v>0.24433020630498004</v>
      </c>
      <c r="M41" s="59">
        <f t="shared" si="34"/>
        <v>0.24519734913893476</v>
      </c>
      <c r="N41" s="59">
        <f t="shared" si="34"/>
        <v>0.21557533540863461</v>
      </c>
      <c r="O41" s="59">
        <f t="shared" si="34"/>
        <v>0.15255798804524145</v>
      </c>
      <c r="P41" s="59">
        <f t="shared" si="34"/>
        <v>0.12749841391056616</v>
      </c>
      <c r="Q41" s="59">
        <f t="shared" si="34"/>
        <v>0.10170130961785684</v>
      </c>
      <c r="R41" s="59">
        <f t="shared" si="34"/>
        <v>8.4752904833985343E-2</v>
      </c>
      <c r="S41" s="59">
        <f t="shared" si="34"/>
        <v>8.803893064582835E-2</v>
      </c>
      <c r="T41" s="59">
        <f t="shared" si="34"/>
        <v>8.1834699815496736E-2</v>
      </c>
      <c r="U41" s="59">
        <f t="shared" si="34"/>
        <v>5.8095341568207948E-2</v>
      </c>
      <c r="V41" s="59">
        <f t="shared" si="34"/>
        <v>6.2445105516825583E-2</v>
      </c>
      <c r="W41" s="59">
        <f t="shared" si="34"/>
        <v>5.2988439616628469E-2</v>
      </c>
      <c r="X41" s="59">
        <f t="shared" si="34"/>
        <v>7.2848884822127702E-2</v>
      </c>
      <c r="Y41" s="59">
        <f t="shared" si="34"/>
        <v>7.8507790430206947E-2</v>
      </c>
      <c r="Z41" s="59">
        <f t="shared" si="34"/>
        <v>9.7781324863259966E-2</v>
      </c>
      <c r="AA41" s="59">
        <f t="shared" si="34"/>
        <v>0.10589706470275573</v>
      </c>
      <c r="AB41" s="59">
        <f t="shared" si="34"/>
        <v>9.107221610708971E-2</v>
      </c>
      <c r="AC41" s="59">
        <f t="shared" si="34"/>
        <v>5.8831945920093776E-2</v>
      </c>
      <c r="AD41" s="59">
        <f t="shared" si="34"/>
        <v>3.9649905396840657E-2</v>
      </c>
      <c r="AE41" s="59">
        <f t="shared" si="34"/>
        <v>3.3258408604860845E-2</v>
      </c>
      <c r="AF41" s="59">
        <f t="shared" si="34"/>
        <v>3.5489490882830377E-2</v>
      </c>
      <c r="AG41" s="59">
        <f t="shared" si="34"/>
        <v>3.1357164022188244E-2</v>
      </c>
      <c r="AH41" s="59">
        <f t="shared" si="34"/>
        <v>1.1093111086077911E-2</v>
      </c>
      <c r="AI41" s="59">
        <f t="shared" si="34"/>
        <v>4.0540529426280836E-2</v>
      </c>
      <c r="AJ41" s="59">
        <f t="shared" si="34"/>
        <v>3.5279016576688971E-2</v>
      </c>
      <c r="AK41" s="59">
        <f t="shared" si="34"/>
        <v>4.534976175956229E-2</v>
      </c>
      <c r="AL41" s="59">
        <f t="shared" si="34"/>
        <v>3.4504463502645799E-2</v>
      </c>
      <c r="AM41" s="59">
        <f t="shared" si="34"/>
        <v>5.2910805477337508E-2</v>
      </c>
      <c r="AN41" s="59">
        <f t="shared" si="34"/>
        <v>0.10410067928674149</v>
      </c>
      <c r="AO41" s="59">
        <f t="shared" si="34"/>
        <v>2.8746203777040513E-2</v>
      </c>
      <c r="AP41" s="59">
        <f t="shared" si="34"/>
        <v>1.4676444799419985E-2</v>
      </c>
      <c r="AQ41" s="59">
        <f t="shared" si="34"/>
        <v>-1.3862390624631571E-2</v>
      </c>
      <c r="AR41" s="59">
        <f t="shared" si="34"/>
        <v>-3.4406031291208228E-2</v>
      </c>
      <c r="AS41" s="59">
        <f t="shared" si="34"/>
        <v>2.2995020682872847E-2</v>
      </c>
      <c r="AT41" s="59">
        <f t="shared" si="34"/>
        <v>3.2027731222853073E-2</v>
      </c>
      <c r="AU41" s="59">
        <f t="shared" si="34"/>
        <v>3.4437331171713215E-2</v>
      </c>
      <c r="AV41" s="59">
        <f t="shared" si="34"/>
        <v>2.3577408561799906E-2</v>
      </c>
      <c r="AW41" s="59">
        <f t="shared" si="34"/>
        <v>1.0634977157752079E-2</v>
      </c>
      <c r="AX41" s="59">
        <f t="shared" si="34"/>
        <v>1.6033405210848617E-2</v>
      </c>
      <c r="AY41" s="59">
        <f t="shared" si="34"/>
        <v>2.2226081385355201E-2</v>
      </c>
      <c r="AZ41" s="59">
        <f t="shared" si="34"/>
        <v>1.5852943951641274E-2</v>
      </c>
      <c r="BA41" s="59">
        <f t="shared" si="34"/>
        <v>1.0073534072804979E-2</v>
      </c>
      <c r="BB41" s="59">
        <f t="shared" si="34"/>
        <v>9.7784932946857195E-3</v>
      </c>
      <c r="BC41" s="59">
        <f t="shared" si="34"/>
        <v>7.0369063310736779E-3</v>
      </c>
      <c r="BD41" s="59">
        <f t="shared" si="34"/>
        <v>9.6898395781315205E-3</v>
      </c>
      <c r="BE41" s="59">
        <f t="shared" si="34"/>
        <v>2.0356073291804666E-2</v>
      </c>
      <c r="BF41" s="59">
        <f t="shared" si="34"/>
        <v>1.2853682868348093E-2</v>
      </c>
      <c r="BG41" s="59">
        <f t="shared" si="34"/>
        <v>5.5911458808161063E-3</v>
      </c>
      <c r="BH41" s="59">
        <f t="shared" si="34"/>
        <v>5.443842161720891E-4</v>
      </c>
      <c r="BI41" s="59">
        <f t="shared" si="34"/>
        <v>5.6574269141125288E-3</v>
      </c>
      <c r="BJ41" s="59">
        <f t="shared" si="34"/>
        <v>-1.8293536850255698E-3</v>
      </c>
      <c r="BK41" s="59">
        <f t="shared" si="34"/>
        <v>-2.9857273813478358E-3</v>
      </c>
      <c r="BL41" s="59">
        <f t="shared" si="34"/>
        <v>-2.4412792628190072E-3</v>
      </c>
      <c r="BM41" s="59">
        <f t="shared" si="34"/>
        <v>-1.6846144324377699E-2</v>
      </c>
      <c r="BN41" s="59">
        <f t="shared" si="34"/>
        <v>-1.6381087716101472E-2</v>
      </c>
      <c r="BO41" s="59">
        <f t="shared" si="34"/>
        <v>-2.2403509367137309E-2</v>
      </c>
      <c r="BP41" s="59">
        <f t="shared" si="34"/>
        <v>-4.1387515996502033E-2</v>
      </c>
      <c r="BQ41" s="59">
        <f t="shared" si="34"/>
        <v>-1.4097651709548575E-2</v>
      </c>
      <c r="BR41" s="59">
        <f t="shared" ref="BR41:CK41" si="35">1-BR40/BR39</f>
        <v>0</v>
      </c>
      <c r="BS41" s="59">
        <f t="shared" si="35"/>
        <v>-3.169307972690194E-2</v>
      </c>
      <c r="BT41" s="59">
        <f t="shared" si="35"/>
        <v>9.4719757920758152E-2</v>
      </c>
      <c r="BU41" s="59">
        <f t="shared" si="35"/>
        <v>5.8015485701208069E-2</v>
      </c>
      <c r="BV41" s="59">
        <f t="shared" si="35"/>
        <v>7.8027862256671909E-2</v>
      </c>
      <c r="BW41" s="59">
        <f t="shared" si="35"/>
        <v>0.14628024418004815</v>
      </c>
      <c r="BX41" s="59">
        <f t="shared" si="35"/>
        <v>0.16699927407637527</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1">
        <f>E39/(E39-E40)</f>
        <v>17.441433593139834</v>
      </c>
      <c r="F42" s="29">
        <f t="shared" ref="F42:BQ42" si="36">F39/(F39-F40)</f>
        <v>17.116613512400512</v>
      </c>
      <c r="G42" s="29">
        <f t="shared" si="36"/>
        <v>17.18389516747273</v>
      </c>
      <c r="H42" s="29">
        <f t="shared" si="36"/>
        <v>17.191443202228236</v>
      </c>
      <c r="I42" s="29">
        <f t="shared" si="36"/>
        <v>7.1999451274574007</v>
      </c>
      <c r="J42" s="29">
        <f t="shared" si="36"/>
        <v>6.6246041768879502</v>
      </c>
      <c r="K42" s="29">
        <f t="shared" si="36"/>
        <v>5.7303134048151474</v>
      </c>
      <c r="L42" s="29">
        <f t="shared" si="36"/>
        <v>4.0928218214319809</v>
      </c>
      <c r="M42" s="29">
        <f t="shared" si="36"/>
        <v>4.078347516854171</v>
      </c>
      <c r="N42" s="29">
        <f t="shared" si="36"/>
        <v>4.6387495958405731</v>
      </c>
      <c r="O42" s="29">
        <f t="shared" si="36"/>
        <v>6.5548845577554919</v>
      </c>
      <c r="P42" s="29">
        <f t="shared" si="36"/>
        <v>7.8432348240931864</v>
      </c>
      <c r="Q42" s="29">
        <f t="shared" si="36"/>
        <v>9.8327150727704922</v>
      </c>
      <c r="R42" s="29">
        <f t="shared" si="36"/>
        <v>11.799005614719727</v>
      </c>
      <c r="S42" s="29">
        <f t="shared" si="36"/>
        <v>11.358611385489205</v>
      </c>
      <c r="T42" s="29">
        <f t="shared" si="36"/>
        <v>12.219755216975011</v>
      </c>
      <c r="U42" s="29">
        <f t="shared" si="36"/>
        <v>17.213084096010203</v>
      </c>
      <c r="V42" s="29">
        <f t="shared" si="36"/>
        <v>16.014065341447029</v>
      </c>
      <c r="W42" s="29">
        <f t="shared" si="36"/>
        <v>18.872040906186403</v>
      </c>
      <c r="X42" s="29">
        <f t="shared" si="36"/>
        <v>13.727046096061196</v>
      </c>
      <c r="Y42" s="29">
        <f t="shared" si="36"/>
        <v>12.737589410174467</v>
      </c>
      <c r="Z42" s="29">
        <f t="shared" si="36"/>
        <v>10.226901725850281</v>
      </c>
      <c r="AA42" s="29">
        <f t="shared" si="36"/>
        <v>9.443132373941781</v>
      </c>
      <c r="AB42" s="29">
        <f t="shared" si="36"/>
        <v>10.980297205287323</v>
      </c>
      <c r="AC42" s="29">
        <f t="shared" si="36"/>
        <v>16.997567977068307</v>
      </c>
      <c r="AD42" s="29">
        <f t="shared" si="36"/>
        <v>25.220741133967032</v>
      </c>
      <c r="AE42" s="29">
        <f t="shared" si="36"/>
        <v>30.067584167386947</v>
      </c>
      <c r="AF42" s="29">
        <f t="shared" si="36"/>
        <v>28.177355468454849</v>
      </c>
      <c r="AG42" s="29">
        <f t="shared" si="36"/>
        <v>31.890639067117199</v>
      </c>
      <c r="AH42" s="29">
        <f t="shared" si="36"/>
        <v>90.146036782686309</v>
      </c>
      <c r="AI42" s="29">
        <f t="shared" si="36"/>
        <v>24.666673429078113</v>
      </c>
      <c r="AJ42" s="29">
        <f t="shared" si="36"/>
        <v>28.345461326174316</v>
      </c>
      <c r="AK42" s="29">
        <f t="shared" si="36"/>
        <v>22.050832489525551</v>
      </c>
      <c r="AL42" s="29">
        <f t="shared" si="36"/>
        <v>28.981757676751574</v>
      </c>
      <c r="AM42" s="29">
        <f t="shared" si="36"/>
        <v>18.899731179263846</v>
      </c>
      <c r="AN42" s="29">
        <f t="shared" si="36"/>
        <v>9.6060852518122104</v>
      </c>
      <c r="AO42" s="29">
        <f t="shared" si="36"/>
        <v>34.78720208609581</v>
      </c>
      <c r="AP42" s="29">
        <f t="shared" si="36"/>
        <v>68.136392271207114</v>
      </c>
      <c r="AQ42" s="29">
        <f t="shared" si="36"/>
        <v>-72.137629581951714</v>
      </c>
      <c r="AR42" s="29">
        <f t="shared" si="36"/>
        <v>-29.064671584354713</v>
      </c>
      <c r="AS42" s="29">
        <f t="shared" si="36"/>
        <v>43.487675605563687</v>
      </c>
      <c r="AT42" s="29">
        <f t="shared" si="36"/>
        <v>31.222942176012172</v>
      </c>
      <c r="AU42" s="29">
        <f t="shared" si="36"/>
        <v>29.038254881417743</v>
      </c>
      <c r="AV42" s="29">
        <f t="shared" si="36"/>
        <v>42.413482269641726</v>
      </c>
      <c r="AW42" s="29">
        <f t="shared" si="36"/>
        <v>94.0293509959331</v>
      </c>
      <c r="AX42" s="29">
        <f t="shared" si="36"/>
        <v>62.36978276600756</v>
      </c>
      <c r="AY42" s="29">
        <f t="shared" si="36"/>
        <v>44.992186551557502</v>
      </c>
      <c r="AZ42" s="29">
        <f t="shared" si="36"/>
        <v>63.079766322927405</v>
      </c>
      <c r="BA42" s="29">
        <f t="shared" si="36"/>
        <v>99.270027060279361</v>
      </c>
      <c r="BB42" s="29">
        <f t="shared" si="36"/>
        <v>102.26524372046852</v>
      </c>
      <c r="BC42" s="29">
        <f t="shared" si="36"/>
        <v>142.1079026708353</v>
      </c>
      <c r="BD42" s="29">
        <f t="shared" si="36"/>
        <v>103.20088293895475</v>
      </c>
      <c r="BE42" s="29">
        <f t="shared" si="36"/>
        <v>49.125388067972686</v>
      </c>
      <c r="BF42" s="29">
        <f t="shared" si="36"/>
        <v>77.798714208398309</v>
      </c>
      <c r="BG42" s="29">
        <f t="shared" si="36"/>
        <v>178.85421366505878</v>
      </c>
      <c r="BH42" s="29">
        <f t="shared" si="36"/>
        <v>1836.93790211545</v>
      </c>
      <c r="BI42" s="29">
        <f t="shared" si="36"/>
        <v>176.75880133873127</v>
      </c>
      <c r="BJ42" s="29">
        <f t="shared" si="36"/>
        <v>-546.64114883069215</v>
      </c>
      <c r="BK42" s="29">
        <f t="shared" si="36"/>
        <v>-334.92676064369039</v>
      </c>
      <c r="BL42" s="29">
        <f t="shared" si="36"/>
        <v>-409.6213060218688</v>
      </c>
      <c r="BM42" s="29">
        <f t="shared" si="36"/>
        <v>-59.360764145474334</v>
      </c>
      <c r="BN42" s="29">
        <f t="shared" si="36"/>
        <v>-61.046007281742817</v>
      </c>
      <c r="BO42" s="29">
        <f t="shared" si="36"/>
        <v>-44.635864123450844</v>
      </c>
      <c r="BP42" s="29">
        <f t="shared" si="36"/>
        <v>-24.161875288299875</v>
      </c>
      <c r="BQ42" s="29">
        <f t="shared" si="36"/>
        <v>-70.933799515183736</v>
      </c>
      <c r="BR42" s="29" t="e">
        <f t="shared" ref="BR42:CK42" si="37">BR39/(BR39-BR40)</f>
        <v>#DIV/0!</v>
      </c>
      <c r="BS42" s="29">
        <f t="shared" si="37"/>
        <v>-31.552629426264804</v>
      </c>
      <c r="BT42" s="29">
        <f t="shared" si="37"/>
        <v>10.557459414503498</v>
      </c>
      <c r="BU42" s="29">
        <f t="shared" si="37"/>
        <v>17.236777179634586</v>
      </c>
      <c r="BV42" s="29">
        <f t="shared" si="37"/>
        <v>12.81593486068488</v>
      </c>
      <c r="BW42" s="29">
        <f t="shared" si="37"/>
        <v>6.836193127823579</v>
      </c>
      <c r="BX42" s="29">
        <f t="shared" si="37"/>
        <v>5.9880499812392047</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704</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36891</v>
      </c>
      <c r="BU46" s="1">
        <v>36707</v>
      </c>
      <c r="BV46" s="1">
        <v>36525</v>
      </c>
      <c r="BW46" s="1">
        <v>36160</v>
      </c>
      <c r="BX46" s="1">
        <v>35795</v>
      </c>
      <c r="BY46" s="1">
        <v>25569</v>
      </c>
      <c r="BZ46" s="1"/>
      <c r="CA46" s="1"/>
      <c r="CB46" s="1"/>
      <c r="CC46" s="1"/>
      <c r="CD46" s="1"/>
      <c r="CE46" s="1"/>
      <c r="CF46" s="1"/>
      <c r="CG46" s="1"/>
      <c r="CH46" s="1"/>
      <c r="CI46" s="1"/>
      <c r="CJ46" s="1"/>
      <c r="CK46" s="1"/>
    </row>
    <row r="47" spans="1:89" s="26" customFormat="1" x14ac:dyDescent="0.25">
      <c r="A47" s="17" t="s">
        <v>425</v>
      </c>
      <c r="E47" s="26">
        <f>股权价值增加表!E42</f>
        <v>12303101814.049995</v>
      </c>
      <c r="F47" s="26">
        <f>股权价值增加表!F42</f>
        <v>9134999474.1299973</v>
      </c>
      <c r="G47" s="26">
        <f>股权价值增加表!G42</f>
        <v>5709313366.1200008</v>
      </c>
      <c r="H47" s="26">
        <f>股权价值增加表!H42</f>
        <v>2593107851.6900005</v>
      </c>
      <c r="I47" s="26">
        <f>股权价值增加表!I42</f>
        <v>4591735069.6699982</v>
      </c>
      <c r="J47" s="26">
        <f>股权价值增加表!J42</f>
        <v>2974409242.7599998</v>
      </c>
      <c r="K47" s="26">
        <f>股权价值增加表!K42</f>
        <v>1634627468.269999</v>
      </c>
      <c r="L47" s="26">
        <f>股权价值增加表!L42</f>
        <v>542683973.74999964</v>
      </c>
      <c r="M47" s="26">
        <f>股权价值增加表!M42</f>
        <v>1952555535.3999977</v>
      </c>
      <c r="N47" s="26">
        <f>股权价值增加表!N42</f>
        <v>1945108921.9100003</v>
      </c>
      <c r="O47" s="26">
        <f>股权价值增加表!O42</f>
        <v>1390595891.72</v>
      </c>
      <c r="P47" s="26">
        <f>股权价值增加表!P42</f>
        <v>627695375.19000006</v>
      </c>
      <c r="Q47" s="26">
        <f>股权价值增加表!Q42</f>
        <v>3153603780.4100022</v>
      </c>
      <c r="R47" s="26">
        <f>股权价值增加表!R42</f>
        <v>2725108354.6000009</v>
      </c>
      <c r="S47" s="26">
        <f>股权价值增加表!S42</f>
        <v>1804770770.8499997</v>
      </c>
      <c r="T47" s="26">
        <f>股权价值增加表!T42</f>
        <v>925701911.9799999</v>
      </c>
      <c r="U47" s="26">
        <f>股权价值增加表!U42</f>
        <v>3817552032.8400011</v>
      </c>
      <c r="V47" s="26">
        <f>股权价值增加表!V42</f>
        <v>3022490271.8599997</v>
      </c>
      <c r="W47" s="26">
        <f>股权价值增加表!W42</f>
        <v>1969844119.789999</v>
      </c>
      <c r="X47" s="26">
        <f>股权价值增加表!X42</f>
        <v>956317095.16000021</v>
      </c>
      <c r="Y47" s="26">
        <f>股权价值增加表!Y42</f>
        <v>2986440909.0500011</v>
      </c>
      <c r="Z47" s="26">
        <f>股权价值增加表!Z42</f>
        <v>2086190335.3700018</v>
      </c>
      <c r="AA47" s="26">
        <f>股权价值增加表!AA42</f>
        <v>1248337673.259999</v>
      </c>
      <c r="AB47" s="26">
        <f>股权价值增加表!AB42</f>
        <v>565284004.75999999</v>
      </c>
      <c r="AC47" s="26">
        <f>股权价值增加表!AC42</f>
        <v>2395497793.6199989</v>
      </c>
      <c r="AD47" s="26">
        <f>股权价值增加表!AD42</f>
        <v>1938790053.7800007</v>
      </c>
      <c r="AE47" s="26">
        <f>股权价值增加表!AE42</f>
        <v>1262838364.2399998</v>
      </c>
      <c r="AF47" s="26">
        <f>股权价值增加表!AF42</f>
        <v>588953547.05000007</v>
      </c>
      <c r="AG47" s="26">
        <f>股权价值增加表!AG42</f>
        <v>1798302901.720001</v>
      </c>
      <c r="AH47" s="26">
        <f>股权价值增加表!AH42</f>
        <v>1138270078.2100005</v>
      </c>
      <c r="AI47" s="26">
        <f>股权价值增加表!AI42</f>
        <v>704208293.90000033</v>
      </c>
      <c r="AJ47" s="26">
        <f>股权价值增加表!AJ42</f>
        <v>318961371.8900001</v>
      </c>
      <c r="AK47" s="26">
        <f>股权价值增加表!AK42</f>
        <v>1269791213.3100007</v>
      </c>
      <c r="AL47" s="26">
        <f>股权价值增加表!AL42</f>
        <v>1031806446.5099999</v>
      </c>
      <c r="AM47" s="26">
        <f>股权价值增加表!AM42</f>
        <v>590092429.62</v>
      </c>
      <c r="AN47" s="26">
        <f>股权价值增加表!AN42</f>
        <v>219925513.31000009</v>
      </c>
      <c r="AO47" s="26">
        <f>股权价值增加表!AO42</f>
        <v>1815858422.1699996</v>
      </c>
      <c r="AP47" s="26">
        <f>股权价值增加表!AP42</f>
        <v>1396884229.2999997</v>
      </c>
      <c r="AQ47" s="26">
        <f>股权价值增加表!AQ42</f>
        <v>1010477055.5100005</v>
      </c>
      <c r="AR47" s="26">
        <f>股权价值增加表!AR42</f>
        <v>431409122.92999989</v>
      </c>
      <c r="AS47" s="26">
        <f>股权价值增加表!AS42</f>
        <v>1769086875.1000004</v>
      </c>
      <c r="AT47" s="26">
        <f>股权价值增加表!AT42</f>
        <v>1244026736.0400004</v>
      </c>
      <c r="AU47" s="26">
        <f>股权价值增加表!AU42</f>
        <v>702166245.66000056</v>
      </c>
      <c r="AV47" s="26">
        <f>股权价值增加表!AV42</f>
        <v>366875592.93000013</v>
      </c>
      <c r="AW47" s="26">
        <f>股权价值增加表!AW42</f>
        <v>924977423.69999945</v>
      </c>
      <c r="AX47" s="26">
        <f>股权价值增加表!AX42</f>
        <v>636793405.5</v>
      </c>
      <c r="AY47" s="26">
        <f>股权价值增加表!AY42</f>
        <v>331929105.13000005</v>
      </c>
      <c r="AZ47" s="26">
        <f>股权价值增加表!AZ42</f>
        <v>183081860.66999996</v>
      </c>
      <c r="BA47" s="26">
        <f>股权价值增加表!BA42</f>
        <v>613492642.35999978</v>
      </c>
      <c r="BB47" s="26">
        <f>股权价值增加表!BB42</f>
        <v>487630658.85999972</v>
      </c>
      <c r="BC47" s="26">
        <f>股权价值增加表!BC42</f>
        <v>332076941.68000007</v>
      </c>
      <c r="BD47" s="26">
        <f>股权价值增加表!BD42</f>
        <v>156632583.63000005</v>
      </c>
      <c r="BE47" s="26">
        <f>股权价值增加表!BE42</f>
        <v>400411640.56999987</v>
      </c>
      <c r="BF47" s="26">
        <f>股权价值增加表!BF42</f>
        <v>313383672.83999979</v>
      </c>
      <c r="BG47" s="26">
        <f>股权价值增加表!BG42</f>
        <v>213859664.64000002</v>
      </c>
      <c r="BH47" s="26">
        <f>股权价值增加表!BH42</f>
        <v>96187793.560000032</v>
      </c>
      <c r="BI47" s="26">
        <f>股权价值增加表!BI42</f>
        <v>232083552.96000001</v>
      </c>
      <c r="BJ47" s="26">
        <f>股权价值增加表!BJ42</f>
        <v>186533868.92000005</v>
      </c>
      <c r="BK47" s="26">
        <f>股权价值增加表!BK42</f>
        <v>138188827.16000006</v>
      </c>
      <c r="BL47" s="26">
        <f>股权价值增加表!BL42</f>
        <v>58935930.389999986</v>
      </c>
      <c r="BM47" s="26">
        <f>股权价值增加表!BM42</f>
        <v>154174823.98000008</v>
      </c>
      <c r="BN47" s="26">
        <f>股权价值增加表!BN42</f>
        <v>124131558.28999998</v>
      </c>
      <c r="BO47" s="26">
        <f>股权价值增加表!BO42</f>
        <v>92925723.220000029</v>
      </c>
      <c r="BP47" s="26">
        <f>股权价值增加表!BP42</f>
        <v>35590814.430000007</v>
      </c>
      <c r="BQ47" s="26">
        <f>股权价值增加表!BQ42</f>
        <v>100369310.87999998</v>
      </c>
      <c r="BR47" s="26">
        <f>股权价值增加表!BR42</f>
        <v>453263900</v>
      </c>
      <c r="BS47" s="26">
        <f>股权价值增加表!BS42</f>
        <v>62594563.900000013</v>
      </c>
      <c r="BT47" s="26">
        <f>股权价值增加表!BT42</f>
        <v>46417406.290000021</v>
      </c>
      <c r="BU47" s="26">
        <f>股权价值增加表!BU42</f>
        <v>26215376.410000011</v>
      </c>
      <c r="BV47" s="26">
        <f>股权价值增加表!BV42</f>
        <v>20141298.319999993</v>
      </c>
      <c r="BW47" s="26">
        <f>股权价值增加表!BW42</f>
        <v>19875895.800000008</v>
      </c>
      <c r="BX47" s="26">
        <f>股权价值增加表!BX42</f>
        <v>13019948.609999992</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0.23159576243893973</v>
      </c>
      <c r="F48" s="63">
        <f>股权价值增加表!F43</f>
        <v>0.2344501533018376</v>
      </c>
      <c r="G48" s="63">
        <f>股权价值增加表!G43</f>
        <v>0.23370008827225616</v>
      </c>
      <c r="H48" s="63">
        <f>股权价值增加表!H43</f>
        <v>0.23558611759488154</v>
      </c>
      <c r="I48" s="63">
        <f>股权价值增加表!I43</f>
        <v>0.15255003964142411</v>
      </c>
      <c r="J48" s="63">
        <f>股权价值增加表!J43</f>
        <v>0.14209742950027379</v>
      </c>
      <c r="K48" s="63">
        <f>股权价值增加表!K43</f>
        <v>0.13102417471494932</v>
      </c>
      <c r="L48" s="63">
        <f>股权价值增加表!L43</f>
        <v>0.10240071569466262</v>
      </c>
      <c r="M48" s="63">
        <f>股权价值增加表!M43</f>
        <v>0.10017018167895622</v>
      </c>
      <c r="N48" s="63">
        <f>股权价值增加表!N43</f>
        <v>0.13153004020007</v>
      </c>
      <c r="O48" s="63">
        <f>股权价值增加表!O43</f>
        <v>0.13847434993213353</v>
      </c>
      <c r="P48" s="63">
        <f>股权价值增加表!P43</f>
        <v>0.13839594659336532</v>
      </c>
      <c r="Q48" s="63">
        <f>股权价值增加表!Q43</f>
        <v>0.1427721464361488</v>
      </c>
      <c r="R48" s="63">
        <f>股权价值增加表!R43</f>
        <v>0.15343905231286492</v>
      </c>
      <c r="S48" s="63">
        <f>股权价值增加表!S43</f>
        <v>0.15471911394046192</v>
      </c>
      <c r="T48" s="63">
        <f>股权价值增加表!T43</f>
        <v>0.1802220024004822</v>
      </c>
      <c r="U48" s="63">
        <f>股权价值增加表!U43</f>
        <v>0.18863312011138009</v>
      </c>
      <c r="V48" s="63">
        <f>股权价值增加表!V43</f>
        <v>0.19659467690755511</v>
      </c>
      <c r="W48" s="63">
        <f>股权价值增加表!W43</f>
        <v>0.19746024039863885</v>
      </c>
      <c r="X48" s="63">
        <f>股权价值增加表!X43</f>
        <v>0.20021970549908913</v>
      </c>
      <c r="Y48" s="63">
        <f>股权价值增加表!Y43</f>
        <v>0.18733014732411812</v>
      </c>
      <c r="Z48" s="63">
        <f>股权价值增加表!Z43</f>
        <v>0.18267284274849643</v>
      </c>
      <c r="AA48" s="63">
        <f>股权价值增加表!AA43</f>
        <v>0.17434470061646407</v>
      </c>
      <c r="AB48" s="63">
        <f>股权价值增加表!AB43</f>
        <v>0.17228294512868389</v>
      </c>
      <c r="AC48" s="63">
        <f>股权价值增加表!AC43</f>
        <v>0.17533625427348259</v>
      </c>
      <c r="AD48" s="63">
        <f>股权价值增加表!AD43</f>
        <v>0.18448833813354529</v>
      </c>
      <c r="AE48" s="63">
        <f>股权价值增加表!AE43</f>
        <v>0.183593565938584</v>
      </c>
      <c r="AF48" s="63">
        <f>股权价值增加表!AF43</f>
        <v>0.18499181080179616</v>
      </c>
      <c r="AG48" s="63">
        <f>股权价值增加表!AG43</f>
        <v>0.19070471427141872</v>
      </c>
      <c r="AH48" s="63">
        <f>股权价值增加表!AH43</f>
        <v>0.16974597446657658</v>
      </c>
      <c r="AI48" s="63">
        <f>股权价值增加表!AI43</f>
        <v>0.16076589399398722</v>
      </c>
      <c r="AJ48" s="63">
        <f>股权价值增加表!AJ43</f>
        <v>0.15564954349917684</v>
      </c>
      <c r="AK48" s="63">
        <f>股权价值增加表!AK43</f>
        <v>0.19556551939480413</v>
      </c>
      <c r="AL48" s="63">
        <f>股权价值增加表!AL43</f>
        <v>0.22168120968985242</v>
      </c>
      <c r="AM48" s="63">
        <f>股权价值增加表!AM43</f>
        <v>0.21458226639140943</v>
      </c>
      <c r="AN48" s="63">
        <f>股权价值增加表!AN43</f>
        <v>0.18148821497692202</v>
      </c>
      <c r="AO48" s="63">
        <f>股权价值增加表!AO43</f>
        <v>0.23569130183408166</v>
      </c>
      <c r="AP48" s="63">
        <f>股权价值增加表!AP43</f>
        <v>0.22630620379464142</v>
      </c>
      <c r="AQ48" s="63">
        <f>股权价值增加表!AQ43</f>
        <v>0.24245225208660254</v>
      </c>
      <c r="AR48" s="63">
        <f>股权价值增加表!AR43</f>
        <v>0.21953711856424885</v>
      </c>
      <c r="AS48" s="63">
        <f>股权价值增加表!AS43</f>
        <v>0.22670185391706907</v>
      </c>
      <c r="AT48" s="63">
        <f>股权价值增加表!AT43</f>
        <v>0.21209644261742638</v>
      </c>
      <c r="AU48" s="63">
        <f>股权价值增加表!AU43</f>
        <v>0.1989934486772903</v>
      </c>
      <c r="AV48" s="63">
        <f>股权价值增加表!AV43</f>
        <v>0.21232722456220643</v>
      </c>
      <c r="AW48" s="63">
        <f>股权价值增加表!AW43</f>
        <v>0.18847964917596774</v>
      </c>
      <c r="AX48" s="63">
        <f>股权价值增加表!AX43</f>
        <v>0.17949851441803405</v>
      </c>
      <c r="AY48" s="63">
        <f>股权价值增加表!AY43</f>
        <v>0.15792664669965087</v>
      </c>
      <c r="AZ48" s="63">
        <f>股权价值增加表!AZ43</f>
        <v>0.17354997419633247</v>
      </c>
      <c r="BA48" s="63">
        <f>股权价值增加表!BA43</f>
        <v>0.18537093216288658</v>
      </c>
      <c r="BB48" s="63">
        <f>股权价值增加表!BB43</f>
        <v>0.19113358295556146</v>
      </c>
      <c r="BC48" s="63">
        <f>股权价值增加表!BC43</f>
        <v>0.20505346424253751</v>
      </c>
      <c r="BD48" s="63">
        <f>股权价值增加表!BD43</f>
        <v>0.19700006578941553</v>
      </c>
      <c r="BE48" s="63">
        <f>股权价值增加表!BE43</f>
        <v>0.19028902986828916</v>
      </c>
      <c r="BF48" s="63">
        <f>股权价值增加表!BF43</f>
        <v>0.18481128246721285</v>
      </c>
      <c r="BG48" s="63">
        <f>股权价值增加表!BG43</f>
        <v>0.20289226730694471</v>
      </c>
      <c r="BH48" s="63">
        <f>股权价值增加表!BH43</f>
        <v>0.19212718200541617</v>
      </c>
      <c r="BI48" s="63">
        <f>股权价值增加表!BI43</f>
        <v>0.17271907112778656</v>
      </c>
      <c r="BJ48" s="63">
        <f>股权价值增加表!BJ43</f>
        <v>0.18455441894100505</v>
      </c>
      <c r="BK48" s="63">
        <f>股权价值增加表!BK43</f>
        <v>0.18960160373951995</v>
      </c>
      <c r="BL48" s="63">
        <f>股权价值增加表!BL43</f>
        <v>0.16128512018091701</v>
      </c>
      <c r="BM48" s="63">
        <f>股权价值增加表!BM43</f>
        <v>0.17485213396700761</v>
      </c>
      <c r="BN48" s="63">
        <f>股权价值增加表!BN43</f>
        <v>0.16969238130553885</v>
      </c>
      <c r="BO48" s="63">
        <f>股权价值增加表!BO43</f>
        <v>0.2114114548826824</v>
      </c>
      <c r="BP48" s="63">
        <f>股权价值增加表!BP43</f>
        <v>0.16243889304380638</v>
      </c>
      <c r="BQ48" s="63">
        <f>股权价值增加表!BQ43</f>
        <v>0.17568937331195594</v>
      </c>
      <c r="BR48" s="63">
        <f>股权价值增加表!BR43</f>
        <v>0.94849331774775891</v>
      </c>
      <c r="BS48" s="63">
        <f>股权价值增加表!BS43</f>
        <v>0.21572094703305786</v>
      </c>
      <c r="BT48" s="63">
        <f>股权价值增加表!BT43</f>
        <v>0.13460052318051779</v>
      </c>
      <c r="BU48" s="63">
        <f>股权价值增加表!BU43</f>
        <v>0.16294094534532669</v>
      </c>
      <c r="BV48" s="63">
        <f>股权价值增加表!BV43</f>
        <v>9.5725827523850587E-2</v>
      </c>
      <c r="BW48" s="63">
        <f>股权价值增加表!BW43</f>
        <v>0.10999565357776829</v>
      </c>
      <c r="BX48" s="63">
        <f>股权价值增加表!BX43</f>
        <v>9.2996619997506233E-2</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1.6794014958128241</v>
      </c>
      <c r="F49" s="59">
        <f t="shared" ref="F49:BQ49" si="38">(F47-J47)/J47</f>
        <v>2.0711979181632354</v>
      </c>
      <c r="G49" s="59">
        <f t="shared" si="38"/>
        <v>2.4927305927156773</v>
      </c>
      <c r="H49" s="59">
        <f t="shared" si="38"/>
        <v>3.7783018794002157</v>
      </c>
      <c r="I49" s="59">
        <f t="shared" si="38"/>
        <v>1.3516540177328897</v>
      </c>
      <c r="J49" s="59">
        <f t="shared" si="38"/>
        <v>0.52917361555222198</v>
      </c>
      <c r="K49" s="59">
        <f t="shared" si="38"/>
        <v>0.17548705414925486</v>
      </c>
      <c r="L49" s="59">
        <f t="shared" si="38"/>
        <v>-0.1354341688661764</v>
      </c>
      <c r="M49" s="59">
        <f t="shared" si="38"/>
        <v>-0.3808494435701924</v>
      </c>
      <c r="N49" s="59">
        <f t="shared" si="38"/>
        <v>-0.28622694263637494</v>
      </c>
      <c r="O49" s="59">
        <f t="shared" si="38"/>
        <v>-0.22948891117897158</v>
      </c>
      <c r="P49" s="59">
        <f t="shared" si="38"/>
        <v>-0.32192494466451788</v>
      </c>
      <c r="Q49" s="59">
        <f t="shared" si="38"/>
        <v>-0.17391989597482085</v>
      </c>
      <c r="R49" s="59">
        <f t="shared" si="38"/>
        <v>-9.838970203764924E-2</v>
      </c>
      <c r="S49" s="59">
        <f t="shared" si="38"/>
        <v>-8.3800209002120166E-2</v>
      </c>
      <c r="T49" s="59">
        <f t="shared" si="38"/>
        <v>-3.2013631602892258E-2</v>
      </c>
      <c r="U49" s="59">
        <f t="shared" si="38"/>
        <v>0.27829484965579976</v>
      </c>
      <c r="V49" s="59">
        <f t="shared" si="38"/>
        <v>0.44880849106413767</v>
      </c>
      <c r="W49" s="59">
        <f t="shared" si="38"/>
        <v>0.5779737822425931</v>
      </c>
      <c r="X49" s="59">
        <f t="shared" si="38"/>
        <v>0.69174624986252586</v>
      </c>
      <c r="Y49" s="59">
        <f t="shared" si="38"/>
        <v>0.24668906688366765</v>
      </c>
      <c r="Z49" s="59">
        <f t="shared" si="38"/>
        <v>7.6026943351921575E-2</v>
      </c>
      <c r="AA49" s="59">
        <f t="shared" si="38"/>
        <v>-1.1482618354509309E-2</v>
      </c>
      <c r="AB49" s="59">
        <f t="shared" si="38"/>
        <v>-4.0189149736100702E-2</v>
      </c>
      <c r="AC49" s="59">
        <f t="shared" si="38"/>
        <v>0.33208804330394293</v>
      </c>
      <c r="AD49" s="59">
        <f t="shared" si="38"/>
        <v>0.70327771140999062</v>
      </c>
      <c r="AE49" s="59">
        <f t="shared" si="38"/>
        <v>0.79327391508871747</v>
      </c>
      <c r="AF49" s="59">
        <f t="shared" si="38"/>
        <v>0.84647295551861346</v>
      </c>
      <c r="AG49" s="59">
        <f t="shared" si="38"/>
        <v>0.41621936178965513</v>
      </c>
      <c r="AH49" s="59">
        <f t="shared" si="38"/>
        <v>0.10318178575071428</v>
      </c>
      <c r="AI49" s="59">
        <f t="shared" si="38"/>
        <v>0.19338642312948698</v>
      </c>
      <c r="AJ49" s="59">
        <f t="shared" si="38"/>
        <v>0.45031545949106039</v>
      </c>
      <c r="AK49" s="59">
        <f t="shared" si="38"/>
        <v>-0.30072124687310919</v>
      </c>
      <c r="AL49" s="59">
        <f t="shared" si="38"/>
        <v>-0.26135149580215816</v>
      </c>
      <c r="AM49" s="59">
        <f t="shared" si="38"/>
        <v>-0.41602589944788709</v>
      </c>
      <c r="AN49" s="59">
        <f t="shared" si="38"/>
        <v>-0.49021589572252733</v>
      </c>
      <c r="AO49" s="59">
        <f t="shared" si="38"/>
        <v>2.643824208313986E-2</v>
      </c>
      <c r="AP49" s="59">
        <f t="shared" si="38"/>
        <v>0.12287315765139978</v>
      </c>
      <c r="AQ49" s="59">
        <f t="shared" si="38"/>
        <v>0.43908520490073322</v>
      </c>
      <c r="AR49" s="59">
        <f t="shared" si="38"/>
        <v>0.17590030856130776</v>
      </c>
      <c r="AS49" s="59">
        <f t="shared" si="38"/>
        <v>0.91257303126759703</v>
      </c>
      <c r="AT49" s="59">
        <f t="shared" si="38"/>
        <v>0.95357980358356653</v>
      </c>
      <c r="AU49" s="59">
        <f t="shared" si="38"/>
        <v>1.1154102933667029</v>
      </c>
      <c r="AV49" s="59">
        <f t="shared" si="38"/>
        <v>1.0038882693642892</v>
      </c>
      <c r="AW49" s="59">
        <f t="shared" si="38"/>
        <v>0.50772374407258047</v>
      </c>
      <c r="AX49" s="59">
        <f t="shared" si="38"/>
        <v>0.30589288005130411</v>
      </c>
      <c r="AY49" s="59">
        <f t="shared" si="38"/>
        <v>-4.4518764010562328E-4</v>
      </c>
      <c r="AZ49" s="59">
        <f t="shared" si="38"/>
        <v>0.16886190872314791</v>
      </c>
      <c r="BA49" s="59">
        <f t="shared" si="38"/>
        <v>0.53215486314701466</v>
      </c>
      <c r="BB49" s="59">
        <f t="shared" si="38"/>
        <v>0.55601807343984677</v>
      </c>
      <c r="BC49" s="59">
        <f t="shared" si="38"/>
        <v>0.55277968025901814</v>
      </c>
      <c r="BD49" s="59">
        <f t="shared" si="38"/>
        <v>0.62840395681075445</v>
      </c>
      <c r="BE49" s="59">
        <f t="shared" si="38"/>
        <v>0.72529089400407232</v>
      </c>
      <c r="BF49" s="59">
        <f t="shared" si="38"/>
        <v>0.68003631005156828</v>
      </c>
      <c r="BG49" s="59">
        <f t="shared" si="38"/>
        <v>0.54759012747380442</v>
      </c>
      <c r="BH49" s="59">
        <f t="shared" si="38"/>
        <v>0.63207389657703261</v>
      </c>
      <c r="BI49" s="59">
        <f t="shared" si="38"/>
        <v>0.50532717968341212</v>
      </c>
      <c r="BJ49" s="59">
        <f t="shared" si="38"/>
        <v>0.50271108724997926</v>
      </c>
      <c r="BK49" s="59">
        <f t="shared" si="38"/>
        <v>0.4870890682533664</v>
      </c>
      <c r="BL49" s="59">
        <f t="shared" si="38"/>
        <v>0.65593092863652047</v>
      </c>
      <c r="BM49" s="59">
        <f t="shared" si="38"/>
        <v>0.53607534642067189</v>
      </c>
      <c r="BN49" s="59">
        <f t="shared" si="38"/>
        <v>-0.72613844100533931</v>
      </c>
      <c r="BO49" s="59">
        <f t="shared" si="38"/>
        <v>0.48456539082941047</v>
      </c>
      <c r="BP49" s="59">
        <f t="shared" si="38"/>
        <v>-0.23324422291842817</v>
      </c>
      <c r="BQ49" s="59">
        <f t="shared" si="38"/>
        <v>2.8286427518818118</v>
      </c>
      <c r="BR49" s="59">
        <f t="shared" ref="BR49:CJ49" si="39">(BR47-BV47)/BV47</f>
        <v>21.504204684258912</v>
      </c>
      <c r="BS49" s="59">
        <f t="shared" si="39"/>
        <v>2.1492700771755904</v>
      </c>
      <c r="BT49" s="59">
        <f t="shared" si="39"/>
        <v>2.5650990399723281</v>
      </c>
      <c r="BU49" s="59" t="e">
        <f t="shared" si="39"/>
        <v>#DIV/0!</v>
      </c>
      <c r="BV49" s="59">
        <f t="shared" si="39"/>
        <v>41.368437170332633</v>
      </c>
      <c r="BW49" s="59">
        <f t="shared" si="39"/>
        <v>-1.4280710683057631</v>
      </c>
      <c r="BX49" s="59">
        <f t="shared" si="39"/>
        <v>-2.9537220731208595</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9842771689.3803959</v>
      </c>
      <c r="F50" s="26">
        <f>股权价值增加表!F47</f>
        <v>7000025546.5835972</v>
      </c>
      <c r="G50" s="26">
        <f>股权价值增加表!G47</f>
        <v>3718413257.5128007</v>
      </c>
      <c r="H50" s="26">
        <f>股权价值增加表!H47</f>
        <v>722665215.84120035</v>
      </c>
      <c r="I50" s="26">
        <f>股权价值增加表!I47</f>
        <v>3125020105.2155981</v>
      </c>
      <c r="J50" s="26">
        <f>股权价值增加表!J47</f>
        <v>1630664479.0503995</v>
      </c>
      <c r="K50" s="26">
        <f>股权价值增加表!K47</f>
        <v>388705306.97479892</v>
      </c>
      <c r="L50" s="26">
        <f>股权价值增加表!L47</f>
        <v>-652004577.79960048</v>
      </c>
      <c r="M50" s="26">
        <f>股权价值增加表!M47</f>
        <v>766696783.7375977</v>
      </c>
      <c r="N50" s="26">
        <f>股权价值增加表!N47</f>
        <v>787255656.30360031</v>
      </c>
      <c r="O50" s="26">
        <f>股权价值增加表!O47</f>
        <v>279348505.27200007</v>
      </c>
      <c r="P50" s="26">
        <f>股权价值增加表!P47</f>
        <v>-480793764.58279991</v>
      </c>
      <c r="Q50" s="26">
        <f>股权价值增加表!Q47</f>
        <v>2090749726.5876021</v>
      </c>
      <c r="R50" s="26">
        <f>股权价值增加表!R47</f>
        <v>1702452649.0368009</v>
      </c>
      <c r="S50" s="26">
        <f>股权价值增加表!S47</f>
        <v>869381421.32679963</v>
      </c>
      <c r="T50" s="26">
        <f>股权价值增加表!T47</f>
        <v>-90944374.694400191</v>
      </c>
      <c r="U50" s="26">
        <f>股权价值增加表!U47</f>
        <v>2875075596.6176009</v>
      </c>
      <c r="V50" s="26">
        <f>股权价值增加表!V47</f>
        <v>2139046738.8199997</v>
      </c>
      <c r="W50" s="26">
        <f>股权价值增加表!W47</f>
        <v>1170669090.6467991</v>
      </c>
      <c r="X50" s="26">
        <f>股权价值增加表!X47</f>
        <v>109044489.68480015</v>
      </c>
      <c r="Y50" s="26">
        <f>股权价值增加表!Y47</f>
        <v>2199016104.8052011</v>
      </c>
      <c r="Z50" s="26">
        <f>股权价值增加表!Z47</f>
        <v>1372155445.1532018</v>
      </c>
      <c r="AA50" s="26">
        <f>股权价值增加表!AA47</f>
        <v>601389314.60559905</v>
      </c>
      <c r="AB50" s="26">
        <f>股权价值增加表!AB47</f>
        <v>-133536182.56400001</v>
      </c>
      <c r="AC50" s="26">
        <f>股权价值增加表!AC47</f>
        <v>1738247863.6623988</v>
      </c>
      <c r="AD50" s="26">
        <f>股权价值增加表!AD47</f>
        <v>1279439750.0688007</v>
      </c>
      <c r="AE50" s="26">
        <f>股权价值增加表!AE47</f>
        <v>657564195.69439983</v>
      </c>
      <c r="AF50" s="26">
        <f>股权价值增加表!AF47</f>
        <v>-30580279.515599966</v>
      </c>
      <c r="AG50" s="26">
        <f>股权价值增加表!AG47</f>
        <v>1225885358.9184008</v>
      </c>
      <c r="AH50" s="26">
        <f>股权价值增加表!AH47</f>
        <v>633687536.74040055</v>
      </c>
      <c r="AI50" s="26">
        <f>股权价值增加表!AI47</f>
        <v>234350695.1760003</v>
      </c>
      <c r="AJ50" s="26">
        <f>股权价值增加表!AJ47</f>
        <v>-172731659.2371999</v>
      </c>
      <c r="AK50" s="26">
        <f>股权价值增加表!AK47</f>
        <v>803781746.21160066</v>
      </c>
      <c r="AL50" s="26">
        <f>股权价值增加表!AL47</f>
        <v>585683802.66759992</v>
      </c>
      <c r="AM50" s="26">
        <f>股权价值增加表!AM47</f>
        <v>179088471.56879997</v>
      </c>
      <c r="AN50" s="26">
        <f>股权价值增加表!AN47</f>
        <v>-157603244.00919989</v>
      </c>
      <c r="AO50" s="26">
        <f>股权价值增加表!AO47</f>
        <v>1379905283.2075996</v>
      </c>
      <c r="AP50" s="26">
        <f>股权价值增加表!AP47</f>
        <v>993121115.07999969</v>
      </c>
      <c r="AQ50" s="26">
        <f>股权价值增加表!AQ47</f>
        <v>637339929.57960045</v>
      </c>
      <c r="AR50" s="26">
        <f>股权价值增加表!AR47</f>
        <v>109653060.76199991</v>
      </c>
      <c r="AS50" s="26">
        <f>股权价值增加表!AS47</f>
        <v>1414008727.1824002</v>
      </c>
      <c r="AT50" s="26">
        <f>股权价值增加表!AT47</f>
        <v>928563860.19760036</v>
      </c>
      <c r="AU50" s="26">
        <f>股权价值增加表!AU47</f>
        <v>430070635.30400056</v>
      </c>
      <c r="AV50" s="26">
        <f>股权价值增加表!AV47</f>
        <v>106383172.98520014</v>
      </c>
      <c r="AW50" s="26">
        <f>股权价值增加表!AW47</f>
        <v>699396283.44479942</v>
      </c>
      <c r="AX50" s="26">
        <f>股权价值增加表!AX47</f>
        <v>432803464.0352</v>
      </c>
      <c r="AY50" s="26">
        <f>股权价值增加表!AY47</f>
        <v>152269873.98200005</v>
      </c>
      <c r="AZ50" s="26">
        <f>股权价值增加表!AZ47</f>
        <v>5209045.5859999359</v>
      </c>
      <c r="BA50" s="26">
        <f>股权价值增加表!BA47</f>
        <v>465060366.14239979</v>
      </c>
      <c r="BB50" s="26">
        <f>股权价值增加表!BB47</f>
        <v>350410349.1263997</v>
      </c>
      <c r="BC50" s="26">
        <f>股权价值增加表!BC47</f>
        <v>207021028.83040008</v>
      </c>
      <c r="BD50" s="26">
        <f>股权价值增加表!BD47</f>
        <v>34916728.708400056</v>
      </c>
      <c r="BE50" s="26">
        <f>股权价值增加表!BE47</f>
        <v>291230094.32919985</v>
      </c>
      <c r="BF50" s="26">
        <f>股权价值增加表!BF47</f>
        <v>211304163.4951998</v>
      </c>
      <c r="BG50" s="26">
        <f>股权价值增加表!BG47</f>
        <v>119749497.07760002</v>
      </c>
      <c r="BH50" s="26">
        <f>股权价值增加表!BH47</f>
        <v>5373651.9360000342</v>
      </c>
      <c r="BI50" s="26">
        <f>股权价值增加表!BI47</f>
        <v>149051674.85680002</v>
      </c>
      <c r="BJ50" s="26">
        <f>股权价值增加表!BJ47</f>
        <v>107149337.15360004</v>
      </c>
      <c r="BK50" s="26">
        <f>股权价值增加表!BK47</f>
        <v>68577466.015200064</v>
      </c>
      <c r="BL50" s="26">
        <f>股权价值增加表!BL47</f>
        <v>-4251800.4772000164</v>
      </c>
      <c r="BM50" s="26">
        <f>股权价值增加表!BM47</f>
        <v>89482118.340000078</v>
      </c>
      <c r="BN50" s="26">
        <f>股权价值增加表!BN47</f>
        <v>61878347.591599971</v>
      </c>
      <c r="BO50" s="26">
        <f>股权价值增加表!BO47</f>
        <v>33178533.752800025</v>
      </c>
      <c r="BP50" s="26">
        <f>股权价值增加表!BP47</f>
        <v>-19568523.599599995</v>
      </c>
      <c r="BQ50" s="26">
        <f>股权价值增加表!BQ47</f>
        <v>48065450.098399982</v>
      </c>
      <c r="BR50" s="26">
        <f>股权价值增加表!BR47</f>
        <v>453263900</v>
      </c>
      <c r="BS50" s="26">
        <f>股权价值增加表!BS47</f>
        <v>9487258.7568000183</v>
      </c>
      <c r="BT50" s="26">
        <f>股权价值增加表!BT47</f>
        <v>-1668183.0371999815</v>
      </c>
      <c r="BU50" s="26">
        <f>股权价值增加表!BU47</f>
        <v>13799161.890000012</v>
      </c>
      <c r="BV50" s="26">
        <f>股权价值增加表!BV47</f>
        <v>9876773.9815999921</v>
      </c>
      <c r="BW50" s="26">
        <f>股权价值增加表!BW47</f>
        <v>10084149.102400009</v>
      </c>
      <c r="BX50" s="26">
        <f>股权价值增加表!BX47</f>
        <v>7419282.5683999918</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689</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676</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677</v>
      </c>
      <c r="E54" s="198">
        <f>E39</f>
        <v>16701069304.939997</v>
      </c>
      <c r="F54" s="198">
        <f t="shared" ref="F54:AC54" si="41">F39</f>
        <v>12279804050.269999</v>
      </c>
      <c r="G54" s="198">
        <f t="shared" si="41"/>
        <v>7740371216.960001</v>
      </c>
      <c r="H54" s="198">
        <f t="shared" si="41"/>
        <v>3563981267.0700006</v>
      </c>
      <c r="I54" s="198">
        <f t="shared" si="41"/>
        <v>6615583011.3199987</v>
      </c>
      <c r="J54" s="198">
        <f t="shared" si="41"/>
        <v>4359744810.7699995</v>
      </c>
      <c r="K54" s="198">
        <f t="shared" si="41"/>
        <v>2450686368.3699989</v>
      </c>
      <c r="L54" s="198">
        <f t="shared" si="41"/>
        <v>885243006.17999971</v>
      </c>
      <c r="M54" s="198">
        <f t="shared" si="41"/>
        <v>3480967512.2399979</v>
      </c>
      <c r="N54" s="198">
        <f t="shared" si="41"/>
        <v>3275956993.3700004</v>
      </c>
      <c r="O54" s="198">
        <f t="shared" si="41"/>
        <v>2202477510.98</v>
      </c>
      <c r="P54" s="198">
        <f t="shared" si="41"/>
        <v>949667949.32000005</v>
      </c>
      <c r="Q54" s="198">
        <f t="shared" si="41"/>
        <v>4569286440.5200024</v>
      </c>
      <c r="R54" s="198">
        <f t="shared" si="41"/>
        <v>3924067907.0700006</v>
      </c>
      <c r="S54" s="198">
        <f t="shared" si="41"/>
        <v>2593454223.3199997</v>
      </c>
      <c r="T54" s="198">
        <f t="shared" si="41"/>
        <v>1294852960.6499999</v>
      </c>
      <c r="U54" s="198">
        <f t="shared" si="41"/>
        <v>4753614958.710001</v>
      </c>
      <c r="V54" s="198">
        <f t="shared" si="41"/>
        <v>3851049532.2199998</v>
      </c>
      <c r="W54" s="198">
        <f t="shared" si="41"/>
        <v>2498151267.289999</v>
      </c>
      <c r="X54" s="198">
        <f t="shared" si="41"/>
        <v>1243855470.4200003</v>
      </c>
      <c r="Y54" s="198">
        <f t="shared" si="41"/>
        <v>3833368895.7600007</v>
      </c>
      <c r="Z54" s="198">
        <f t="shared" si="41"/>
        <v>2755324255.8000016</v>
      </c>
      <c r="AA54" s="198">
        <f t="shared" si="41"/>
        <v>1665713388.799999</v>
      </c>
      <c r="AB54" s="198">
        <f t="shared" si="41"/>
        <v>743574581.95999992</v>
      </c>
      <c r="AC54" s="198">
        <f t="shared" si="41"/>
        <v>2991004759.539999</v>
      </c>
    </row>
    <row r="55" spans="1:88" s="63" customFormat="1" x14ac:dyDescent="0.25">
      <c r="A55" s="63" t="s">
        <v>678</v>
      </c>
      <c r="E55" s="63">
        <f>E54/E2</f>
        <v>0.31438387958441988</v>
      </c>
      <c r="F55" s="63">
        <f t="shared" ref="F55:AC55" si="42">F54/F2</f>
        <v>0.31516169762850688</v>
      </c>
      <c r="G55" s="63">
        <f t="shared" si="42"/>
        <v>0.31683765116100343</v>
      </c>
      <c r="H55" s="63">
        <f t="shared" si="42"/>
        <v>0.32379081700851797</v>
      </c>
      <c r="I55" s="63">
        <f t="shared" si="42"/>
        <v>0.21978782210109696</v>
      </c>
      <c r="J55" s="63">
        <f t="shared" si="42"/>
        <v>0.20827952051168422</v>
      </c>
      <c r="K55" s="63">
        <f t="shared" si="42"/>
        <v>0.19643568038208073</v>
      </c>
      <c r="L55" s="63">
        <f t="shared" si="42"/>
        <v>0.16703923790144296</v>
      </c>
      <c r="M55" s="63">
        <f t="shared" si="42"/>
        <v>0.1785809119371311</v>
      </c>
      <c r="N55" s="63">
        <f t="shared" si="42"/>
        <v>0.22152320118327729</v>
      </c>
      <c r="O55" s="63">
        <f t="shared" si="42"/>
        <v>0.21932082741584055</v>
      </c>
      <c r="P55" s="63">
        <f t="shared" si="42"/>
        <v>0.20938531649327236</v>
      </c>
      <c r="Q55" s="63">
        <f t="shared" si="42"/>
        <v>0.20686391767003026</v>
      </c>
      <c r="R55" s="63">
        <f t="shared" si="42"/>
        <v>0.22094727347475579</v>
      </c>
      <c r="S55" s="63">
        <f t="shared" si="42"/>
        <v>0.22233124890882275</v>
      </c>
      <c r="T55" s="63">
        <f t="shared" si="42"/>
        <v>0.25209086247147949</v>
      </c>
      <c r="U55" s="63">
        <f t="shared" si="42"/>
        <v>0.23488592002307834</v>
      </c>
      <c r="V55" s="63">
        <f t="shared" si="42"/>
        <v>0.25048743600285456</v>
      </c>
      <c r="W55" s="63">
        <f t="shared" si="42"/>
        <v>0.25041857111203075</v>
      </c>
      <c r="X55" s="63">
        <f t="shared" si="42"/>
        <v>0.26042029075016809</v>
      </c>
      <c r="Y55" s="63">
        <f t="shared" si="42"/>
        <v>0.24045530511395427</v>
      </c>
      <c r="Z55" s="63">
        <f t="shared" si="42"/>
        <v>0.2412641387352624</v>
      </c>
      <c r="AA55" s="63">
        <f t="shared" si="42"/>
        <v>0.23263601532170253</v>
      </c>
      <c r="AB55" s="63">
        <f t="shared" si="42"/>
        <v>0.22662098666189531</v>
      </c>
      <c r="AC55" s="63">
        <f t="shared" si="42"/>
        <v>0.2189238380634857</v>
      </c>
    </row>
    <row r="56" spans="1:88" x14ac:dyDescent="0.25">
      <c r="A56" s="17" t="s">
        <v>679</v>
      </c>
      <c r="E56" s="198">
        <f>E23</f>
        <v>12976868489.444864</v>
      </c>
      <c r="F56" s="198">
        <f t="shared" ref="F56:AC56" si="43">F23</f>
        <v>9632101468.6763554</v>
      </c>
      <c r="G56" s="198">
        <f t="shared" si="43"/>
        <v>6015253794.3666124</v>
      </c>
      <c r="H56" s="198">
        <f t="shared" si="43"/>
        <v>2731529799.6172357</v>
      </c>
      <c r="I56" s="198">
        <f t="shared" si="43"/>
        <v>5198846948.33745</v>
      </c>
      <c r="J56" s="198">
        <f t="shared" si="43"/>
        <v>3473305059.7947035</v>
      </c>
      <c r="K56" s="198">
        <f t="shared" si="43"/>
        <v>1954607702.1922765</v>
      </c>
      <c r="L56" s="198">
        <f t="shared" si="43"/>
        <v>721000333.34214818</v>
      </c>
      <c r="M56" s="198">
        <f t="shared" si="43"/>
        <v>2780084158.4731569</v>
      </c>
      <c r="N56" s="198">
        <f t="shared" si="43"/>
        <v>2425905129.0165901</v>
      </c>
      <c r="O56" s="198">
        <f t="shared" si="43"/>
        <v>1595368430.4082131</v>
      </c>
      <c r="P56" s="198">
        <f t="shared" si="43"/>
        <v>679335239.70540893</v>
      </c>
      <c r="Q56" s="198">
        <f t="shared" si="43"/>
        <v>3502019156.6366949</v>
      </c>
      <c r="R56" s="198">
        <f t="shared" si="43"/>
        <v>2966362444.4020944</v>
      </c>
      <c r="S56" s="198">
        <f t="shared" si="43"/>
        <v>1971593633.1989527</v>
      </c>
      <c r="T56" s="198">
        <f t="shared" si="43"/>
        <v>1005380525.758021</v>
      </c>
      <c r="U56" s="198">
        <f t="shared" si="43"/>
        <v>3961465014.3701439</v>
      </c>
      <c r="V56" s="198">
        <f t="shared" si="43"/>
        <v>3224710489.0601788</v>
      </c>
      <c r="W56" s="198">
        <f t="shared" si="43"/>
        <v>2086961396.7269118</v>
      </c>
      <c r="X56" s="198">
        <f t="shared" si="43"/>
        <v>1029771535.3962491</v>
      </c>
      <c r="Y56" s="198">
        <f t="shared" si="43"/>
        <v>3228903517.857789</v>
      </c>
      <c r="Z56" s="198">
        <f t="shared" si="43"/>
        <v>2320500788.4320965</v>
      </c>
      <c r="AA56" s="198">
        <f t="shared" si="43"/>
        <v>1396958503.3643105</v>
      </c>
      <c r="AB56" s="198">
        <f t="shared" si="43"/>
        <v>612826996.55925703</v>
      </c>
      <c r="AC56" s="198">
        <f t="shared" si="43"/>
        <v>2497148688.5564556</v>
      </c>
    </row>
    <row r="57" spans="1:88" s="63" customFormat="1" x14ac:dyDescent="0.25">
      <c r="A57" s="63" t="s">
        <v>680</v>
      </c>
      <c r="E57" s="63">
        <f>E56/E2</f>
        <v>0.2442788653874845</v>
      </c>
      <c r="F57" s="63">
        <f t="shared" ref="F57:AC57" si="44">F56/F2</f>
        <v>0.24720829731247451</v>
      </c>
      <c r="G57" s="63">
        <f t="shared" si="44"/>
        <v>0.24622318877529872</v>
      </c>
      <c r="H57" s="63">
        <f t="shared" si="44"/>
        <v>0.24816187269926149</v>
      </c>
      <c r="I57" s="63">
        <f t="shared" si="44"/>
        <v>0.17271996228553591</v>
      </c>
      <c r="J57" s="63">
        <f t="shared" si="44"/>
        <v>0.16593134319645658</v>
      </c>
      <c r="K57" s="63">
        <f t="shared" si="44"/>
        <v>0.15667230977237259</v>
      </c>
      <c r="L57" s="63">
        <f t="shared" si="44"/>
        <v>0.13604778051606567</v>
      </c>
      <c r="M57" s="63">
        <f t="shared" si="44"/>
        <v>0.14262413037076302</v>
      </c>
      <c r="N57" s="63">
        <f t="shared" si="44"/>
        <v>0.16404191844834479</v>
      </c>
      <c r="O57" s="63">
        <f t="shared" si="44"/>
        <v>0.15886542425332281</v>
      </c>
      <c r="P57" s="63">
        <f t="shared" si="44"/>
        <v>0.14978164133326979</v>
      </c>
      <c r="Q57" s="63">
        <f t="shared" si="44"/>
        <v>0.15854584997628599</v>
      </c>
      <c r="R57" s="63">
        <f t="shared" si="44"/>
        <v>0.16702302553115908</v>
      </c>
      <c r="S57" s="63">
        <f t="shared" si="44"/>
        <v>0.16902047889191527</v>
      </c>
      <c r="T57" s="63">
        <f t="shared" si="44"/>
        <v>0.1957343818584171</v>
      </c>
      <c r="U57" s="63">
        <f t="shared" si="44"/>
        <v>0.19574415736693959</v>
      </c>
      <c r="V57" s="63">
        <f t="shared" si="44"/>
        <v>0.20974787664975969</v>
      </c>
      <c r="W57" s="63">
        <f t="shared" si="44"/>
        <v>0.2092002585180737</v>
      </c>
      <c r="X57" s="63">
        <f t="shared" si="44"/>
        <v>0.2155985233264977</v>
      </c>
      <c r="Y57" s="63">
        <f t="shared" si="44"/>
        <v>0.20253907246672254</v>
      </c>
      <c r="Z57" s="63">
        <f t="shared" si="44"/>
        <v>0.20318974181607347</v>
      </c>
      <c r="AA57" s="63">
        <f t="shared" si="44"/>
        <v>0.19510130733028694</v>
      </c>
      <c r="AB57" s="63">
        <f t="shared" si="44"/>
        <v>0.18677273535524871</v>
      </c>
      <c r="AC57" s="63">
        <f t="shared" si="44"/>
        <v>0.18277649788763844</v>
      </c>
    </row>
    <row r="58" spans="1:88" ht="93" customHeight="1" x14ac:dyDescent="0.25">
      <c r="A58" s="278" t="s">
        <v>681</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32" customFormat="1" x14ac:dyDescent="0.25">
      <c r="A60" s="234" t="s">
        <v>683</v>
      </c>
      <c r="B60" s="230"/>
      <c r="C60" s="230"/>
      <c r="D60" s="230"/>
      <c r="E60" s="235">
        <f>E53</f>
        <v>43100</v>
      </c>
      <c r="F60" s="235">
        <f t="shared" ref="F60:AC60" si="45">F53</f>
        <v>43008</v>
      </c>
      <c r="G60" s="235">
        <f t="shared" si="45"/>
        <v>42916</v>
      </c>
      <c r="H60" s="235">
        <f t="shared" si="45"/>
        <v>42825</v>
      </c>
      <c r="I60" s="235">
        <f t="shared" si="45"/>
        <v>42735</v>
      </c>
      <c r="J60" s="235">
        <f t="shared" si="45"/>
        <v>42643</v>
      </c>
      <c r="K60" s="235">
        <f t="shared" si="45"/>
        <v>42551</v>
      </c>
      <c r="L60" s="235">
        <f t="shared" si="45"/>
        <v>42460</v>
      </c>
      <c r="M60" s="235">
        <f t="shared" si="45"/>
        <v>42369</v>
      </c>
      <c r="N60" s="235">
        <f t="shared" si="45"/>
        <v>42277</v>
      </c>
      <c r="O60" s="235">
        <f t="shared" si="45"/>
        <v>42185</v>
      </c>
      <c r="P60" s="235">
        <f t="shared" si="45"/>
        <v>42094</v>
      </c>
      <c r="Q60" s="235">
        <f t="shared" si="45"/>
        <v>42004</v>
      </c>
      <c r="R60" s="235">
        <f t="shared" si="45"/>
        <v>41912</v>
      </c>
      <c r="S60" s="235">
        <f t="shared" si="45"/>
        <v>41820</v>
      </c>
      <c r="T60" s="235">
        <f t="shared" si="45"/>
        <v>41729</v>
      </c>
      <c r="U60" s="235">
        <f t="shared" si="45"/>
        <v>41639</v>
      </c>
      <c r="V60" s="235">
        <f t="shared" si="45"/>
        <v>41547</v>
      </c>
      <c r="W60" s="235">
        <f t="shared" si="45"/>
        <v>41455</v>
      </c>
      <c r="X60" s="235">
        <f t="shared" si="45"/>
        <v>41364</v>
      </c>
      <c r="Y60" s="235">
        <f t="shared" si="45"/>
        <v>41274</v>
      </c>
      <c r="Z60" s="235">
        <f t="shared" si="45"/>
        <v>41182</v>
      </c>
      <c r="AA60" s="235">
        <f t="shared" si="45"/>
        <v>41090</v>
      </c>
      <c r="AB60" s="235">
        <f t="shared" si="45"/>
        <v>40999</v>
      </c>
      <c r="AC60" s="235">
        <f t="shared" si="45"/>
        <v>40908</v>
      </c>
    </row>
    <row r="61" spans="1:88" s="198" customFormat="1" x14ac:dyDescent="0.25">
      <c r="A61" s="89" t="s">
        <v>684</v>
      </c>
      <c r="B61" s="89"/>
      <c r="C61" s="89"/>
      <c r="D61" s="89"/>
      <c r="E61" s="89">
        <f>股权价值增加表!E38</f>
        <v>15743517896.349997</v>
      </c>
      <c r="F61" s="89">
        <f>股权价值增加表!F38</f>
        <v>11562383864.239998</v>
      </c>
      <c r="G61" s="89">
        <f>股权价值增加表!G38</f>
        <v>7289927872.1000013</v>
      </c>
      <c r="H61" s="89">
        <f>股权价值增加表!H38</f>
        <v>3356669918.9100008</v>
      </c>
      <c r="I61" s="89">
        <f>股权价值增加表!I38</f>
        <v>5696745034.8899984</v>
      </c>
      <c r="J61" s="89">
        <f>股权价值增加表!J38</f>
        <v>3701630802.0899997</v>
      </c>
      <c r="K61" s="89">
        <f>股权价值增加表!K38</f>
        <v>2023015803.9099989</v>
      </c>
      <c r="L61" s="89">
        <f>股权价值增加表!L38</f>
        <v>668951399.84999967</v>
      </c>
      <c r="M61" s="89">
        <f>股权价值增加表!M38</f>
        <v>2627443505.7999978</v>
      </c>
      <c r="N61" s="89">
        <f>股权价值增加表!N38</f>
        <v>2569741465.7400002</v>
      </c>
      <c r="O61" s="89">
        <f>股权价值增加表!O38</f>
        <v>1866471973.1900001</v>
      </c>
      <c r="P61" s="89">
        <f>股权价值增加表!P38</f>
        <v>828586792.04000008</v>
      </c>
      <c r="Q61" s="89">
        <f>股权价值增加表!Q38</f>
        <v>4104584025.5000024</v>
      </c>
      <c r="R61" s="89">
        <f>股权价值增加表!R38</f>
        <v>3591491753.1800008</v>
      </c>
      <c r="S61" s="89">
        <f>股权价值增加表!S38</f>
        <v>2365129286.8199997</v>
      </c>
      <c r="T61" s="89">
        <f>股权价值增加表!T38</f>
        <v>1188889057.3099999</v>
      </c>
      <c r="U61" s="89">
        <f>股权价值增加表!U38</f>
        <v>4477452074.000001</v>
      </c>
      <c r="V61" s="89">
        <f>股权价值增加表!V38</f>
        <v>3610570337.8299999</v>
      </c>
      <c r="W61" s="89">
        <f>股权价值增加表!W38</f>
        <v>2365778129.7099991</v>
      </c>
      <c r="X61" s="89">
        <f>股权价值增加表!X38</f>
        <v>1153241986.5200002</v>
      </c>
      <c r="Y61" s="89">
        <f>股权价值增加表!Y38</f>
        <v>3532419573.8500009</v>
      </c>
      <c r="Z61" s="89">
        <f>股权价值增加表!Z38</f>
        <v>2485904999.6400018</v>
      </c>
      <c r="AA61" s="89">
        <f>股权价值增加表!AA38</f>
        <v>1489319230.289999</v>
      </c>
      <c r="AB61" s="89">
        <f>股权价值增加表!AB38</f>
        <v>675855596.93999994</v>
      </c>
      <c r="AC61" s="89">
        <f>股权价值增加表!AC38</f>
        <v>2815038129.2799988</v>
      </c>
    </row>
    <row r="62" spans="1:88" s="198" customFormat="1" x14ac:dyDescent="0.25">
      <c r="A62" s="89" t="s">
        <v>685</v>
      </c>
      <c r="B62" s="89"/>
      <c r="C62" s="89"/>
      <c r="D62" s="89"/>
      <c r="E62" s="89">
        <f>股权价值增加表!E40</f>
        <v>3440416082.3000002</v>
      </c>
      <c r="F62" s="89">
        <f>股权价值增加表!F40</f>
        <v>2427384390.1100001</v>
      </c>
      <c r="G62" s="89">
        <f>股权价值增加表!G40</f>
        <v>1580614505.98</v>
      </c>
      <c r="H62" s="89">
        <f>股权价值增加表!H40</f>
        <v>763562067.22000003</v>
      </c>
      <c r="I62" s="89">
        <f>股权价值增加表!I40</f>
        <v>1105009965.22</v>
      </c>
      <c r="J62" s="89">
        <f>股权价值增加表!J40</f>
        <v>727221559.33000004</v>
      </c>
      <c r="K62" s="89">
        <f>股权价值增加表!K40</f>
        <v>388388335.63999999</v>
      </c>
      <c r="L62" s="89">
        <f>股权价值增加表!L40</f>
        <v>126267426.09999999</v>
      </c>
      <c r="M62" s="89">
        <f>股权价值增加表!M40</f>
        <v>674887970.39999998</v>
      </c>
      <c r="N62" s="89">
        <f>股权价值增加表!N40</f>
        <v>624632543.83000004</v>
      </c>
      <c r="O62" s="89">
        <f>股权价值增加表!O40</f>
        <v>475876081.47000003</v>
      </c>
      <c r="P62" s="89">
        <f>股权价值增加表!P40</f>
        <v>200891416.84999999</v>
      </c>
      <c r="Q62" s="89">
        <f>股权价值增加表!Q40</f>
        <v>950980245.09000003</v>
      </c>
      <c r="R62" s="89">
        <f>股权价值增加表!R40</f>
        <v>866383398.58000004</v>
      </c>
      <c r="S62" s="89">
        <f>股权价值增加表!S40</f>
        <v>560358515.97000003</v>
      </c>
      <c r="T62" s="89">
        <f>股权价值增加表!T40</f>
        <v>263187145.33000001</v>
      </c>
      <c r="U62" s="89">
        <f>股权价值增加表!U40</f>
        <v>659900041.15999997</v>
      </c>
      <c r="V62" s="89">
        <f>股权价值增加表!V40</f>
        <v>588080065.97000003</v>
      </c>
      <c r="W62" s="89">
        <f>股权价值增加表!W40</f>
        <v>395934009.92000002</v>
      </c>
      <c r="X62" s="89">
        <f>股权价值增加表!X40</f>
        <v>196924891.36000001</v>
      </c>
      <c r="Y62" s="89">
        <f>股权价值增加表!Y40</f>
        <v>545978664.79999995</v>
      </c>
      <c r="Z62" s="89">
        <f>股权价值增加表!Z40</f>
        <v>399714664.26999998</v>
      </c>
      <c r="AA62" s="89">
        <f>股权价值增加表!AA40</f>
        <v>240981557.03</v>
      </c>
      <c r="AB62" s="89">
        <f>股权价值增加表!AB40</f>
        <v>110571592.18000001</v>
      </c>
      <c r="AC62" s="89">
        <f>股权价值增加表!AC40</f>
        <v>419540335.66000003</v>
      </c>
    </row>
    <row r="63" spans="1:88" x14ac:dyDescent="0.25">
      <c r="A63" s="189" t="s">
        <v>686</v>
      </c>
      <c r="B63" s="64"/>
      <c r="C63" s="64"/>
      <c r="D63" s="64"/>
      <c r="E63" s="64">
        <f>股权价值增加表!E42</f>
        <v>12303101814.049995</v>
      </c>
      <c r="F63" s="64">
        <f>股权价值增加表!F42</f>
        <v>9134999474.1299973</v>
      </c>
      <c r="G63" s="64">
        <f>股权价值增加表!G42</f>
        <v>5709313366.1200008</v>
      </c>
      <c r="H63" s="64">
        <f>股权价值增加表!H42</f>
        <v>2593107851.6900005</v>
      </c>
      <c r="I63" s="64">
        <f>股权价值增加表!I42</f>
        <v>4591735069.6699982</v>
      </c>
      <c r="J63" s="64">
        <f>股权价值增加表!J42</f>
        <v>2974409242.7599998</v>
      </c>
      <c r="K63" s="64">
        <f>股权价值增加表!K42</f>
        <v>1634627468.269999</v>
      </c>
      <c r="L63" s="64">
        <f>股权价值增加表!L42</f>
        <v>542683973.74999964</v>
      </c>
      <c r="M63" s="64">
        <f>股权价值增加表!M42</f>
        <v>1952555535.3999977</v>
      </c>
      <c r="N63" s="64">
        <f>股权价值增加表!N42</f>
        <v>1945108921.9100003</v>
      </c>
      <c r="O63" s="64">
        <f>股权价值增加表!O42</f>
        <v>1390595891.72</v>
      </c>
      <c r="P63" s="64">
        <f>股权价值增加表!P42</f>
        <v>627695375.19000006</v>
      </c>
      <c r="Q63" s="64">
        <f>股权价值增加表!Q42</f>
        <v>3153603780.4100022</v>
      </c>
      <c r="R63" s="64">
        <f>股权价值增加表!R42</f>
        <v>2725108354.6000009</v>
      </c>
      <c r="S63" s="64">
        <f>股权价值增加表!S42</f>
        <v>1804770770.8499997</v>
      </c>
      <c r="T63" s="64">
        <f>股权价值增加表!T42</f>
        <v>925701911.9799999</v>
      </c>
      <c r="U63" s="64">
        <f>股权价值增加表!U42</f>
        <v>3817552032.8400011</v>
      </c>
      <c r="V63" s="64">
        <f>股权价值增加表!V42</f>
        <v>3022490271.8599997</v>
      </c>
      <c r="W63" s="64">
        <f>股权价值增加表!W42</f>
        <v>1969844119.789999</v>
      </c>
      <c r="X63" s="64">
        <f>股权价值增加表!X42</f>
        <v>956317095.16000021</v>
      </c>
      <c r="Y63" s="64">
        <f>股权价值增加表!Y42</f>
        <v>2986440909.0500011</v>
      </c>
      <c r="Z63" s="64">
        <f>股权价值增加表!Z42</f>
        <v>2086190335.3700018</v>
      </c>
      <c r="AA63" s="64">
        <f>股权价值增加表!AA42</f>
        <v>1248337673.259999</v>
      </c>
      <c r="AB63" s="64">
        <f>股权价值增加表!AB42</f>
        <v>565284004.75999999</v>
      </c>
      <c r="AC63" s="64">
        <f>股权价值增加表!AC42</f>
        <v>2395497793.6199989</v>
      </c>
    </row>
    <row r="64" spans="1:88" s="63" customFormat="1" x14ac:dyDescent="0.25">
      <c r="A64" s="220" t="s">
        <v>687</v>
      </c>
      <c r="B64" s="220"/>
      <c r="C64" s="220"/>
      <c r="D64" s="220"/>
      <c r="E64" s="220">
        <f>1-E63/E61</f>
        <v>0.21852905462111694</v>
      </c>
      <c r="F64" s="220">
        <f t="shared" ref="F64:AC64" si="46">1-F63/F61</f>
        <v>0.20993805590708559</v>
      </c>
      <c r="G64" s="220">
        <f t="shared" si="46"/>
        <v>0.21682169339827428</v>
      </c>
      <c r="H64" s="220">
        <f t="shared" si="46"/>
        <v>0.22747606576340074</v>
      </c>
      <c r="I64" s="220">
        <f t="shared" si="46"/>
        <v>0.19397216453471444</v>
      </c>
      <c r="J64" s="220">
        <f t="shared" si="46"/>
        <v>0.19645977630167732</v>
      </c>
      <c r="K64" s="220">
        <f t="shared" si="46"/>
        <v>0.19198482527390015</v>
      </c>
      <c r="L64" s="220">
        <f t="shared" si="46"/>
        <v>0.1887542594698407</v>
      </c>
      <c r="M64" s="220">
        <f t="shared" si="46"/>
        <v>0.25686107766359445</v>
      </c>
      <c r="N64" s="220">
        <f t="shared" si="46"/>
        <v>0.24307213474882639</v>
      </c>
      <c r="O64" s="220">
        <f t="shared" si="46"/>
        <v>0.25496020744242787</v>
      </c>
      <c r="P64" s="220">
        <f t="shared" si="46"/>
        <v>0.24245066271862803</v>
      </c>
      <c r="Q64" s="220">
        <f t="shared" si="46"/>
        <v>0.23168736202791118</v>
      </c>
      <c r="R64" s="220">
        <f t="shared" si="46"/>
        <v>0.24123218376121325</v>
      </c>
      <c r="S64" s="220">
        <f t="shared" si="46"/>
        <v>0.23692510979956705</v>
      </c>
      <c r="T64" s="220">
        <f t="shared" si="46"/>
        <v>0.22137233387065702</v>
      </c>
      <c r="U64" s="220">
        <f t="shared" si="46"/>
        <v>0.14738293794186119</v>
      </c>
      <c r="V64" s="220">
        <f t="shared" si="46"/>
        <v>0.16287733264973425</v>
      </c>
      <c r="W64" s="220">
        <f t="shared" si="46"/>
        <v>0.16735889344303567</v>
      </c>
      <c r="X64" s="220">
        <f t="shared" si="46"/>
        <v>0.17075764987904807</v>
      </c>
      <c r="Y64" s="220">
        <f t="shared" si="46"/>
        <v>0.15456223514380962</v>
      </c>
      <c r="Z64" s="220">
        <f t="shared" si="46"/>
        <v>0.16079241335766448</v>
      </c>
      <c r="AA64" s="220">
        <f t="shared" si="46"/>
        <v>0.1618065167822188</v>
      </c>
      <c r="AB64" s="220">
        <f t="shared" si="46"/>
        <v>0.16360239181361114</v>
      </c>
      <c r="AC64" s="220">
        <f t="shared" si="46"/>
        <v>0.14903540072734489</v>
      </c>
    </row>
    <row r="65" spans="1:29" ht="42.6" customHeight="1" x14ac:dyDescent="0.25">
      <c r="A65" s="280" t="s">
        <v>688</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740</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708</v>
      </c>
      <c r="B69" s="282"/>
      <c r="C69" s="282"/>
      <c r="D69" s="282"/>
      <c r="E69" s="282"/>
      <c r="F69" s="266"/>
      <c r="G69" s="266"/>
      <c r="H69" s="266"/>
      <c r="I69" s="266" t="s">
        <v>712</v>
      </c>
      <c r="J69" s="266"/>
      <c r="K69" s="266"/>
      <c r="L69" s="266"/>
      <c r="M69" s="266" t="s">
        <v>713</v>
      </c>
    </row>
    <row r="70" spans="1:29" ht="57.6" x14ac:dyDescent="0.25">
      <c r="A70" s="283" t="s">
        <v>709</v>
      </c>
      <c r="B70" s="65"/>
      <c r="C70" s="65"/>
      <c r="D70" s="65"/>
      <c r="E70" s="65" t="s">
        <v>710</v>
      </c>
      <c r="F70" s="65"/>
      <c r="G70" s="65"/>
      <c r="H70" s="65"/>
      <c r="I70" s="267" t="s">
        <v>714</v>
      </c>
      <c r="J70" s="268"/>
      <c r="K70" s="268"/>
      <c r="L70" s="268"/>
      <c r="M70" s="267" t="s">
        <v>715</v>
      </c>
    </row>
    <row r="71" spans="1:29" ht="54.6" customHeight="1" x14ac:dyDescent="0.25">
      <c r="A71" s="283"/>
      <c r="B71" s="65"/>
      <c r="C71" s="65"/>
      <c r="D71" s="65"/>
      <c r="E71" s="65" t="s">
        <v>711</v>
      </c>
      <c r="F71" s="65"/>
      <c r="G71" s="65"/>
      <c r="H71" s="65"/>
      <c r="I71" s="267" t="s">
        <v>716</v>
      </c>
      <c r="J71" s="268"/>
      <c r="K71" s="268"/>
      <c r="L71" s="268"/>
      <c r="M71" s="267" t="s">
        <v>717</v>
      </c>
    </row>
    <row r="72" spans="1:29" ht="57.6" x14ac:dyDescent="0.25">
      <c r="A72" s="283" t="s">
        <v>725</v>
      </c>
      <c r="B72" s="65"/>
      <c r="C72" s="65"/>
      <c r="D72" s="65"/>
      <c r="E72" s="65" t="s">
        <v>718</v>
      </c>
      <c r="F72" s="65"/>
      <c r="G72" s="65"/>
      <c r="H72" s="65"/>
      <c r="I72" s="267" t="s">
        <v>726</v>
      </c>
      <c r="J72" s="268"/>
      <c r="K72" s="268"/>
      <c r="L72" s="268"/>
      <c r="M72" s="267" t="s">
        <v>727</v>
      </c>
    </row>
    <row r="73" spans="1:29" ht="43.2" x14ac:dyDescent="0.25">
      <c r="A73" s="283"/>
      <c r="B73" s="65"/>
      <c r="C73" s="65"/>
      <c r="D73" s="65"/>
      <c r="E73" s="65" t="s">
        <v>719</v>
      </c>
      <c r="F73" s="65"/>
      <c r="G73" s="65"/>
      <c r="H73" s="65"/>
      <c r="I73" s="267" t="s">
        <v>728</v>
      </c>
      <c r="J73" s="268"/>
      <c r="K73" s="268"/>
      <c r="L73" s="268"/>
      <c r="M73" s="267" t="s">
        <v>729</v>
      </c>
    </row>
    <row r="74" spans="1:29" ht="72" x14ac:dyDescent="0.25">
      <c r="A74" s="283"/>
      <c r="B74" s="65"/>
      <c r="C74" s="65"/>
      <c r="D74" s="65"/>
      <c r="E74" s="65" t="s">
        <v>720</v>
      </c>
      <c r="F74" s="65"/>
      <c r="G74" s="65"/>
      <c r="H74" s="65"/>
      <c r="I74" s="267" t="s">
        <v>730</v>
      </c>
      <c r="J74" s="268"/>
      <c r="K74" s="268"/>
      <c r="L74" s="268"/>
      <c r="M74" s="267" t="s">
        <v>731</v>
      </c>
    </row>
    <row r="75" spans="1:29" ht="72" x14ac:dyDescent="0.25">
      <c r="A75" s="283"/>
      <c r="B75" s="65"/>
      <c r="C75" s="65"/>
      <c r="D75" s="65"/>
      <c r="E75" s="65" t="s">
        <v>721</v>
      </c>
      <c r="F75" s="65"/>
      <c r="G75" s="65"/>
      <c r="H75" s="65"/>
      <c r="I75" s="267" t="s">
        <v>732</v>
      </c>
      <c r="J75" s="268"/>
      <c r="K75" s="268"/>
      <c r="L75" s="268"/>
      <c r="M75" s="267" t="s">
        <v>733</v>
      </c>
    </row>
    <row r="76" spans="1:29" x14ac:dyDescent="0.25">
      <c r="A76" s="283"/>
      <c r="B76" s="65"/>
      <c r="C76" s="65"/>
      <c r="D76" s="65"/>
      <c r="E76" s="65" t="s">
        <v>722</v>
      </c>
      <c r="F76" s="65"/>
      <c r="G76" s="65"/>
      <c r="H76" s="65"/>
      <c r="I76" s="267" t="s">
        <v>734</v>
      </c>
      <c r="J76" s="268"/>
      <c r="K76" s="268"/>
      <c r="L76" s="268"/>
      <c r="M76" s="267" t="s">
        <v>735</v>
      </c>
    </row>
    <row r="77" spans="1:29" ht="57.6" x14ac:dyDescent="0.25">
      <c r="A77" s="283"/>
      <c r="B77" s="65"/>
      <c r="C77" s="65"/>
      <c r="D77" s="65"/>
      <c r="E77" s="65" t="s">
        <v>723</v>
      </c>
      <c r="F77" s="65"/>
      <c r="G77" s="65"/>
      <c r="H77" s="65"/>
      <c r="I77" s="267" t="s">
        <v>736</v>
      </c>
      <c r="J77" s="268"/>
      <c r="K77" s="268"/>
      <c r="L77" s="268"/>
      <c r="M77" s="267" t="s">
        <v>737</v>
      </c>
    </row>
    <row r="78" spans="1:29" ht="57.6" x14ac:dyDescent="0.25">
      <c r="A78" s="283"/>
      <c r="B78" s="65"/>
      <c r="C78" s="65"/>
      <c r="D78" s="65"/>
      <c r="E78" s="65" t="s">
        <v>724</v>
      </c>
      <c r="F78" s="65"/>
      <c r="G78" s="65"/>
      <c r="H78" s="65"/>
      <c r="I78" s="267" t="s">
        <v>738</v>
      </c>
      <c r="J78" s="268"/>
      <c r="K78" s="268"/>
      <c r="L78" s="268"/>
      <c r="M78" s="267" t="s">
        <v>739</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E14" sqref="E14"/>
    </sheetView>
  </sheetViews>
  <sheetFormatPr defaultRowHeight="14.4" x14ac:dyDescent="0.25"/>
  <cols>
    <col min="1" max="1" width="50.6640625" style="17" bestFit="1" customWidth="1"/>
    <col min="2" max="4" width="11.6640625" hidden="1" customWidth="1"/>
    <col min="5" max="5" width="21.5546875" bestFit="1" customWidth="1"/>
    <col min="6" max="7" width="21.554687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8.33203125" hidden="1" customWidth="1"/>
    <col min="65" max="65" width="17.21875" bestFit="1" customWidth="1"/>
    <col min="66" max="68" width="18.33203125" hidden="1" customWidth="1"/>
    <col min="69" max="69" width="17.21875" bestFit="1" customWidth="1"/>
    <col min="70" max="71" width="17.21875" hidden="1" customWidth="1"/>
    <col min="72" max="72" width="17.21875" bestFit="1" customWidth="1"/>
    <col min="73" max="73" width="18.33203125" hidden="1" customWidth="1"/>
    <col min="74" max="76" width="17.21875" bestFit="1" customWidth="1"/>
    <col min="77" max="77" width="9.5546875" hidden="1" customWidth="1"/>
    <col min="78" max="84" width="19.33203125" bestFit="1" customWidth="1"/>
    <col min="85" max="87" width="17.21875" bestFit="1" customWidth="1"/>
    <col min="88" max="89" width="16.10937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425</v>
      </c>
      <c r="E2" s="26">
        <f>股权价值增加表!E42</f>
        <v>12303101814.049995</v>
      </c>
      <c r="F2" s="26">
        <f>股权价值增加表!F42</f>
        <v>9134999474.1299973</v>
      </c>
      <c r="G2" s="26">
        <f>股权价值增加表!G42</f>
        <v>5709313366.1200008</v>
      </c>
      <c r="H2" s="26">
        <f>股权价值增加表!H42</f>
        <v>2593107851.6900005</v>
      </c>
      <c r="I2" s="26">
        <f>股权价值增加表!I42</f>
        <v>4591735069.6699982</v>
      </c>
      <c r="J2" s="26">
        <f>股权价值增加表!J42</f>
        <v>2974409242.7599998</v>
      </c>
      <c r="K2" s="26">
        <f>股权价值增加表!K42</f>
        <v>1634627468.269999</v>
      </c>
      <c r="L2" s="26">
        <f>股权价值增加表!L42</f>
        <v>542683973.74999964</v>
      </c>
      <c r="M2" s="26">
        <f>股权价值增加表!M42</f>
        <v>1952555535.3999977</v>
      </c>
      <c r="N2" s="26">
        <f>股权价值增加表!N42</f>
        <v>1945108921.9100003</v>
      </c>
      <c r="O2" s="26">
        <f>股权价值增加表!O42</f>
        <v>1390595891.72</v>
      </c>
      <c r="P2" s="26">
        <f>股权价值增加表!P42</f>
        <v>627695375.19000006</v>
      </c>
      <c r="Q2" s="26">
        <f>股权价值增加表!Q42</f>
        <v>3153603780.4100022</v>
      </c>
      <c r="R2" s="26">
        <f>股权价值增加表!R42</f>
        <v>2725108354.6000009</v>
      </c>
      <c r="S2" s="26">
        <f>股权价值增加表!S42</f>
        <v>1804770770.8499997</v>
      </c>
      <c r="T2" s="26">
        <f>股权价值增加表!T42</f>
        <v>925701911.9799999</v>
      </c>
      <c r="U2" s="26">
        <f>股权价值增加表!U42</f>
        <v>3817552032.8400011</v>
      </c>
      <c r="V2" s="26">
        <f>股权价值增加表!V42</f>
        <v>3022490271.8599997</v>
      </c>
      <c r="W2" s="26">
        <f>股权价值增加表!W42</f>
        <v>1969844119.789999</v>
      </c>
      <c r="X2" s="26">
        <f>股权价值增加表!X42</f>
        <v>956317095.16000021</v>
      </c>
      <c r="Y2" s="26">
        <f>股权价值增加表!Y42</f>
        <v>2986440909.0500011</v>
      </c>
      <c r="Z2" s="26">
        <f>股权价值增加表!Z42</f>
        <v>2086190335.3700018</v>
      </c>
      <c r="AA2" s="26">
        <f>股权价值增加表!AA42</f>
        <v>1248337673.259999</v>
      </c>
      <c r="AB2" s="26">
        <f>股权价值增加表!AB42</f>
        <v>565284004.75999999</v>
      </c>
      <c r="AC2" s="26">
        <f>股权价值增加表!AC42</f>
        <v>2395497793.6199989</v>
      </c>
      <c r="AD2" s="26">
        <f>股权价值增加表!AD42</f>
        <v>1938790053.7800007</v>
      </c>
      <c r="AE2" s="26">
        <f>股权价值增加表!AE42</f>
        <v>1262838364.2399998</v>
      </c>
      <c r="AF2" s="26">
        <f>股权价值增加表!AF42</f>
        <v>588953547.05000007</v>
      </c>
      <c r="AG2" s="26">
        <f>股权价值增加表!AG42</f>
        <v>1798302901.720001</v>
      </c>
      <c r="AH2" s="26">
        <f>股权价值增加表!AH42</f>
        <v>1138270078.2100005</v>
      </c>
      <c r="AI2" s="26">
        <f>股权价值增加表!AI42</f>
        <v>704208293.90000033</v>
      </c>
      <c r="AJ2" s="26">
        <f>股权价值增加表!AJ42</f>
        <v>318961371.8900001</v>
      </c>
      <c r="AK2" s="26">
        <f>股权价值增加表!AK42</f>
        <v>1269791213.3100007</v>
      </c>
      <c r="AL2" s="26">
        <f>股权价值增加表!AL42</f>
        <v>1031806446.5099999</v>
      </c>
      <c r="AM2" s="26">
        <f>股权价值增加表!AM42</f>
        <v>590092429.62</v>
      </c>
      <c r="AN2" s="26">
        <f>股权价值增加表!AN42</f>
        <v>219925513.31000009</v>
      </c>
      <c r="AO2" s="26">
        <f>股权价值增加表!AO42</f>
        <v>1815858422.1699996</v>
      </c>
      <c r="AP2" s="26">
        <f>股权价值增加表!AP42</f>
        <v>1396884229.2999997</v>
      </c>
      <c r="AQ2" s="26">
        <f>股权价值增加表!AQ42</f>
        <v>1010477055.5100005</v>
      </c>
      <c r="AR2" s="26">
        <f>股权价值增加表!AR42</f>
        <v>431409122.92999989</v>
      </c>
      <c r="AS2" s="26">
        <f>股权价值增加表!AS42</f>
        <v>1769086875.1000004</v>
      </c>
      <c r="AT2" s="26">
        <f>股权价值增加表!AT42</f>
        <v>1244026736.0400004</v>
      </c>
      <c r="AU2" s="26">
        <f>股权价值增加表!AU42</f>
        <v>702166245.66000056</v>
      </c>
      <c r="AV2" s="26">
        <f>股权价值增加表!AV42</f>
        <v>366875592.93000013</v>
      </c>
      <c r="AW2" s="26">
        <f>股权价值增加表!AW42</f>
        <v>924977423.69999945</v>
      </c>
      <c r="AX2" s="26">
        <f>股权价值增加表!AX42</f>
        <v>636793405.5</v>
      </c>
      <c r="AY2" s="26">
        <f>股权价值增加表!AY42</f>
        <v>331929105.13000005</v>
      </c>
      <c r="AZ2" s="26">
        <f>股权价值增加表!AZ42</f>
        <v>183081860.66999996</v>
      </c>
      <c r="BA2" s="26">
        <f>股权价值增加表!BA42</f>
        <v>613492642.35999978</v>
      </c>
      <c r="BB2" s="26">
        <f>股权价值增加表!BB42</f>
        <v>487630658.85999972</v>
      </c>
      <c r="BC2" s="26">
        <f>股权价值增加表!BC42</f>
        <v>332076941.68000007</v>
      </c>
      <c r="BD2" s="26">
        <f>股权价值增加表!BD42</f>
        <v>156632583.63000005</v>
      </c>
      <c r="BE2" s="26">
        <f>股权价值增加表!BE42</f>
        <v>400411640.56999987</v>
      </c>
      <c r="BF2" s="26">
        <f>股权价值增加表!BF42</f>
        <v>313383672.83999979</v>
      </c>
      <c r="BG2" s="26">
        <f>股权价值增加表!BG42</f>
        <v>213859664.64000002</v>
      </c>
      <c r="BH2" s="26">
        <f>股权价值增加表!BH42</f>
        <v>96187793.560000032</v>
      </c>
      <c r="BI2" s="26">
        <f>股权价值增加表!BI42</f>
        <v>232083552.96000001</v>
      </c>
      <c r="BJ2" s="26">
        <f>股权价值增加表!BJ42</f>
        <v>186533868.92000005</v>
      </c>
      <c r="BK2" s="26">
        <f>股权价值增加表!BK42</f>
        <v>138188827.16000006</v>
      </c>
      <c r="BL2" s="26">
        <f>股权价值增加表!BL42</f>
        <v>58935930.389999986</v>
      </c>
      <c r="BM2" s="26">
        <f>股权价值增加表!BM42</f>
        <v>154174823.98000008</v>
      </c>
      <c r="BN2" s="26">
        <f>股权价值增加表!BN42</f>
        <v>124131558.28999998</v>
      </c>
      <c r="BO2" s="26">
        <f>股权价值增加表!BO42</f>
        <v>92925723.220000029</v>
      </c>
      <c r="BP2" s="26">
        <f>股权价值增加表!BP42</f>
        <v>35590814.430000007</v>
      </c>
      <c r="BQ2" s="26">
        <f>股权价值增加表!BQ42</f>
        <v>100369310.87999998</v>
      </c>
      <c r="BR2" s="26">
        <f>股权价值增加表!BR42</f>
        <v>453263900</v>
      </c>
      <c r="BS2" s="26">
        <f>股权价值增加表!BS42</f>
        <v>62594563.900000013</v>
      </c>
      <c r="BT2" s="26">
        <f>股权价值增加表!BT42</f>
        <v>46417406.290000021</v>
      </c>
      <c r="BU2" s="26">
        <f>股权价值增加表!BU42</f>
        <v>26215376.410000011</v>
      </c>
      <c r="BV2" s="26">
        <f>股权价值增加表!BV42</f>
        <v>20141298.319999993</v>
      </c>
      <c r="BW2" s="26">
        <f>股权价值增加表!BW42</f>
        <v>19875895.800000008</v>
      </c>
      <c r="BX2" s="26">
        <f>股权价值增加表!BX42</f>
        <v>13019948.609999992</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30754126558.369999</v>
      </c>
      <c r="F3" s="26">
        <f>资产资本表!F107</f>
        <v>26687174094.330002</v>
      </c>
      <c r="G3" s="26">
        <f>资产资本表!G107</f>
        <v>24886251357.59</v>
      </c>
      <c r="H3" s="26">
        <f>资产资本表!H107</f>
        <v>23380532948.110001</v>
      </c>
      <c r="I3" s="26">
        <f>资产资本表!I107</f>
        <v>18333937055.68</v>
      </c>
      <c r="J3" s="26">
        <f>资产资本表!J107</f>
        <v>16796809546.369999</v>
      </c>
      <c r="K3" s="26">
        <f>资产资本表!K107</f>
        <v>15574027016.190001</v>
      </c>
      <c r="L3" s="26">
        <f>资产资本表!L107</f>
        <v>14933606894.369999</v>
      </c>
      <c r="M3" s="26">
        <f>资产资本表!M107</f>
        <v>14823234395.779999</v>
      </c>
      <c r="N3" s="26">
        <f>资产资本表!N107</f>
        <v>14473165820.08</v>
      </c>
      <c r="O3" s="26">
        <f>资产资本表!O107</f>
        <v>13890592330.6</v>
      </c>
      <c r="P3" s="26">
        <f>资产资本表!P107</f>
        <v>13856114247.16</v>
      </c>
      <c r="Q3" s="26">
        <f>资产资本表!Q107</f>
        <v>13285675672.779999</v>
      </c>
      <c r="R3" s="26">
        <f>资产资本表!R107</f>
        <v>12783196319.540001</v>
      </c>
      <c r="S3" s="26">
        <f>资产资本表!S107</f>
        <v>11692366869.040001</v>
      </c>
      <c r="T3" s="26">
        <f>资产资本表!T107</f>
        <v>12708078583.43</v>
      </c>
      <c r="U3" s="26">
        <f>资产资本表!U107</f>
        <v>11780955452.780001</v>
      </c>
      <c r="V3" s="26">
        <f>资产资本表!V107</f>
        <v>11043044163</v>
      </c>
      <c r="W3" s="26">
        <f>资产资本表!W107</f>
        <v>9989687864.2900009</v>
      </c>
      <c r="X3" s="26">
        <f>资产资本表!X107</f>
        <v>10590907568.439999</v>
      </c>
      <c r="Y3" s="26">
        <f>资产资本表!Y107</f>
        <v>9842810053.0599995</v>
      </c>
      <c r="Z3" s="26">
        <f>资产资本表!Z107</f>
        <v>8925436127.7099991</v>
      </c>
      <c r="AA3" s="26">
        <f>资产资本表!AA107</f>
        <v>8086854483.1800003</v>
      </c>
      <c r="AB3" s="26">
        <f>资产资本表!AB107</f>
        <v>8735252341.5499992</v>
      </c>
      <c r="AC3" s="26">
        <f>资产资本表!AC107</f>
        <v>8215624124.4700003</v>
      </c>
      <c r="AD3" s="26">
        <f>资产资本表!AD107</f>
        <v>8241878796.3900003</v>
      </c>
      <c r="AE3" s="26">
        <f>资产资本表!AE107</f>
        <v>7565927106.8200006</v>
      </c>
      <c r="AF3" s="26">
        <f>资产资本表!AF107</f>
        <v>7744172832.0699997</v>
      </c>
      <c r="AG3" s="26">
        <f>资产资本表!AG107</f>
        <v>7155219285.0200005</v>
      </c>
      <c r="AH3" s="26">
        <f>资产资本表!AH107</f>
        <v>6307281768.3699999</v>
      </c>
      <c r="AI3" s="26">
        <f>资产资本表!AI107</f>
        <v>5873219984.0500002</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431</v>
      </c>
      <c r="E4" s="59">
        <f>E2/E3</f>
        <v>0.40004718686122465</v>
      </c>
      <c r="F4" s="59">
        <f t="shared" ref="F4:BQ4" si="0">F2/F3</f>
        <v>0.34229924239415194</v>
      </c>
      <c r="G4" s="59">
        <f t="shared" si="0"/>
        <v>0.22941636665494541</v>
      </c>
      <c r="H4" s="59">
        <f t="shared" si="0"/>
        <v>0.11090884273019183</v>
      </c>
      <c r="I4" s="59">
        <f t="shared" si="0"/>
        <v>0.25045002913040121</v>
      </c>
      <c r="J4" s="59">
        <f t="shared" si="0"/>
        <v>0.17708179845396932</v>
      </c>
      <c r="K4" s="59">
        <f t="shared" si="0"/>
        <v>0.10495856123600658</v>
      </c>
      <c r="L4" s="59">
        <f t="shared" si="0"/>
        <v>3.6339778968910226E-2</v>
      </c>
      <c r="M4" s="59">
        <f t="shared" si="0"/>
        <v>0.13172263780405896</v>
      </c>
      <c r="N4" s="59">
        <f t="shared" si="0"/>
        <v>0.13439415716576436</v>
      </c>
      <c r="O4" s="59">
        <f t="shared" si="0"/>
        <v>0.10011062585550184</v>
      </c>
      <c r="P4" s="59">
        <f t="shared" si="0"/>
        <v>4.5300967067203192E-2</v>
      </c>
      <c r="Q4" s="59">
        <f t="shared" si="0"/>
        <v>0.23736871635901657</v>
      </c>
      <c r="R4" s="59">
        <f t="shared" si="0"/>
        <v>0.21317894887012601</v>
      </c>
      <c r="S4" s="59">
        <f t="shared" si="0"/>
        <v>0.15435461366071385</v>
      </c>
      <c r="T4" s="59">
        <f t="shared" si="0"/>
        <v>7.2843577878643109E-2</v>
      </c>
      <c r="U4" s="59">
        <f t="shared" si="0"/>
        <v>0.32404434836727591</v>
      </c>
      <c r="V4" s="59">
        <f t="shared" si="0"/>
        <v>0.27370082263973283</v>
      </c>
      <c r="W4" s="59">
        <f t="shared" si="0"/>
        <v>0.19718775466764818</v>
      </c>
      <c r="X4" s="59">
        <f t="shared" si="0"/>
        <v>9.0296047716415126E-2</v>
      </c>
      <c r="Y4" s="59">
        <f t="shared" si="0"/>
        <v>0.30341344524082897</v>
      </c>
      <c r="Z4" s="59">
        <f t="shared" si="0"/>
        <v>0.23373539460925546</v>
      </c>
      <c r="AA4" s="59">
        <f t="shared" si="0"/>
        <v>0.15436628368377839</v>
      </c>
      <c r="AB4" s="59">
        <f t="shared" si="0"/>
        <v>6.4712956495964827E-2</v>
      </c>
      <c r="AC4" s="59">
        <f t="shared" si="0"/>
        <v>0.29157830949021601</v>
      </c>
      <c r="AD4" s="59">
        <f t="shared" si="0"/>
        <v>0.23523641898606953</v>
      </c>
      <c r="AE4" s="59">
        <f t="shared" si="0"/>
        <v>0.16691125177529995</v>
      </c>
      <c r="AF4" s="59">
        <f t="shared" si="0"/>
        <v>7.6051188399494193E-2</v>
      </c>
      <c r="AG4" s="59">
        <f t="shared" si="0"/>
        <v>0.25132743387542095</v>
      </c>
      <c r="AH4" s="59">
        <f t="shared" si="0"/>
        <v>0.18046919735189909</v>
      </c>
      <c r="AI4" s="59">
        <f t="shared" si="0"/>
        <v>0.11990156946486431</v>
      </c>
      <c r="AJ4" s="59">
        <f t="shared" si="0"/>
        <v>5.1896016692981835E-2</v>
      </c>
      <c r="AK4" s="59">
        <f t="shared" si="0"/>
        <v>0.21798547934510154</v>
      </c>
      <c r="AL4" s="59">
        <f t="shared" si="0"/>
        <v>0.18502650977286003</v>
      </c>
      <c r="AM4" s="59">
        <f t="shared" si="0"/>
        <v>0.11485873419184746</v>
      </c>
      <c r="AN4" s="59">
        <f t="shared" si="0"/>
        <v>4.6603181145017443E-2</v>
      </c>
      <c r="AO4" s="59">
        <f t="shared" si="0"/>
        <v>0.33322084598209317</v>
      </c>
      <c r="AP4" s="59">
        <f t="shared" si="0"/>
        <v>0.27677302459855191</v>
      </c>
      <c r="AQ4" s="59">
        <f t="shared" si="0"/>
        <v>0.21664465640944691</v>
      </c>
      <c r="AR4" s="59">
        <f t="shared" si="0"/>
        <v>0.10726365061112569</v>
      </c>
      <c r="AS4" s="59">
        <f t="shared" si="0"/>
        <v>0.39857972347214965</v>
      </c>
      <c r="AT4" s="59">
        <f t="shared" si="0"/>
        <v>0.31547971728032947</v>
      </c>
      <c r="AU4" s="59">
        <f t="shared" si="0"/>
        <v>0.20644691613842997</v>
      </c>
      <c r="AV4" s="59">
        <f t="shared" si="0"/>
        <v>0.11267140687095414</v>
      </c>
      <c r="AW4" s="59">
        <f t="shared" si="0"/>
        <v>0.32803360162239531</v>
      </c>
      <c r="AX4" s="59">
        <f t="shared" si="0"/>
        <v>0.24973521769842108</v>
      </c>
      <c r="AY4" s="59">
        <f t="shared" si="0"/>
        <v>0.14780386312866403</v>
      </c>
      <c r="AZ4" s="59">
        <f t="shared" si="0"/>
        <v>8.2342818078654692E-2</v>
      </c>
      <c r="BA4" s="59">
        <f t="shared" si="0"/>
        <v>0.3306518813795602</v>
      </c>
      <c r="BB4" s="59">
        <f t="shared" si="0"/>
        <v>0.28429066210778131</v>
      </c>
      <c r="BC4" s="59">
        <f t="shared" si="0"/>
        <v>0.21243422025434427</v>
      </c>
      <c r="BD4" s="59">
        <f t="shared" si="0"/>
        <v>0.10294966665165568</v>
      </c>
      <c r="BE4" s="59">
        <f t="shared" si="0"/>
        <v>0.29339144158071667</v>
      </c>
      <c r="BF4" s="59">
        <f t="shared" si="0"/>
        <v>0.24559967017981263</v>
      </c>
      <c r="BG4" s="59">
        <f t="shared" si="0"/>
        <v>0.18179516214181624</v>
      </c>
      <c r="BH4" s="59">
        <f t="shared" si="0"/>
        <v>8.4733757839829574E-2</v>
      </c>
      <c r="BI4" s="59">
        <f t="shared" si="0"/>
        <v>0.22360910846462537</v>
      </c>
      <c r="BJ4" s="59">
        <f t="shared" si="0"/>
        <v>0.18798006590896255</v>
      </c>
      <c r="BK4" s="59">
        <f t="shared" si="0"/>
        <v>0.15881180874777115</v>
      </c>
      <c r="BL4" s="59">
        <f t="shared" si="0"/>
        <v>7.4616929053982442E-2</v>
      </c>
      <c r="BM4" s="59">
        <f t="shared" si="0"/>
        <v>0.19065497101073181</v>
      </c>
      <c r="BN4" s="59">
        <f t="shared" si="0"/>
        <v>0.15951827306242419</v>
      </c>
      <c r="BO4" s="59">
        <f t="shared" si="0"/>
        <v>0.12442523110950933</v>
      </c>
      <c r="BP4" s="59">
        <f t="shared" si="0"/>
        <v>5.1618914514022646E-2</v>
      </c>
      <c r="BQ4" s="59">
        <f t="shared" si="0"/>
        <v>0.15351724997755264</v>
      </c>
      <c r="BR4" s="59">
        <f t="shared" ref="BR4:CJ4" si="1">BR2/BR3</f>
        <v>0.65909564816815558</v>
      </c>
      <c r="BS4" s="59">
        <f t="shared" si="1"/>
        <v>9.4291455732831195E-2</v>
      </c>
      <c r="BT4" s="59">
        <f t="shared" si="1"/>
        <v>7.7224643706290008E-2</v>
      </c>
      <c r="BU4" s="59">
        <f t="shared" si="1"/>
        <v>0.16891058940885639</v>
      </c>
      <c r="BV4" s="59">
        <f t="shared" si="1"/>
        <v>0.15697793803966606</v>
      </c>
      <c r="BW4" s="59">
        <f t="shared" si="1"/>
        <v>0.16238897033455066</v>
      </c>
      <c r="BX4" s="59">
        <f t="shared" si="1"/>
        <v>0.18597714647924909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9842771689.3803959</v>
      </c>
      <c r="F5" s="26">
        <f>股权价值增加表!F47</f>
        <v>7000025546.5835972</v>
      </c>
      <c r="G5" s="26">
        <f>股权价值增加表!G47</f>
        <v>3718413257.5128007</v>
      </c>
      <c r="H5" s="26">
        <f>股权价值增加表!H47</f>
        <v>722665215.84120035</v>
      </c>
      <c r="I5" s="26">
        <f>股权价值增加表!I47</f>
        <v>3125020105.2155981</v>
      </c>
      <c r="J5" s="26">
        <f>股权价值增加表!J47</f>
        <v>1630664479.0503995</v>
      </c>
      <c r="K5" s="26">
        <f>股权价值增加表!K47</f>
        <v>388705306.97479892</v>
      </c>
      <c r="L5" s="26">
        <f>股权价值增加表!L47</f>
        <v>-652004577.79960048</v>
      </c>
      <c r="M5" s="26">
        <f>股权价值增加表!M47</f>
        <v>766696783.7375977</v>
      </c>
      <c r="N5" s="26">
        <f>股权价值增加表!N47</f>
        <v>787255656.30360031</v>
      </c>
      <c r="O5" s="26">
        <f>股权价值增加表!O47</f>
        <v>279348505.27200007</v>
      </c>
      <c r="P5" s="26">
        <f>股权价值增加表!P47</f>
        <v>-480793764.58279991</v>
      </c>
      <c r="Q5" s="26">
        <f>股权价值增加表!Q47</f>
        <v>2090749726.5876021</v>
      </c>
      <c r="R5" s="26">
        <f>股权价值增加表!R47</f>
        <v>1702452649.0368009</v>
      </c>
      <c r="S5" s="26">
        <f>股权价值增加表!S47</f>
        <v>869381421.32679963</v>
      </c>
      <c r="T5" s="26">
        <f>股权价值增加表!T47</f>
        <v>-90944374.694400191</v>
      </c>
      <c r="U5" s="26">
        <f>股权价值增加表!U47</f>
        <v>2875075596.6176009</v>
      </c>
      <c r="V5" s="26">
        <f>股权价值增加表!V47</f>
        <v>2139046738.8199997</v>
      </c>
      <c r="W5" s="26">
        <f>股权价值增加表!W47</f>
        <v>1170669090.6467991</v>
      </c>
      <c r="X5" s="26">
        <f>股权价值增加表!X47</f>
        <v>109044489.68480015</v>
      </c>
      <c r="Y5" s="26">
        <f>股权价值增加表!Y47</f>
        <v>2199016104.8052011</v>
      </c>
      <c r="Z5" s="26">
        <f>股权价值增加表!Z47</f>
        <v>1372155445.1532018</v>
      </c>
      <c r="AA5" s="26">
        <f>股权价值增加表!AA47</f>
        <v>601389314.60559905</v>
      </c>
      <c r="AB5" s="26">
        <f>股权价值增加表!AB47</f>
        <v>-133536182.56400001</v>
      </c>
      <c r="AC5" s="26">
        <f>股权价值增加表!AC47</f>
        <v>1738247863.6623988</v>
      </c>
      <c r="AD5" s="26">
        <f>股权价值增加表!AD47</f>
        <v>1279439750.0688007</v>
      </c>
      <c r="AE5" s="26">
        <f>股权价值增加表!AE47</f>
        <v>657564195.69439983</v>
      </c>
      <c r="AF5" s="26">
        <f>股权价值增加表!AF47</f>
        <v>-30580279.515599966</v>
      </c>
      <c r="AG5" s="26">
        <f>股权价值增加表!AG47</f>
        <v>1225885358.9184008</v>
      </c>
      <c r="AH5" s="26">
        <f>股权价值增加表!AH47</f>
        <v>633687536.74040055</v>
      </c>
      <c r="AI5" s="26">
        <f>股权价值增加表!AI47</f>
        <v>234350695.1760003</v>
      </c>
      <c r="AJ5" s="26">
        <f>股权价值增加表!AJ47</f>
        <v>-172731659.2371999</v>
      </c>
      <c r="AK5" s="26">
        <f>股权价值增加表!AK47</f>
        <v>803781746.21160066</v>
      </c>
      <c r="AL5" s="26">
        <f>股权价值增加表!AL47</f>
        <v>585683802.66759992</v>
      </c>
      <c r="AM5" s="26">
        <f>股权价值增加表!AM47</f>
        <v>179088471.56879997</v>
      </c>
      <c r="AN5" s="26">
        <f>股权价值增加表!AN47</f>
        <v>-157603244.00919989</v>
      </c>
      <c r="AO5" s="26">
        <f>股权价值增加表!AO47</f>
        <v>1379905283.2075996</v>
      </c>
      <c r="AP5" s="26">
        <f>股权价值增加表!AP47</f>
        <v>993121115.07999969</v>
      </c>
      <c r="AQ5" s="26">
        <f>股权价值增加表!AQ47</f>
        <v>637339929.57960045</v>
      </c>
      <c r="AR5" s="26">
        <f>股权价值增加表!AR47</f>
        <v>109653060.76199991</v>
      </c>
      <c r="AS5" s="26">
        <f>股权价值增加表!AS47</f>
        <v>1414008727.1824002</v>
      </c>
      <c r="AT5" s="26">
        <f>股权价值增加表!AT47</f>
        <v>928563860.19760036</v>
      </c>
      <c r="AU5" s="26">
        <f>股权价值增加表!AU47</f>
        <v>430070635.30400056</v>
      </c>
      <c r="AV5" s="26">
        <f>股权价值增加表!AV47</f>
        <v>106383172.98520014</v>
      </c>
      <c r="AW5" s="26">
        <f>股权价值增加表!AW47</f>
        <v>699396283.44479942</v>
      </c>
      <c r="AX5" s="26">
        <f>股权价值增加表!AX47</f>
        <v>432803464.0352</v>
      </c>
      <c r="AY5" s="26">
        <f>股权价值增加表!AY47</f>
        <v>152269873.98200005</v>
      </c>
      <c r="AZ5" s="26">
        <f>股权价值增加表!AZ47</f>
        <v>5209045.5859999359</v>
      </c>
      <c r="BA5" s="26">
        <f>股权价值增加表!BA47</f>
        <v>465060366.14239979</v>
      </c>
      <c r="BB5" s="26">
        <f>股权价值增加表!BB47</f>
        <v>350410349.1263997</v>
      </c>
      <c r="BC5" s="26">
        <f>股权价值增加表!BC47</f>
        <v>207021028.83040008</v>
      </c>
      <c r="BD5" s="26">
        <f>股权价值增加表!BD47</f>
        <v>34916728.708400056</v>
      </c>
      <c r="BE5" s="26">
        <f>股权价值增加表!BE47</f>
        <v>291230094.32919985</v>
      </c>
      <c r="BF5" s="26">
        <f>股权价值增加表!BF47</f>
        <v>211304163.4951998</v>
      </c>
      <c r="BG5" s="26">
        <f>股权价值增加表!BG47</f>
        <v>119749497.07760002</v>
      </c>
      <c r="BH5" s="26">
        <f>股权价值增加表!BH47</f>
        <v>5373651.9360000342</v>
      </c>
      <c r="BI5" s="26">
        <f>股权价值增加表!BI47</f>
        <v>149051674.85680002</v>
      </c>
      <c r="BJ5" s="26">
        <f>股权价值增加表!BJ47</f>
        <v>107149337.15360004</v>
      </c>
      <c r="BK5" s="26">
        <f>股权价值增加表!BK47</f>
        <v>68577466.015200064</v>
      </c>
      <c r="BL5" s="26">
        <f>股权价值增加表!BL47</f>
        <v>-4251800.4772000164</v>
      </c>
      <c r="BM5" s="26">
        <f>股权价值增加表!BM47</f>
        <v>89482118.340000078</v>
      </c>
      <c r="BN5" s="26">
        <f>股权价值增加表!BN47</f>
        <v>61878347.591599971</v>
      </c>
      <c r="BO5" s="26">
        <f>股权价值增加表!BO47</f>
        <v>33178533.752800025</v>
      </c>
      <c r="BP5" s="26">
        <f>股权价值增加表!BP47</f>
        <v>-19568523.599599995</v>
      </c>
      <c r="BQ5" s="26">
        <f>股权价值增加表!BQ47</f>
        <v>48065450.098399982</v>
      </c>
      <c r="BR5" s="26">
        <f>股权价值增加表!BR47</f>
        <v>453263900</v>
      </c>
      <c r="BS5" s="26">
        <f>股权价值增加表!BS47</f>
        <v>9487258.7568000183</v>
      </c>
      <c r="BT5" s="26">
        <f>股权价值增加表!BT47</f>
        <v>-1668183.0371999815</v>
      </c>
      <c r="BU5" s="26">
        <f>股权价值增加表!BU47</f>
        <v>13799161.890000012</v>
      </c>
      <c r="BV5" s="26">
        <f>股权价值增加表!BV47</f>
        <v>9876773.9815999921</v>
      </c>
      <c r="BW5" s="26">
        <f>股权价值增加表!BW47</f>
        <v>10084149.102400009</v>
      </c>
      <c r="BX5" s="26">
        <f>股权价值增加表!BX47</f>
        <v>7419282.5683999918</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438</v>
      </c>
      <c r="E6" s="159">
        <f>股权价值增加表!E31/股权价值增加表!E4</f>
        <v>0.31438387958441988</v>
      </c>
      <c r="F6" s="159">
        <f>股权价值增加表!F31/股权价值增加表!F4</f>
        <v>0.31516169762850688</v>
      </c>
      <c r="G6" s="159">
        <f>股权价值增加表!G31/股权价值增加表!G4</f>
        <v>0.31683765116100343</v>
      </c>
      <c r="H6" s="159">
        <f>股权价值增加表!H31/股权价值增加表!H4</f>
        <v>0.32379081700851797</v>
      </c>
      <c r="I6" s="159">
        <f>股权价值增加表!I31/股权价值增加表!I4</f>
        <v>0.21978782210109696</v>
      </c>
      <c r="J6" s="159">
        <f>股权价值增加表!J31/股权价值增加表!J4</f>
        <v>0.20827952051168422</v>
      </c>
      <c r="K6" s="159">
        <f>股权价值增加表!K31/股权价值增加表!K4</f>
        <v>0.19643568038208073</v>
      </c>
      <c r="L6" s="159">
        <f>股权价值增加表!L31/股权价值增加表!L4</f>
        <v>0.16703923790144296</v>
      </c>
      <c r="M6" s="159">
        <f>股权价值增加表!M31/股权价值增加表!M4</f>
        <v>0.1785809119371311</v>
      </c>
      <c r="N6" s="159">
        <f>股权价值增加表!N31/股权价值增加表!N4</f>
        <v>0.22152320118327729</v>
      </c>
      <c r="O6" s="159">
        <f>股权价值增加表!O31/股权价值增加表!O4</f>
        <v>0.21932082741584055</v>
      </c>
      <c r="P6" s="159">
        <f>股权价值增加表!P31/股权价值增加表!P4</f>
        <v>0.20938531649327236</v>
      </c>
      <c r="Q6" s="159">
        <f>股权价值增加表!Q31/股权价值增加表!Q4</f>
        <v>0.20686391767003026</v>
      </c>
      <c r="R6" s="159">
        <f>股权价值增加表!R31/股权价值增加表!R4</f>
        <v>0.22094727347475579</v>
      </c>
      <c r="S6" s="159">
        <f>股权价值增加表!S31/股权价值增加表!S4</f>
        <v>0.22233124890882275</v>
      </c>
      <c r="T6" s="159">
        <f>股权价值增加表!T31/股权价值增加表!T4</f>
        <v>0.25209086247147949</v>
      </c>
      <c r="U6" s="159">
        <f>股权价值增加表!U31/股权价值增加表!U4</f>
        <v>0.23488592002307834</v>
      </c>
      <c r="V6" s="159">
        <f>股权价值增加表!V31/股权价值增加表!V4</f>
        <v>0.25048743600285456</v>
      </c>
      <c r="W6" s="159">
        <f>股权价值增加表!W31/股权价值增加表!W4</f>
        <v>0.25041857111203075</v>
      </c>
      <c r="X6" s="159">
        <f>股权价值增加表!X31/股权价值增加表!X4</f>
        <v>0.26042029075016809</v>
      </c>
      <c r="Y6" s="159">
        <f>股权价值增加表!Y31/股权价值增加表!Y4</f>
        <v>0.24045530511395427</v>
      </c>
      <c r="Z6" s="159">
        <f>股权价值增加表!Z31/股权价值增加表!Z4</f>
        <v>0.2412641387352624</v>
      </c>
      <c r="AA6" s="159">
        <f>股权价值增加表!AA31/股权价值增加表!AA4</f>
        <v>0.23263601532170253</v>
      </c>
      <c r="AB6" s="159">
        <f>股权价值增加表!AB31/股权价值增加表!AB4</f>
        <v>0.22662098666189531</v>
      </c>
      <c r="AC6" s="159">
        <f>股权价值增加表!AC31/股权价值增加表!AC4</f>
        <v>0.2189238380634857</v>
      </c>
      <c r="AD6" s="159">
        <f>股权价值增加表!AD31/股权价值增加表!AD4</f>
        <v>0.229429734667875</v>
      </c>
      <c r="AE6" s="159">
        <f>股权价值增加表!AE31/股权价值增加表!AE4</f>
        <v>0.22595532890969275</v>
      </c>
      <c r="AF6" s="159">
        <f>股权价值增加表!AF31/股权价值增加表!AF4</f>
        <v>0.22845928135713656</v>
      </c>
      <c r="AG6" s="159">
        <f>股权价值增加表!AG31/股权价值增加表!AG4</f>
        <v>0.22062577633687844</v>
      </c>
      <c r="AH6" s="159">
        <f>股权价值增加表!AH31/股权价值增加表!AH4</f>
        <v>0.19720907386648118</v>
      </c>
      <c r="AI6" s="159">
        <f>股权价值增加表!AI31/股权价值增加表!AI4</f>
        <v>0.19443581412941971</v>
      </c>
      <c r="AJ6" s="159">
        <f>股权价值增加表!AJ31/股权价值增加表!AJ4</f>
        <v>0.18527036109398823</v>
      </c>
      <c r="AK6" s="159">
        <f>股权价值增加表!AK31/股权价值增加表!AK4</f>
        <v>0.23232709555588538</v>
      </c>
      <c r="AL6" s="159">
        <f>股权价值增加表!AL31/股权价值增加表!AL4</f>
        <v>0.2614416481022136</v>
      </c>
      <c r="AM6" s="159">
        <f>股权价值增加表!AM31/股权价值增加表!AM4</f>
        <v>0.25378653009452246</v>
      </c>
      <c r="AN6" s="159">
        <f>股权价值增加表!AN31/股权价值增加表!AN4</f>
        <v>0.22257122452093733</v>
      </c>
      <c r="AO6" s="159">
        <f>股权价值增加表!AO31/股权价值增加表!AO4</f>
        <v>0.27842339689769152</v>
      </c>
      <c r="AP6" s="159">
        <f>股权价值增加表!AP31/股权价值增加表!AP4</f>
        <v>0.29498783247312477</v>
      </c>
      <c r="AQ6" s="159">
        <f>股权价值增加表!AQ31/股权价值增加表!AQ4</f>
        <v>0.31093753902265236</v>
      </c>
      <c r="AR6" s="159">
        <f>股权价值增加表!AR31/股权价值增加表!AR4</f>
        <v>0.28404756896238859</v>
      </c>
      <c r="AS6" s="159">
        <f>股权价值增加表!AS31/股权价值增加表!AS4</f>
        <v>0.33504616275181226</v>
      </c>
      <c r="AT6" s="159">
        <f>股权价值增加表!AT31/股权价值增加表!AT4</f>
        <v>0.3134095238771602</v>
      </c>
      <c r="AU6" s="159">
        <f>股权价值增加表!AU31/股权价值增加表!AU4</f>
        <v>0.30318161938904475</v>
      </c>
      <c r="AV6" s="159">
        <f>股权价值增加表!AV31/股权价值增加表!AV4</f>
        <v>0.31182826063251767</v>
      </c>
      <c r="AW6" s="159">
        <f>股权价值增加表!AW31/股权价值增加表!AW4</f>
        <v>0.27196268524689138</v>
      </c>
      <c r="AX6" s="159">
        <f>股权价值增加表!AX31/股权价值增加表!AX4</f>
        <v>0.27207947912002706</v>
      </c>
      <c r="AY6" s="159">
        <f>股权价值增加表!AY31/股权价值增加表!AY4</f>
        <v>0.25261034284052791</v>
      </c>
      <c r="AZ6" s="159">
        <f>股权价值增加表!AZ31/股权价值增加表!AZ4</f>
        <v>0.265672814480715</v>
      </c>
      <c r="BA6" s="159">
        <f>股权价值增加表!BA31/股权价值增加表!BA4</f>
        <v>0.26272349751751461</v>
      </c>
      <c r="BB6" s="159">
        <f>股权价值增加表!BB31/股权价值增加表!BB4</f>
        <v>0.28789511148800806</v>
      </c>
      <c r="BC6" s="159">
        <f>股权价值增加表!BC31/股权价值增加表!BC4</f>
        <v>0.3084512290560395</v>
      </c>
      <c r="BD6" s="159">
        <f>股权价值增加表!BD31/股权价值增加表!BD4</f>
        <v>0.29679937930059497</v>
      </c>
      <c r="BE6" s="159">
        <f>股权价值增加表!BE31/股权价值增加表!BE4</f>
        <v>0.24767544506073827</v>
      </c>
      <c r="BF6" s="159">
        <f>股权价值增加表!BF31/股权价值增加表!BF4</f>
        <v>0.28021374606796029</v>
      </c>
      <c r="BG6" s="159">
        <f>股权价值增加表!BG31/股权价值增加表!BG4</f>
        <v>0.30553734100635738</v>
      </c>
      <c r="BH6" s="159">
        <f>股权价值增加表!BH31/股权价值增加表!BH4</f>
        <v>0.28799412623670728</v>
      </c>
      <c r="BI6" s="159">
        <f>股权价值增加表!BI31/股权价值增加表!BI4</f>
        <v>0.225963583654712</v>
      </c>
      <c r="BJ6" s="159">
        <f>股权价值增加表!BJ31/股权价值增加表!BJ4</f>
        <v>0.26659740917094138</v>
      </c>
      <c r="BK6" s="159">
        <f>股权价值增加表!BK31/股权价值增加表!BK4</f>
        <v>0.27710206273392501</v>
      </c>
      <c r="BL6" s="159">
        <f>股权价值增加表!BL31/股权价值增加表!BL4</f>
        <v>0.23886297734636028</v>
      </c>
      <c r="BM6" s="159">
        <f>股权价值增加表!BM31/股权价值增加表!BM4</f>
        <v>0.21168665265295811</v>
      </c>
      <c r="BN6" s="159">
        <f>股权价值增加表!BN31/股权价值增加表!BN4</f>
        <v>0.21333830973090667</v>
      </c>
      <c r="BO6" s="159">
        <f>股权价值增加表!BO31/股权价值增加表!BO4</f>
        <v>0.24918008769771638</v>
      </c>
      <c r="BP6" s="159">
        <f>股权价值增加表!BP31/股权价值增加表!BP4</f>
        <v>0.23303224059761046</v>
      </c>
      <c r="BQ6" s="159">
        <f>股权价值增加表!BQ31/股权价值增加表!BQ4</f>
        <v>0.19683065070926734</v>
      </c>
      <c r="BR6" s="159">
        <f>股权价值增加表!BR31/股权价值增加表!BR4</f>
        <v>0.99907549586944611</v>
      </c>
      <c r="BS6" s="159">
        <f>股权价值增加表!BS31/股权价值增加表!BS4</f>
        <v>0.25057574232565966</v>
      </c>
      <c r="BT6" s="159">
        <f>股权价值增加表!BT31/股权价值增加表!BT4</f>
        <v>0.18216551923636423</v>
      </c>
      <c r="BU6" s="159">
        <f>股权价值增加表!BU31/股权价值增加表!BU4</f>
        <v>0.26038587159778159</v>
      </c>
      <c r="BV6" s="159">
        <f>股权价值增加表!BV31/股权价值增加表!BV4</f>
        <v>0.15770984565719837</v>
      </c>
      <c r="BW6" s="159">
        <f>股权价值增加表!BW31/股权价值增加表!BW4</f>
        <v>0.15296753750605221</v>
      </c>
      <c r="BX6" s="159">
        <f>股权价值增加表!BX31/股权价值增加表!BX4</f>
        <v>0.14423344465507904</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51" t="s">
        <v>432</v>
      </c>
      <c r="E7" s="61">
        <f>股权价值增加表!E4/资产资本表!E70</f>
        <v>1.0119821126678521</v>
      </c>
      <c r="F7" s="61">
        <f>股权价值增加表!F4/资产资本表!F70</f>
        <v>0.76936007067970325</v>
      </c>
      <c r="G7" s="61">
        <f>股权价值增加表!G4/资产资本表!G70</f>
        <v>0.49376152021624325</v>
      </c>
      <c r="H7" s="61">
        <f>股权价值增加表!H4/资产资本表!H70</f>
        <v>0.24282139606188863</v>
      </c>
      <c r="I7" s="61">
        <f>股权价值增加表!I4/资产资本表!I70</f>
        <v>0.746602029725004</v>
      </c>
      <c r="J7" s="61">
        <f>股权价值增加表!J4/资产资本表!J70</f>
        <v>0.52420821402678464</v>
      </c>
      <c r="K7" s="61">
        <f>股权价值增加表!K4/资产资本表!K70</f>
        <v>0.30224161463236365</v>
      </c>
      <c r="L7" s="61">
        <f>股权价值增加表!L4/资产资本表!L70</f>
        <v>0.13109361806792896</v>
      </c>
      <c r="M7" s="61">
        <f>股权价值增加表!M4/资产资本表!M70</f>
        <v>0.48160926391883441</v>
      </c>
      <c r="N7" s="61">
        <f>股权价值增加表!N4/资产资本表!N70</f>
        <v>0.37330347093577987</v>
      </c>
      <c r="O7" s="61">
        <f>股权价值增加表!O4/资产资本表!O70</f>
        <v>0.26754316074306234</v>
      </c>
      <c r="P7" s="61">
        <f>股权价值增加表!P4/资产资本表!P70</f>
        <v>0.12031169520790561</v>
      </c>
      <c r="Q7" s="61">
        <f>股权价值增加表!Q4/资产资本表!Q70</f>
        <v>0.62711973618342054</v>
      </c>
      <c r="R7" s="61">
        <f>股权价值增加表!R4/资产资本表!R70</f>
        <v>0.53819834407366429</v>
      </c>
      <c r="S7" s="61">
        <f>股权价值增加表!S4/资产资本表!S70</f>
        <v>0.37313888775013698</v>
      </c>
      <c r="T7" s="61">
        <f>股权价值增加表!T4/资产资本表!T70</f>
        <v>0.17292437381917491</v>
      </c>
      <c r="U7" s="61">
        <f>股权价值增加表!U4/资产资本表!U70</f>
        <v>0.78492434415721102</v>
      </c>
      <c r="V7" s="61">
        <f>股权价值增加表!V4/资产资本表!V70</f>
        <v>0.63926967991908845</v>
      </c>
      <c r="W7" s="61">
        <f>股权价值增加表!W4/资产资本表!W70</f>
        <v>0.44278178393868362</v>
      </c>
      <c r="X7" s="61">
        <f>股权价值增加表!X4/资产资本表!X70</f>
        <v>0.22405530737033627</v>
      </c>
      <c r="Y7" s="61">
        <f>股权价值增加表!Y4/资产资本表!Y70</f>
        <v>0.83246456849331318</v>
      </c>
      <c r="Z7" s="61">
        <f>股权价值增加表!Z4/资产资本表!Z70</f>
        <v>0.65379635894622579</v>
      </c>
      <c r="AA7" s="61">
        <f>股权价值增加表!AA4/资产资本表!AA70</f>
        <v>0.44103505231213863</v>
      </c>
      <c r="AB7" s="61">
        <f>股权价值增加表!AB4/资产资本表!AB70</f>
        <v>0.20471438703153538</v>
      </c>
      <c r="AC7" s="61">
        <f>股权价值增加表!AC4/资产资本表!AC70</f>
        <v>0.89941295711650593</v>
      </c>
      <c r="AD7" s="61">
        <f>股权价值增加表!AD4/资产资本表!AD70</f>
        <v>0.78807220525793142</v>
      </c>
      <c r="AE7" s="61">
        <f>股权价值增加表!AE4/资产资本表!AE70</f>
        <v>0.50894816993525127</v>
      </c>
      <c r="AF7" s="61">
        <f>股权价值增加表!AF4/资产资本表!AF70</f>
        <v>0.23552648137819948</v>
      </c>
      <c r="AG7" s="61">
        <f>股权价值增加表!AG4/资产资本表!AG70</f>
        <v>0.80072261285416391</v>
      </c>
      <c r="AH7" s="61">
        <f>股权价值增加表!AH4/资产资本表!AH70</f>
        <v>0.6466300870565046</v>
      </c>
      <c r="AI7" s="61">
        <f>股权价值增加表!AI4/资产资本表!AI70</f>
        <v>0.46681856150768564</v>
      </c>
      <c r="AJ7" s="61">
        <f>股权价值增加表!AJ4/资产资本表!AJ70</f>
        <v>0.22216166311458987</v>
      </c>
      <c r="AK7" s="61">
        <f>股权价值增加表!AK4/资产资本表!AK70</f>
        <v>0.7452392413656943</v>
      </c>
      <c r="AL7" s="61">
        <f>股权价值增加表!AL4/资产资本表!AL70</f>
        <v>0.51346677197965596</v>
      </c>
      <c r="AM7" s="61">
        <f>股权价值增加表!AM4/资产资本表!AM70</f>
        <v>0.32029282805226383</v>
      </c>
      <c r="AN7" s="61">
        <f>股权价值增加表!AN4/资产资本表!AN70</f>
        <v>0.14489622196167076</v>
      </c>
      <c r="AO7" s="61">
        <f>股权价值增加表!AO4/资产资本表!AO70</f>
        <v>1.0774658671936552</v>
      </c>
      <c r="AP7" s="61">
        <f>股权价值增加表!AP4/资产资本表!AP70</f>
        <v>0.87634303971216065</v>
      </c>
      <c r="AQ7" s="61">
        <f>股权价值增加表!AQ4/资产资本表!AQ70</f>
        <v>0.61372981729801934</v>
      </c>
      <c r="AR7" s="61">
        <f>股权价值增加表!AR4/资产资本表!AR70</f>
        <v>0.27809451304065397</v>
      </c>
      <c r="AS7" s="61">
        <f>股权价值增加表!AS4/资产资本表!AS70</f>
        <v>1.1896174234370338</v>
      </c>
      <c r="AT7" s="61">
        <f>股权价值增加表!AT4/资产资本表!AT70</f>
        <v>0.96899083612489667</v>
      </c>
      <c r="AU7" s="61">
        <f>股权价值增加表!AU4/资产资本表!AU70</f>
        <v>0.64573148870307018</v>
      </c>
      <c r="AV7" s="61">
        <f>股权价值增加表!AV4/资产资本表!AV70</f>
        <v>0.34922984499536208</v>
      </c>
      <c r="AW7" s="61">
        <f>股权价值增加表!AW4/资产资本表!AW70</f>
        <v>1.1175139859846626</v>
      </c>
      <c r="AX7" s="61">
        <f>股权价值增加表!AX4/资产资本表!AX70</f>
        <v>0.82544729629491786</v>
      </c>
      <c r="AY7" s="61">
        <f>股权价值增加表!AY4/资产资本表!AY70</f>
        <v>0.52324352804984786</v>
      </c>
      <c r="AZ7" s="61">
        <f>股权价值增加表!AZ4/资产资本表!AZ70</f>
        <v>0.25724392234187754</v>
      </c>
      <c r="BA7" s="61">
        <f>股权价值增加表!BA4/资产资本表!BA70</f>
        <v>0.89267871508045893</v>
      </c>
      <c r="BB7" s="61">
        <f>股权价值增加表!BB4/资产资本表!BB70</f>
        <v>0.70147845760301719</v>
      </c>
      <c r="BC7" s="61">
        <f>股权价值增加表!BC4/资产资本表!BC70</f>
        <v>0.46082023769162661</v>
      </c>
      <c r="BD7" s="61">
        <f>股权价值增加表!BD4/资产资本表!BD70</f>
        <v>0.25862945562430828</v>
      </c>
      <c r="BE7" s="61">
        <f>股权价值增加表!BE4/资产资本表!BE70</f>
        <v>0.81012898839811209</v>
      </c>
      <c r="BF7" s="61">
        <f>股权价值增加表!BF4/资产资本表!BF70</f>
        <v>0.85535832017712332</v>
      </c>
      <c r="BG7" s="61">
        <f>股权价值增加表!BG4/资产资本表!BG70</f>
        <v>0.63795849370580271</v>
      </c>
      <c r="BH7" s="61">
        <f>股权价值增加表!BH4/资产资本表!BH70</f>
        <v>0.37900256644318114</v>
      </c>
      <c r="BI7" s="61">
        <f>股权价值增加表!BI4/资产资本表!BI70</f>
        <v>1.1485809168437837</v>
      </c>
      <c r="BJ7" s="61">
        <f>股权价值增加表!BJ4/资产资本表!BJ70</f>
        <v>0.89233147498558685</v>
      </c>
      <c r="BK7" s="61">
        <f>股权价值增加表!BK4/资产资本表!BK70</f>
        <v>0.77272275046465932</v>
      </c>
      <c r="BL7" s="61">
        <f>股权价值增加表!BL4/资产资本表!BL70</f>
        <v>0.38543005148068726</v>
      </c>
      <c r="BM7" s="61">
        <f>股权价值增加表!BM4/资产资本表!BM70</f>
        <v>1.145591678202766</v>
      </c>
      <c r="BN7" s="61">
        <f>股权价值增加表!BN4/资产资本表!BN70</f>
        <v>0.89680006649900978</v>
      </c>
      <c r="BO7" s="61">
        <f>股权价值增加表!BO4/资产资本表!BO70</f>
        <v>0.58470791663705979</v>
      </c>
      <c r="BP7" s="61">
        <f>股权价值增加表!BP4/资产资本表!BP70</f>
        <v>0.29501351547215893</v>
      </c>
      <c r="BQ7" s="61">
        <f>股权价值增加表!BQ4/资产资本表!BQ70</f>
        <v>0.81312472491671706</v>
      </c>
      <c r="BR7" s="61" t="e">
        <f>股权价值增加表!BR4/资产资本表!BR70</f>
        <v>#DIV/0!</v>
      </c>
      <c r="BS7" s="61">
        <f>股权价值增加表!BS4/资产资本表!BS70</f>
        <v>0.42988704922370319</v>
      </c>
      <c r="BT7" s="61">
        <f>股权价值增加表!BT4/资产资本表!BT70</f>
        <v>0.49065363784353128</v>
      </c>
      <c r="BU7" s="61">
        <f>股权价值增加表!BU4/资产资本表!BU70</f>
        <v>0.59377029420418148</v>
      </c>
      <c r="BV7" s="61">
        <f>股权价值增加表!BV4/资产资本表!BV70</f>
        <v>0.92944848248018719</v>
      </c>
      <c r="BW7" s="61">
        <f>股权价值增加表!BW4/资产资本表!BW70</f>
        <v>0.92786613983163091</v>
      </c>
      <c r="BX7" s="61">
        <f>股权价值增加表!BX4/资产资本表!BX70</f>
        <v>0.8940278125763369</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0.31815086265055686</v>
      </c>
      <c r="F8" s="63">
        <f>股权价值增加表!F31/资产资本表!F70</f>
        <v>0.24247282596300332</v>
      </c>
      <c r="G8" s="63">
        <f>股权价值增加表!G31/资产资本表!G70</f>
        <v>0.15644224029900083</v>
      </c>
      <c r="H8" s="63">
        <f>股权价值增加表!H31/资产资本表!H70</f>
        <v>7.8623338218027847E-2</v>
      </c>
      <c r="I8" s="63">
        <f>股权价值增加表!I31/资产资本表!I70</f>
        <v>0.16409403408951709</v>
      </c>
      <c r="J8" s="63">
        <f>股权价值增加表!J31/资产资本表!J70</f>
        <v>0.10918183546578504</v>
      </c>
      <c r="K8" s="63">
        <f>股权价值增加表!K31/资产资本表!K70</f>
        <v>5.9371037210087005E-2</v>
      </c>
      <c r="L8" s="63">
        <f>股权价值增加表!L31/资产资本表!L70</f>
        <v>2.1897778055809686E-2</v>
      </c>
      <c r="M8" s="63">
        <f>股权价值增加表!M31/资产资本表!M70</f>
        <v>8.6006221547995892E-2</v>
      </c>
      <c r="N8" s="63">
        <f>股权价值增加表!N31/资产资本表!N70</f>
        <v>8.2695379894522483E-2</v>
      </c>
      <c r="O8" s="63">
        <f>股权价值增加表!O31/资产资本表!O70</f>
        <v>5.8677787383617661E-2</v>
      </c>
      <c r="P8" s="63">
        <f>股权价值增加表!P31/资产资本表!P70</f>
        <v>2.5191502378949435E-2</v>
      </c>
      <c r="Q8" s="63">
        <f>股权价值增加表!Q31/资产资本表!Q70</f>
        <v>0.12972844547509821</v>
      </c>
      <c r="R8" s="63">
        <f>股权价值增加表!R31/资产资本表!R70</f>
        <v>0.11891345671170463</v>
      </c>
      <c r="S8" s="63">
        <f>股权价值增加表!S31/资产资本表!S70</f>
        <v>8.2960434929936988E-2</v>
      </c>
      <c r="T8" s="63">
        <f>股权价值增加表!T31/资产资本表!T70</f>
        <v>4.3592654538416327E-2</v>
      </c>
      <c r="U8" s="63">
        <f>股权价值增加表!U31/资产资本表!U70</f>
        <v>0.18436767672587789</v>
      </c>
      <c r="V8" s="63">
        <f>股权价值增加表!V31/资产资本表!V70</f>
        <v>0.16012902303729798</v>
      </c>
      <c r="W8" s="63">
        <f>股权价值增加表!W31/资产资本表!W70</f>
        <v>0.1108807816483611</v>
      </c>
      <c r="X8" s="63">
        <f>股权价值增加表!X31/资产资本表!X70</f>
        <v>5.8348548289501256E-2</v>
      </c>
      <c r="Y8" s="63">
        <f>股权价值增加表!Y31/资产资本表!Y70</f>
        <v>0.20017052181361589</v>
      </c>
      <c r="Z8" s="63">
        <f>股权价值增加表!Z31/资产资本表!Z70</f>
        <v>0.15773761544941162</v>
      </c>
      <c r="AA8" s="63">
        <f>股权价值增加表!AA31/资产资本表!AA70</f>
        <v>0.10260063718709456</v>
      </c>
      <c r="AB8" s="63">
        <f>股权价值增加表!AB31/资产资本表!AB70</f>
        <v>4.6392576372971658E-2</v>
      </c>
      <c r="AC8" s="63">
        <f>股权价值增加表!AC31/资产资本表!AC70</f>
        <v>0.19690293657597474</v>
      </c>
      <c r="AD8" s="63">
        <f>股权价值增加表!AD31/资产资本表!AD70</f>
        <v>0.18080719695145434</v>
      </c>
      <c r="AE8" s="63">
        <f>股权价值增加表!AE31/资产资本表!AE70</f>
        <v>0.1149995511357059</v>
      </c>
      <c r="AF8" s="63">
        <f>股权价值增加表!AF31/资产资本表!AF70</f>
        <v>5.3808210676238463E-2</v>
      </c>
      <c r="AG8" s="63">
        <f>股权价值增加表!AG31/资产资本表!AG70</f>
        <v>0.17666004809144367</v>
      </c>
      <c r="AH8" s="63">
        <f>股权价值增加表!AH31/资产资本表!AH70</f>
        <v>0.12752132060261537</v>
      </c>
      <c r="AI8" s="63">
        <f>股权价值增加表!AI31/资产资本表!AI70</f>
        <v>9.0766247057471452E-2</v>
      </c>
      <c r="AJ8" s="63">
        <f>股权价值增加表!AJ31/资产资本表!AJ70</f>
        <v>4.1159971546481038E-2</v>
      </c>
      <c r="AK8" s="63">
        <f>股权价值增加表!AK31/资产资本表!AK70</f>
        <v>0.17313926844076319</v>
      </c>
      <c r="AL8" s="63">
        <f>股权价值增加表!AL31/资产资本表!AL70</f>
        <v>0.13424159911208475</v>
      </c>
      <c r="AM8" s="63">
        <f>股权价值增加表!AM31/资产资本表!AM70</f>
        <v>8.1286005445545567E-2</v>
      </c>
      <c r="AN8" s="63">
        <f>股权价值增加表!AN31/资产资本表!AN70</f>
        <v>3.2249729550466594E-2</v>
      </c>
      <c r="AO8" s="63">
        <f>股权价值增加表!AO31/资产资本表!AO70</f>
        <v>0.29999170678537446</v>
      </c>
      <c r="AP8" s="63">
        <f>股权价值增加表!AP31/资产资本表!AP70</f>
        <v>0.25851053378759975</v>
      </c>
      <c r="AQ8" s="63">
        <f>股权价值增加表!AQ31/资产资本表!AQ70</f>
        <v>0.19083163901546818</v>
      </c>
      <c r="AR8" s="63">
        <f>股权价值增加表!AR31/资产资本表!AR70</f>
        <v>7.8992070370977038E-2</v>
      </c>
      <c r="AS8" s="63">
        <f>股权价值增加表!AS31/资产资本表!AS70</f>
        <v>0.398576752865276</v>
      </c>
      <c r="AT8" s="63">
        <f>股权价值增加表!AT31/资产资本表!AT70</f>
        <v>0.30369095659123524</v>
      </c>
      <c r="AU8" s="63">
        <f>股权价值增加表!AU31/资产资本表!AU70</f>
        <v>0.19577391843549549</v>
      </c>
      <c r="AV8" s="63">
        <f>股权价值增加表!AV31/资产资本表!AV70</f>
        <v>0.10889973512586751</v>
      </c>
      <c r="AW8" s="63">
        <f>股权价值增加表!AW31/资产资本表!AW70</f>
        <v>0.30392210442934581</v>
      </c>
      <c r="AX8" s="63">
        <f>股权价值增加表!AX31/资产资本表!AX70</f>
        <v>0.22458727041695589</v>
      </c>
      <c r="AY8" s="63">
        <f>股权价值增加表!AY31/资产资本表!AY70</f>
        <v>0.13217672700975946</v>
      </c>
      <c r="AZ8" s="63">
        <f>股权价值增加表!AZ31/资产资本表!AZ70</f>
        <v>6.8342716856625102E-2</v>
      </c>
      <c r="BA8" s="63">
        <f>股权价值增加表!BA31/资产资本表!BA70</f>
        <v>0.23452767418537909</v>
      </c>
      <c r="BB8" s="63">
        <f>股权价值增加表!BB31/资产资本表!BB70</f>
        <v>0.20195221875805658</v>
      </c>
      <c r="BC8" s="63">
        <f>股权价值增加表!BC31/资产资本表!BC70</f>
        <v>0.14214056868987848</v>
      </c>
      <c r="BD8" s="63">
        <f>股权价值增加表!BD31/资产资本表!BD70</f>
        <v>7.6761061898145466E-2</v>
      </c>
      <c r="BE8" s="63">
        <f>股权价值增加表!BE31/资产资本表!BE70</f>
        <v>0.2006490577581081</v>
      </c>
      <c r="BF8" s="63">
        <f>股权价值增加表!BF31/资产资本表!BF70</f>
        <v>0.23968315912722954</v>
      </c>
      <c r="BG8" s="63">
        <f>股权价值增加表!BG31/资产资本表!BG70</f>
        <v>0.19492014183929193</v>
      </c>
      <c r="BH8" s="63">
        <f>股权价值增加表!BH31/资产资本表!BH70</f>
        <v>0.10915051296427355</v>
      </c>
      <c r="BI8" s="63">
        <f>股权价值增加表!BI31/资产资本表!BI70</f>
        <v>0.25953746008743611</v>
      </c>
      <c r="BJ8" s="63">
        <f>股权价值增加表!BJ31/资产资本表!BJ70</f>
        <v>0.23789325935284217</v>
      </c>
      <c r="BK8" s="63">
        <f>股权价值增加表!BK31/资产资本表!BK70</f>
        <v>0.2141230680751891</v>
      </c>
      <c r="BL8" s="63">
        <f>股权价值增加表!BL31/资产资本表!BL70</f>
        <v>9.2064969655437881E-2</v>
      </c>
      <c r="BM8" s="63">
        <f>股权价值增加表!BM31/资产资本表!BM70</f>
        <v>0.24250646766582828</v>
      </c>
      <c r="BN8" s="63">
        <f>股权价值增加表!BN31/资产资本表!BN70</f>
        <v>0.19132181035346343</v>
      </c>
      <c r="BO8" s="63">
        <f>股权价值增加表!BO31/资产资本表!BO70</f>
        <v>0.14569756994517161</v>
      </c>
      <c r="BP8" s="63">
        <f>股权价值增加表!BP31/资产资本表!BP70</f>
        <v>6.8747660517055012E-2</v>
      </c>
      <c r="BQ8" s="63">
        <f>股权价值增加表!BQ31/资产资本表!BQ70</f>
        <v>0.16004786871315141</v>
      </c>
      <c r="BR8" s="63" t="e">
        <f>股权价值增加表!BR31/资产资本表!BR70</f>
        <v>#DIV/0!</v>
      </c>
      <c r="BS8" s="63">
        <f>股权价值增加表!BS31/资产资本表!BS70</f>
        <v>0.10771926647541681</v>
      </c>
      <c r="BT8" s="63">
        <f>股权价值增加表!BT31/资产资本表!BT70</f>
        <v>8.9380174702977877E-2</v>
      </c>
      <c r="BU8" s="63">
        <f>股权价值增加表!BU31/资产资本表!BU70</f>
        <v>0.15460939558522699</v>
      </c>
      <c r="BV8" s="63">
        <f>股权价值增加表!BV31/资产资本表!BV70</f>
        <v>0.14658317671826757</v>
      </c>
      <c r="BW8" s="63">
        <f>股权价值增加表!BW31/资产资本表!BW70</f>
        <v>0.14193339854529088</v>
      </c>
      <c r="BX8" s="63">
        <f>股权价值增加表!BX31/资产资本表!BX70</f>
        <v>0.12894871102533048</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433</v>
      </c>
      <c r="E9" s="159">
        <f>股权价值增加表!E38/股权价值增加表!E31</f>
        <v>0.94266526345670776</v>
      </c>
      <c r="F9" s="159">
        <f>股权价值增加表!F38/股权价值增加表!F31</f>
        <v>0.94157722850518721</v>
      </c>
      <c r="G9" s="159">
        <f>股权价值增加表!G38/股权价值增加表!G31</f>
        <v>0.94180597645329611</v>
      </c>
      <c r="H9" s="159">
        <f>股权价值增加表!H38/股权价值增加表!H31</f>
        <v>0.94183152698486727</v>
      </c>
      <c r="I9" s="159">
        <f>股权价值增加表!I38/股权价值增加表!I31</f>
        <v>0.8611100526049229</v>
      </c>
      <c r="J9" s="159">
        <f>股权价值增加表!J38/股权价值增加表!J31</f>
        <v>0.84904758483702014</v>
      </c>
      <c r="K9" s="159">
        <f>股权价值增加表!K38/股权价值增加表!K31</f>
        <v>0.82548947512020787</v>
      </c>
      <c r="L9" s="159">
        <f>股权价值增加表!L38/股权价值增加表!L31</f>
        <v>0.75566979369501996</v>
      </c>
      <c r="M9" s="159">
        <f>股权价值增加表!M38/股权价值增加表!M31</f>
        <v>0.75480265086106524</v>
      </c>
      <c r="N9" s="159">
        <f>股权价值增加表!N38/股权价值增加表!N31</f>
        <v>0.78442466459136539</v>
      </c>
      <c r="O9" s="159">
        <f>股权价值增加表!O38/股权价值增加表!O31</f>
        <v>0.84744201195475855</v>
      </c>
      <c r="P9" s="159">
        <f>股权价值增加表!P38/股权价值增加表!P31</f>
        <v>0.87250158608943384</v>
      </c>
      <c r="Q9" s="159">
        <f>股权价值增加表!Q38/股权价值增加表!Q31</f>
        <v>0.89829869038214316</v>
      </c>
      <c r="R9" s="159">
        <f>股权价值增加表!R38/股权价值增加表!R31</f>
        <v>0.91524709516601466</v>
      </c>
      <c r="S9" s="159">
        <f>股权价值增加表!S38/股权价值增加表!S31</f>
        <v>0.91196106935417165</v>
      </c>
      <c r="T9" s="159">
        <f>股权价值增加表!T38/股权价值增加表!T31</f>
        <v>0.91816530018450326</v>
      </c>
      <c r="U9" s="159">
        <f>股权价值增加表!U38/股权价值增加表!U31</f>
        <v>0.94190465843179205</v>
      </c>
      <c r="V9" s="159">
        <f>股权价值增加表!V38/股权价值增加表!V31</f>
        <v>0.93755489448317442</v>
      </c>
      <c r="W9" s="159">
        <f>股权价值增加表!W38/股权价值增加表!W31</f>
        <v>0.94701156038337153</v>
      </c>
      <c r="X9" s="159">
        <f>股权价值增加表!X38/股权价值增加表!X31</f>
        <v>0.9271511151778723</v>
      </c>
      <c r="Y9" s="159">
        <f>股权价值增加表!Y38/股权价值增加表!Y31</f>
        <v>0.92149220956979305</v>
      </c>
      <c r="Z9" s="159">
        <f>股权价值增加表!Z38/股权价值增加表!Z31</f>
        <v>0.90221867513674003</v>
      </c>
      <c r="AA9" s="159">
        <f>股权价值增加表!AA38/股权价值增加表!AA31</f>
        <v>0.89410293529724427</v>
      </c>
      <c r="AB9" s="159">
        <f>股权价值增加表!AB38/股权价值增加表!AB31</f>
        <v>0.90892778389291029</v>
      </c>
      <c r="AC9" s="159">
        <f>股权价值增加表!AC38/股权价值增加表!AC31</f>
        <v>0.94116805407990622</v>
      </c>
      <c r="AD9" s="159">
        <f>股权价值增加表!AD38/股权价值增加表!AD31</f>
        <v>0.96035009460315934</v>
      </c>
      <c r="AE9" s="159">
        <f>股权价值增加表!AE38/股权价值增加表!AE31</f>
        <v>0.96674159139513915</v>
      </c>
      <c r="AF9" s="159">
        <f>股权价值增加表!AF38/股权价值增加表!AF31</f>
        <v>0.96451050911716962</v>
      </c>
      <c r="AG9" s="159">
        <f>股权价值增加表!AG38/股权价值增加表!AG31</f>
        <v>0.96864283597781176</v>
      </c>
      <c r="AH9" s="159">
        <f>股权价值增加表!AH38/股权价值增加表!AH31</f>
        <v>0.98890688891392209</v>
      </c>
      <c r="AI9" s="159">
        <f>股权价值增加表!AI38/股权价值增加表!AI31</f>
        <v>0.95945947057371916</v>
      </c>
      <c r="AJ9" s="159">
        <f>股权价值增加表!AJ38/股权价值增加表!AJ31</f>
        <v>0.96472098342331103</v>
      </c>
      <c r="AK9" s="159">
        <f>股权价值增加表!AK38/股权价值增加表!AK31</f>
        <v>0.95465023824043771</v>
      </c>
      <c r="AL9" s="159">
        <f>股权价值增加表!AL38/股权价值增加表!AL31</f>
        <v>0.9654955364973542</v>
      </c>
      <c r="AM9" s="159">
        <f>股权价值增加表!AM38/股权价值增加表!AM31</f>
        <v>0.94708919452266249</v>
      </c>
      <c r="AN9" s="159">
        <f>股权价值增加表!AN38/股权价值增加表!AN31</f>
        <v>0.89589932071325851</v>
      </c>
      <c r="AO9" s="159">
        <f>股权价值增加表!AO38/股权价值增加表!AO31</f>
        <v>0.97125379622295949</v>
      </c>
      <c r="AP9" s="159">
        <f>股权价值增加表!AP38/股权价值增加表!AP31</f>
        <v>0.98532355520058001</v>
      </c>
      <c r="AQ9" s="159">
        <f>股权价值增加表!AQ38/股权价值增加表!AQ31</f>
        <v>1.0138623906246316</v>
      </c>
      <c r="AR9" s="159">
        <f>股权价值增加表!AR38/股权价值增加表!AR31</f>
        <v>1.0344060312912082</v>
      </c>
      <c r="AS9" s="159">
        <f>股权价值增加表!AS38/股权价值增加表!AS31</f>
        <v>0.97700497931712715</v>
      </c>
      <c r="AT9" s="159">
        <f>股权价值增加表!AT38/股权价值增加表!AT31</f>
        <v>0.96797226877714693</v>
      </c>
      <c r="AU9" s="159">
        <f>股权价值增加表!AU38/股权价值增加表!AU31</f>
        <v>0.96556266882828679</v>
      </c>
      <c r="AV9" s="159">
        <f>股权价值增加表!AV38/股权价值增加表!AV31</f>
        <v>0.97642259143820009</v>
      </c>
      <c r="AW9" s="159">
        <f>股权价值增加表!AW38/股权价值增加表!AW31</f>
        <v>0.98936502284224792</v>
      </c>
      <c r="AX9" s="159">
        <f>股权价值增加表!AX38/股权价值增加表!AX31</f>
        <v>0.98396659478915138</v>
      </c>
      <c r="AY9" s="159">
        <f>股权价值增加表!AY38/股权价值增加表!AY31</f>
        <v>0.9777739186146448</v>
      </c>
      <c r="AZ9" s="159">
        <f>股权价值增加表!AZ38/股权价值增加表!AZ31</f>
        <v>0.98414705604835873</v>
      </c>
      <c r="BA9" s="159">
        <f>股权价值增加表!BA38/股权价值增加表!BA31</f>
        <v>0.98992646592719502</v>
      </c>
      <c r="BB9" s="159">
        <f>股权价值增加表!BB38/股权价值增加表!BB31</f>
        <v>0.99022150670531428</v>
      </c>
      <c r="BC9" s="159">
        <f>股权价值增加表!BC38/股权价值增加表!BC31</f>
        <v>0.99296309366892632</v>
      </c>
      <c r="BD9" s="159">
        <f>股权价值增加表!BD38/股权价值增加表!BD31</f>
        <v>0.99031016042186848</v>
      </c>
      <c r="BE9" s="159">
        <f>股权价值增加表!BE38/股权价值增加表!BE31</f>
        <v>0.97964392670819533</v>
      </c>
      <c r="BF9" s="159">
        <f>股权价值增加表!BF38/股权价值增加表!BF31</f>
        <v>0.98714631713165191</v>
      </c>
      <c r="BG9" s="159">
        <f>股权价值增加表!BG38/股权价值增加表!BG31</f>
        <v>0.99440885411918389</v>
      </c>
      <c r="BH9" s="159">
        <f>股权价值增加表!BH38/股权价值增加表!BH31</f>
        <v>0.99945561578382791</v>
      </c>
      <c r="BI9" s="159">
        <f>股权价值增加表!BI38/股权价值增加表!BI31</f>
        <v>0.99434257308588747</v>
      </c>
      <c r="BJ9" s="159">
        <f>股权价值增加表!BJ38/股权价值增加表!BJ31</f>
        <v>1.0018293536850256</v>
      </c>
      <c r="BK9" s="159">
        <f>股权价值增加表!BK38/股权价值增加表!BK31</f>
        <v>1.0029857273813478</v>
      </c>
      <c r="BL9" s="159">
        <f>股权价值增加表!BL38/股权价值增加表!BL31</f>
        <v>1.002441279262819</v>
      </c>
      <c r="BM9" s="159">
        <f>股权价值增加表!BM38/股权价值增加表!BM31</f>
        <v>1.0168461443243777</v>
      </c>
      <c r="BN9" s="159">
        <f>股权价值增加表!BN38/股权价值增加表!BN31</f>
        <v>1.0163810877161015</v>
      </c>
      <c r="BO9" s="159">
        <f>股权价值增加表!BO38/股权价值增加表!BO31</f>
        <v>1.0224035093671373</v>
      </c>
      <c r="BP9" s="159">
        <f>股权价值增加表!BP38/股权价值增加表!BP31</f>
        <v>1.041387515996502</v>
      </c>
      <c r="BQ9" s="159">
        <f>股权价值增加表!BQ38/股权价值增加表!BQ31</f>
        <v>1.0140976517095486</v>
      </c>
      <c r="BR9" s="159">
        <f>股权价值增加表!BR38/股权价值增加表!BR31</f>
        <v>1</v>
      </c>
      <c r="BS9" s="159">
        <f>股权价值增加表!BS38/股权价值增加表!BS31</f>
        <v>1.0316930797269019</v>
      </c>
      <c r="BT9" s="159">
        <f>股权价值增加表!BT38/股权价值增加表!BT31</f>
        <v>0.90528024207924185</v>
      </c>
      <c r="BU9" s="159">
        <f>股权价值增加表!BU38/股权价值增加表!BU31</f>
        <v>0.94198451429879193</v>
      </c>
      <c r="BV9" s="159">
        <f>股权价值增加表!BV38/股权价值增加表!BV31</f>
        <v>0.92197213774332809</v>
      </c>
      <c r="BW9" s="159">
        <f>股权价值增加表!BW38/股权价值增加表!BW31</f>
        <v>0.85371975581995185</v>
      </c>
      <c r="BX9" s="159">
        <f>股权价值增加表!BX38/股权价值增加表!BX31</f>
        <v>0.83300072592362473</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51" t="s">
        <v>434</v>
      </c>
      <c r="E10" s="61">
        <f>资产资本表!E70/资产资本表!E107</f>
        <v>1.7068988109738159</v>
      </c>
      <c r="F10" s="61">
        <f>资产资本表!F70/资产资本表!F107</f>
        <v>1.8976922061077242</v>
      </c>
      <c r="G10" s="61">
        <f>资产资本表!G70/资产资本表!G107</f>
        <v>1.988146026146681</v>
      </c>
      <c r="H10" s="61">
        <f>资产资本表!H70/资产资本表!H107</f>
        <v>1.9387844457520933</v>
      </c>
      <c r="I10" s="61">
        <f>资产资本表!I70/资产资本表!I107</f>
        <v>2.1989714734440984</v>
      </c>
      <c r="J10" s="61">
        <f>资产资本表!J70/资产资本表!J107</f>
        <v>2.3772993986902473</v>
      </c>
      <c r="K10" s="61">
        <f>资产资本表!K70/资产资本表!K107</f>
        <v>2.6504045915606755</v>
      </c>
      <c r="L10" s="61">
        <f>资产资本表!L70/资产资本表!L107</f>
        <v>2.7070591147528296</v>
      </c>
      <c r="M10" s="61">
        <f>资产资本表!M70/资产资本表!M107</f>
        <v>2.7304053452350661</v>
      </c>
      <c r="N10" s="61">
        <f>资产资本表!N70/资产资本表!N107</f>
        <v>2.7371172846785656</v>
      </c>
      <c r="O10" s="61">
        <f>资产资本表!O70/资产资本表!O107</f>
        <v>2.7021968781649988</v>
      </c>
      <c r="P10" s="61">
        <f>资产资本表!P70/资产资本表!P107</f>
        <v>2.7206724360544805</v>
      </c>
      <c r="Q10" s="61">
        <f>资产资本表!Q70/资产资本表!Q107</f>
        <v>2.6511208405736948</v>
      </c>
      <c r="R10" s="61">
        <f>资产资本表!R70/资产资本表!R107</f>
        <v>2.5814638743080387</v>
      </c>
      <c r="S10" s="61">
        <f>资产资本表!S70/资产资本表!S107</f>
        <v>2.6736535611430652</v>
      </c>
      <c r="T10" s="61">
        <f>资产资本表!T70/资产资本表!T107</f>
        <v>2.3373688212410175</v>
      </c>
      <c r="U10" s="61">
        <f>资产资本表!U70/资产资本表!U107</f>
        <v>2.1885612439265949</v>
      </c>
      <c r="V10" s="61">
        <f>资产资本表!V70/资产资本表!V107</f>
        <v>2.1778112733569444</v>
      </c>
      <c r="W10" s="61">
        <f>资产资本表!W70/资产资本表!W107</f>
        <v>2.2553322738919519</v>
      </c>
      <c r="X10" s="61">
        <f>资产资本表!X70/资产资本表!X107</f>
        <v>2.0128281032529127</v>
      </c>
      <c r="Y10" s="61">
        <f>资产资本表!Y70/资产资本表!Y107</f>
        <v>1.9456350850493509</v>
      </c>
      <c r="Z10" s="61">
        <f>资产资本表!Z70/资产资本表!Z107</f>
        <v>1.9570773817863523</v>
      </c>
      <c r="AA10" s="61">
        <f>资产资本表!AA70/资产资本表!AA107</f>
        <v>2.0075695056770613</v>
      </c>
      <c r="AB10" s="61">
        <f>资产资本表!AB70/资产资本表!AB107</f>
        <v>1.8348500960735821</v>
      </c>
      <c r="AC10" s="61">
        <f>资产资本表!AC70/资产资本表!AC107</f>
        <v>1.8489465194879449</v>
      </c>
      <c r="AD10" s="61">
        <f>资产资本表!AD70/资产资本表!AD107</f>
        <v>1.6179668908466427</v>
      </c>
      <c r="AE10" s="61">
        <f>资产资本表!AE70/资产资本表!AE107</f>
        <v>1.7863008295265528</v>
      </c>
      <c r="AF10" s="61">
        <f>资产资本表!AF70/资产资本表!AF107</f>
        <v>1.7454754999749751</v>
      </c>
      <c r="AG10" s="61">
        <f>资产资本表!AG70/资产资本表!AG107</f>
        <v>1.6458732035166523</v>
      </c>
      <c r="AH10" s="61">
        <f>资产资本表!AH70/资产资本表!AH107</f>
        <v>1.6441736923685915</v>
      </c>
      <c r="AI10" s="61">
        <f>资产资本表!AI70/资产资本表!AI107</f>
        <v>1.5976543711699183</v>
      </c>
      <c r="AJ10" s="61">
        <f>资产资本表!AJ70/资产资本表!AJ107</f>
        <v>1.5007800757922494</v>
      </c>
      <c r="AK10" s="61">
        <f>资产资本表!AK70/资产资本表!AK107</f>
        <v>1.4956830229048219</v>
      </c>
      <c r="AL10" s="61">
        <f>资产资本表!AL70/资产资本表!AL107</f>
        <v>1.6255215433309906</v>
      </c>
      <c r="AM10" s="61">
        <f>资产资本表!AM70/资产资本表!AM107</f>
        <v>1.6711790541346456</v>
      </c>
      <c r="AN10" s="61">
        <f>资产资本表!AN70/资产资本表!AN107</f>
        <v>1.7721891438175059</v>
      </c>
      <c r="AO10" s="61">
        <f>资产资本表!AO70/资产资本表!AO107</f>
        <v>1.3121548387220969</v>
      </c>
      <c r="AP10" s="61">
        <f>资产资本表!AP70/资产资本表!AP107</f>
        <v>1.3955749279112544</v>
      </c>
      <c r="AQ10" s="61">
        <f>资产资本表!AQ70/资产资本表!AQ107</f>
        <v>1.4559435458001937</v>
      </c>
      <c r="AR10" s="61">
        <f>资产资本表!AR70/资产资本表!AR107</f>
        <v>1.7569208379310577</v>
      </c>
      <c r="AS10" s="61">
        <f>资产资本表!AS70/资产资本表!AS107</f>
        <v>1.4779264221874371</v>
      </c>
      <c r="AT10" s="61">
        <f>资产资本表!AT70/资产资本表!AT107</f>
        <v>1.5350353764438562</v>
      </c>
      <c r="AU10" s="61">
        <f>资产资本表!AU70/资产资本表!AU107</f>
        <v>1.6066365998864791</v>
      </c>
      <c r="AV10" s="61">
        <f>资产资本表!AV70/资产资本表!AV107</f>
        <v>1.5194859302665147</v>
      </c>
      <c r="AW10" s="61">
        <f>资产资本表!AW70/资产资本表!AW107</f>
        <v>1.5574026179429312</v>
      </c>
      <c r="AX10" s="61">
        <f>资产资本表!AX70/资产资本表!AX107</f>
        <v>1.6855032062692645</v>
      </c>
      <c r="AY10" s="61">
        <f>资产资本表!AY70/资产资本表!AY107</f>
        <v>1.7886546916460926</v>
      </c>
      <c r="AZ10" s="61">
        <f>资产资本表!AZ70/资产资本表!AZ107</f>
        <v>1.8444039760222499</v>
      </c>
      <c r="BA10" s="61">
        <f>资产资本表!BA70/资产资本表!BA107</f>
        <v>1.9981780533473494</v>
      </c>
      <c r="BB10" s="61">
        <f>资产资本表!BB70/资产资本表!BB107</f>
        <v>2.1203680690246656</v>
      </c>
      <c r="BC10" s="61">
        <f>资产资本表!BC70/资产资本表!BC107</f>
        <v>2.2481527844694731</v>
      </c>
      <c r="BD10" s="61">
        <f>资产资本表!BD70/资产资本表!BD107</f>
        <v>2.020601112819814</v>
      </c>
      <c r="BE10" s="61">
        <f>资产资本表!BE70/资产资本表!BE107</f>
        <v>1.9031784719014202</v>
      </c>
      <c r="BF10" s="61">
        <f>资产资本表!BF70/资产资本表!BF107</f>
        <v>1.5536429344179536</v>
      </c>
      <c r="BG10" s="61">
        <f>资产资本表!BG70/资产资本表!BG107</f>
        <v>1.4045085988520707</v>
      </c>
      <c r="BH10" s="61">
        <f>资产资本表!BH70/资产资本表!BH107</f>
        <v>1.1636583858396807</v>
      </c>
      <c r="BI10" s="61">
        <f>资产资本表!BI70/资产资本表!BI107</f>
        <v>1.1271652726977528</v>
      </c>
      <c r="BJ10" s="61">
        <f>资产资本表!BJ70/资产资本表!BJ107</f>
        <v>1.1414611564712041</v>
      </c>
      <c r="BK10" s="61">
        <f>资产资本表!BK70/资产资本表!BK107</f>
        <v>1.0839695603572699</v>
      </c>
      <c r="BL10" s="61">
        <f>资产资本表!BL70/资产资本表!BL107</f>
        <v>1.2003212534946486</v>
      </c>
      <c r="BM10" s="61">
        <f>资产资本表!BM70/资产资本表!BM107</f>
        <v>0.95180360658664209</v>
      </c>
      <c r="BN10" s="61">
        <f>资产资本表!BN70/资产资本表!BN107</f>
        <v>1.0482200520988896</v>
      </c>
      <c r="BO10" s="61">
        <f>资产资本表!BO70/资产资本表!BO107</f>
        <v>1.0065630114001474</v>
      </c>
      <c r="BP10" s="61">
        <f>资产资本表!BP70/资产资本表!BP107</f>
        <v>1.0771518545511969</v>
      </c>
      <c r="BQ10" s="61">
        <f>资产资本表!BQ70/资产资本表!BQ107</f>
        <v>1.0746190160358677</v>
      </c>
      <c r="BR10" s="61">
        <f>资产资本表!BR70/资产资本表!BR107</f>
        <v>0</v>
      </c>
      <c r="BS10" s="61">
        <f>资产资本表!BS70/资产资本表!BS107</f>
        <v>1.0167768760097609</v>
      </c>
      <c r="BT10" s="61">
        <f>资产资本表!BT70/资产资本表!BT107</f>
        <v>1.1693220576625947</v>
      </c>
      <c r="BU10" s="61">
        <f>资产资本表!BU70/资产资本表!BU107</f>
        <v>1.7458550331812406</v>
      </c>
      <c r="BV10" s="61">
        <f>资产资本表!BV70/资产资本表!BV107</f>
        <v>1.7643476693653548</v>
      </c>
      <c r="BW10" s="61">
        <f>资产资本表!BW70/资产资本表!BW107</f>
        <v>1.5910934100264893</v>
      </c>
      <c r="BX10" s="61">
        <f>资产资本表!BX70/资产资本表!BX107</f>
        <v>2.236873301951245</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1.6090342173405734</v>
      </c>
      <c r="F11" s="28">
        <f t="shared" ref="F11:BQ11" si="2">F9*F10</f>
        <v>1.7868237679828054</v>
      </c>
      <c r="G11" s="28">
        <f t="shared" si="2"/>
        <v>1.8724478094868153</v>
      </c>
      <c r="H11" s="28">
        <f t="shared" si="2"/>
        <v>1.8260083150372035</v>
      </c>
      <c r="I11" s="28">
        <f t="shared" si="2"/>
        <v>1.8935564411741723</v>
      </c>
      <c r="J11" s="28">
        <f t="shared" si="2"/>
        <v>2.0184403128924546</v>
      </c>
      <c r="K11" s="28">
        <f t="shared" si="2"/>
        <v>2.1878810951436112</v>
      </c>
      <c r="L11" s="28">
        <f t="shared" si="2"/>
        <v>2.045642802765494</v>
      </c>
      <c r="M11" s="28">
        <f t="shared" si="2"/>
        <v>2.0609171925086498</v>
      </c>
      <c r="N11" s="28">
        <f t="shared" si="2"/>
        <v>2.1470623079812126</v>
      </c>
      <c r="O11" s="28">
        <f t="shared" si="2"/>
        <v>2.289955159130014</v>
      </c>
      <c r="P11" s="28">
        <f t="shared" si="2"/>
        <v>2.3737910156873379</v>
      </c>
      <c r="Q11" s="28">
        <f t="shared" si="2"/>
        <v>2.3814983791321565</v>
      </c>
      <c r="R11" s="28">
        <f t="shared" si="2"/>
        <v>2.3626773122364382</v>
      </c>
      <c r="S11" s="28">
        <f t="shared" si="2"/>
        <v>2.438267960702619</v>
      </c>
      <c r="T11" s="28">
        <f t="shared" si="2"/>
        <v>2.1460909453966575</v>
      </c>
      <c r="U11" s="28">
        <f t="shared" si="2"/>
        <v>2.0614160309177372</v>
      </c>
      <c r="V11" s="28">
        <f t="shared" si="2"/>
        <v>2.0418176185964376</v>
      </c>
      <c r="W11" s="28">
        <f t="shared" si="2"/>
        <v>2.135825735881395</v>
      </c>
      <c r="X11" s="28">
        <f t="shared" si="2"/>
        <v>1.8661958205922995</v>
      </c>
      <c r="Y11" s="28">
        <f t="shared" si="2"/>
        <v>1.7928875735386385</v>
      </c>
      <c r="Z11" s="28">
        <f t="shared" si="2"/>
        <v>1.7657117625353627</v>
      </c>
      <c r="AA11" s="28">
        <f t="shared" si="2"/>
        <v>1.7949737878390981</v>
      </c>
      <c r="AB11" s="28">
        <f t="shared" si="2"/>
        <v>1.6677462315998546</v>
      </c>
      <c r="AC11" s="28">
        <f t="shared" si="2"/>
        <v>1.7401693978442845</v>
      </c>
      <c r="AD11" s="28">
        <f t="shared" si="2"/>
        <v>1.5538146566893529</v>
      </c>
      <c r="AE11" s="28">
        <f t="shared" si="2"/>
        <v>1.7268913066469569</v>
      </c>
      <c r="AF11" s="28">
        <f t="shared" si="2"/>
        <v>1.6835294631324094</v>
      </c>
      <c r="AG11" s="28">
        <f t="shared" si="2"/>
        <v>1.5942632875142562</v>
      </c>
      <c r="AH11" s="28">
        <f t="shared" si="2"/>
        <v>1.6259346909543397</v>
      </c>
      <c r="AI11" s="28">
        <f t="shared" si="2"/>
        <v>1.5328846171224779</v>
      </c>
      <c r="AJ11" s="28">
        <f t="shared" si="2"/>
        <v>1.4478340306204101</v>
      </c>
      <c r="AK11" s="28">
        <f t="shared" si="2"/>
        <v>1.4278541541482663</v>
      </c>
      <c r="AL11" s="28">
        <f t="shared" si="2"/>
        <v>1.5694337945663619</v>
      </c>
      <c r="AM11" s="28">
        <f t="shared" si="2"/>
        <v>1.5827556242835266</v>
      </c>
      <c r="AN11" s="28">
        <f t="shared" si="2"/>
        <v>1.5877030501215148</v>
      </c>
      <c r="AO11" s="28">
        <f t="shared" si="2"/>
        <v>1.2744353683411618</v>
      </c>
      <c r="AP11" s="28">
        <f t="shared" si="2"/>
        <v>1.3750928495183103</v>
      </c>
      <c r="AQ11" s="28">
        <f t="shared" si="2"/>
        <v>1.4761264039594872</v>
      </c>
      <c r="AR11" s="28">
        <f t="shared" si="2"/>
        <v>1.8173695112570893</v>
      </c>
      <c r="AS11" s="28">
        <f t="shared" si="2"/>
        <v>1.4439414735414726</v>
      </c>
      <c r="AT11" s="28">
        <f t="shared" si="2"/>
        <v>1.4858716759895414</v>
      </c>
      <c r="AU11" s="28">
        <f t="shared" si="2"/>
        <v>1.5513083232235931</v>
      </c>
      <c r="AV11" s="28">
        <f t="shared" si="2"/>
        <v>1.4836603896847145</v>
      </c>
      <c r="AW11" s="28">
        <f t="shared" si="2"/>
        <v>1.5408396766756849</v>
      </c>
      <c r="AX11" s="28">
        <f t="shared" si="2"/>
        <v>1.6584788503789649</v>
      </c>
      <c r="AY11" s="28">
        <f t="shared" si="2"/>
        <v>1.7488999068992692</v>
      </c>
      <c r="AZ11" s="28">
        <f t="shared" si="2"/>
        <v>1.8151647431661848</v>
      </c>
      <c r="BA11" s="28">
        <f t="shared" si="2"/>
        <v>1.9780493386434237</v>
      </c>
      <c r="BB11" s="28">
        <f t="shared" si="2"/>
        <v>2.0996340640794422</v>
      </c>
      <c r="BC11" s="28">
        <f t="shared" si="2"/>
        <v>2.2323327439072189</v>
      </c>
      <c r="BD11" s="28">
        <f t="shared" si="2"/>
        <v>2.0010218121851961</v>
      </c>
      <c r="BE11" s="28">
        <f t="shared" si="2"/>
        <v>1.8644372314400102</v>
      </c>
      <c r="BF11" s="28">
        <f t="shared" si="2"/>
        <v>1.5336729008482954</v>
      </c>
      <c r="BG11" s="28">
        <f t="shared" si="2"/>
        <v>1.3966557863850282</v>
      </c>
      <c r="BH11" s="28">
        <f t="shared" si="2"/>
        <v>1.1630249085814133</v>
      </c>
      <c r="BI11" s="28">
        <f t="shared" si="2"/>
        <v>1.1207884175473395</v>
      </c>
      <c r="BJ11" s="28">
        <f t="shared" si="2"/>
        <v>1.1435492926441082</v>
      </c>
      <c r="BK11" s="28">
        <f t="shared" si="2"/>
        <v>1.0872059979541762</v>
      </c>
      <c r="BL11" s="28">
        <f t="shared" si="2"/>
        <v>1.2032515728795259</v>
      </c>
      <c r="BM11" s="28">
        <f t="shared" si="2"/>
        <v>0.96783782751166392</v>
      </c>
      <c r="BN11" s="28">
        <f t="shared" si="2"/>
        <v>1.0653910367180979</v>
      </c>
      <c r="BO11" s="28">
        <f t="shared" si="2"/>
        <v>1.0291135552546644</v>
      </c>
      <c r="BP11" s="28">
        <f t="shared" si="2"/>
        <v>1.1217324941620963</v>
      </c>
      <c r="BQ11" s="28">
        <f t="shared" si="2"/>
        <v>1.0897686206443993</v>
      </c>
      <c r="BR11" s="28">
        <f t="shared" ref="BR11:CJ11" si="3">BR9*BR10</f>
        <v>0</v>
      </c>
      <c r="BS11" s="28">
        <f t="shared" si="3"/>
        <v>1.0490016666056086</v>
      </c>
      <c r="BT11" s="28">
        <f t="shared" si="3"/>
        <v>1.058564155429391</v>
      </c>
      <c r="BU11" s="28">
        <f t="shared" si="3"/>
        <v>1.6445684054673322</v>
      </c>
      <c r="BV11" s="28">
        <f t="shared" si="3"/>
        <v>1.6266793924472347</v>
      </c>
      <c r="BW11" s="28">
        <f t="shared" si="3"/>
        <v>1.358347877494549</v>
      </c>
      <c r="BX11" s="28">
        <f t="shared" si="3"/>
        <v>1.8633170843245626</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435</v>
      </c>
      <c r="E12" s="159">
        <f>E2/股权价值增加表!E38</f>
        <v>0.78147094537888306</v>
      </c>
      <c r="F12" s="159">
        <f>F2/股权价值增加表!F38</f>
        <v>0.79006194409291441</v>
      </c>
      <c r="G12" s="159">
        <f>G2/股权价值增加表!G38</f>
        <v>0.78317830660172572</v>
      </c>
      <c r="H12" s="159">
        <f>H2/股权价值增加表!H38</f>
        <v>0.77252393423659926</v>
      </c>
      <c r="I12" s="159">
        <f>I2/股权价值增加表!I38</f>
        <v>0.80602783546528556</v>
      </c>
      <c r="J12" s="159">
        <f>J2/股权价值增加表!J38</f>
        <v>0.80354022369832268</v>
      </c>
      <c r="K12" s="159">
        <f>K2/股权价值增加表!K38</f>
        <v>0.80801517472609985</v>
      </c>
      <c r="L12" s="159">
        <f>L2/股权价值增加表!L38</f>
        <v>0.8112457405301593</v>
      </c>
      <c r="M12" s="159">
        <f>M2/股权价值增加表!M38</f>
        <v>0.74313892233640555</v>
      </c>
      <c r="N12" s="159">
        <f>N2/股权价值增加表!N38</f>
        <v>0.75692786525117361</v>
      </c>
      <c r="O12" s="159">
        <f>O2/股权价值增加表!O38</f>
        <v>0.74503979255757213</v>
      </c>
      <c r="P12" s="159">
        <f>P2/股权价值增加表!P38</f>
        <v>0.75754933728137197</v>
      </c>
      <c r="Q12" s="159">
        <f>Q2/股权价值增加表!Q38</f>
        <v>0.76831263797208882</v>
      </c>
      <c r="R12" s="159">
        <f>R2/股权价值增加表!R38</f>
        <v>0.75876781623878675</v>
      </c>
      <c r="S12" s="159">
        <f>S2/股权价值增加表!S38</f>
        <v>0.76307489020043295</v>
      </c>
      <c r="T12" s="159">
        <f>T2/股权价值增加表!T38</f>
        <v>0.77862766612934298</v>
      </c>
      <c r="U12" s="159">
        <f>U2/股权价值增加表!U38</f>
        <v>0.85261706205813881</v>
      </c>
      <c r="V12" s="159">
        <f>V2/股权价值增加表!V38</f>
        <v>0.83712266735026575</v>
      </c>
      <c r="W12" s="159">
        <f>W2/股权价值增加表!W38</f>
        <v>0.83264110655696433</v>
      </c>
      <c r="X12" s="159">
        <f>X2/股权价值增加表!X38</f>
        <v>0.82924235012095193</v>
      </c>
      <c r="Y12" s="159">
        <f>Y2/股权价值增加表!Y38</f>
        <v>0.84543776485619038</v>
      </c>
      <c r="Z12" s="159">
        <f>Z2/股权价值增加表!Z38</f>
        <v>0.83920758664233552</v>
      </c>
      <c r="AA12" s="159">
        <f>AA2/股权价值增加表!AA38</f>
        <v>0.8381934832177812</v>
      </c>
      <c r="AB12" s="159">
        <f>AB2/股权价值增加表!AB38</f>
        <v>0.83639760818638886</v>
      </c>
      <c r="AC12" s="159">
        <f>AC2/股权价值增加表!AC38</f>
        <v>0.85096459927265511</v>
      </c>
      <c r="AD12" s="159">
        <f>AD2/股权价值增加表!AD38</f>
        <v>0.83731646719969399</v>
      </c>
      <c r="AE12" s="159">
        <f>AE2/股权价值增加表!AE38</f>
        <v>0.84047435345363264</v>
      </c>
      <c r="AF12" s="159">
        <f>AF2/股权价值增加表!AF38</f>
        <v>0.83953099213777627</v>
      </c>
      <c r="AG12" s="159">
        <f>AG2/股权价值增加表!AG38</f>
        <v>0.89236290234076943</v>
      </c>
      <c r="AH12" s="159">
        <f>AH2/股权价值增加表!AH38</f>
        <v>0.87039660406711317</v>
      </c>
      <c r="AI12" s="159">
        <f>AI2/股权价值增加表!AI38</f>
        <v>0.86176930881578306</v>
      </c>
      <c r="AJ12" s="159">
        <f>AJ2/股权价值增加表!AJ38</f>
        <v>0.87084362805330695</v>
      </c>
      <c r="AK12" s="159">
        <f>AK2/股权价值增加表!AK38</f>
        <v>0.88175541893822107</v>
      </c>
      <c r="AL12" s="159">
        <f>AL2/股权价值增加表!AL38</f>
        <v>0.8782210444195736</v>
      </c>
      <c r="AM12" s="159">
        <f>AM2/股权价值增加表!AM38</f>
        <v>0.89275929046873237</v>
      </c>
      <c r="AN12" s="159">
        <f>AN2/股权价值增加表!AN38</f>
        <v>0.91016515889110794</v>
      </c>
      <c r="AO12" s="159">
        <f>AO2/股权价值增加表!AO38</f>
        <v>0.87157566947679677</v>
      </c>
      <c r="AP12" s="159">
        <f>AP2/股权价值增加表!AP38</f>
        <v>0.77859837255178654</v>
      </c>
      <c r="AQ12" s="159">
        <f>AQ2/股权价值增加表!AQ38</f>
        <v>0.7690844888924574</v>
      </c>
      <c r="AR12" s="159">
        <f>AR2/股权价值增加表!AR38</f>
        <v>0.74718103309741146</v>
      </c>
      <c r="AS12" s="159">
        <f>AS2/股权价值增加表!AS38</f>
        <v>0.69255400676545642</v>
      </c>
      <c r="AT12" s="159">
        <f>AT2/股权价值增加表!AT38</f>
        <v>0.69913054883844405</v>
      </c>
      <c r="AU12" s="159">
        <f>AU2/股权价值增加表!AU38</f>
        <v>0.67975974743329004</v>
      </c>
      <c r="AV12" s="159">
        <f>AV2/股权价值增加表!AV38</f>
        <v>0.69735254716315997</v>
      </c>
      <c r="AW12" s="159">
        <f>AW2/股权价值增加表!AW38</f>
        <v>0.70048459949610931</v>
      </c>
      <c r="AX12" s="159">
        <f>AX2/股权价值增加表!AX38</f>
        <v>0.6704782845749544</v>
      </c>
      <c r="AY12" s="159">
        <f>AY2/股权价值增加表!AY38</f>
        <v>0.63938999622441339</v>
      </c>
      <c r="AZ12" s="159">
        <f>AZ2/股权价值增加表!AZ38</f>
        <v>0.66376972363000564</v>
      </c>
      <c r="BA12" s="159">
        <f>BA2/股权价值增加表!BA38</f>
        <v>0.7127541939314872</v>
      </c>
      <c r="BB12" s="159">
        <f>BB2/股权价值增加表!BB38</f>
        <v>0.67045611466815891</v>
      </c>
      <c r="BC12" s="159">
        <f>BC2/股权价值增加表!BC38</f>
        <v>0.66949524792340975</v>
      </c>
      <c r="BD12" s="159">
        <f>BD2/股权价值增加表!BD38</f>
        <v>0.67024278556089445</v>
      </c>
      <c r="BE12" s="159">
        <f>BE2/股权价值增加表!BE38</f>
        <v>0.78426448653347403</v>
      </c>
      <c r="BF12" s="159">
        <f>BF2/股权价值增加表!BF38</f>
        <v>0.66812468085591936</v>
      </c>
      <c r="BG12" s="159">
        <f>BG2/股权价值增加表!BG38</f>
        <v>0.6677843210871105</v>
      </c>
      <c r="BH12" s="159">
        <f>BH2/股权价值增加表!BH38</f>
        <v>0.66748524524248209</v>
      </c>
      <c r="BI12" s="159">
        <f>BI2/股权价值增加表!BI38</f>
        <v>0.76871579668827117</v>
      </c>
      <c r="BJ12" s="159">
        <f>BJ2/股权价值增加表!BJ38</f>
        <v>0.69099478759950927</v>
      </c>
      <c r="BK12" s="159">
        <f>BK2/股权价值增加表!BK38</f>
        <v>0.68219337077287656</v>
      </c>
      <c r="BL12" s="159">
        <f>BL2/股权价值增加表!BL38</f>
        <v>0.67357586697757033</v>
      </c>
      <c r="BM12" s="159">
        <f>BM2/股权价值增加表!BM38</f>
        <v>0.81231077717814948</v>
      </c>
      <c r="BN12" s="159">
        <f>BN2/股权价值增加表!BN38</f>
        <v>0.7825947299274465</v>
      </c>
      <c r="BO12" s="159">
        <f>BO2/股权价值增加表!BO38</f>
        <v>0.82983710362906382</v>
      </c>
      <c r="BP12" s="159">
        <f>BP2/股权价值增加表!BP38</f>
        <v>0.6693629087878652</v>
      </c>
      <c r="BQ12" s="159">
        <f>BQ2/股权价值增加表!BQ38</f>
        <v>0.88018302463284226</v>
      </c>
      <c r="BR12" s="159">
        <f>BR2/股权价值增加表!BR38</f>
        <v>0.94937101517271427</v>
      </c>
      <c r="BS12" s="159">
        <f>BS2/股权价值增加表!BS38</f>
        <v>0.83445471924450532</v>
      </c>
      <c r="BT12" s="159">
        <f>BT2/股权价值增加表!BT38</f>
        <v>0.81620176582427162</v>
      </c>
      <c r="BU12" s="159">
        <f>BU2/股权价值增加表!BU38</f>
        <v>0.66430734212693399</v>
      </c>
      <c r="BV12" s="159">
        <f>BV2/股权价值增加表!BV38</f>
        <v>0.65834346045072589</v>
      </c>
      <c r="BW12" s="159">
        <f>BW2/股权价值增加表!BW38</f>
        <v>0.8422885901563425</v>
      </c>
      <c r="BX12" s="159">
        <f>BX2/股权价值增加表!BX38</f>
        <v>0.77402646254611784</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436</v>
      </c>
      <c r="E13" s="63">
        <f>1-E2/股权价值增加表!E38</f>
        <v>0.21852905462111694</v>
      </c>
      <c r="F13" s="63">
        <f>1-F2/股权价值增加表!F38</f>
        <v>0.20993805590708559</v>
      </c>
      <c r="G13" s="63">
        <f>1-G2/股权价值增加表!G38</f>
        <v>0.21682169339827428</v>
      </c>
      <c r="H13" s="63">
        <f>1-H2/股权价值增加表!H38</f>
        <v>0.22747606576340074</v>
      </c>
      <c r="I13" s="63">
        <f>1-I2/股权价值增加表!I38</f>
        <v>0.19397216453471444</v>
      </c>
      <c r="J13" s="63">
        <f>1-J2/股权价值增加表!J38</f>
        <v>0.19645977630167732</v>
      </c>
      <c r="K13" s="63">
        <f>1-K2/股权价值增加表!K38</f>
        <v>0.19198482527390015</v>
      </c>
      <c r="L13" s="63">
        <f>1-L2/股权价值增加表!L38</f>
        <v>0.1887542594698407</v>
      </c>
      <c r="M13" s="63">
        <f>1-M2/股权价值增加表!M38</f>
        <v>0.25686107766359445</v>
      </c>
      <c r="N13" s="63">
        <f>1-N2/股权价值增加表!N38</f>
        <v>0.24307213474882639</v>
      </c>
      <c r="O13" s="63">
        <f>1-O2/股权价值增加表!O38</f>
        <v>0.25496020744242787</v>
      </c>
      <c r="P13" s="63">
        <f>1-P2/股权价值增加表!P38</f>
        <v>0.24245066271862803</v>
      </c>
      <c r="Q13" s="63">
        <f>1-Q2/股权价值增加表!Q38</f>
        <v>0.23168736202791118</v>
      </c>
      <c r="R13" s="63">
        <f>1-R2/股权价值增加表!R38</f>
        <v>0.24123218376121325</v>
      </c>
      <c r="S13" s="63">
        <f>1-S2/股权价值增加表!S38</f>
        <v>0.23692510979956705</v>
      </c>
      <c r="T13" s="63">
        <f>1-T2/股权价值增加表!T38</f>
        <v>0.22137233387065702</v>
      </c>
      <c r="U13" s="63">
        <f>1-U2/股权价值增加表!U38</f>
        <v>0.14738293794186119</v>
      </c>
      <c r="V13" s="63">
        <f>1-V2/股权价值增加表!V38</f>
        <v>0.16287733264973425</v>
      </c>
      <c r="W13" s="63">
        <f>1-W2/股权价值增加表!W38</f>
        <v>0.16735889344303567</v>
      </c>
      <c r="X13" s="63">
        <f>1-X2/股权价值增加表!X38</f>
        <v>0.17075764987904807</v>
      </c>
      <c r="Y13" s="63">
        <f>1-Y2/股权价值增加表!Y38</f>
        <v>0.15456223514380962</v>
      </c>
      <c r="Z13" s="63">
        <f>1-Z2/股权价值增加表!Z38</f>
        <v>0.16079241335766448</v>
      </c>
      <c r="AA13" s="63">
        <f>1-AA2/股权价值增加表!AA38</f>
        <v>0.1618065167822188</v>
      </c>
      <c r="AB13" s="63">
        <f>1-AB2/股权价值增加表!AB38</f>
        <v>0.16360239181361114</v>
      </c>
      <c r="AC13" s="63">
        <f>1-AC2/股权价值增加表!AC38</f>
        <v>0.14903540072734489</v>
      </c>
      <c r="AD13" s="63">
        <f>1-AD2/股权价值增加表!AD38</f>
        <v>0.16268353280030601</v>
      </c>
      <c r="AE13" s="63">
        <f>1-AE2/股权价值增加表!AE38</f>
        <v>0.15952564654636736</v>
      </c>
      <c r="AF13" s="63">
        <f>1-AF2/股权价值增加表!AF38</f>
        <v>0.16046900786222373</v>
      </c>
      <c r="AG13" s="63">
        <f>1-AG2/股权价值增加表!AG38</f>
        <v>0.10763709765923057</v>
      </c>
      <c r="AH13" s="63">
        <f>1-AH2/股权价值增加表!AH38</f>
        <v>0.12960339593288683</v>
      </c>
      <c r="AI13" s="63">
        <f>1-AI2/股权价值增加表!AI38</f>
        <v>0.13823069118421694</v>
      </c>
      <c r="AJ13" s="63">
        <f>1-AJ2/股权价值增加表!AJ38</f>
        <v>0.12915637194669305</v>
      </c>
      <c r="AK13" s="63">
        <f>1-AK2/股权价值增加表!AK38</f>
        <v>0.11824458106177893</v>
      </c>
      <c r="AL13" s="63">
        <f>1-AL2/股权价值增加表!AL38</f>
        <v>0.1217789555804264</v>
      </c>
      <c r="AM13" s="63">
        <f>1-AM2/股权价值增加表!AM38</f>
        <v>0.10724070953126763</v>
      </c>
      <c r="AN13" s="63">
        <f>1-AN2/股权价值增加表!AN38</f>
        <v>8.9834841108892061E-2</v>
      </c>
      <c r="AO13" s="63">
        <f>1-AO2/股权价值增加表!AO38</f>
        <v>0.12842433052320323</v>
      </c>
      <c r="AP13" s="63">
        <f>1-AP2/股权价值增加表!AP38</f>
        <v>0.22140162744821346</v>
      </c>
      <c r="AQ13" s="63">
        <f>1-AQ2/股权价值增加表!AQ38</f>
        <v>0.2309155111075426</v>
      </c>
      <c r="AR13" s="63">
        <f>1-AR2/股权价值增加表!AR38</f>
        <v>0.25281896690258854</v>
      </c>
      <c r="AS13" s="63">
        <f>1-AS2/股权价值增加表!AS38</f>
        <v>0.30744599323454358</v>
      </c>
      <c r="AT13" s="63">
        <f>1-AT2/股权价值增加表!AT38</f>
        <v>0.30086945116155595</v>
      </c>
      <c r="AU13" s="63">
        <f>1-AU2/股权价值增加表!AU38</f>
        <v>0.32024025256670996</v>
      </c>
      <c r="AV13" s="63">
        <f>1-AV2/股权价值增加表!AV38</f>
        <v>0.30264745283684003</v>
      </c>
      <c r="AW13" s="63">
        <f>1-AW2/股权价值增加表!AW38</f>
        <v>0.29951540050389069</v>
      </c>
      <c r="AX13" s="63">
        <f>1-AX2/股权价值增加表!AX38</f>
        <v>0.3295217154250456</v>
      </c>
      <c r="AY13" s="63">
        <f>1-AY2/股权价值增加表!AY38</f>
        <v>0.36061000377558661</v>
      </c>
      <c r="AZ13" s="63">
        <f>1-AZ2/股权价值增加表!AZ38</f>
        <v>0.33623027636999436</v>
      </c>
      <c r="BA13" s="63">
        <f>1-BA2/股权价值增加表!BA38</f>
        <v>0.2872458060685128</v>
      </c>
      <c r="BB13" s="63">
        <f>1-BB2/股权价值增加表!BB38</f>
        <v>0.32954388533184109</v>
      </c>
      <c r="BC13" s="63">
        <f>1-BC2/股权价值增加表!BC38</f>
        <v>0.33050475207659025</v>
      </c>
      <c r="BD13" s="63">
        <f>1-BD2/股权价值增加表!BD38</f>
        <v>0.32975721443910555</v>
      </c>
      <c r="BE13" s="63">
        <f>1-BE2/股权价值增加表!BE38</f>
        <v>0.21573551346652597</v>
      </c>
      <c r="BF13" s="63">
        <f>1-BF2/股权价值增加表!BF38</f>
        <v>0.33187531914408064</v>
      </c>
      <c r="BG13" s="63">
        <f>1-BG2/股权价值增加表!BG38</f>
        <v>0.3322156789128895</v>
      </c>
      <c r="BH13" s="63">
        <f>1-BH2/股权价值增加表!BH38</f>
        <v>0.33251475475751791</v>
      </c>
      <c r="BI13" s="63">
        <f>1-BI2/股权价值增加表!BI38</f>
        <v>0.23128420331172883</v>
      </c>
      <c r="BJ13" s="63">
        <f>1-BJ2/股权价值增加表!BJ38</f>
        <v>0.30900521240049073</v>
      </c>
      <c r="BK13" s="63">
        <f>1-BK2/股权价值增加表!BK38</f>
        <v>0.31780662922712344</v>
      </c>
      <c r="BL13" s="63">
        <f>1-BL2/股权价值增加表!BL38</f>
        <v>0.32642413302242967</v>
      </c>
      <c r="BM13" s="63">
        <f>1-BM2/股权价值增加表!BM38</f>
        <v>0.18768922282185052</v>
      </c>
      <c r="BN13" s="63">
        <f>1-BN2/股权价值增加表!BN38</f>
        <v>0.2174052700725535</v>
      </c>
      <c r="BO13" s="63">
        <f>1-BO2/股权价值增加表!BO38</f>
        <v>0.17016289637093618</v>
      </c>
      <c r="BP13" s="63">
        <f>1-BP2/股权价值增加表!BP38</f>
        <v>0.3306370912121348</v>
      </c>
      <c r="BQ13" s="63">
        <f>1-BQ2/股权价值增加表!BQ38</f>
        <v>0.11981697536715774</v>
      </c>
      <c r="BR13" s="63">
        <f>1-BR2/股权价值增加表!BR38</f>
        <v>5.0628984827285728E-2</v>
      </c>
      <c r="BS13" s="63">
        <f>1-BS2/股权价值增加表!BS38</f>
        <v>0.16554528075549468</v>
      </c>
      <c r="BT13" s="63">
        <f>1-BT2/股权价值增加表!BT38</f>
        <v>0.18379823417572838</v>
      </c>
      <c r="BU13" s="63">
        <f>1-BU2/股权价值增加表!BU38</f>
        <v>0.33569265787306601</v>
      </c>
      <c r="BV13" s="63">
        <f>1-BV2/股权价值增加表!BV38</f>
        <v>0.34165653954927411</v>
      </c>
      <c r="BW13" s="63">
        <f>1-BW2/股权价值增加表!BW38</f>
        <v>0.1577114098436575</v>
      </c>
      <c r="BX13" s="63">
        <f>1-BX2/股权价值增加表!BX38</f>
        <v>0.22597353745388216</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437</v>
      </c>
      <c r="E14" s="59">
        <f>E6*E7*E9*E10*E12</f>
        <v>0.4000471868612247</v>
      </c>
      <c r="F14" s="59">
        <f t="shared" ref="F14:BQ14" si="4">F6*F7*F9*F10*F12</f>
        <v>0.34229924239415194</v>
      </c>
      <c r="G14" s="59">
        <f t="shared" si="4"/>
        <v>0.22941636665494544</v>
      </c>
      <c r="H14" s="59">
        <f t="shared" si="4"/>
        <v>0.11090884273019182</v>
      </c>
      <c r="I14" s="59">
        <f t="shared" si="4"/>
        <v>0.25045002913040115</v>
      </c>
      <c r="J14" s="59">
        <f t="shared" si="4"/>
        <v>0.17708179845396932</v>
      </c>
      <c r="K14" s="59">
        <f t="shared" si="4"/>
        <v>0.10495856123600655</v>
      </c>
      <c r="L14" s="59">
        <f t="shared" si="4"/>
        <v>3.6339778968910226E-2</v>
      </c>
      <c r="M14" s="59">
        <f t="shared" si="4"/>
        <v>0.13172263780405899</v>
      </c>
      <c r="N14" s="59">
        <f t="shared" si="4"/>
        <v>0.13439415716576436</v>
      </c>
      <c r="O14" s="59">
        <f t="shared" si="4"/>
        <v>0.10011062585550186</v>
      </c>
      <c r="P14" s="59">
        <f t="shared" si="4"/>
        <v>4.5300967067203185E-2</v>
      </c>
      <c r="Q14" s="59">
        <f t="shared" si="4"/>
        <v>0.23736871635901663</v>
      </c>
      <c r="R14" s="59">
        <f t="shared" si="4"/>
        <v>0.21317894887012601</v>
      </c>
      <c r="S14" s="59">
        <f t="shared" si="4"/>
        <v>0.15435461366071382</v>
      </c>
      <c r="T14" s="59">
        <f t="shared" si="4"/>
        <v>7.2843577878643123E-2</v>
      </c>
      <c r="U14" s="59">
        <f t="shared" si="4"/>
        <v>0.32404434836727591</v>
      </c>
      <c r="V14" s="59">
        <f t="shared" si="4"/>
        <v>0.27370082263973283</v>
      </c>
      <c r="W14" s="59">
        <f t="shared" si="4"/>
        <v>0.19718775466764818</v>
      </c>
      <c r="X14" s="59">
        <f t="shared" si="4"/>
        <v>9.0296047716415126E-2</v>
      </c>
      <c r="Y14" s="59">
        <f t="shared" si="4"/>
        <v>0.30341344524082897</v>
      </c>
      <c r="Z14" s="59">
        <f t="shared" si="4"/>
        <v>0.23373539460925546</v>
      </c>
      <c r="AA14" s="59">
        <f t="shared" si="4"/>
        <v>0.15436628368377839</v>
      </c>
      <c r="AB14" s="59">
        <f t="shared" si="4"/>
        <v>6.4712956495964827E-2</v>
      </c>
      <c r="AC14" s="59">
        <f t="shared" si="4"/>
        <v>0.29157830949021601</v>
      </c>
      <c r="AD14" s="59">
        <f t="shared" si="4"/>
        <v>0.23523641898606956</v>
      </c>
      <c r="AE14" s="59">
        <f t="shared" si="4"/>
        <v>0.16691125177529997</v>
      </c>
      <c r="AF14" s="59">
        <f t="shared" si="4"/>
        <v>7.6051188399494193E-2</v>
      </c>
      <c r="AG14" s="59">
        <f t="shared" si="4"/>
        <v>0.25132743387542095</v>
      </c>
      <c r="AH14" s="59">
        <f t="shared" si="4"/>
        <v>0.18046919735189909</v>
      </c>
      <c r="AI14" s="59">
        <f t="shared" si="4"/>
        <v>0.11990156946486431</v>
      </c>
      <c r="AJ14" s="59">
        <f t="shared" si="4"/>
        <v>5.1896016692981835E-2</v>
      </c>
      <c r="AK14" s="59">
        <f t="shared" si="4"/>
        <v>0.21798547934510154</v>
      </c>
      <c r="AL14" s="59">
        <f t="shared" si="4"/>
        <v>0.18502650977286006</v>
      </c>
      <c r="AM14" s="59">
        <f t="shared" si="4"/>
        <v>0.11485873419184747</v>
      </c>
      <c r="AN14" s="59">
        <f t="shared" si="4"/>
        <v>4.660318114501745E-2</v>
      </c>
      <c r="AO14" s="59">
        <f t="shared" si="4"/>
        <v>0.33322084598209323</v>
      </c>
      <c r="AP14" s="59">
        <f t="shared" si="4"/>
        <v>0.27677302459855191</v>
      </c>
      <c r="AQ14" s="59">
        <f t="shared" si="4"/>
        <v>0.21664465640944694</v>
      </c>
      <c r="AR14" s="59">
        <f t="shared" si="4"/>
        <v>0.10726365061112568</v>
      </c>
      <c r="AS14" s="59">
        <f t="shared" si="4"/>
        <v>0.39857972347214959</v>
      </c>
      <c r="AT14" s="59">
        <f t="shared" si="4"/>
        <v>0.31547971728032947</v>
      </c>
      <c r="AU14" s="59">
        <f t="shared" si="4"/>
        <v>0.20644691613842991</v>
      </c>
      <c r="AV14" s="59">
        <f t="shared" si="4"/>
        <v>0.11267140687095414</v>
      </c>
      <c r="AW14" s="59">
        <f t="shared" si="4"/>
        <v>0.32803360162239525</v>
      </c>
      <c r="AX14" s="59">
        <f t="shared" si="4"/>
        <v>0.24973521769842108</v>
      </c>
      <c r="AY14" s="59">
        <f t="shared" si="4"/>
        <v>0.14780386312866403</v>
      </c>
      <c r="AZ14" s="59">
        <f t="shared" si="4"/>
        <v>8.2342818078654692E-2</v>
      </c>
      <c r="BA14" s="59">
        <f t="shared" si="4"/>
        <v>0.3306518813795602</v>
      </c>
      <c r="BB14" s="59">
        <f t="shared" si="4"/>
        <v>0.28429066210778131</v>
      </c>
      <c r="BC14" s="59">
        <f t="shared" si="4"/>
        <v>0.21243422025434425</v>
      </c>
      <c r="BD14" s="59">
        <f t="shared" si="4"/>
        <v>0.10294966665165567</v>
      </c>
      <c r="BE14" s="59">
        <f t="shared" si="4"/>
        <v>0.29339144158071667</v>
      </c>
      <c r="BF14" s="59">
        <f t="shared" si="4"/>
        <v>0.2455996701798126</v>
      </c>
      <c r="BG14" s="59">
        <f t="shared" si="4"/>
        <v>0.18179516214181624</v>
      </c>
      <c r="BH14" s="59">
        <f t="shared" si="4"/>
        <v>8.4733757839829574E-2</v>
      </c>
      <c r="BI14" s="59">
        <f t="shared" si="4"/>
        <v>0.22360910846462537</v>
      </c>
      <c r="BJ14" s="59">
        <f t="shared" si="4"/>
        <v>0.18798006590896255</v>
      </c>
      <c r="BK14" s="59">
        <f t="shared" si="4"/>
        <v>0.15881180874777112</v>
      </c>
      <c r="BL14" s="59">
        <f t="shared" si="4"/>
        <v>7.4616929053982428E-2</v>
      </c>
      <c r="BM14" s="59">
        <f t="shared" si="4"/>
        <v>0.19065497101073187</v>
      </c>
      <c r="BN14" s="59">
        <f t="shared" si="4"/>
        <v>0.15951827306242422</v>
      </c>
      <c r="BO14" s="59">
        <f t="shared" si="4"/>
        <v>0.12442523110950934</v>
      </c>
      <c r="BP14" s="59">
        <f t="shared" si="4"/>
        <v>5.1618914514022632E-2</v>
      </c>
      <c r="BQ14" s="59">
        <f t="shared" si="4"/>
        <v>0.15351724997755264</v>
      </c>
      <c r="BR14" s="59" t="e">
        <f t="shared" ref="BR14:CJ14" si="5">BR6*BR7*BR9*BR10*BR12</f>
        <v>#DIV/0!</v>
      </c>
      <c r="BS14" s="59">
        <f t="shared" si="5"/>
        <v>9.4291455732831209E-2</v>
      </c>
      <c r="BT14" s="59">
        <f t="shared" si="5"/>
        <v>7.7224643706290022E-2</v>
      </c>
      <c r="BU14" s="59">
        <f t="shared" si="5"/>
        <v>0.16891058940885637</v>
      </c>
      <c r="BV14" s="59">
        <f t="shared" si="5"/>
        <v>0.15697793803966603</v>
      </c>
      <c r="BW14" s="59">
        <f t="shared" si="5"/>
        <v>0.16238897033455063</v>
      </c>
      <c r="BX14" s="59">
        <f t="shared" si="5"/>
        <v>0.18597714647924907</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703</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59" customFormat="1" x14ac:dyDescent="0.25">
      <c r="A18" s="258" t="s">
        <v>441</v>
      </c>
      <c r="B18" s="256">
        <v>43373</v>
      </c>
      <c r="C18" s="256">
        <v>43281</v>
      </c>
      <c r="D18" s="256">
        <v>43190</v>
      </c>
      <c r="E18" s="256">
        <v>43100</v>
      </c>
      <c r="F18" s="256">
        <v>43008</v>
      </c>
      <c r="G18" s="256">
        <v>42916</v>
      </c>
      <c r="H18" s="256">
        <v>42825</v>
      </c>
      <c r="I18" s="256">
        <v>42735</v>
      </c>
      <c r="J18" s="256">
        <v>42643</v>
      </c>
      <c r="K18" s="256">
        <v>42551</v>
      </c>
      <c r="L18" s="256">
        <v>42460</v>
      </c>
      <c r="M18" s="256">
        <v>42369</v>
      </c>
      <c r="N18" s="256">
        <v>42277</v>
      </c>
      <c r="O18" s="256">
        <v>42185</v>
      </c>
      <c r="P18" s="256">
        <v>42094</v>
      </c>
      <c r="Q18" s="256">
        <v>42004</v>
      </c>
      <c r="R18" s="256">
        <v>41912</v>
      </c>
      <c r="S18" s="256">
        <v>41820</v>
      </c>
      <c r="T18" s="256">
        <v>41729</v>
      </c>
      <c r="U18" s="256">
        <v>41639</v>
      </c>
      <c r="V18" s="256">
        <v>41547</v>
      </c>
      <c r="W18" s="256">
        <v>41455</v>
      </c>
      <c r="X18" s="256">
        <v>41364</v>
      </c>
      <c r="Y18" s="256">
        <v>41274</v>
      </c>
      <c r="Z18" s="256">
        <v>41182</v>
      </c>
      <c r="AA18" s="256">
        <v>41090</v>
      </c>
      <c r="AB18" s="256">
        <v>40999</v>
      </c>
      <c r="AC18" s="256">
        <v>40908</v>
      </c>
      <c r="AD18" s="256">
        <v>40816</v>
      </c>
      <c r="AE18" s="256">
        <v>40724</v>
      </c>
      <c r="AF18" s="256">
        <v>40633</v>
      </c>
      <c r="AG18" s="256">
        <v>40543</v>
      </c>
      <c r="AH18" s="256">
        <v>40451</v>
      </c>
      <c r="AI18" s="256">
        <v>40359</v>
      </c>
      <c r="AJ18" s="256">
        <v>40268</v>
      </c>
      <c r="AK18" s="256">
        <v>40178</v>
      </c>
      <c r="AL18" s="256">
        <v>40086</v>
      </c>
      <c r="AM18" s="256">
        <v>39994</v>
      </c>
      <c r="AN18" s="256">
        <v>39903</v>
      </c>
      <c r="AO18" s="256">
        <v>39813</v>
      </c>
      <c r="AP18" s="256">
        <v>39721</v>
      </c>
      <c r="AQ18" s="256">
        <v>39629</v>
      </c>
      <c r="AR18" s="256">
        <v>39538</v>
      </c>
      <c r="AS18" s="256">
        <v>39447</v>
      </c>
      <c r="AT18" s="256">
        <v>39355</v>
      </c>
      <c r="AU18" s="256">
        <v>39263</v>
      </c>
      <c r="AV18" s="256">
        <v>39172</v>
      </c>
      <c r="AW18" s="256">
        <v>39082</v>
      </c>
      <c r="AX18" s="256">
        <v>38990</v>
      </c>
      <c r="AY18" s="256">
        <v>38898</v>
      </c>
      <c r="AZ18" s="256">
        <v>38807</v>
      </c>
      <c r="BA18" s="256">
        <v>38717</v>
      </c>
      <c r="BB18" s="256">
        <v>38625</v>
      </c>
      <c r="BC18" s="256">
        <v>38533</v>
      </c>
      <c r="BD18" s="256">
        <v>38442</v>
      </c>
      <c r="BE18" s="256">
        <v>38352</v>
      </c>
      <c r="BF18" s="256">
        <v>38260</v>
      </c>
      <c r="BG18" s="256">
        <v>38168</v>
      </c>
      <c r="BH18" s="256">
        <v>38077</v>
      </c>
      <c r="BI18" s="256">
        <v>37986</v>
      </c>
      <c r="BJ18" s="256">
        <v>37894</v>
      </c>
      <c r="BK18" s="256">
        <v>37802</v>
      </c>
      <c r="BL18" s="256">
        <v>37711</v>
      </c>
      <c r="BM18" s="256">
        <v>37621</v>
      </c>
      <c r="BN18" s="256">
        <v>37529</v>
      </c>
      <c r="BO18" s="256">
        <v>37437</v>
      </c>
      <c r="BP18" s="256">
        <v>37346</v>
      </c>
      <c r="BQ18" s="256">
        <v>37256</v>
      </c>
      <c r="BR18" s="256">
        <v>37164</v>
      </c>
      <c r="BS18" s="256">
        <v>37072</v>
      </c>
      <c r="BT18" s="256">
        <v>36891</v>
      </c>
      <c r="BU18" s="256">
        <v>36707</v>
      </c>
      <c r="BV18" s="256">
        <v>36525</v>
      </c>
      <c r="BW18" s="256">
        <v>36160</v>
      </c>
      <c r="BX18" s="256">
        <v>35795</v>
      </c>
      <c r="BY18" s="256">
        <v>25569</v>
      </c>
      <c r="BZ18" s="256"/>
      <c r="CA18" s="256"/>
      <c r="CB18" s="256"/>
      <c r="CC18" s="256"/>
      <c r="CD18" s="256"/>
      <c r="CE18" s="256"/>
      <c r="CF18" s="256"/>
      <c r="CG18" s="256"/>
      <c r="CH18" s="256"/>
      <c r="CI18" s="256"/>
      <c r="CJ18" s="256"/>
      <c r="CK18" s="256"/>
    </row>
    <row r="19" spans="1:89" s="117" customFormat="1" x14ac:dyDescent="0.25">
      <c r="A19" s="160" t="s">
        <v>447</v>
      </c>
      <c r="B19" s="76">
        <v>43373</v>
      </c>
      <c r="C19" s="76">
        <v>43281</v>
      </c>
      <c r="D19" s="76">
        <v>43190</v>
      </c>
      <c r="E19" s="76">
        <f>股权价值增加表!E4</f>
        <v>53123173258.809998</v>
      </c>
      <c r="F19" s="76">
        <f>股权价值增加表!F4</f>
        <v>38963503949.470001</v>
      </c>
      <c r="G19" s="76">
        <f>股权价值增加表!G4</f>
        <v>24430086476.77</v>
      </c>
      <c r="H19" s="76">
        <f>股权价值增加表!H4</f>
        <v>11007048624.780001</v>
      </c>
      <c r="I19" s="76">
        <f>股权价值增加表!I4</f>
        <v>30099861530.439999</v>
      </c>
      <c r="J19" s="76">
        <f>股权价值增加表!J4</f>
        <v>20932181906.599998</v>
      </c>
      <c r="K19" s="76">
        <f>股权价值增加表!K4</f>
        <v>12475770000.66</v>
      </c>
      <c r="L19" s="76">
        <f>股权价值增加表!L4</f>
        <v>5299611141.0799999</v>
      </c>
      <c r="M19" s="76">
        <f>股权价值增加表!M4</f>
        <v>19492382889.529999</v>
      </c>
      <c r="N19" s="76">
        <f>股权价值增加表!N4</f>
        <v>14788324545.110001</v>
      </c>
      <c r="O19" s="76">
        <f>股权价值增加表!O4</f>
        <v>10042263367.92</v>
      </c>
      <c r="P19" s="76">
        <f>股权价值增加表!P4</f>
        <v>4535504042.1400003</v>
      </c>
      <c r="Q19" s="76">
        <f>股权价值增加表!Q4</f>
        <v>22088368488.740002</v>
      </c>
      <c r="R19" s="76">
        <f>股权价值增加表!R4</f>
        <v>17760200636.82</v>
      </c>
      <c r="S19" s="76">
        <f>股权价值增加表!S4</f>
        <v>11664821009.41</v>
      </c>
      <c r="T19" s="76">
        <f>股权价值增加表!T4</f>
        <v>5136453372.2299995</v>
      </c>
      <c r="U19" s="76">
        <f>股权价值增加表!U4</f>
        <v>20237973217.990002</v>
      </c>
      <c r="V19" s="76">
        <f>股权价值增加表!V4</f>
        <v>15374222330.959999</v>
      </c>
      <c r="W19" s="76">
        <f>股权价值增加表!W4</f>
        <v>9975902570.6299992</v>
      </c>
      <c r="X19" s="76">
        <f>股权价值增加表!X4</f>
        <v>4776338536.5900002</v>
      </c>
      <c r="Y19" s="76">
        <f>股权价值增加表!Y4</f>
        <v>15942126516.790001</v>
      </c>
      <c r="Z19" s="76">
        <f>股权价值增加表!Z4</f>
        <v>11420363881.030001</v>
      </c>
      <c r="AA19" s="76">
        <f>股权价值增加表!AA4</f>
        <v>7160169875.2299995</v>
      </c>
      <c r="AB19" s="76">
        <f>股权价值增加表!AB4</f>
        <v>3281137342.6300001</v>
      </c>
      <c r="AC19" s="76">
        <f>股权价值增加表!AC4</f>
        <v>13662307339.379999</v>
      </c>
      <c r="AD19" s="76">
        <f>股权价值增加表!AD4</f>
        <v>10509011428.01</v>
      </c>
      <c r="AE19" s="76">
        <f>股权价值增加表!AE4</f>
        <v>6878445645.8699999</v>
      </c>
      <c r="AF19" s="76">
        <f>股权价值增加表!AF4</f>
        <v>3183673615.0500002</v>
      </c>
      <c r="AG19" s="76">
        <f>股权价值增加表!AG4</f>
        <v>9429776859.9500008</v>
      </c>
      <c r="AH19" s="76">
        <f>股权价值增加表!AH4</f>
        <v>6705726493.8800001</v>
      </c>
      <c r="AI19" s="76">
        <f>股权价值增加表!AI4</f>
        <v>4380333890.5100002</v>
      </c>
      <c r="AJ19" s="76">
        <f>股权价值增加表!AJ4</f>
        <v>2049227801.8900001</v>
      </c>
      <c r="AK19" s="76">
        <f>股权价值增加表!AK4</f>
        <v>6492919698.9300003</v>
      </c>
      <c r="AL19" s="76">
        <f>股权价值增加表!AL4</f>
        <v>4654460556.0100002</v>
      </c>
      <c r="AM19" s="76">
        <f>股权价值增加表!AM4</f>
        <v>2749958976.3099999</v>
      </c>
      <c r="AN19" s="76">
        <f>股权价值增加表!AN4</f>
        <v>1211789500.1500001</v>
      </c>
      <c r="AO19" s="76">
        <f>股权价值增加表!AO4</f>
        <v>7704393026.1300001</v>
      </c>
      <c r="AP19" s="76">
        <f>股权价值增加表!AP4</f>
        <v>6172540592.6899996</v>
      </c>
      <c r="AQ19" s="76">
        <f>股权价值增加表!AQ4</f>
        <v>4167736314.3200002</v>
      </c>
      <c r="AR19" s="76">
        <f>股权价值增加表!AR4</f>
        <v>1965085110.6700001</v>
      </c>
      <c r="AS19" s="76">
        <f>股权价值增加表!AS4</f>
        <v>7803583625.5100002</v>
      </c>
      <c r="AT19" s="76">
        <f>股权价值增加表!AT4</f>
        <v>5865382373.6400003</v>
      </c>
      <c r="AU19" s="76">
        <f>股权价值增加表!AU4</f>
        <v>3528589761.7600002</v>
      </c>
      <c r="AV19" s="76">
        <f>股权价值增加表!AV4</f>
        <v>1727878248.71</v>
      </c>
      <c r="AW19" s="76">
        <f>股权价值增加表!AW4</f>
        <v>4907571866.4799995</v>
      </c>
      <c r="AX19" s="76">
        <f>股权价值增加表!AX4</f>
        <v>3547624934.75</v>
      </c>
      <c r="AY19" s="76">
        <f>股权价值增加表!AY4</f>
        <v>2101792902.3800001</v>
      </c>
      <c r="AZ19" s="76">
        <f>股权价值增加表!AZ4</f>
        <v>1054923007.15</v>
      </c>
      <c r="BA19" s="76">
        <f>股权价值增加表!BA4</f>
        <v>3309540687.9699998</v>
      </c>
      <c r="BB19" s="76">
        <f>股权价值增加表!BB4</f>
        <v>2551255783.0999999</v>
      </c>
      <c r="BC19" s="76">
        <f>股权价值增加表!BC4</f>
        <v>1619465161.96</v>
      </c>
      <c r="BD19" s="76">
        <f>股权价值增加表!BD4</f>
        <v>795088991.48000002</v>
      </c>
      <c r="BE19" s="76">
        <f>股权价值增加表!BE4</f>
        <v>2104228713.8</v>
      </c>
      <c r="BF19" s="76">
        <f>股权价值增加表!BF4</f>
        <v>1695695569.3199999</v>
      </c>
      <c r="BG19" s="76">
        <f>股权价值增加表!BG4</f>
        <v>1054055275.14</v>
      </c>
      <c r="BH19" s="76">
        <f>股权价值增加表!BH4</f>
        <v>500646460.10000002</v>
      </c>
      <c r="BI19" s="76">
        <f>股权价值增加表!BI4</f>
        <v>1343705425.49</v>
      </c>
      <c r="BJ19" s="76">
        <f>股权价值增加表!BJ4</f>
        <v>1010725562.63</v>
      </c>
      <c r="BK19" s="76">
        <f>股权价值增加表!BK4</f>
        <v>728837860.20000005</v>
      </c>
      <c r="BL19" s="76">
        <f>股权价值增加表!BL4</f>
        <v>365414554.81999999</v>
      </c>
      <c r="BM19" s="76">
        <f>股权价值增加表!BM4</f>
        <v>881744022.69000006</v>
      </c>
      <c r="BN19" s="76">
        <f>股权价值增加表!BN4</f>
        <v>731509319.00999999</v>
      </c>
      <c r="BO19" s="76">
        <f>股权价值增加表!BO4</f>
        <v>439549140.19</v>
      </c>
      <c r="BP19" s="76">
        <f>股权价值增加表!BP4</f>
        <v>219102788.52000001</v>
      </c>
      <c r="BQ19" s="76">
        <f>股权价值增加表!BQ4</f>
        <v>571288456.37</v>
      </c>
      <c r="BR19" s="76">
        <f>股权价值增加表!BR4</f>
        <v>477877800</v>
      </c>
      <c r="BS19" s="76">
        <f>股权价值增加表!BS4</f>
        <v>290164514.67000002</v>
      </c>
      <c r="BT19" s="76">
        <f>股权价值增加表!BT4</f>
        <v>344853089.67000002</v>
      </c>
      <c r="BU19" s="76">
        <f>股权价值增加表!BU4</f>
        <v>160888819.90000001</v>
      </c>
      <c r="BV19" s="76">
        <f>股权价值增加表!BV4</f>
        <v>210406102.94</v>
      </c>
      <c r="BW19" s="76">
        <f>股权价值增加表!BW4</f>
        <v>180697101.69</v>
      </c>
      <c r="BX19" s="76">
        <f>股权价值增加表!BX4</f>
        <v>140004535.75999999</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448</v>
      </c>
      <c r="E20" s="76">
        <f>股权价值增加表!E15</f>
        <v>16605695408.359997</v>
      </c>
      <c r="F20" s="76">
        <f>股权价值增加表!F15</f>
        <v>12191577560.08</v>
      </c>
      <c r="G20" s="76">
        <f>股权价值增加表!G15</f>
        <v>7680567431.0200014</v>
      </c>
      <c r="H20" s="76">
        <f>股权价值增加表!H15</f>
        <v>3535851354.9700007</v>
      </c>
      <c r="I20" s="76">
        <f>股权价值增加表!I15</f>
        <v>6449959566.6399994</v>
      </c>
      <c r="J20" s="76">
        <f>股权价值增加表!J15</f>
        <v>4322503040.1199989</v>
      </c>
      <c r="K20" s="76">
        <f>股权价值增加表!K15</f>
        <v>2419023507.6399989</v>
      </c>
      <c r="L20" s="76">
        <f>股权价值增加表!L15</f>
        <v>888757003.35999966</v>
      </c>
      <c r="M20" s="76">
        <f>股权价值增加表!M15</f>
        <v>3741001951.1999979</v>
      </c>
      <c r="N20" s="76">
        <f>股权价值增加表!N15</f>
        <v>3204935688.5700002</v>
      </c>
      <c r="O20" s="76">
        <f>股权价值增加表!O15</f>
        <v>2141319760.8299999</v>
      </c>
      <c r="P20" s="76">
        <f>股权价值增加表!P15</f>
        <v>896753790.51000011</v>
      </c>
      <c r="Q20" s="76">
        <f>股权价值增加表!Q15</f>
        <v>4558065276.5000019</v>
      </c>
      <c r="R20" s="76">
        <f>股权价值增加表!R15</f>
        <v>3909446843.8400006</v>
      </c>
      <c r="S20" s="76">
        <f>股权价值增加表!S15</f>
        <v>2583748539.6499996</v>
      </c>
      <c r="T20" s="76">
        <f>股权价值增加表!T15</f>
        <v>1291221169.6199999</v>
      </c>
      <c r="U20" s="76">
        <f>股权价值增加表!U15</f>
        <v>4646241778.000001</v>
      </c>
      <c r="V20" s="76">
        <f>股权价值增加表!V15</f>
        <v>3852136150.2099996</v>
      </c>
      <c r="W20" s="76">
        <f>股权价值增加表!W15</f>
        <v>2506435702.3599992</v>
      </c>
      <c r="X20" s="76">
        <f>股权价值增加表!X15</f>
        <v>1241822170.8600004</v>
      </c>
      <c r="Y20" s="76">
        <f>股权价值增加表!Y15</f>
        <v>3819208996.9000006</v>
      </c>
      <c r="Z20" s="76">
        <f>股权价值增加表!Z15</f>
        <v>2765109402.4500017</v>
      </c>
      <c r="AA20" s="76">
        <f>股权价值增加表!AA15</f>
        <v>1666630117.4299991</v>
      </c>
      <c r="AB20" s="76">
        <f>股权价值增加表!AB15</f>
        <v>732698169.57999992</v>
      </c>
      <c r="AC20" s="76">
        <f>股权价值增加表!AC15</f>
        <v>2934491858.6399989</v>
      </c>
      <c r="AD20" s="76">
        <f>股权价值增加表!AD15</f>
        <v>2454026138.2700005</v>
      </c>
      <c r="AE20" s="76">
        <f>股权价值增加表!AE15</f>
        <v>1577265431.8299997</v>
      </c>
      <c r="AF20" s="76">
        <f>股权价值增加表!AF15</f>
        <v>733945482.60000002</v>
      </c>
      <c r="AG20" s="76">
        <f>股权价值增加表!AG15</f>
        <v>1770248121.990001</v>
      </c>
      <c r="AH20" s="76">
        <f>股权价值增加表!AH15</f>
        <v>1274892487.1200006</v>
      </c>
      <c r="AI20" s="76">
        <f>股权价值增加表!AI15</f>
        <v>842452660.89000034</v>
      </c>
      <c r="AJ20" s="76">
        <f>股权价值增加表!AJ15</f>
        <v>342732853.81000006</v>
      </c>
      <c r="AK20" s="76">
        <f>股权价值增加表!AK15</f>
        <v>1464103722.5200005</v>
      </c>
      <c r="AL20" s="76">
        <f>股权价值增加表!AL15</f>
        <v>1206415510.7</v>
      </c>
      <c r="AM20" s="76">
        <f>股权价值增加表!AM15</f>
        <v>688341576.59000003</v>
      </c>
      <c r="AN20" s="76">
        <f>股权价值增加表!AN15</f>
        <v>266267589.50000009</v>
      </c>
      <c r="AO20" s="76">
        <f>股权价值增加表!AO15</f>
        <v>2060322686.5799997</v>
      </c>
      <c r="AP20" s="76">
        <f>股权价值增加表!AP15</f>
        <v>1821754750.8799996</v>
      </c>
      <c r="AQ20" s="76">
        <f>股权价值增加表!AQ15</f>
        <v>1303782015.4200003</v>
      </c>
      <c r="AR20" s="76">
        <f>股权价值增加表!AR15</f>
        <v>558805280.0999999</v>
      </c>
      <c r="AS20" s="76">
        <f>股权价值增加表!AS15</f>
        <v>2392511043.3500004</v>
      </c>
      <c r="AT20" s="76">
        <f>股权价值增加表!AT15</f>
        <v>1774821369.1300004</v>
      </c>
      <c r="AU20" s="76">
        <f>股权价值增加表!AU15</f>
        <v>1053293613.2700006</v>
      </c>
      <c r="AV20" s="76">
        <f>股权价值增加表!AV15</f>
        <v>534136493.17000008</v>
      </c>
      <c r="AW20" s="76">
        <f>股权价值增加表!AW15</f>
        <v>1286672019.9099994</v>
      </c>
      <c r="AX20" s="76">
        <f>股权价值增加表!AX15</f>
        <v>951216505.78999996</v>
      </c>
      <c r="AY20" s="76">
        <f>股权价值增加表!AY15</f>
        <v>516925187.08000004</v>
      </c>
      <c r="AZ20" s="76">
        <f>股权价值增加表!AZ15</f>
        <v>274228342.09999996</v>
      </c>
      <c r="BA20" s="76">
        <f>股权价值增加表!BA15</f>
        <v>862628742.35999978</v>
      </c>
      <c r="BB20" s="76">
        <f>股权价值增加表!BB15</f>
        <v>732525975.68999982</v>
      </c>
      <c r="BC20" s="76">
        <f>股权价值增加表!BC15</f>
        <v>500418744.78000009</v>
      </c>
      <c r="BD20" s="76">
        <f>股权价值增加表!BD15</f>
        <v>236144638.82000005</v>
      </c>
      <c r="BE20" s="76">
        <f>股权价值增加表!BE15</f>
        <v>516046949.14999986</v>
      </c>
      <c r="BF20" s="76">
        <f>股权价值增加表!BF15</f>
        <v>475413131.37999982</v>
      </c>
      <c r="BG20" s="76">
        <f>股权价值增加表!BG15</f>
        <v>322303913.55000001</v>
      </c>
      <c r="BH20" s="76">
        <f>股权价值增加表!BH15</f>
        <v>144134319.96000004</v>
      </c>
      <c r="BI20" s="76">
        <f>股权价值增加表!BI15</f>
        <v>301036344.15999997</v>
      </c>
      <c r="BJ20" s="76">
        <f>股权价值增加表!BJ15</f>
        <v>269358702.39000005</v>
      </c>
      <c r="BK20" s="76">
        <f>股权价值增加表!BK15</f>
        <v>201358287.27000007</v>
      </c>
      <c r="BL20" s="76">
        <f>股权价值增加表!BL15</f>
        <v>86710732.819999993</v>
      </c>
      <c r="BM20" s="76">
        <f>股权价值增加表!BM15</f>
        <v>186949579.53000006</v>
      </c>
      <c r="BN20" s="76">
        <f>股权价值增加表!BN15</f>
        <v>155833715.76999998</v>
      </c>
      <c r="BO20" s="76">
        <f>股权价值增加表!BO15</f>
        <v>109199037.40000002</v>
      </c>
      <c r="BP20" s="76">
        <f>股权价值增加表!BP15</f>
        <v>50815532.230000004</v>
      </c>
      <c r="BQ20" s="76">
        <f>股权价值增加表!BQ15</f>
        <v>112123747.05999999</v>
      </c>
      <c r="BR20" s="76">
        <f>股权价值增加表!BR15</f>
        <v>476121200</v>
      </c>
      <c r="BS20" s="76">
        <f>股权价值增加表!BS15</f>
        <v>72208188.660000011</v>
      </c>
      <c r="BT20" s="76">
        <f>股权价值增加表!BT15</f>
        <v>62820342.140000023</v>
      </c>
      <c r="BU20" s="76">
        <f>股权价值增加表!BU15</f>
        <v>41893175.600000009</v>
      </c>
      <c r="BV20" s="76">
        <f>股权价值增加表!BV15</f>
        <v>33183114.019999992</v>
      </c>
      <c r="BW20" s="76">
        <f>股权价值增加表!BW15</f>
        <v>27640790.680000007</v>
      </c>
      <c r="BX20" s="76">
        <f>股权价值增加表!BX15</f>
        <v>20193336.459999993</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52" customFormat="1" x14ac:dyDescent="0.25">
      <c r="A21" s="241" t="s">
        <v>449</v>
      </c>
      <c r="E21" s="252">
        <f>E20/E19</f>
        <v>0.31258854450314849</v>
      </c>
      <c r="F21" s="252">
        <f t="shared" ref="F21:BQ21" si="6">F20/F19</f>
        <v>0.31289736097376414</v>
      </c>
      <c r="G21" s="252">
        <f t="shared" si="6"/>
        <v>0.314389694785701</v>
      </c>
      <c r="H21" s="252">
        <f t="shared" si="6"/>
        <v>0.3212351898773112</v>
      </c>
      <c r="I21" s="252">
        <f t="shared" si="6"/>
        <v>0.21428535676541746</v>
      </c>
      <c r="J21" s="252">
        <f t="shared" si="6"/>
        <v>0.20650035717285148</v>
      </c>
      <c r="K21" s="252">
        <f t="shared" si="6"/>
        <v>0.1938977319646023</v>
      </c>
      <c r="L21" s="252">
        <f t="shared" si="6"/>
        <v>0.16770230488625645</v>
      </c>
      <c r="M21" s="252">
        <f t="shared" si="6"/>
        <v>0.1919212223770452</v>
      </c>
      <c r="N21" s="252">
        <f t="shared" si="6"/>
        <v>0.21672067574617601</v>
      </c>
      <c r="O21" s="252">
        <f t="shared" si="6"/>
        <v>0.2132307909460375</v>
      </c>
      <c r="P21" s="252">
        <f t="shared" si="6"/>
        <v>0.19771866195645194</v>
      </c>
      <c r="Q21" s="252">
        <f t="shared" si="6"/>
        <v>0.20635590531838371</v>
      </c>
      <c r="R21" s="252">
        <f t="shared" si="6"/>
        <v>0.22012402471034218</v>
      </c>
      <c r="S21" s="252">
        <f t="shared" si="6"/>
        <v>0.22149920153645669</v>
      </c>
      <c r="T21" s="252">
        <f t="shared" si="6"/>
        <v>0.25138380046452447</v>
      </c>
      <c r="U21" s="252">
        <f t="shared" si="6"/>
        <v>0.22958038969385774</v>
      </c>
      <c r="V21" s="252">
        <f t="shared" si="6"/>
        <v>0.25055811391856359</v>
      </c>
      <c r="W21" s="252">
        <f t="shared" si="6"/>
        <v>0.25124901577719722</v>
      </c>
      <c r="X21" s="252">
        <f t="shared" si="6"/>
        <v>0.2599945881864944</v>
      </c>
      <c r="Y21" s="252">
        <f t="shared" si="6"/>
        <v>0.23956709871030499</v>
      </c>
      <c r="Z21" s="252">
        <f t="shared" si="6"/>
        <v>0.24212095439822509</v>
      </c>
      <c r="AA21" s="252">
        <f t="shared" si="6"/>
        <v>0.23276404700893547</v>
      </c>
      <c r="AB21" s="252">
        <f t="shared" si="6"/>
        <v>0.22330615669769699</v>
      </c>
      <c r="AC21" s="252">
        <f t="shared" si="6"/>
        <v>0.21478742834174649</v>
      </c>
      <c r="AD21" s="252">
        <f t="shared" si="6"/>
        <v>0.23351636403488982</v>
      </c>
      <c r="AE21" s="252">
        <f t="shared" si="6"/>
        <v>0.22930550200349864</v>
      </c>
      <c r="AF21" s="252">
        <f t="shared" si="6"/>
        <v>0.23053414744855158</v>
      </c>
      <c r="AG21" s="252">
        <f t="shared" si="6"/>
        <v>0.1877295876966687</v>
      </c>
      <c r="AH21" s="252">
        <f t="shared" si="6"/>
        <v>0.1901199651198919</v>
      </c>
      <c r="AI21" s="252">
        <f t="shared" si="6"/>
        <v>0.1923261290001603</v>
      </c>
      <c r="AJ21" s="252">
        <f t="shared" si="6"/>
        <v>0.16724975793023011</v>
      </c>
      <c r="AK21" s="252">
        <f t="shared" si="6"/>
        <v>0.2254923501920526</v>
      </c>
      <c r="AL21" s="252">
        <f t="shared" si="6"/>
        <v>0.25919556008316252</v>
      </c>
      <c r="AM21" s="252">
        <f t="shared" si="6"/>
        <v>0.25030976189820953</v>
      </c>
      <c r="AN21" s="252">
        <f t="shared" si="6"/>
        <v>0.2197308934159278</v>
      </c>
      <c r="AO21" s="252">
        <f t="shared" si="6"/>
        <v>0.26742180462396814</v>
      </c>
      <c r="AP21" s="252">
        <f t="shared" si="6"/>
        <v>0.29513856142760125</v>
      </c>
      <c r="AQ21" s="252">
        <f t="shared" si="6"/>
        <v>0.31282737608430561</v>
      </c>
      <c r="AR21" s="252">
        <f t="shared" si="6"/>
        <v>0.28436696052797122</v>
      </c>
      <c r="AS21" s="252">
        <f t="shared" si="6"/>
        <v>0.306591324981622</v>
      </c>
      <c r="AT21" s="252">
        <f t="shared" si="6"/>
        <v>0.30259261137114291</v>
      </c>
      <c r="AU21" s="252">
        <f t="shared" si="6"/>
        <v>0.29850271195726524</v>
      </c>
      <c r="AV21" s="252">
        <f t="shared" si="6"/>
        <v>0.30912854743601054</v>
      </c>
      <c r="AW21" s="252">
        <f t="shared" si="6"/>
        <v>0.26218098377698879</v>
      </c>
      <c r="AX21" s="252">
        <f t="shared" si="6"/>
        <v>0.26812769762456073</v>
      </c>
      <c r="AY21" s="252">
        <f t="shared" si="6"/>
        <v>0.24594487234905552</v>
      </c>
      <c r="AZ21" s="252">
        <f t="shared" si="6"/>
        <v>0.25995104878872671</v>
      </c>
      <c r="BA21" s="252">
        <f t="shared" si="6"/>
        <v>0.26064908206012039</v>
      </c>
      <c r="BB21" s="252">
        <f t="shared" si="6"/>
        <v>0.28712369043605512</v>
      </c>
      <c r="BC21" s="252">
        <f t="shared" si="6"/>
        <v>0.30900247596209801</v>
      </c>
      <c r="BD21" s="252">
        <f t="shared" si="6"/>
        <v>0.29700403520923374</v>
      </c>
      <c r="BE21" s="252">
        <f t="shared" si="6"/>
        <v>0.24524280358197242</v>
      </c>
      <c r="BF21" s="252">
        <f t="shared" si="6"/>
        <v>0.28036467157288603</v>
      </c>
      <c r="BG21" s="252">
        <f t="shared" si="6"/>
        <v>0.3057751534967571</v>
      </c>
      <c r="BH21" s="252">
        <f t="shared" si="6"/>
        <v>0.28789641283234157</v>
      </c>
      <c r="BI21" s="252">
        <f t="shared" si="6"/>
        <v>0.22403447842760854</v>
      </c>
      <c r="BJ21" s="252">
        <f t="shared" si="6"/>
        <v>0.2665003363416516</v>
      </c>
      <c r="BK21" s="252">
        <f t="shared" si="6"/>
        <v>0.27627308934629913</v>
      </c>
      <c r="BL21" s="252">
        <f t="shared" si="6"/>
        <v>0.23729414079500183</v>
      </c>
      <c r="BM21" s="252">
        <f t="shared" si="6"/>
        <v>0.21202250848229115</v>
      </c>
      <c r="BN21" s="252">
        <f t="shared" si="6"/>
        <v>0.21303039034540266</v>
      </c>
      <c r="BO21" s="252">
        <f t="shared" si="6"/>
        <v>0.24843419635128286</v>
      </c>
      <c r="BP21" s="252">
        <f t="shared" si="6"/>
        <v>0.23192553857141573</v>
      </c>
      <c r="BQ21" s="252">
        <f t="shared" si="6"/>
        <v>0.19626468172040581</v>
      </c>
      <c r="BR21" s="252">
        <f t="shared" ref="BR21:CK21" si="7">BR20/BR19</f>
        <v>0.99632416488064524</v>
      </c>
      <c r="BS21" s="252">
        <f t="shared" si="7"/>
        <v>0.24885258192967311</v>
      </c>
      <c r="BT21" s="252">
        <f t="shared" si="7"/>
        <v>0.18216551923636423</v>
      </c>
      <c r="BU21" s="252">
        <f t="shared" si="7"/>
        <v>0.26038587159778159</v>
      </c>
      <c r="BV21" s="252">
        <f t="shared" si="7"/>
        <v>0.15770984565719837</v>
      </c>
      <c r="BW21" s="252">
        <f t="shared" si="7"/>
        <v>0.15296753750605221</v>
      </c>
      <c r="BX21" s="252">
        <f t="shared" si="7"/>
        <v>0.14423344465507904</v>
      </c>
      <c r="BY21" s="252" t="e">
        <f t="shared" si="7"/>
        <v>#DIV/0!</v>
      </c>
      <c r="BZ21" s="252" t="e">
        <f t="shared" si="7"/>
        <v>#DIV/0!</v>
      </c>
      <c r="CA21" s="252" t="e">
        <f t="shared" si="7"/>
        <v>#DIV/0!</v>
      </c>
      <c r="CB21" s="252" t="e">
        <f t="shared" si="7"/>
        <v>#DIV/0!</v>
      </c>
      <c r="CC21" s="252" t="e">
        <f t="shared" si="7"/>
        <v>#DIV/0!</v>
      </c>
      <c r="CD21" s="252" t="e">
        <f t="shared" si="7"/>
        <v>#DIV/0!</v>
      </c>
      <c r="CE21" s="252" t="e">
        <f t="shared" si="7"/>
        <v>#DIV/0!</v>
      </c>
      <c r="CF21" s="252" t="e">
        <f t="shared" si="7"/>
        <v>#DIV/0!</v>
      </c>
      <c r="CG21" s="252" t="e">
        <f t="shared" si="7"/>
        <v>#DIV/0!</v>
      </c>
      <c r="CH21" s="252" t="e">
        <f t="shared" si="7"/>
        <v>#DIV/0!</v>
      </c>
      <c r="CI21" s="252" t="e">
        <f t="shared" si="7"/>
        <v>#DIV/0!</v>
      </c>
      <c r="CJ21" s="252" t="e">
        <f t="shared" si="7"/>
        <v>#DIV/0!</v>
      </c>
      <c r="CK21" s="252" t="e">
        <f t="shared" si="7"/>
        <v>#DIV/0!</v>
      </c>
    </row>
    <row r="22" spans="1:89" s="26" customFormat="1" x14ac:dyDescent="0.25">
      <c r="A22" s="26" t="s">
        <v>690</v>
      </c>
      <c r="E22" s="26">
        <f>资产资本表!E69</f>
        <v>48885578626.840004</v>
      </c>
      <c r="F22" s="198">
        <f>资产资本表!F69</f>
        <v>47430234188.550003</v>
      </c>
      <c r="G22" s="198">
        <f>资产资本表!G69</f>
        <v>46641388378.890007</v>
      </c>
      <c r="H22" s="198">
        <f>资产资本表!H69</f>
        <v>41915055830.029999</v>
      </c>
      <c r="I22" s="198">
        <f>资产资本表!I69</f>
        <v>37945696719.630005</v>
      </c>
      <c r="J22" s="198">
        <f>资产资本表!J69</f>
        <v>37133534307.750008</v>
      </c>
      <c r="K22" s="198">
        <f>资产资本表!K69</f>
        <v>39095009689.48999</v>
      </c>
      <c r="L22" s="198">
        <f>资产资本表!L69</f>
        <v>37665417225.779999</v>
      </c>
      <c r="M22" s="198">
        <f>资产资本表!M69</f>
        <v>38200948601.789993</v>
      </c>
      <c r="N22" s="198">
        <f>资产资本表!N69</f>
        <v>38136460692.839996</v>
      </c>
      <c r="O22" s="198">
        <f>资产资本表!O69</f>
        <v>36369970655.329994</v>
      </c>
      <c r="P22" s="198">
        <f>资产资本表!P69</f>
        <v>36416756863.509995</v>
      </c>
      <c r="Q22" s="198">
        <f>资产资本表!Q69</f>
        <v>34080956373.619999</v>
      </c>
      <c r="R22" s="198">
        <f>资产资本表!R69</f>
        <v>31797064008.939995</v>
      </c>
      <c r="S22" s="198">
        <f>资产资本表!S69</f>
        <v>29412367739.179993</v>
      </c>
      <c r="T22" s="198">
        <f>资产资本表!T69</f>
        <v>27859151903.649998</v>
      </c>
      <c r="U22" s="198">
        <f>资产资本表!U69</f>
        <v>24606107089.589996</v>
      </c>
      <c r="V22" s="198">
        <f>资产资本表!V69</f>
        <v>22798417383.900002</v>
      </c>
      <c r="W22" s="198">
        <f>资产资本表!W69</f>
        <v>20949143007.740002</v>
      </c>
      <c r="X22" s="198">
        <f>资产资本表!X69</f>
        <v>19300648837.91</v>
      </c>
      <c r="Y22" s="198">
        <f>资产资本表!Y69</f>
        <v>17624096179.59</v>
      </c>
      <c r="Z22" s="198">
        <f>资产资本表!Z69</f>
        <v>16810017492.350002</v>
      </c>
      <c r="AA22" s="198">
        <f>资产资本表!AA69</f>
        <v>15369890070.790001</v>
      </c>
      <c r="AB22" s="198">
        <f>资产资本表!AB69</f>
        <v>14623428644.07</v>
      </c>
      <c r="AC22" s="198">
        <f>资产资本表!AC69</f>
        <v>13252908213.5</v>
      </c>
      <c r="AD22" s="198">
        <f>资产资本表!AD69</f>
        <v>12525866093.489998</v>
      </c>
      <c r="AE22" s="198">
        <f>资产资本表!AE69</f>
        <v>12181398029.01</v>
      </c>
      <c r="AF22" s="198">
        <f>资产资本表!AF69</f>
        <v>11802633179.27</v>
      </c>
      <c r="AG22" s="198">
        <f>资产资本表!AG69</f>
        <v>10645503146.349998</v>
      </c>
      <c r="AH22" s="198">
        <f>资产资本表!AH69</f>
        <v>9321129469.460001</v>
      </c>
      <c r="AI22" s="198">
        <f>资产资本表!AI69</f>
        <v>8460554809.0100002</v>
      </c>
      <c r="AJ22" s="198">
        <f>资产资本表!AJ69</f>
        <v>7899253493.1399994</v>
      </c>
      <c r="AK22" s="198">
        <f>资产资本表!AK69</f>
        <v>7279075073.9400005</v>
      </c>
      <c r="AL22" s="198">
        <f>资产资本表!AL69</f>
        <v>7121493329.1199999</v>
      </c>
      <c r="AM22" s="198">
        <f>资产资本表!AM69</f>
        <v>6138545651.539999</v>
      </c>
      <c r="AN22" s="198">
        <f>资产资本表!AN69</f>
        <v>5604395810.54</v>
      </c>
      <c r="AO22" s="198">
        <f>资产资本表!AO69</f>
        <v>5688517183.1599998</v>
      </c>
      <c r="AP22" s="198">
        <f>资产资本表!AP69</f>
        <v>6229079606.8800011</v>
      </c>
      <c r="AQ22" s="198">
        <f>资产资本表!AQ69</f>
        <v>6156835806.1099997</v>
      </c>
      <c r="AR22" s="198">
        <f>资产资本表!AR69</f>
        <v>5901268384.9499998</v>
      </c>
      <c r="AS22" s="198">
        <f>资产资本表!AS69</f>
        <v>5095588580.2400007</v>
      </c>
      <c r="AT22" s="198">
        <f>资产资本表!AT69</f>
        <v>4605279753.2599993</v>
      </c>
      <c r="AU22" s="198">
        <f>资产资本表!AU69</f>
        <v>4559078377.710001</v>
      </c>
      <c r="AV22" s="198">
        <f>资产资本表!AV69</f>
        <v>4503272803.2399998</v>
      </c>
      <c r="AW22" s="198">
        <f>资产资本表!AW69</f>
        <v>4047876114.8400002</v>
      </c>
      <c r="AX22" s="198">
        <f>资产资本表!AX69</f>
        <v>3851343999.7999997</v>
      </c>
      <c r="AY22" s="198">
        <f>资产资本表!AY69</f>
        <v>3662453440.3600001</v>
      </c>
      <c r="AZ22" s="198">
        <f>资产资本表!AZ69</f>
        <v>3773102466.3899999</v>
      </c>
      <c r="BA22" s="198">
        <f>资产资本表!BA69</f>
        <v>3421185546.6299996</v>
      </c>
      <c r="BB22" s="198">
        <f>资产资本表!BB69</f>
        <v>3171224272.0299997</v>
      </c>
      <c r="BC22" s="198">
        <f>资产资本表!BC69</f>
        <v>2980544123.0099998</v>
      </c>
      <c r="BD22" s="198">
        <f>资产资本表!BD69</f>
        <v>2388134814.3200002</v>
      </c>
      <c r="BE22" s="198">
        <f>资产资本表!BE69</f>
        <v>2142735832.0099998</v>
      </c>
      <c r="BF22" s="198">
        <f>资产资本表!BF69</f>
        <v>1471544346.8200002</v>
      </c>
      <c r="BG22" s="198">
        <f>资产资本表!BG69</f>
        <v>995271969.14000034</v>
      </c>
      <c r="BH22" s="198">
        <f>资产资本表!BH69</f>
        <v>987196509.52999997</v>
      </c>
      <c r="BI22" s="198">
        <f>资产资本表!BI69</f>
        <v>841393931.48000002</v>
      </c>
      <c r="BJ22" s="198">
        <f>资产资本表!BJ69</f>
        <v>756949561.65999997</v>
      </c>
      <c r="BK22" s="198">
        <f>资产资本表!BK69</f>
        <v>791397396.32999992</v>
      </c>
      <c r="BL22" s="198">
        <f>资产资本表!BL69</f>
        <v>760797407.93000007</v>
      </c>
      <c r="BM22" s="198">
        <f>资产资本表!BM69</f>
        <v>648513622.35000002</v>
      </c>
      <c r="BN22" s="198">
        <f>资产资本表!BN69</f>
        <v>648457764.73000002</v>
      </c>
      <c r="BO22" s="198">
        <f>资产资本表!BO69</f>
        <v>642496494</v>
      </c>
      <c r="BP22" s="198">
        <f>资产资本表!BP69</f>
        <v>567383956.42000008</v>
      </c>
      <c r="BQ22" s="198">
        <f>资产资本表!BQ69</f>
        <v>494096806.30000007</v>
      </c>
      <c r="BR22" s="198">
        <f>资产资本表!BR69</f>
        <v>0</v>
      </c>
      <c r="BS22" s="198">
        <f>资产资本表!BS69</f>
        <v>390678395.38</v>
      </c>
      <c r="BT22" s="198">
        <f>资产资本表!BT69</f>
        <v>251845651.79000002</v>
      </c>
      <c r="BU22" s="198">
        <f>资产资本表!BU69</f>
        <v>242473635.53</v>
      </c>
      <c r="BV22" s="198">
        <f>资产资本表!BV69</f>
        <v>194504071.49000001</v>
      </c>
      <c r="BW22" s="198">
        <f>资产资本表!BW69</f>
        <v>183678884.16</v>
      </c>
      <c r="BX22" s="198">
        <f>资产资本表!BX69</f>
        <v>151184585.99000001</v>
      </c>
      <c r="BY22" s="198">
        <f>资产资本表!BY69</f>
        <v>0</v>
      </c>
      <c r="BZ22" s="198">
        <f>资产资本表!BZ69</f>
        <v>0</v>
      </c>
      <c r="CA22" s="198">
        <f>资产资本表!CA69</f>
        <v>0</v>
      </c>
      <c r="CB22" s="198">
        <f>资产资本表!CB69</f>
        <v>0</v>
      </c>
      <c r="CC22" s="198">
        <f>资产资本表!CC69</f>
        <v>0</v>
      </c>
      <c r="CD22" s="198">
        <f>资产资本表!CD69</f>
        <v>0</v>
      </c>
      <c r="CE22" s="198">
        <f>资产资本表!CE69</f>
        <v>0</v>
      </c>
      <c r="CF22" s="198">
        <f>资产资本表!CF69</f>
        <v>0</v>
      </c>
      <c r="CG22" s="198">
        <f>资产资本表!CG69</f>
        <v>0</v>
      </c>
      <c r="CH22" s="198">
        <f>资产资本表!CH69</f>
        <v>0</v>
      </c>
      <c r="CI22" s="198">
        <f>资产资本表!CI69</f>
        <v>0</v>
      </c>
      <c r="CJ22" s="198">
        <f>资产资本表!CJ69</f>
        <v>0</v>
      </c>
      <c r="CK22" s="198">
        <f>资产资本表!CK69</f>
        <v>0</v>
      </c>
    </row>
    <row r="23" spans="1:89" s="254" customFormat="1" x14ac:dyDescent="0.25">
      <c r="A23" s="253" t="s">
        <v>691</v>
      </c>
      <c r="E23" s="254">
        <f>E19/E22</f>
        <v>1.0866839413790512</v>
      </c>
      <c r="F23" s="254">
        <f t="shared" ref="F23:BQ23" si="8">F19/F22</f>
        <v>0.82149086160059626</v>
      </c>
      <c r="G23" s="254">
        <f t="shared" si="8"/>
        <v>0.5237855759848502</v>
      </c>
      <c r="H23" s="254">
        <f t="shared" si="8"/>
        <v>0.26260369709191733</v>
      </c>
      <c r="I23" s="254">
        <f t="shared" si="8"/>
        <v>0.79323517902014928</v>
      </c>
      <c r="J23" s="254">
        <f t="shared" si="8"/>
        <v>0.56370023206305242</v>
      </c>
      <c r="K23" s="254">
        <f t="shared" si="8"/>
        <v>0.31911412990425458</v>
      </c>
      <c r="L23" s="254">
        <f t="shared" si="8"/>
        <v>0.1407023081494686</v>
      </c>
      <c r="M23" s="254">
        <f t="shared" si="8"/>
        <v>0.51025913237705933</v>
      </c>
      <c r="N23" s="254">
        <f t="shared" si="8"/>
        <v>0.38777391180106191</v>
      </c>
      <c r="O23" s="254">
        <f t="shared" si="8"/>
        <v>0.27611414546050267</v>
      </c>
      <c r="P23" s="254">
        <f t="shared" si="8"/>
        <v>0.12454442495082881</v>
      </c>
      <c r="Q23" s="254">
        <f t="shared" si="8"/>
        <v>0.64811469040338521</v>
      </c>
      <c r="R23" s="254">
        <f t="shared" si="8"/>
        <v>0.55854844434148321</v>
      </c>
      <c r="S23" s="254">
        <f t="shared" si="8"/>
        <v>0.39659578286420577</v>
      </c>
      <c r="T23" s="254">
        <f t="shared" si="8"/>
        <v>0.18437220881648739</v>
      </c>
      <c r="U23" s="254">
        <f t="shared" si="8"/>
        <v>0.82247765338516299</v>
      </c>
      <c r="V23" s="254">
        <f t="shared" si="8"/>
        <v>0.6743548059532023</v>
      </c>
      <c r="W23" s="254">
        <f t="shared" si="8"/>
        <v>0.47619621322668138</v>
      </c>
      <c r="X23" s="254">
        <f t="shared" si="8"/>
        <v>0.24747036105897119</v>
      </c>
      <c r="Y23" s="254">
        <f t="shared" si="8"/>
        <v>0.90456420314206842</v>
      </c>
      <c r="Z23" s="254">
        <f t="shared" si="8"/>
        <v>0.67937846502701404</v>
      </c>
      <c r="AA23" s="254">
        <f t="shared" si="8"/>
        <v>0.46585693471143819</v>
      </c>
      <c r="AB23" s="254">
        <f t="shared" si="8"/>
        <v>0.22437537888630149</v>
      </c>
      <c r="AC23" s="254">
        <f t="shared" si="8"/>
        <v>1.0308912669796482</v>
      </c>
      <c r="AD23" s="254">
        <f t="shared" si="8"/>
        <v>0.83898481347104559</v>
      </c>
      <c r="AE23" s="254">
        <f t="shared" si="8"/>
        <v>0.56466799865573569</v>
      </c>
      <c r="AF23" s="254">
        <f t="shared" si="8"/>
        <v>0.26974265544757975</v>
      </c>
      <c r="AG23" s="254">
        <f t="shared" si="8"/>
        <v>0.88579907687906412</v>
      </c>
      <c r="AH23" s="254">
        <f t="shared" si="8"/>
        <v>0.71941136702915909</v>
      </c>
      <c r="AI23" s="254">
        <f t="shared" si="8"/>
        <v>0.51773601015446391</v>
      </c>
      <c r="AJ23" s="254">
        <f t="shared" si="8"/>
        <v>0.25942043810464172</v>
      </c>
      <c r="AK23" s="254">
        <f t="shared" si="8"/>
        <v>0.89199790261477929</v>
      </c>
      <c r="AL23" s="254">
        <f t="shared" si="8"/>
        <v>0.65357929031229611</v>
      </c>
      <c r="AM23" s="254">
        <f t="shared" si="8"/>
        <v>0.44798216587671835</v>
      </c>
      <c r="AN23" s="254">
        <f t="shared" si="8"/>
        <v>0.21622125579906903</v>
      </c>
      <c r="AO23" s="254">
        <f t="shared" si="8"/>
        <v>1.3543763300808334</v>
      </c>
      <c r="AP23" s="254">
        <f t="shared" si="8"/>
        <v>0.99092337588244106</v>
      </c>
      <c r="AQ23" s="254">
        <f t="shared" si="8"/>
        <v>0.67692828679692396</v>
      </c>
      <c r="AR23" s="254">
        <f t="shared" si="8"/>
        <v>0.33299368584583527</v>
      </c>
      <c r="AS23" s="254">
        <f t="shared" si="8"/>
        <v>1.5314391071075157</v>
      </c>
      <c r="AT23" s="254">
        <f t="shared" si="8"/>
        <v>1.2736212972703767</v>
      </c>
      <c r="AU23" s="254">
        <f t="shared" si="8"/>
        <v>0.7739699714336542</v>
      </c>
      <c r="AV23" s="254">
        <f t="shared" si="8"/>
        <v>0.38369388758034645</v>
      </c>
      <c r="AW23" s="254">
        <f t="shared" si="8"/>
        <v>1.2123819324628664</v>
      </c>
      <c r="AX23" s="254">
        <f t="shared" si="8"/>
        <v>0.921139460649121</v>
      </c>
      <c r="AY23" s="254">
        <f t="shared" si="8"/>
        <v>0.57387566466193896</v>
      </c>
      <c r="AZ23" s="254">
        <f t="shared" si="8"/>
        <v>0.27959034151524675</v>
      </c>
      <c r="BA23" s="254">
        <f t="shared" si="8"/>
        <v>0.9673666168822751</v>
      </c>
      <c r="BB23" s="254">
        <f t="shared" si="8"/>
        <v>0.80450184668486446</v>
      </c>
      <c r="BC23" s="254">
        <f t="shared" si="8"/>
        <v>0.54334547489420504</v>
      </c>
      <c r="BD23" s="254">
        <f t="shared" si="8"/>
        <v>0.33293304327393863</v>
      </c>
      <c r="BE23" s="254">
        <f t="shared" si="8"/>
        <v>0.98202899413229205</v>
      </c>
      <c r="BF23" s="254">
        <f t="shared" si="8"/>
        <v>1.1523237970941136</v>
      </c>
      <c r="BG23" s="254">
        <f t="shared" si="8"/>
        <v>1.0590625555854782</v>
      </c>
      <c r="BH23" s="254">
        <f t="shared" si="8"/>
        <v>0.50713961735780011</v>
      </c>
      <c r="BI23" s="254">
        <f t="shared" si="8"/>
        <v>1.5969991881524996</v>
      </c>
      <c r="BJ23" s="254">
        <f t="shared" si="8"/>
        <v>1.3352614412160646</v>
      </c>
      <c r="BK23" s="254">
        <f t="shared" si="8"/>
        <v>0.92095054087856321</v>
      </c>
      <c r="BL23" s="254">
        <f t="shared" si="8"/>
        <v>0.48030467902648438</v>
      </c>
      <c r="BM23" s="254">
        <f t="shared" si="8"/>
        <v>1.3596383981802107</v>
      </c>
      <c r="BN23" s="254">
        <f t="shared" si="8"/>
        <v>1.1280755028272047</v>
      </c>
      <c r="BO23" s="254">
        <f t="shared" si="8"/>
        <v>0.68412690854309943</v>
      </c>
      <c r="BP23" s="254">
        <f t="shared" si="8"/>
        <v>0.38616317229423286</v>
      </c>
      <c r="BQ23" s="254">
        <f t="shared" si="8"/>
        <v>1.156227785903015</v>
      </c>
      <c r="BR23" s="254" t="e">
        <f t="shared" ref="BR23:CK23" si="9">BR19/BR22</f>
        <v>#DIV/0!</v>
      </c>
      <c r="BS23" s="254">
        <f t="shared" si="9"/>
        <v>0.74271963359470272</v>
      </c>
      <c r="BT23" s="254">
        <f t="shared" si="9"/>
        <v>1.3693033301109112</v>
      </c>
      <c r="BU23" s="254">
        <f t="shared" si="9"/>
        <v>0.66353118988927795</v>
      </c>
      <c r="BV23" s="254">
        <f t="shared" si="9"/>
        <v>1.0817568050282051</v>
      </c>
      <c r="BW23" s="254">
        <f t="shared" si="9"/>
        <v>0.98376632957219723</v>
      </c>
      <c r="BX23" s="254">
        <f t="shared" si="9"/>
        <v>0.92605033008629922</v>
      </c>
      <c r="BY23" s="254" t="e">
        <f t="shared" si="9"/>
        <v>#DIV/0!</v>
      </c>
      <c r="BZ23" s="254" t="e">
        <f t="shared" si="9"/>
        <v>#DIV/0!</v>
      </c>
      <c r="CA23" s="254" t="e">
        <f t="shared" si="9"/>
        <v>#DIV/0!</v>
      </c>
      <c r="CB23" s="254" t="e">
        <f t="shared" si="9"/>
        <v>#DIV/0!</v>
      </c>
      <c r="CC23" s="254" t="e">
        <f t="shared" si="9"/>
        <v>#DIV/0!</v>
      </c>
      <c r="CD23" s="254" t="e">
        <f t="shared" si="9"/>
        <v>#DIV/0!</v>
      </c>
      <c r="CE23" s="254" t="e">
        <f t="shared" si="9"/>
        <v>#DIV/0!</v>
      </c>
      <c r="CF23" s="254" t="e">
        <f t="shared" si="9"/>
        <v>#DIV/0!</v>
      </c>
      <c r="CG23" s="254" t="e">
        <f t="shared" si="9"/>
        <v>#DIV/0!</v>
      </c>
      <c r="CH23" s="254" t="e">
        <f t="shared" si="9"/>
        <v>#DIV/0!</v>
      </c>
      <c r="CI23" s="254" t="e">
        <f t="shared" si="9"/>
        <v>#DIV/0!</v>
      </c>
      <c r="CJ23" s="254" t="e">
        <f t="shared" si="9"/>
        <v>#DIV/0!</v>
      </c>
      <c r="CK23" s="254" t="e">
        <f t="shared" si="9"/>
        <v>#DIV/0!</v>
      </c>
    </row>
    <row r="24" spans="1:89" s="162" customFormat="1" ht="15" thickBot="1" x14ac:dyDescent="0.3">
      <c r="A24" s="161" t="s">
        <v>698</v>
      </c>
      <c r="E24" s="162">
        <f>E21*E23</f>
        <v>0.33968495157062234</v>
      </c>
      <c r="F24" s="162">
        <f t="shared" ref="F24:BQ24" si="10">F21*F23</f>
        <v>0.25704232265889027</v>
      </c>
      <c r="G24" s="162">
        <f t="shared" si="10"/>
        <v>0.16467278736702964</v>
      </c>
      <c r="H24" s="162">
        <f t="shared" si="10"/>
        <v>8.4357548497805981E-2</v>
      </c>
      <c r="I24" s="162">
        <f t="shared" si="10"/>
        <v>0.16997868333521249</v>
      </c>
      <c r="J24" s="162">
        <f t="shared" si="10"/>
        <v>0.11640429925943958</v>
      </c>
      <c r="K24" s="162">
        <f t="shared" si="10"/>
        <v>6.1875506026292437E-2</v>
      </c>
      <c r="L24" s="162">
        <f t="shared" si="10"/>
        <v>2.359610137948219E-2</v>
      </c>
      <c r="M24" s="162">
        <f t="shared" si="10"/>
        <v>9.7929556414855748E-2</v>
      </c>
      <c r="N24" s="162">
        <f t="shared" si="10"/>
        <v>8.4038624202264198E-2</v>
      </c>
      <c r="O24" s="162">
        <f t="shared" si="10"/>
        <v>5.8876037627932233E-2</v>
      </c>
      <c r="P24" s="162">
        <f t="shared" si="10"/>
        <v>2.4624757055413619E-2</v>
      </c>
      <c r="Q24" s="162">
        <f t="shared" si="10"/>
        <v>0.13374229368833454</v>
      </c>
      <c r="R24" s="162">
        <f t="shared" si="10"/>
        <v>0.12294993156414782</v>
      </c>
      <c r="S24" s="162">
        <f t="shared" si="10"/>
        <v>8.7845649237147536E-2</v>
      </c>
      <c r="T24" s="162">
        <f t="shared" si="10"/>
        <v>4.6348186552327503E-2</v>
      </c>
      <c r="U24" s="162">
        <f t="shared" si="10"/>
        <v>0.18882474017865539</v>
      </c>
      <c r="V24" s="162">
        <f t="shared" si="10"/>
        <v>0.16896506829155331</v>
      </c>
      <c r="W24" s="162">
        <f t="shared" si="10"/>
        <v>0.11964382989003204</v>
      </c>
      <c r="X24" s="162">
        <f t="shared" si="10"/>
        <v>6.4340954611890294E-2</v>
      </c>
      <c r="Y24" s="162">
        <f t="shared" si="10"/>
        <v>0.21670382174394429</v>
      </c>
      <c r="Z24" s="162">
        <f t="shared" si="10"/>
        <v>0.16449176234994184</v>
      </c>
      <c r="AA24" s="162">
        <f t="shared" si="10"/>
        <v>0.10843474545061178</v>
      </c>
      <c r="AB24" s="162">
        <f t="shared" si="10"/>
        <v>5.0104403516689572E-2</v>
      </c>
      <c r="AC24" s="162">
        <f t="shared" si="10"/>
        <v>0.22142248413452342</v>
      </c>
      <c r="AD24" s="162">
        <f t="shared" si="10"/>
        <v>0.1959166831222488</v>
      </c>
      <c r="AE24" s="162">
        <f t="shared" si="10"/>
        <v>0.12948147889706438</v>
      </c>
      <c r="AF24" s="162">
        <f t="shared" si="10"/>
        <v>6.2184893104116193E-2</v>
      </c>
      <c r="AG24" s="162">
        <f t="shared" si="10"/>
        <v>0.16629069548459643</v>
      </c>
      <c r="AH24" s="162">
        <f t="shared" si="10"/>
        <v>0.13677446400643747</v>
      </c>
      <c r="AI24" s="162">
        <f t="shared" si="10"/>
        <v>9.9574162676995731E-2</v>
      </c>
      <c r="AJ24" s="162">
        <f t="shared" si="10"/>
        <v>4.3388005475155568E-2</v>
      </c>
      <c r="AK24" s="162">
        <f t="shared" si="10"/>
        <v>0.20113870342698825</v>
      </c>
      <c r="AL24" s="162">
        <f t="shared" si="10"/>
        <v>0.16940485021125146</v>
      </c>
      <c r="AM24" s="162">
        <f t="shared" si="10"/>
        <v>0.11213430927524558</v>
      </c>
      <c r="AN24" s="162">
        <f t="shared" si="10"/>
        <v>4.7510489712243302E-2</v>
      </c>
      <c r="AO24" s="162">
        <f t="shared" si="10"/>
        <v>0.36218976233020361</v>
      </c>
      <c r="AP24" s="162">
        <f t="shared" si="10"/>
        <v>0.29245969964292584</v>
      </c>
      <c r="AQ24" s="162">
        <f t="shared" si="10"/>
        <v>0.21176169975592601</v>
      </c>
      <c r="AR24" s="162">
        <f t="shared" si="10"/>
        <v>9.4692402318986291E-2</v>
      </c>
      <c r="AS24" s="162">
        <f t="shared" si="10"/>
        <v>0.46952594497676536</v>
      </c>
      <c r="AT24" s="162">
        <f t="shared" si="10"/>
        <v>0.38538839423894594</v>
      </c>
      <c r="AU24" s="162">
        <f t="shared" si="10"/>
        <v>0.23103213544643289</v>
      </c>
      <c r="AV24" s="162">
        <f t="shared" si="10"/>
        <v>0.11861073412778843</v>
      </c>
      <c r="AW24" s="162">
        <f t="shared" si="10"/>
        <v>0.31786348776656109</v>
      </c>
      <c r="AX24" s="162">
        <f t="shared" si="10"/>
        <v>0.24698300277497848</v>
      </c>
      <c r="AY24" s="162">
        <f t="shared" si="10"/>
        <v>0.14114177708950998</v>
      </c>
      <c r="AZ24" s="162">
        <f t="shared" si="10"/>
        <v>7.2679802508086672E-2</v>
      </c>
      <c r="BA24" s="162">
        <f t="shared" si="10"/>
        <v>0.25214322070596917</v>
      </c>
      <c r="BB24" s="162">
        <f t="shared" si="10"/>
        <v>0.2309915391827797</v>
      </c>
      <c r="BC24" s="162">
        <f t="shared" si="10"/>
        <v>0.16789509704511132</v>
      </c>
      <c r="BD24" s="162">
        <f t="shared" si="10"/>
        <v>9.8882457306850205E-2</v>
      </c>
      <c r="BE24" s="162">
        <f t="shared" si="10"/>
        <v>0.24083554371978766</v>
      </c>
      <c r="BF24" s="162">
        <f t="shared" si="10"/>
        <v>0.32307088291791214</v>
      </c>
      <c r="BG24" s="162">
        <f t="shared" si="10"/>
        <v>0.32383501549681748</v>
      </c>
      <c r="BH24" s="162">
        <f t="shared" si="10"/>
        <v>0.14600367664247696</v>
      </c>
      <c r="BI24" s="162">
        <f t="shared" si="10"/>
        <v>0.35778288016705956</v>
      </c>
      <c r="BJ24" s="162">
        <f t="shared" si="10"/>
        <v>0.35584762318811969</v>
      </c>
      <c r="BK24" s="162">
        <f t="shared" si="10"/>
        <v>0.25443385106366578</v>
      </c>
      <c r="BL24" s="162">
        <f t="shared" si="10"/>
        <v>0.11397348612940875</v>
      </c>
      <c r="BM24" s="162">
        <f t="shared" si="10"/>
        <v>0.28827394381101246</v>
      </c>
      <c r="BN24" s="162">
        <f t="shared" si="10"/>
        <v>0.2403143647063658</v>
      </c>
      <c r="BO24" s="162">
        <f t="shared" si="10"/>
        <v>0.1699605187261925</v>
      </c>
      <c r="BP24" s="162">
        <f t="shared" si="10"/>
        <v>8.9561101710786364E-2</v>
      </c>
      <c r="BQ24" s="162">
        <f t="shared" si="10"/>
        <v>0.22692667839654476</v>
      </c>
      <c r="BR24" s="162" t="e">
        <f t="shared" ref="BR24:CK24" si="11">BR21*BR23</f>
        <v>#DIV/0!</v>
      </c>
      <c r="BS24" s="162">
        <f t="shared" si="11"/>
        <v>0.18482769846990255</v>
      </c>
      <c r="BT24" s="162">
        <f t="shared" si="11"/>
        <v>0.2494398521217368</v>
      </c>
      <c r="BU24" s="162">
        <f t="shared" si="11"/>
        <v>0.17277414721163276</v>
      </c>
      <c r="BV24" s="162">
        <f t="shared" si="11"/>
        <v>0.17060369875962225</v>
      </c>
      <c r="BW24" s="162">
        <f t="shared" si="11"/>
        <v>0.1504843129160264</v>
      </c>
      <c r="BX24" s="162">
        <f t="shared" si="11"/>
        <v>0.13356742903231991</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57" customFormat="1" x14ac:dyDescent="0.25">
      <c r="A25" s="255" t="s">
        <v>442</v>
      </c>
      <c r="B25" s="256">
        <v>43373</v>
      </c>
      <c r="C25" s="256">
        <v>43281</v>
      </c>
      <c r="D25" s="256">
        <v>43190</v>
      </c>
      <c r="E25" s="256">
        <v>43100</v>
      </c>
      <c r="F25" s="256">
        <v>43008</v>
      </c>
      <c r="G25" s="256">
        <v>42916</v>
      </c>
      <c r="H25" s="256">
        <v>42825</v>
      </c>
      <c r="I25" s="256">
        <v>42735</v>
      </c>
      <c r="J25" s="256">
        <v>42643</v>
      </c>
      <c r="K25" s="256">
        <v>42551</v>
      </c>
      <c r="L25" s="256">
        <v>42460</v>
      </c>
      <c r="M25" s="256">
        <v>42369</v>
      </c>
      <c r="N25" s="256">
        <v>42277</v>
      </c>
      <c r="O25" s="256">
        <v>42185</v>
      </c>
      <c r="P25" s="256">
        <v>42094</v>
      </c>
      <c r="Q25" s="256">
        <v>42004</v>
      </c>
      <c r="R25" s="256">
        <v>41912</v>
      </c>
      <c r="S25" s="256">
        <v>41820</v>
      </c>
      <c r="T25" s="256">
        <v>41729</v>
      </c>
      <c r="U25" s="256">
        <v>41639</v>
      </c>
      <c r="V25" s="256">
        <v>41547</v>
      </c>
      <c r="W25" s="256">
        <v>41455</v>
      </c>
      <c r="X25" s="256">
        <v>41364</v>
      </c>
      <c r="Y25" s="256">
        <v>41274</v>
      </c>
      <c r="Z25" s="256">
        <v>41182</v>
      </c>
      <c r="AA25" s="256">
        <v>41090</v>
      </c>
      <c r="AB25" s="256">
        <v>40999</v>
      </c>
      <c r="AC25" s="256">
        <v>40908</v>
      </c>
      <c r="AD25" s="256">
        <v>40816</v>
      </c>
      <c r="AE25" s="256">
        <v>40724</v>
      </c>
      <c r="AF25" s="256">
        <v>40633</v>
      </c>
      <c r="AG25" s="256">
        <v>40543</v>
      </c>
      <c r="AH25" s="256">
        <v>40451</v>
      </c>
      <c r="AI25" s="256">
        <v>40359</v>
      </c>
      <c r="AJ25" s="256">
        <v>40268</v>
      </c>
      <c r="AK25" s="256">
        <v>40178</v>
      </c>
      <c r="AL25" s="256">
        <v>40086</v>
      </c>
      <c r="AM25" s="256">
        <v>39994</v>
      </c>
      <c r="AN25" s="256">
        <v>39903</v>
      </c>
      <c r="AO25" s="256">
        <v>39813</v>
      </c>
      <c r="AP25" s="256">
        <v>39721</v>
      </c>
      <c r="AQ25" s="256">
        <v>39629</v>
      </c>
      <c r="AR25" s="256">
        <v>39538</v>
      </c>
      <c r="AS25" s="256">
        <v>39447</v>
      </c>
      <c r="AT25" s="256">
        <v>39355</v>
      </c>
      <c r="AU25" s="256">
        <v>39263</v>
      </c>
      <c r="AV25" s="256">
        <v>39172</v>
      </c>
      <c r="AW25" s="256">
        <v>39082</v>
      </c>
      <c r="AX25" s="256">
        <v>38990</v>
      </c>
      <c r="AY25" s="256">
        <v>38898</v>
      </c>
      <c r="AZ25" s="256">
        <v>38807</v>
      </c>
      <c r="BA25" s="256">
        <v>38717</v>
      </c>
      <c r="BB25" s="256">
        <v>38625</v>
      </c>
      <c r="BC25" s="256">
        <v>38533</v>
      </c>
      <c r="BD25" s="256">
        <v>38442</v>
      </c>
      <c r="BE25" s="256">
        <v>38352</v>
      </c>
      <c r="BF25" s="256">
        <v>38260</v>
      </c>
      <c r="BG25" s="256">
        <v>38168</v>
      </c>
      <c r="BH25" s="256">
        <v>38077</v>
      </c>
      <c r="BI25" s="256">
        <v>37986</v>
      </c>
      <c r="BJ25" s="256">
        <v>37894</v>
      </c>
      <c r="BK25" s="256">
        <v>37802</v>
      </c>
      <c r="BL25" s="256">
        <v>37711</v>
      </c>
      <c r="BM25" s="256">
        <v>37621</v>
      </c>
      <c r="BN25" s="256">
        <v>37529</v>
      </c>
      <c r="BO25" s="256">
        <v>37437</v>
      </c>
      <c r="BP25" s="256">
        <v>37346</v>
      </c>
      <c r="BQ25" s="256">
        <v>37256</v>
      </c>
      <c r="BR25" s="256">
        <v>37164</v>
      </c>
      <c r="BS25" s="256">
        <v>37072</v>
      </c>
      <c r="BT25" s="256">
        <v>36891</v>
      </c>
      <c r="BU25" s="256">
        <v>36707</v>
      </c>
      <c r="BV25" s="256">
        <v>36525</v>
      </c>
      <c r="BW25" s="256">
        <v>36160</v>
      </c>
      <c r="BX25" s="256">
        <v>35795</v>
      </c>
      <c r="BY25" s="256">
        <v>25569</v>
      </c>
      <c r="BZ25" s="256"/>
      <c r="CA25" s="256"/>
      <c r="CB25" s="256"/>
      <c r="CC25" s="256"/>
      <c r="CD25" s="256"/>
      <c r="CE25" s="256"/>
      <c r="CF25" s="256"/>
      <c r="CG25" s="256"/>
      <c r="CH25" s="256"/>
      <c r="CI25" s="256"/>
      <c r="CJ25" s="256"/>
      <c r="CK25" s="256"/>
    </row>
    <row r="26" spans="1:89" s="76" customFormat="1" x14ac:dyDescent="0.25">
      <c r="A26" s="148" t="s">
        <v>443</v>
      </c>
      <c r="E26" s="76">
        <f>利润表!E14</f>
        <v>104557555.26000001</v>
      </c>
      <c r="F26" s="76">
        <f>利润表!F14</f>
        <v>73582078.549999997</v>
      </c>
      <c r="G26" s="76">
        <f>利润表!G14</f>
        <v>49677651.479999997</v>
      </c>
      <c r="H26" s="76">
        <f>利润表!H14</f>
        <v>22864854.079999998</v>
      </c>
      <c r="I26" s="76">
        <f>利润表!I14</f>
        <v>22768159.899999999</v>
      </c>
      <c r="J26" s="76">
        <f>利润表!J14</f>
        <v>6503727.0099999998</v>
      </c>
      <c r="K26" s="76">
        <f>利润表!K14</f>
        <v>474195.83</v>
      </c>
      <c r="L26" s="76">
        <f>利润表!L14</f>
        <v>-1417252.38</v>
      </c>
      <c r="M26" s="76">
        <f>利润表!M14</f>
        <v>-2612485.2000000002</v>
      </c>
      <c r="N26" s="76">
        <f>利润表!N14</f>
        <v>-5628039.8899999997</v>
      </c>
      <c r="O26" s="76">
        <f>利润表!O14</f>
        <v>-689378.71</v>
      </c>
      <c r="P26" s="76">
        <f>利润表!P14</f>
        <v>-1190284.95</v>
      </c>
      <c r="Q26" s="76">
        <f>利润表!Q14</f>
        <v>-3321122.95</v>
      </c>
      <c r="R26" s="76">
        <f>利润表!R14</f>
        <v>-2235497.3199999998</v>
      </c>
      <c r="S26" s="76">
        <f>利润表!S14</f>
        <v>-1697746.4</v>
      </c>
      <c r="T26" s="76">
        <f>利润表!T14</f>
        <v>-978018.41</v>
      </c>
      <c r="U26" s="76">
        <f>利润表!U14</f>
        <v>-1986405.44</v>
      </c>
      <c r="V26" s="76">
        <f>利润表!V14</f>
        <v>-926748.31</v>
      </c>
      <c r="W26" s="76">
        <f>利润表!W14</f>
        <v>-442085.19</v>
      </c>
      <c r="X26" s="76">
        <f>利润表!X14</f>
        <v>-283175.13</v>
      </c>
      <c r="Y26" s="76">
        <f>利润表!Y14</f>
        <v>45037.04</v>
      </c>
      <c r="Z26" s="76">
        <f>利润表!Z14</f>
        <v>2848.66</v>
      </c>
      <c r="AA26" s="76">
        <f>利润表!AA14</f>
        <v>-6070.92</v>
      </c>
      <c r="AB26" s="76">
        <f>利润表!AB14</f>
        <v>-10951.73</v>
      </c>
      <c r="AC26" s="76">
        <f>利润表!AC14</f>
        <v>-5583.1</v>
      </c>
      <c r="AD26" s="76">
        <f>利润表!AD14</f>
        <v>0</v>
      </c>
      <c r="AE26" s="76">
        <f>利润表!AE14</f>
        <v>0</v>
      </c>
      <c r="AF26" s="76">
        <f>利润表!AF14</f>
        <v>0</v>
      </c>
      <c r="AG26" s="76">
        <f>利润表!AG14</f>
        <v>22855763.780000001</v>
      </c>
      <c r="AH26" s="76">
        <f>利润表!AH14</f>
        <v>9510047.1899999995</v>
      </c>
      <c r="AI26" s="76">
        <f>利润表!AI14</f>
        <v>8301952.8799999999</v>
      </c>
      <c r="AJ26" s="76">
        <f>利润表!AJ14</f>
        <v>3320814.66</v>
      </c>
      <c r="AK26" s="76">
        <f>利润表!AK14</f>
        <v>14509124.640000001</v>
      </c>
      <c r="AL26" s="76">
        <f>利润表!AL14</f>
        <v>10957442.83</v>
      </c>
      <c r="AM26" s="76">
        <f>利润表!AM14</f>
        <v>8560969.9100000001</v>
      </c>
      <c r="AN26" s="76">
        <f>利润表!AN14</f>
        <v>3441883.41</v>
      </c>
      <c r="AO26" s="76">
        <f>利润表!AO14</f>
        <v>11811196.189999999</v>
      </c>
      <c r="AP26" s="76">
        <f>利润表!AP14</f>
        <v>0</v>
      </c>
      <c r="AQ26" s="76">
        <f>利润表!AQ14</f>
        <v>0</v>
      </c>
      <c r="AR26" s="76">
        <f>利润表!AR14</f>
        <v>0</v>
      </c>
      <c r="AS26" s="76">
        <f>利润表!AS14</f>
        <v>0</v>
      </c>
      <c r="AT26" s="76">
        <f>利润表!AT14</f>
        <v>2000000</v>
      </c>
      <c r="AU26" s="76">
        <f>利润表!AU14</f>
        <v>2000000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444</v>
      </c>
      <c r="E27" s="76">
        <f>资产资本表!E19</f>
        <v>525628774</v>
      </c>
      <c r="F27" s="76">
        <f>资产资本表!F19</f>
        <v>439010990.86000001</v>
      </c>
      <c r="G27" s="76">
        <f>资产资本表!G19</f>
        <v>423076239.13999999</v>
      </c>
      <c r="H27" s="76">
        <f>资产资本表!H19</f>
        <v>396232805.06</v>
      </c>
      <c r="I27" s="76">
        <f>资产资本表!I19</f>
        <v>363304422.54000002</v>
      </c>
      <c r="J27" s="76">
        <f>资产资本表!J19</f>
        <v>347165066.92000002</v>
      </c>
      <c r="K27" s="76">
        <f>资产资本表!K19</f>
        <v>201712355.12</v>
      </c>
      <c r="L27" s="76">
        <f>资产资本表!L19</f>
        <v>199866279.61000001</v>
      </c>
      <c r="M27" s="76">
        <f>资产资本表!M19</f>
        <v>186128063.15000001</v>
      </c>
      <c r="N27" s="76">
        <f>资产资本表!N19</f>
        <v>183238489.38999999</v>
      </c>
      <c r="O27" s="76">
        <f>资产资本表!O19</f>
        <v>88134046.409999996</v>
      </c>
      <c r="P27" s="76">
        <f>资产资本表!P19</f>
        <v>87541640.599999994</v>
      </c>
      <c r="Q27" s="76">
        <f>资产资本表!Q19</f>
        <v>88740045.579999998</v>
      </c>
      <c r="R27" s="76">
        <f>资产资本表!R19</f>
        <v>89817551.180000007</v>
      </c>
      <c r="S27" s="76">
        <f>资产资本表!S19</f>
        <v>110355302.09999999</v>
      </c>
      <c r="T27" s="76">
        <f>资产资本表!T19</f>
        <v>111075030.09</v>
      </c>
      <c r="U27" s="76">
        <f>资产资本表!U19</f>
        <v>112053048.5</v>
      </c>
      <c r="V27" s="76">
        <f>资产资本表!V19</f>
        <v>104246705.63</v>
      </c>
      <c r="W27" s="76">
        <f>资产资本表!W19</f>
        <v>104731368.75</v>
      </c>
      <c r="X27" s="76">
        <f>资产资本表!X19</f>
        <v>104890278.81</v>
      </c>
      <c r="Y27" s="76">
        <f>资产资本表!Y19</f>
        <v>45173453.939999998</v>
      </c>
      <c r="Z27" s="76">
        <f>资产资本表!Z19</f>
        <v>39587265.560000002</v>
      </c>
      <c r="AA27" s="76">
        <f>资产资本表!AA19</f>
        <v>39578345.979999997</v>
      </c>
      <c r="AB27" s="76">
        <f>资产资本表!AB19</f>
        <v>25083465.170000002</v>
      </c>
      <c r="AC27" s="76">
        <f>资产资本表!AC19</f>
        <v>25094416.899999999</v>
      </c>
      <c r="AD27" s="76">
        <f>资产资本表!AD19</f>
        <v>20000000</v>
      </c>
      <c r="AE27" s="76">
        <f>资产资本表!AE19</f>
        <v>20000000</v>
      </c>
      <c r="AF27" s="76">
        <f>资产资本表!AF19</f>
        <v>20000000</v>
      </c>
      <c r="AG27" s="76">
        <f>资产资本表!AG19</f>
        <v>20000000</v>
      </c>
      <c r="AH27" s="76">
        <f>资产资本表!AH19</f>
        <v>185003873.38999999</v>
      </c>
      <c r="AI27" s="76">
        <f>资产资本表!AI19</f>
        <v>182955373.99000001</v>
      </c>
      <c r="AJ27" s="76">
        <f>资产资本表!AJ19</f>
        <v>177840883.44</v>
      </c>
      <c r="AK27" s="76">
        <f>资产资本表!AK19</f>
        <v>198825804.06</v>
      </c>
      <c r="AL27" s="76">
        <f>资产资本表!AL19</f>
        <v>194442897.80000001</v>
      </c>
      <c r="AM27" s="76">
        <f>资产资本表!AM19</f>
        <v>190877112.00999999</v>
      </c>
      <c r="AN27" s="76">
        <f>资产资本表!AN19</f>
        <v>185825567.81999999</v>
      </c>
      <c r="AO27" s="76">
        <f>资产资本表!AO19</f>
        <v>185339348.78999999</v>
      </c>
      <c r="AP27" s="76">
        <f>资产资本表!AP19</f>
        <v>185205086.97</v>
      </c>
      <c r="AQ27" s="76">
        <f>资产资本表!AQ19</f>
        <v>34700000</v>
      </c>
      <c r="AR27" s="76">
        <f>资产资本表!AR19</f>
        <v>97100000</v>
      </c>
      <c r="AS27" s="76">
        <f>资产资本表!AS19</f>
        <v>34700000</v>
      </c>
      <c r="AT27" s="76">
        <f>资产资本表!AT19</f>
        <v>34700000</v>
      </c>
      <c r="AU27" s="76">
        <f>资产资本表!AU19</f>
        <v>54700000</v>
      </c>
      <c r="AV27" s="76">
        <f>资产资本表!AV19</f>
        <v>54700000</v>
      </c>
      <c r="AW27" s="76">
        <f>资产资本表!AW19</f>
        <v>54700000</v>
      </c>
      <c r="AX27" s="76">
        <f>资产资本表!AX19</f>
        <v>34700000</v>
      </c>
      <c r="AY27" s="76">
        <f>资产资本表!AY19</f>
        <v>34700000</v>
      </c>
      <c r="AZ27" s="76">
        <f>资产资本表!AZ19</f>
        <v>34700000</v>
      </c>
      <c r="BA27" s="76">
        <f>资产资本表!BA19</f>
        <v>34700000</v>
      </c>
      <c r="BB27" s="76">
        <f>资产资本表!BB19</f>
        <v>34700000</v>
      </c>
      <c r="BC27" s="76">
        <f>资产资本表!BC19</f>
        <v>34700000</v>
      </c>
      <c r="BD27" s="76">
        <f>资产资本表!BD19</f>
        <v>20000000</v>
      </c>
      <c r="BE27" s="76">
        <f>资产资本表!BE19</f>
        <v>20000000</v>
      </c>
      <c r="BF27" s="76">
        <f>资产资本表!BF19</f>
        <v>20000000</v>
      </c>
      <c r="BG27" s="76">
        <f>资产资本表!BG19</f>
        <v>20000000</v>
      </c>
      <c r="BH27" s="76">
        <f>资产资本表!BH19</f>
        <v>20000000</v>
      </c>
      <c r="BI27" s="76">
        <f>资产资本表!BI19</f>
        <v>20000000</v>
      </c>
      <c r="BJ27" s="76">
        <f>资产资本表!BJ19</f>
        <v>20000000</v>
      </c>
      <c r="BK27" s="76">
        <f>资产资本表!BK19</f>
        <v>20000000</v>
      </c>
      <c r="BL27" s="76">
        <f>资产资本表!BL19</f>
        <v>20000000</v>
      </c>
      <c r="BM27" s="76">
        <f>资产资本表!BM19</f>
        <v>20000000</v>
      </c>
      <c r="BN27" s="76">
        <f>资产资本表!BN19</f>
        <v>20000000</v>
      </c>
      <c r="BO27" s="76">
        <f>资产资本表!BO19</f>
        <v>20000000</v>
      </c>
      <c r="BP27" s="76">
        <f>资产资本表!BP19</f>
        <v>20000000</v>
      </c>
      <c r="BQ27" s="76">
        <f>资产资本表!BQ19</f>
        <v>20000000</v>
      </c>
      <c r="BR27" s="76">
        <f>资产资本表!BR19</f>
        <v>0</v>
      </c>
      <c r="BS27" s="76">
        <f>资产资本表!BS19</f>
        <v>20000000</v>
      </c>
      <c r="BT27" s="76">
        <f>资产资本表!BT19</f>
        <v>10000000</v>
      </c>
      <c r="BU27" s="76">
        <f>资产资本表!BU19</f>
        <v>10000000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445</v>
      </c>
      <c r="E28" s="111">
        <f>E26/E27</f>
        <v>0.19891900982574445</v>
      </c>
      <c r="F28" s="111">
        <f t="shared" ref="F28:BQ28" si="12">F26/F27</f>
        <v>0.16760873891985364</v>
      </c>
      <c r="G28" s="111">
        <f t="shared" si="12"/>
        <v>0.11742009331694278</v>
      </c>
      <c r="H28" s="111">
        <f t="shared" si="12"/>
        <v>5.7705605866070736E-2</v>
      </c>
      <c r="I28" s="111">
        <f t="shared" si="12"/>
        <v>6.2669646961132738E-2</v>
      </c>
      <c r="J28" s="111">
        <f t="shared" si="12"/>
        <v>1.8733817511364714E-2</v>
      </c>
      <c r="K28" s="111">
        <f t="shared" si="12"/>
        <v>2.3508516854007172E-3</v>
      </c>
      <c r="L28" s="111">
        <f t="shared" si="12"/>
        <v>-7.0910029584054443E-3</v>
      </c>
      <c r="M28" s="111">
        <f t="shared" si="12"/>
        <v>-1.4035955437276574E-2</v>
      </c>
      <c r="N28" s="111">
        <f t="shared" si="12"/>
        <v>-3.0714288841474934E-2</v>
      </c>
      <c r="O28" s="111">
        <f t="shared" si="12"/>
        <v>-7.8219341795905638E-3</v>
      </c>
      <c r="P28" s="111">
        <f t="shared" si="12"/>
        <v>-1.3596785961993955E-2</v>
      </c>
      <c r="Q28" s="111">
        <f t="shared" si="12"/>
        <v>-3.7425301376546809E-2</v>
      </c>
      <c r="R28" s="111">
        <f t="shared" si="12"/>
        <v>-2.4889314957161578E-2</v>
      </c>
      <c r="S28" s="111">
        <f t="shared" si="12"/>
        <v>-1.538436638469408E-2</v>
      </c>
      <c r="T28" s="111">
        <f t="shared" si="12"/>
        <v>-8.8050249386162471E-3</v>
      </c>
      <c r="U28" s="111">
        <f t="shared" si="12"/>
        <v>-1.7727366337561088E-2</v>
      </c>
      <c r="V28" s="111">
        <f t="shared" si="12"/>
        <v>-8.8899529668523304E-3</v>
      </c>
      <c r="W28" s="111">
        <f t="shared" si="12"/>
        <v>-4.2211344631166202E-3</v>
      </c>
      <c r="X28" s="111">
        <f t="shared" si="12"/>
        <v>-2.699727116875608E-3</v>
      </c>
      <c r="Y28" s="111">
        <f t="shared" si="12"/>
        <v>9.969802189537867E-4</v>
      </c>
      <c r="Z28" s="111">
        <f t="shared" si="12"/>
        <v>7.1958998928139145E-5</v>
      </c>
      <c r="AA28" s="111">
        <f t="shared" si="12"/>
        <v>-1.5338993709003906E-4</v>
      </c>
      <c r="AB28" s="111">
        <f t="shared" si="12"/>
        <v>-4.366115257910356E-4</v>
      </c>
      <c r="AC28" s="111">
        <f t="shared" si="12"/>
        <v>-2.2248375095736936E-4</v>
      </c>
      <c r="AD28" s="111">
        <f t="shared" si="12"/>
        <v>0</v>
      </c>
      <c r="AE28" s="111">
        <f t="shared" si="12"/>
        <v>0</v>
      </c>
      <c r="AF28" s="111">
        <f t="shared" si="12"/>
        <v>0</v>
      </c>
      <c r="AG28" s="111">
        <f t="shared" si="12"/>
        <v>1.142788189</v>
      </c>
      <c r="AH28" s="111">
        <f t="shared" si="12"/>
        <v>5.1404584216202934E-2</v>
      </c>
      <c r="AI28" s="111">
        <f t="shared" si="12"/>
        <v>4.5376928258219783E-2</v>
      </c>
      <c r="AJ28" s="111">
        <f t="shared" si="12"/>
        <v>1.8672954136107728E-2</v>
      </c>
      <c r="AK28" s="111">
        <f t="shared" si="12"/>
        <v>7.2974052380150603E-2</v>
      </c>
      <c r="AL28" s="111">
        <f t="shared" si="12"/>
        <v>5.6353011367227215E-2</v>
      </c>
      <c r="AM28" s="111">
        <f t="shared" si="12"/>
        <v>4.4850688591471843E-2</v>
      </c>
      <c r="AN28" s="111">
        <f t="shared" si="12"/>
        <v>1.8522119697403437E-2</v>
      </c>
      <c r="AO28" s="111">
        <f t="shared" si="12"/>
        <v>6.3727407412997636E-2</v>
      </c>
      <c r="AP28" s="111">
        <f t="shared" si="12"/>
        <v>0</v>
      </c>
      <c r="AQ28" s="111">
        <f t="shared" si="12"/>
        <v>0</v>
      </c>
      <c r="AR28" s="111">
        <f t="shared" si="12"/>
        <v>0</v>
      </c>
      <c r="AS28" s="111">
        <f t="shared" si="12"/>
        <v>0</v>
      </c>
      <c r="AT28" s="111">
        <f t="shared" si="12"/>
        <v>5.7636887608069162E-2</v>
      </c>
      <c r="AU28" s="111">
        <f t="shared" si="12"/>
        <v>3.6563071297989032E-2</v>
      </c>
      <c r="AV28" s="111">
        <f t="shared" si="12"/>
        <v>0</v>
      </c>
      <c r="AW28" s="111">
        <f t="shared" si="12"/>
        <v>0</v>
      </c>
      <c r="AX28" s="111">
        <f t="shared" si="12"/>
        <v>0</v>
      </c>
      <c r="AY28" s="111">
        <f t="shared" si="12"/>
        <v>0</v>
      </c>
      <c r="AZ28" s="111">
        <f t="shared" si="12"/>
        <v>0</v>
      </c>
      <c r="BA28" s="111">
        <f t="shared" si="12"/>
        <v>0</v>
      </c>
      <c r="BB28" s="111">
        <f t="shared" si="12"/>
        <v>0</v>
      </c>
      <c r="BC28" s="111">
        <f t="shared" si="12"/>
        <v>0</v>
      </c>
      <c r="BD28" s="111">
        <f t="shared" si="12"/>
        <v>0</v>
      </c>
      <c r="BE28" s="111">
        <f t="shared" si="12"/>
        <v>0</v>
      </c>
      <c r="BF28" s="111">
        <f t="shared" si="12"/>
        <v>0</v>
      </c>
      <c r="BG28" s="111">
        <f t="shared" si="12"/>
        <v>0</v>
      </c>
      <c r="BH28" s="111">
        <f t="shared" si="12"/>
        <v>0</v>
      </c>
      <c r="BI28" s="111">
        <f t="shared" si="12"/>
        <v>0</v>
      </c>
      <c r="BJ28" s="111">
        <f t="shared" si="12"/>
        <v>0</v>
      </c>
      <c r="BK28" s="111">
        <f t="shared" si="12"/>
        <v>0</v>
      </c>
      <c r="BL28" s="111">
        <f t="shared" si="12"/>
        <v>0</v>
      </c>
      <c r="BM28" s="111">
        <f t="shared" si="12"/>
        <v>0</v>
      </c>
      <c r="BN28" s="111">
        <f t="shared" si="12"/>
        <v>0</v>
      </c>
      <c r="BO28" s="111">
        <f t="shared" si="12"/>
        <v>0</v>
      </c>
      <c r="BP28" s="111">
        <f t="shared" si="12"/>
        <v>0</v>
      </c>
      <c r="BQ28" s="111">
        <f t="shared" si="12"/>
        <v>0</v>
      </c>
      <c r="BR28" s="111" t="e">
        <f t="shared" ref="BR28:CJ28" si="13">BR26/BR27</f>
        <v>#DIV/0!</v>
      </c>
      <c r="BS28" s="111">
        <f t="shared" si="13"/>
        <v>0</v>
      </c>
      <c r="BT28" s="111">
        <f t="shared" si="13"/>
        <v>0</v>
      </c>
      <c r="BU28" s="111">
        <f t="shared" si="13"/>
        <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9" t="s">
        <v>700</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7" customFormat="1" x14ac:dyDescent="0.25">
      <c r="A31" s="119"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36891</v>
      </c>
      <c r="BU31" s="1">
        <v>36707</v>
      </c>
      <c r="BV31" s="1">
        <v>36525</v>
      </c>
      <c r="BW31" s="1">
        <v>36160</v>
      </c>
      <c r="BX31" s="1">
        <v>35795</v>
      </c>
      <c r="BY31" s="1">
        <v>25569</v>
      </c>
      <c r="BZ31" s="1"/>
      <c r="CA31" s="1"/>
      <c r="CB31" s="1"/>
      <c r="CC31" s="1"/>
      <c r="CD31" s="1"/>
      <c r="CE31" s="1"/>
      <c r="CF31" s="1"/>
      <c r="CG31" s="1"/>
      <c r="CH31" s="1"/>
      <c r="CI31" s="1"/>
      <c r="CJ31" s="1"/>
      <c r="CK31" s="1"/>
    </row>
    <row r="32" spans="1:89" s="76" customFormat="1" x14ac:dyDescent="0.25">
      <c r="A32" s="148" t="s">
        <v>450</v>
      </c>
      <c r="E32" s="76">
        <f>股权价值增加表!E29</f>
        <v>-6759146.3247889727</v>
      </c>
      <c r="F32" s="76">
        <f>股权价值增加表!F29</f>
        <v>13389088.99762441</v>
      </c>
      <c r="G32" s="76">
        <f>股权价值增加表!G29</f>
        <v>8828784.329318732</v>
      </c>
      <c r="H32" s="76">
        <f>股权价值增加表!H29</f>
        <v>5268498.5977694336</v>
      </c>
      <c r="I32" s="76">
        <f>股权价值增加表!I29</f>
        <v>115842160.36560912</v>
      </c>
      <c r="J32" s="76">
        <f>股权价值增加表!J29</f>
        <v>24845235.021100685</v>
      </c>
      <c r="K32" s="76">
        <f>股权价值增加表!K29</f>
        <v>25429120.141782992</v>
      </c>
      <c r="L32" s="76">
        <f>股权价值增加表!L29</f>
        <v>-2096744.8</v>
      </c>
      <c r="M32" s="76">
        <f>股权价值增加表!M29</f>
        <v>-187051432.26143736</v>
      </c>
      <c r="N32" s="76">
        <f>股权价值增加表!N29</f>
        <v>57734128.340961993</v>
      </c>
      <c r="O32" s="76">
        <f>股权价值增加表!O29</f>
        <v>44611992.291420206</v>
      </c>
      <c r="P32" s="76">
        <f>股权价值增加表!P29</f>
        <v>39539384.729047164</v>
      </c>
      <c r="Q32" s="76">
        <f>股权价值增加表!Q29</f>
        <v>13425776.161246845</v>
      </c>
      <c r="R32" s="76">
        <f>股权价值增加表!R29</f>
        <v>16397754.565734163</v>
      </c>
      <c r="S32" s="76">
        <f>股权价值增加表!S29</f>
        <v>10692654.740601299</v>
      </c>
      <c r="T32" s="76">
        <f>股权价值增加表!T29</f>
        <v>3945692.4383880282</v>
      </c>
      <c r="U32" s="76">
        <f>股权价值增加表!U29</f>
        <v>92616431.244432941</v>
      </c>
      <c r="V32" s="76">
        <f>股权价值增加表!V29</f>
        <v>-353626.06778325379</v>
      </c>
      <c r="W32" s="76">
        <f>股权价值增加表!W29</f>
        <v>-7796675.0824090932</v>
      </c>
      <c r="X32" s="76">
        <f>股权价值增加表!X29</f>
        <v>2308261.347787831</v>
      </c>
      <c r="Y32" s="76">
        <f>股权价值增加表!Y29</f>
        <v>9681541.5831056908</v>
      </c>
      <c r="Z32" s="76">
        <f>股权价值增加表!Z29</f>
        <v>-10294812.900427911</v>
      </c>
      <c r="AA32" s="76">
        <f>股权价值增加表!AA29</f>
        <v>-1676455.4680358674</v>
      </c>
      <c r="AB32" s="76">
        <f>股权价值增加表!AB29</f>
        <v>10237469.962215515</v>
      </c>
      <c r="AC32" s="76">
        <f>股权价值增加表!AC29</f>
        <v>38025089.14541211</v>
      </c>
      <c r="AD32" s="76">
        <f>股权价值增加表!AD29</f>
        <v>-43793619.181423977</v>
      </c>
      <c r="AE32" s="76">
        <f>股权价值增加表!AE29</f>
        <v>-23006012.964415431</v>
      </c>
      <c r="AF32" s="76">
        <f>股权价值增加表!AF29</f>
        <v>-7048027.4545240216</v>
      </c>
      <c r="AG32" s="76">
        <f>股权价值增加表!AG29</f>
        <v>263311404.9830513</v>
      </c>
      <c r="AH32" s="76">
        <f>股权价值增加表!AH29</f>
        <v>39447850.626362719</v>
      </c>
      <c r="AI32" s="76">
        <f>股权价值增加表!AI29</f>
        <v>3218278.9675831674</v>
      </c>
      <c r="AJ32" s="76">
        <f>股权价值增加表!AJ29</f>
        <v>34137826.730910636</v>
      </c>
      <c r="AK32" s="76">
        <f>股权价值增加表!AK29</f>
        <v>26226403.027610175</v>
      </c>
      <c r="AL32" s="76">
        <f>股权价值增加表!AL29</f>
        <v>-441845.9524256828</v>
      </c>
      <c r="AM32" s="76">
        <f>股权价值增加表!AM29</f>
        <v>892759.29046873236</v>
      </c>
      <c r="AN32" s="76">
        <f>股权价值增加表!AN29</f>
        <v>0</v>
      </c>
      <c r="AO32" s="76">
        <f>股权价值增加表!AO29</f>
        <v>63580917.436422035</v>
      </c>
      <c r="AP32" s="76">
        <f>股权价值增加表!AP29</f>
        <v>-724392.81322777108</v>
      </c>
      <c r="AQ32" s="76">
        <f>股权价值增加表!AQ29</f>
        <v>-6057572.884408664</v>
      </c>
      <c r="AR32" s="76">
        <f>股权价值增加表!AR29</f>
        <v>-468954.43476439122</v>
      </c>
      <c r="AS32" s="76">
        <f>股权价值增加表!AS29</f>
        <v>153781413.65372145</v>
      </c>
      <c r="AT32" s="76">
        <f>股权价值增加表!AT29</f>
        <v>42958305.853241682</v>
      </c>
      <c r="AU32" s="76">
        <f>股权价值增加表!AU29</f>
        <v>9863276.4533045664</v>
      </c>
      <c r="AV32" s="76">
        <f>股权价值增加表!AV29</f>
        <v>3252993.2233133381</v>
      </c>
      <c r="AW32" s="76">
        <f>股权价值增加表!AW29</f>
        <v>33626344.967475757</v>
      </c>
      <c r="AX32" s="76">
        <f>股权价值增加表!AX29</f>
        <v>9399729.1231175531</v>
      </c>
      <c r="AY32" s="76">
        <f>股权价值增加表!AY29</f>
        <v>8957494.8743784502</v>
      </c>
      <c r="AZ32" s="76">
        <f>股权价值增加表!AZ29</f>
        <v>4006528.8339824583</v>
      </c>
      <c r="BA32" s="76">
        <f>股权价值增加表!BA29</f>
        <v>4893315.8149493728</v>
      </c>
      <c r="BB32" s="76">
        <f>股权价值增加表!BB29</f>
        <v>1319519.5972210544</v>
      </c>
      <c r="BC32" s="76">
        <f>股权价值增加表!BC29</f>
        <v>-597675.25232166564</v>
      </c>
      <c r="BD32" s="76">
        <f>股权价值增加表!BD29</f>
        <v>-109061.67818392164</v>
      </c>
      <c r="BE32" s="76">
        <f>股权价值增加表!BE29</f>
        <v>4014519.7578733135</v>
      </c>
      <c r="BF32" s="76">
        <f>股权价值增加表!BF29</f>
        <v>-170988.94706721284</v>
      </c>
      <c r="BG32" s="76">
        <f>股权价值增加表!BG29</f>
        <v>-167391.83298394649</v>
      </c>
      <c r="BH32" s="76">
        <f>股权价值增加表!BH29</f>
        <v>32653.291424180345</v>
      </c>
      <c r="BI32" s="76">
        <f>股权价值增加表!BI29</f>
        <v>1992626.0066642328</v>
      </c>
      <c r="BJ32" s="76">
        <f>股权价值增加表!BJ29</f>
        <v>67796.255680590373</v>
      </c>
      <c r="BK32" s="76">
        <f>股权价值增加表!BK29</f>
        <v>412172.49572389235</v>
      </c>
      <c r="BL32" s="76">
        <f>股权价值增加表!BL29</f>
        <v>386144.68338043214</v>
      </c>
      <c r="BM32" s="76">
        <f>股权价值增加表!BM29</f>
        <v>-240556.79564235895</v>
      </c>
      <c r="BN32" s="76">
        <f>股权价值增加表!BN29</f>
        <v>176276.25427776459</v>
      </c>
      <c r="BO32" s="76">
        <f>股权价值增加表!BO29</f>
        <v>272066.99046370003</v>
      </c>
      <c r="BP32" s="76">
        <f>股权价值增加表!BP29</f>
        <v>162308.12216724473</v>
      </c>
      <c r="BQ32" s="76">
        <f>股权价值增加表!BQ29</f>
        <v>284590.94163822511</v>
      </c>
      <c r="BR32" s="76">
        <f>股权价值增加表!BR29</f>
        <v>1248233.0107490846</v>
      </c>
      <c r="BS32" s="76">
        <f>股权价值增加表!BS29</f>
        <v>417227.35962225264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451</v>
      </c>
    </row>
    <row r="34" spans="1:89" s="76" customFormat="1" x14ac:dyDescent="0.25">
      <c r="A34" s="148" t="s">
        <v>452</v>
      </c>
      <c r="E34" s="76">
        <f>资产资本表!E4</f>
        <v>3062974654.1799998</v>
      </c>
      <c r="F34" s="76">
        <f>资产资本表!F4</f>
        <v>2754797102.4400001</v>
      </c>
      <c r="G34" s="76">
        <f>资产资本表!G4</f>
        <v>2393037124.25</v>
      </c>
      <c r="H34" s="76">
        <f>资产资本表!H4</f>
        <v>2998524978.0999999</v>
      </c>
      <c r="I34" s="76">
        <f>资产资本表!I4</f>
        <v>1986803439.1900001</v>
      </c>
      <c r="J34" s="76">
        <f>资产资本表!J4</f>
        <v>2430345859.8299999</v>
      </c>
      <c r="K34" s="76">
        <f>资产资本表!K4</f>
        <v>1960750668.1900001</v>
      </c>
      <c r="L34" s="76">
        <f>资产资本表!L4</f>
        <v>2540873154.1500001</v>
      </c>
      <c r="M34" s="76">
        <f>资产资本表!M4</f>
        <v>2066361762.97</v>
      </c>
      <c r="N34" s="76">
        <f>资产资本表!N4</f>
        <v>1263840053.8</v>
      </c>
      <c r="O34" s="76">
        <f>资产资本表!O4</f>
        <v>988066602.54999995</v>
      </c>
      <c r="P34" s="76">
        <f>资产资本表!P4</f>
        <v>1101553505.98</v>
      </c>
      <c r="Q34" s="76">
        <f>资产资本表!Q4</f>
        <v>1024674432.11</v>
      </c>
      <c r="R34" s="76">
        <f>资产资本表!R4</f>
        <v>1039127622.96</v>
      </c>
      <c r="S34" s="76">
        <f>资产资本表!S4</f>
        <v>1652807276.3199999</v>
      </c>
      <c r="T34" s="76">
        <f>资产资本表!T4</f>
        <v>1657103725.05</v>
      </c>
      <c r="U34" s="76">
        <f>资产资本表!U4</f>
        <v>988922382.28999996</v>
      </c>
      <c r="V34" s="76">
        <f>资产资本表!V4</f>
        <v>1054803080.83</v>
      </c>
      <c r="W34" s="76">
        <f>资产资本表!W4</f>
        <v>1389764969.95</v>
      </c>
      <c r="X34" s="76">
        <f>资产资本表!X4</f>
        <v>1796233888.8800001</v>
      </c>
      <c r="Y34" s="76">
        <f>资产资本表!Y4</f>
        <v>1372606853.48</v>
      </c>
      <c r="Z34" s="76">
        <f>资产资本表!Z4</f>
        <v>510630320.83999997</v>
      </c>
      <c r="AA34" s="76">
        <f>资产资本表!AA4</f>
        <v>704562351.38999999</v>
      </c>
      <c r="AB34" s="76">
        <f>资产资本表!AB4</f>
        <v>1252144398.95</v>
      </c>
      <c r="AC34" s="76">
        <f>资产资本表!AC4</f>
        <v>1788858510.0699999</v>
      </c>
      <c r="AD34" s="76">
        <f>资产资本表!AD4</f>
        <v>644437928.75</v>
      </c>
      <c r="AE34" s="76">
        <f>资产资本表!AE4</f>
        <v>1136401751.8199999</v>
      </c>
      <c r="AF34" s="76">
        <f>资产资本表!AF4</f>
        <v>1499542880.1600001</v>
      </c>
      <c r="AG34" s="76">
        <f>资产资本表!AG4</f>
        <v>897918953.54999995</v>
      </c>
      <c r="AH34" s="76">
        <f>资产资本表!AH4</f>
        <v>668303425.91999996</v>
      </c>
      <c r="AI34" s="76">
        <f>资产资本表!AI4</f>
        <v>588605969.63</v>
      </c>
      <c r="AJ34" s="76">
        <f>资产资本表!AJ4</f>
        <v>952478427.16999996</v>
      </c>
      <c r="AK34" s="76">
        <f>资产资本表!AK4</f>
        <v>1177425995.49</v>
      </c>
      <c r="AL34" s="76">
        <f>资产资本表!AL4</f>
        <v>1730812401.04</v>
      </c>
      <c r="AM34" s="76">
        <f>资产资本表!AM4</f>
        <v>2256342309.7199998</v>
      </c>
      <c r="AN34" s="76">
        <f>资产资本表!AN4</f>
        <v>2565416976.3099999</v>
      </c>
      <c r="AO34" s="76">
        <f>资产资本表!AO4</f>
        <v>1271602517.04</v>
      </c>
      <c r="AP34" s="76">
        <f>资产资本表!AP4</f>
        <v>629236293.90999997</v>
      </c>
      <c r="AQ34" s="76">
        <f>资产资本表!AQ4</f>
        <v>599296571.35000002</v>
      </c>
      <c r="AR34" s="76">
        <f>资产资本表!AR4</f>
        <v>1019351457.5</v>
      </c>
      <c r="AS34" s="76">
        <f>资产资本表!AS4</f>
        <v>1370119677.8199999</v>
      </c>
      <c r="AT34" s="76">
        <f>资产资本表!AT4</f>
        <v>1301810278.25</v>
      </c>
      <c r="AU34" s="76">
        <f>资产资本表!AU4</f>
        <v>772388793.17999995</v>
      </c>
      <c r="AV34" s="76">
        <f>资产资本表!AV4</f>
        <v>321224042.85000002</v>
      </c>
      <c r="AW34" s="76">
        <f>资产资本表!AW4</f>
        <v>228329878.63999999</v>
      </c>
      <c r="AX34" s="76">
        <f>资产资本表!AX4</f>
        <v>351478891.17000002</v>
      </c>
      <c r="AY34" s="76">
        <f>资产资本表!AY4</f>
        <v>258872618.34</v>
      </c>
      <c r="AZ34" s="76">
        <f>资产资本表!AZ4</f>
        <v>229687538.43000001</v>
      </c>
      <c r="BA34" s="76">
        <f>资产资本表!BA4</f>
        <v>193116521.43000001</v>
      </c>
      <c r="BB34" s="76">
        <f>资产资本表!BB4</f>
        <v>373886789.20999998</v>
      </c>
      <c r="BC34" s="76">
        <f>资产资本表!BC4</f>
        <v>443417432.31999999</v>
      </c>
      <c r="BD34" s="76">
        <f>资产资本表!BD4</f>
        <v>643545190.89999998</v>
      </c>
      <c r="BE34" s="76">
        <f>资产资本表!BE4</f>
        <v>376490210.14999998</v>
      </c>
      <c r="BF34" s="76">
        <f>资产资本表!BF4</f>
        <v>434558474.47000003</v>
      </c>
      <c r="BG34" s="76">
        <f>资产资本表!BG4</f>
        <v>584618485.17999995</v>
      </c>
      <c r="BH34" s="76">
        <f>资产资本表!BH4</f>
        <v>260233614.96000001</v>
      </c>
      <c r="BI34" s="76">
        <f>资产资本表!BI4</f>
        <v>255106314.28999999</v>
      </c>
      <c r="BJ34" s="76">
        <f>资产资本表!BJ4</f>
        <v>343198258.20999998</v>
      </c>
      <c r="BK34" s="76">
        <f>资产资本表!BK4</f>
        <v>118498245.09</v>
      </c>
      <c r="BL34" s="76">
        <f>资产资本表!BL4</f>
        <v>157915179.77000001</v>
      </c>
      <c r="BM34" s="76">
        <f>资产资本表!BM4</f>
        <v>147937875.21000001</v>
      </c>
      <c r="BN34" s="76">
        <f>资产资本表!BN4</f>
        <v>137525306.93000001</v>
      </c>
      <c r="BO34" s="76">
        <f>资产资本表!BO4</f>
        <v>79437057.549999997</v>
      </c>
      <c r="BP34" s="76">
        <f>资产资本表!BP4</f>
        <v>145386867.19</v>
      </c>
      <c r="BQ34" s="76">
        <f>资产资本表!BQ4</f>
        <v>175295229.28999999</v>
      </c>
      <c r="BR34" s="76">
        <f>资产资本表!BR4</f>
        <v>0</v>
      </c>
      <c r="BS34" s="76">
        <f>资产资本表!BS4</f>
        <v>208355541.52000001</v>
      </c>
      <c r="BT34" s="76">
        <f>资产资本表!BT4</f>
        <v>440998601.41000003</v>
      </c>
      <c r="BU34" s="76">
        <f>资产资本表!BU4</f>
        <v>18487747.129999999</v>
      </c>
      <c r="BV34" s="76">
        <f>资产资本表!BV4</f>
        <v>31873298.43</v>
      </c>
      <c r="BW34" s="76">
        <f>资产资本表!BW4</f>
        <v>11065911.380000001</v>
      </c>
      <c r="BX34" s="76">
        <f>资产资本表!BX4</f>
        <v>5415168.2800000003</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-3466833.57</v>
      </c>
      <c r="N35" s="76">
        <f>利润表!N12</f>
        <v>4942571.4000000004</v>
      </c>
      <c r="O35" s="76">
        <f>利润表!O12</f>
        <v>61599319.68</v>
      </c>
      <c r="P35" s="76">
        <f>利润表!P12</f>
        <v>60074553.920000002</v>
      </c>
      <c r="Q35" s="76">
        <f>利润表!Q12</f>
        <v>3466833.57</v>
      </c>
      <c r="R35" s="76">
        <f>利润表!R12</f>
        <v>0</v>
      </c>
      <c r="S35" s="76">
        <f>利润表!S12</f>
        <v>0</v>
      </c>
      <c r="T35" s="76">
        <f>利润表!T12</f>
        <v>0</v>
      </c>
      <c r="U35" s="76">
        <f>利润表!U12</f>
        <v>16017988.99</v>
      </c>
      <c r="V35" s="76">
        <f>利润表!V12</f>
        <v>4197699.6900000004</v>
      </c>
      <c r="W35" s="76">
        <f>利润表!W12</f>
        <v>3027699.69</v>
      </c>
      <c r="X35" s="76">
        <f>利润表!X12</f>
        <v>48099.41</v>
      </c>
      <c r="Y35" s="76">
        <f>利润表!Y12</f>
        <v>2667597.81</v>
      </c>
      <c r="Z35" s="76">
        <f>利润表!Z12</f>
        <v>-1175200.52</v>
      </c>
      <c r="AA35" s="76">
        <f>利润表!AA12</f>
        <v>488799.23</v>
      </c>
      <c r="AB35" s="76">
        <f>利润表!AB12</f>
        <v>972400.04</v>
      </c>
      <c r="AC35" s="76">
        <f>利润表!AC12</f>
        <v>-9444630.1099999994</v>
      </c>
      <c r="AD35" s="76">
        <f>利润表!AD12</f>
        <v>-3851800.91</v>
      </c>
      <c r="AE35" s="76">
        <f>利润表!AE12</f>
        <v>5699046.6200000001</v>
      </c>
      <c r="AF35" s="76">
        <f>利润表!AF12</f>
        <v>-149953.68</v>
      </c>
      <c r="AG35" s="76">
        <f>利润表!AG12</f>
        <v>-14778307.92</v>
      </c>
      <c r="AH35" s="76">
        <f>利润表!AH12</f>
        <v>-16194431.960000001</v>
      </c>
      <c r="AI35" s="76">
        <f>利润表!AI12</f>
        <v>-21160651.789999999</v>
      </c>
      <c r="AJ35" s="76">
        <f>利润表!AJ12</f>
        <v>-6465180.3899999997</v>
      </c>
      <c r="AK35" s="76">
        <f>利润表!AK12</f>
        <v>5524360.5499999998</v>
      </c>
      <c r="AL35" s="76">
        <f>利润表!AL12</f>
        <v>-2220921.19</v>
      </c>
      <c r="AM35" s="76">
        <f>利润表!AM12</f>
        <v>0</v>
      </c>
      <c r="AN35" s="76">
        <f>利润表!AN12</f>
        <v>0</v>
      </c>
      <c r="AO35" s="76">
        <f>利润表!AO12</f>
        <v>-846202.06</v>
      </c>
      <c r="AP35" s="76">
        <f>利润表!AP12</f>
        <v>0</v>
      </c>
      <c r="AQ35" s="76">
        <f>利润表!AQ12</f>
        <v>0</v>
      </c>
      <c r="AR35" s="76">
        <f>利润表!AR12</f>
        <v>-7149537.6399999997</v>
      </c>
      <c r="AS35" s="76">
        <f>利润表!AS12</f>
        <v>-4365321.92</v>
      </c>
      <c r="AT35" s="76">
        <f>利润表!AT12</f>
        <v>1389456.2</v>
      </c>
      <c r="AU35" s="76">
        <f>利润表!AU12</f>
        <v>8605807.5399999991</v>
      </c>
      <c r="AV35" s="76">
        <f>利润表!AV12</f>
        <v>1898282.78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6172500</v>
      </c>
      <c r="AK37" s="76">
        <f>资产资本表!AK11</f>
        <v>0</v>
      </c>
      <c r="AL37" s="76">
        <f>资产资本表!AL11</f>
        <v>0</v>
      </c>
      <c r="AM37" s="76">
        <f>资产资本表!AM11</f>
        <v>0</v>
      </c>
      <c r="AN37" s="76">
        <f>资产资本表!AN11</f>
        <v>7516210.3300000001</v>
      </c>
      <c r="AO37" s="76">
        <f>资产资本表!AO11</f>
        <v>5016210.33</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456</v>
      </c>
      <c r="E38" s="76">
        <f>资产资本表!E8</f>
        <v>20000000</v>
      </c>
      <c r="F38" s="76">
        <f>资产资本表!F8</f>
        <v>20000000</v>
      </c>
      <c r="G38" s="76">
        <f>资产资本表!G8</f>
        <v>20000000</v>
      </c>
      <c r="H38" s="76">
        <f>资产资本表!H8</f>
        <v>20000000</v>
      </c>
      <c r="I38" s="76">
        <f>资产资本表!I8</f>
        <v>20000000</v>
      </c>
      <c r="J38" s="76">
        <f>资产资本表!J8</f>
        <v>20000000</v>
      </c>
      <c r="K38" s="76">
        <f>资产资本表!K8</f>
        <v>20000000</v>
      </c>
      <c r="L38" s="76">
        <f>资产资本表!L8</f>
        <v>20000000</v>
      </c>
      <c r="M38" s="76">
        <f>资产资本表!M8</f>
        <v>20000000</v>
      </c>
      <c r="N38" s="76">
        <f>资产资本表!N8</f>
        <v>20000000</v>
      </c>
      <c r="O38" s="76">
        <f>资产资本表!O8</f>
        <v>20000000</v>
      </c>
      <c r="P38" s="76">
        <f>资产资本表!P8</f>
        <v>20000000</v>
      </c>
      <c r="Q38" s="76">
        <f>资产资本表!Q8</f>
        <v>20000000</v>
      </c>
      <c r="R38" s="76">
        <f>资产资本表!R8</f>
        <v>73350314</v>
      </c>
      <c r="S38" s="76">
        <f>资产资本表!S8</f>
        <v>85808000</v>
      </c>
      <c r="T38" s="76">
        <f>资产资本表!T8</f>
        <v>76136000</v>
      </c>
      <c r="U38" s="76">
        <f>资产资本表!U8</f>
        <v>76260000</v>
      </c>
      <c r="V38" s="76">
        <f>资产资本表!V8</f>
        <v>80362400</v>
      </c>
      <c r="W38" s="76">
        <f>资产资本表!W8</f>
        <v>75759600</v>
      </c>
      <c r="X38" s="76">
        <f>资产资本表!X8</f>
        <v>87950800</v>
      </c>
      <c r="Y38" s="76">
        <f>资产资本表!Y8</f>
        <v>80735600</v>
      </c>
      <c r="Z38" s="76">
        <f>资产资本表!Z8</f>
        <v>83472400</v>
      </c>
      <c r="AA38" s="76">
        <f>资产资本表!AA8</f>
        <v>95166000</v>
      </c>
      <c r="AB38" s="76">
        <f>资产资本表!AB8</f>
        <v>101012800</v>
      </c>
      <c r="AC38" s="76">
        <f>资产资本表!AC8</f>
        <v>98151600</v>
      </c>
      <c r="AD38" s="76">
        <f>资产资本表!AD8</f>
        <v>111213600</v>
      </c>
      <c r="AE38" s="76">
        <f>资产资本表!AE8</f>
        <v>137586400</v>
      </c>
      <c r="AF38" s="76">
        <f>资产资本表!AF8</f>
        <v>156614200</v>
      </c>
      <c r="AG38" s="76">
        <f>资产资本表!AG8</f>
        <v>173550000</v>
      </c>
      <c r="AH38" s="76">
        <f>资产资本表!AH8</f>
        <v>154180000</v>
      </c>
      <c r="AI38" s="76">
        <f>资产资本表!AI8</f>
        <v>115050000</v>
      </c>
      <c r="AJ38" s="76">
        <f>资产资本表!AJ8</f>
        <v>137700000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461</v>
      </c>
      <c r="E43" s="76">
        <f>SUM(E34:E42)</f>
        <v>3082974654.1799998</v>
      </c>
      <c r="F43" s="76">
        <f t="shared" ref="F43:BQ43" si="14">SUM(F34:F42)</f>
        <v>2774797102.4400001</v>
      </c>
      <c r="G43" s="76">
        <f t="shared" si="14"/>
        <v>2413037124.25</v>
      </c>
      <c r="H43" s="76">
        <f t="shared" si="14"/>
        <v>3018524978.0999999</v>
      </c>
      <c r="I43" s="76">
        <f t="shared" si="14"/>
        <v>2006803439.1900001</v>
      </c>
      <c r="J43" s="76">
        <f t="shared" si="14"/>
        <v>2450345859.8299999</v>
      </c>
      <c r="K43" s="76">
        <f t="shared" si="14"/>
        <v>1980750668.1900001</v>
      </c>
      <c r="L43" s="76">
        <f t="shared" si="14"/>
        <v>2560873154.1500001</v>
      </c>
      <c r="M43" s="76">
        <f t="shared" si="14"/>
        <v>2082894929.4000001</v>
      </c>
      <c r="N43" s="76">
        <f t="shared" si="14"/>
        <v>1288782625.2</v>
      </c>
      <c r="O43" s="76">
        <f t="shared" si="14"/>
        <v>1069665922.2299999</v>
      </c>
      <c r="P43" s="76">
        <f t="shared" si="14"/>
        <v>1181628059.9000001</v>
      </c>
      <c r="Q43" s="76">
        <f t="shared" si="14"/>
        <v>1048141265.6800001</v>
      </c>
      <c r="R43" s="76">
        <f t="shared" si="14"/>
        <v>1112477936.96</v>
      </c>
      <c r="S43" s="76">
        <f t="shared" si="14"/>
        <v>1738615276.3199999</v>
      </c>
      <c r="T43" s="76">
        <f t="shared" si="14"/>
        <v>1733239725.05</v>
      </c>
      <c r="U43" s="76">
        <f t="shared" si="14"/>
        <v>1081200371.28</v>
      </c>
      <c r="V43" s="76">
        <f t="shared" si="14"/>
        <v>1139363180.52</v>
      </c>
      <c r="W43" s="76">
        <f t="shared" si="14"/>
        <v>1468552269.6400001</v>
      </c>
      <c r="X43" s="76">
        <f t="shared" si="14"/>
        <v>1884232788.2900002</v>
      </c>
      <c r="Y43" s="76">
        <f t="shared" si="14"/>
        <v>1456010051.29</v>
      </c>
      <c r="Z43" s="76">
        <f t="shared" si="14"/>
        <v>592927520.31999993</v>
      </c>
      <c r="AA43" s="76">
        <f t="shared" si="14"/>
        <v>800217150.62</v>
      </c>
      <c r="AB43" s="76">
        <f t="shared" si="14"/>
        <v>1354129598.99</v>
      </c>
      <c r="AC43" s="76">
        <f t="shared" si="14"/>
        <v>1877565479.96</v>
      </c>
      <c r="AD43" s="76">
        <f t="shared" si="14"/>
        <v>751799727.84000003</v>
      </c>
      <c r="AE43" s="76">
        <f t="shared" si="14"/>
        <v>1279687198.4399998</v>
      </c>
      <c r="AF43" s="76">
        <f t="shared" si="14"/>
        <v>1656007126.48</v>
      </c>
      <c r="AG43" s="76">
        <f t="shared" si="14"/>
        <v>1056690645.63</v>
      </c>
      <c r="AH43" s="76">
        <f t="shared" si="14"/>
        <v>806288993.95999992</v>
      </c>
      <c r="AI43" s="76">
        <f t="shared" si="14"/>
        <v>682495317.84000003</v>
      </c>
      <c r="AJ43" s="76">
        <f t="shared" si="14"/>
        <v>1089885746.78</v>
      </c>
      <c r="AK43" s="76">
        <f t="shared" si="14"/>
        <v>1182950356.04</v>
      </c>
      <c r="AL43" s="76">
        <f t="shared" si="14"/>
        <v>1728591479.8499999</v>
      </c>
      <c r="AM43" s="76">
        <f t="shared" si="14"/>
        <v>2256342309.7199998</v>
      </c>
      <c r="AN43" s="76">
        <f t="shared" si="14"/>
        <v>2572933186.6399999</v>
      </c>
      <c r="AO43" s="76">
        <f t="shared" si="14"/>
        <v>1275772525.3099999</v>
      </c>
      <c r="AP43" s="76">
        <f t="shared" si="14"/>
        <v>629236293.90999997</v>
      </c>
      <c r="AQ43" s="76">
        <f t="shared" si="14"/>
        <v>599296571.35000002</v>
      </c>
      <c r="AR43" s="76">
        <f t="shared" si="14"/>
        <v>1012201919.86</v>
      </c>
      <c r="AS43" s="76">
        <f t="shared" si="14"/>
        <v>1365754355.8999999</v>
      </c>
      <c r="AT43" s="76">
        <f t="shared" si="14"/>
        <v>1303199734.45</v>
      </c>
      <c r="AU43" s="76">
        <f t="shared" si="14"/>
        <v>780994600.71999991</v>
      </c>
      <c r="AV43" s="76">
        <f t="shared" si="14"/>
        <v>323122325.63</v>
      </c>
      <c r="AW43" s="76">
        <f t="shared" si="14"/>
        <v>228329878.63999999</v>
      </c>
      <c r="AX43" s="76">
        <f t="shared" si="14"/>
        <v>351478891.17000002</v>
      </c>
      <c r="AY43" s="76">
        <f t="shared" si="14"/>
        <v>258872618.34</v>
      </c>
      <c r="AZ43" s="76">
        <f t="shared" si="14"/>
        <v>229687538.43000001</v>
      </c>
      <c r="BA43" s="76">
        <f t="shared" si="14"/>
        <v>193116521.43000001</v>
      </c>
      <c r="BB43" s="76">
        <f t="shared" si="14"/>
        <v>373886789.20999998</v>
      </c>
      <c r="BC43" s="76">
        <f t="shared" si="14"/>
        <v>443417432.31999999</v>
      </c>
      <c r="BD43" s="76">
        <f t="shared" si="14"/>
        <v>643545190.89999998</v>
      </c>
      <c r="BE43" s="76">
        <f t="shared" si="14"/>
        <v>376490210.14999998</v>
      </c>
      <c r="BF43" s="76">
        <f t="shared" si="14"/>
        <v>434558474.47000003</v>
      </c>
      <c r="BG43" s="76">
        <f t="shared" si="14"/>
        <v>584618485.17999995</v>
      </c>
      <c r="BH43" s="76">
        <f t="shared" si="14"/>
        <v>260233614.96000001</v>
      </c>
      <c r="BI43" s="76">
        <f t="shared" si="14"/>
        <v>255106314.28999999</v>
      </c>
      <c r="BJ43" s="76">
        <f t="shared" si="14"/>
        <v>343198258.20999998</v>
      </c>
      <c r="BK43" s="76">
        <f t="shared" si="14"/>
        <v>118498245.09</v>
      </c>
      <c r="BL43" s="76">
        <f t="shared" si="14"/>
        <v>157915179.77000001</v>
      </c>
      <c r="BM43" s="76">
        <f t="shared" si="14"/>
        <v>147937875.21000001</v>
      </c>
      <c r="BN43" s="76">
        <f t="shared" si="14"/>
        <v>137525306.93000001</v>
      </c>
      <c r="BO43" s="76">
        <f t="shared" si="14"/>
        <v>79437057.549999997</v>
      </c>
      <c r="BP43" s="76">
        <f t="shared" si="14"/>
        <v>145386867.19</v>
      </c>
      <c r="BQ43" s="76">
        <f t="shared" si="14"/>
        <v>175295229.28999999</v>
      </c>
      <c r="BR43" s="76">
        <f t="shared" ref="BR43:CJ43" si="15">SUM(BR34:BR42)</f>
        <v>0</v>
      </c>
      <c r="BS43" s="76">
        <f t="shared" si="15"/>
        <v>208355541.52000001</v>
      </c>
      <c r="BT43" s="76">
        <f t="shared" si="15"/>
        <v>440998601.41000003</v>
      </c>
      <c r="BU43" s="76">
        <f t="shared" si="15"/>
        <v>18487747.129999999</v>
      </c>
      <c r="BV43" s="76">
        <f t="shared" si="15"/>
        <v>31873298.43</v>
      </c>
      <c r="BW43" s="76">
        <f t="shared" si="15"/>
        <v>11065911.380000001</v>
      </c>
      <c r="BX43" s="76">
        <f t="shared" si="15"/>
        <v>5415168.2800000003</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462</v>
      </c>
      <c r="E44" s="111">
        <f>E32/E43</f>
        <v>-2.1924106043572874E-3</v>
      </c>
      <c r="F44" s="111">
        <f t="shared" ref="F44:BQ44" si="16">F32/F43</f>
        <v>4.8252497401884992E-3</v>
      </c>
      <c r="G44" s="111">
        <f t="shared" si="16"/>
        <v>3.6587851221156912E-3</v>
      </c>
      <c r="H44" s="111">
        <f t="shared" si="16"/>
        <v>1.7453884383907506E-3</v>
      </c>
      <c r="I44" s="111">
        <f t="shared" si="16"/>
        <v>5.7724716882270315E-2</v>
      </c>
      <c r="J44" s="111">
        <f t="shared" si="16"/>
        <v>1.0139480890597378E-2</v>
      </c>
      <c r="K44" s="111">
        <f t="shared" si="16"/>
        <v>1.2838122712850069E-2</v>
      </c>
      <c r="L44" s="111">
        <f t="shared" si="16"/>
        <v>-8.1876167767315575E-4</v>
      </c>
      <c r="M44" s="111">
        <f t="shared" si="16"/>
        <v>-8.9803585203080544E-2</v>
      </c>
      <c r="N44" s="111">
        <f t="shared" si="16"/>
        <v>4.4797413630558919E-2</v>
      </c>
      <c r="O44" s="111">
        <f t="shared" si="16"/>
        <v>4.1706472426844055E-2</v>
      </c>
      <c r="P44" s="111">
        <f t="shared" si="16"/>
        <v>3.3461785540530697E-2</v>
      </c>
      <c r="Q44" s="111">
        <f t="shared" si="16"/>
        <v>1.2809128502861337E-2</v>
      </c>
      <c r="R44" s="111">
        <f t="shared" si="16"/>
        <v>1.4739846985678923E-2</v>
      </c>
      <c r="S44" s="111">
        <f t="shared" si="16"/>
        <v>6.1500982340576583E-3</v>
      </c>
      <c r="T44" s="111">
        <f t="shared" si="16"/>
        <v>2.2764839631599166E-3</v>
      </c>
      <c r="U44" s="111">
        <f t="shared" si="16"/>
        <v>8.5660746800139548E-2</v>
      </c>
      <c r="V44" s="111">
        <f t="shared" si="16"/>
        <v>-3.1037168290962369E-4</v>
      </c>
      <c r="W44" s="111">
        <f t="shared" si="16"/>
        <v>-5.3090892599419459E-3</v>
      </c>
      <c r="X44" s="111">
        <f t="shared" si="16"/>
        <v>1.2250404313803762E-3</v>
      </c>
      <c r="Y44" s="111">
        <f t="shared" si="16"/>
        <v>6.6493645250099822E-3</v>
      </c>
      <c r="Z44" s="111">
        <f t="shared" si="16"/>
        <v>-1.7362683544983465E-2</v>
      </c>
      <c r="AA44" s="111">
        <f t="shared" si="16"/>
        <v>-2.0950006716763908E-3</v>
      </c>
      <c r="AB44" s="111">
        <f t="shared" si="16"/>
        <v>7.5601847635937518E-3</v>
      </c>
      <c r="AC44" s="111">
        <f t="shared" si="16"/>
        <v>2.0252337162814799E-2</v>
      </c>
      <c r="AD44" s="111">
        <f t="shared" si="16"/>
        <v>-5.8251709278011668E-2</v>
      </c>
      <c r="AE44" s="111">
        <f t="shared" si="16"/>
        <v>-1.7977840985250824E-2</v>
      </c>
      <c r="AF44" s="111">
        <f t="shared" si="16"/>
        <v>-4.2560369106051325E-3</v>
      </c>
      <c r="AG44" s="111">
        <f t="shared" si="16"/>
        <v>0.249184949324563</v>
      </c>
      <c r="AH44" s="111">
        <f t="shared" si="16"/>
        <v>4.8925200420532756E-2</v>
      </c>
      <c r="AI44" s="111">
        <f t="shared" si="16"/>
        <v>4.7154594082323663E-3</v>
      </c>
      <c r="AJ44" s="111">
        <f t="shared" si="16"/>
        <v>3.1322390288861683E-2</v>
      </c>
      <c r="AK44" s="111">
        <f t="shared" si="16"/>
        <v>2.2170332756316753E-2</v>
      </c>
      <c r="AL44" s="111">
        <f t="shared" si="16"/>
        <v>-2.5561039584900904E-4</v>
      </c>
      <c r="AM44" s="111">
        <f t="shared" si="16"/>
        <v>3.9566660015320066E-4</v>
      </c>
      <c r="AN44" s="111">
        <f t="shared" si="16"/>
        <v>0</v>
      </c>
      <c r="AO44" s="111">
        <f t="shared" si="16"/>
        <v>4.9837189761530967E-2</v>
      </c>
      <c r="AP44" s="111">
        <f t="shared" si="16"/>
        <v>-1.1512254144249686E-3</v>
      </c>
      <c r="AQ44" s="111">
        <f t="shared" si="16"/>
        <v>-1.0107805006731687E-2</v>
      </c>
      <c r="AR44" s="111">
        <f t="shared" si="16"/>
        <v>-4.6330126979926437E-4</v>
      </c>
      <c r="AS44" s="111">
        <f t="shared" si="16"/>
        <v>0.11259814987182167</v>
      </c>
      <c r="AT44" s="111">
        <f t="shared" si="16"/>
        <v>3.296371593520292E-2</v>
      </c>
      <c r="AU44" s="111">
        <f t="shared" si="16"/>
        <v>1.262912246027258E-2</v>
      </c>
      <c r="AV44" s="111">
        <f t="shared" si="16"/>
        <v>1.0067373763081498E-2</v>
      </c>
      <c r="AW44" s="111">
        <f t="shared" si="16"/>
        <v>0.14727089230618512</v>
      </c>
      <c r="AX44" s="111">
        <f t="shared" si="16"/>
        <v>2.6743367409143157E-2</v>
      </c>
      <c r="AY44" s="111">
        <f t="shared" si="16"/>
        <v>3.460194025856296E-2</v>
      </c>
      <c r="AZ44" s="111">
        <f t="shared" si="16"/>
        <v>1.7443387923300399E-2</v>
      </c>
      <c r="BA44" s="111">
        <f t="shared" si="16"/>
        <v>2.5338670035660722E-2</v>
      </c>
      <c r="BB44" s="111">
        <f t="shared" si="16"/>
        <v>3.5291955621355839E-3</v>
      </c>
      <c r="BC44" s="111">
        <f t="shared" si="16"/>
        <v>-1.3478839773947875E-3</v>
      </c>
      <c r="BD44" s="111">
        <f t="shared" si="16"/>
        <v>-1.6947011604794769E-4</v>
      </c>
      <c r="BE44" s="111">
        <f t="shared" si="16"/>
        <v>1.0663012343066934E-2</v>
      </c>
      <c r="BF44" s="111">
        <f t="shared" si="16"/>
        <v>-3.9347741929496565E-4</v>
      </c>
      <c r="BG44" s="111">
        <f t="shared" si="16"/>
        <v>-2.863266168061855E-4</v>
      </c>
      <c r="BH44" s="111">
        <f t="shared" si="16"/>
        <v>1.2547683906707986E-4</v>
      </c>
      <c r="BI44" s="111">
        <f t="shared" si="16"/>
        <v>7.8109630967387721E-3</v>
      </c>
      <c r="BJ44" s="111">
        <f t="shared" si="16"/>
        <v>1.9754254008802819E-4</v>
      </c>
      <c r="BK44" s="111">
        <f t="shared" si="16"/>
        <v>3.4783004204901541E-3</v>
      </c>
      <c r="BL44" s="111">
        <f t="shared" si="16"/>
        <v>2.4452664015127829E-3</v>
      </c>
      <c r="BM44" s="111">
        <f t="shared" si="16"/>
        <v>-1.6260663153427411E-3</v>
      </c>
      <c r="BN44" s="111">
        <f t="shared" si="16"/>
        <v>1.2817732111478849E-3</v>
      </c>
      <c r="BO44" s="111">
        <f t="shared" si="16"/>
        <v>3.4249379175764804E-3</v>
      </c>
      <c r="BP44" s="111">
        <f t="shared" si="16"/>
        <v>1.1163877818147843E-3</v>
      </c>
      <c r="BQ44" s="111">
        <f t="shared" si="16"/>
        <v>1.6234950762260138E-3</v>
      </c>
      <c r="BR44" s="111" t="e">
        <f t="shared" ref="BR44:CK44" si="17">BR32/BR43</f>
        <v>#DIV/0!</v>
      </c>
      <c r="BS44" s="111">
        <f t="shared" si="17"/>
        <v>2.0024778634563124E-3</v>
      </c>
      <c r="BT44" s="111">
        <f t="shared" si="17"/>
        <v>0</v>
      </c>
      <c r="BU44" s="111">
        <f t="shared" si="17"/>
        <v>0</v>
      </c>
      <c r="BV44" s="111">
        <f t="shared" si="17"/>
        <v>0</v>
      </c>
      <c r="BW44" s="111">
        <f t="shared" si="17"/>
        <v>0</v>
      </c>
      <c r="BX44" s="111">
        <f t="shared" si="17"/>
        <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8" t="s">
        <v>701</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702</v>
      </c>
      <c r="E46" s="57">
        <f>E43/资产资本表!E70</f>
        <v>5.8729835069126025E-2</v>
      </c>
      <c r="F46" s="57">
        <f>F43/资产资本表!F70</f>
        <v>5.4790197966374451E-2</v>
      </c>
      <c r="G46" s="57">
        <f>G43/资产资本表!G70</f>
        <v>4.8770391375439787E-2</v>
      </c>
      <c r="H46" s="57">
        <f>H43/资产资本表!H70</f>
        <v>6.6590279939330574E-2</v>
      </c>
      <c r="I46" s="57">
        <f>I43/资产资本表!I70</f>
        <v>4.9777090151832036E-2</v>
      </c>
      <c r="J46" s="57">
        <f>J43/资产资本表!J70</f>
        <v>6.136443074404991E-2</v>
      </c>
      <c r="K46" s="57">
        <f>K43/资产资本表!K70</f>
        <v>4.7986238934046382E-2</v>
      </c>
      <c r="L46" s="57">
        <f>L43/资产资本表!L70</f>
        <v>6.3346935888986378E-2</v>
      </c>
      <c r="M46" s="57">
        <f>M43/资产资本表!M70</f>
        <v>5.1463256157738772E-2</v>
      </c>
      <c r="N46" s="57">
        <f>N43/资产资本表!N70</f>
        <v>3.2532896191270845E-2</v>
      </c>
      <c r="O46" s="57">
        <f>O43/资产资本表!O70</f>
        <v>2.8497739133865416E-2</v>
      </c>
      <c r="P46" s="57">
        <f>P43/资产资本表!P70</f>
        <v>3.1344625353860373E-2</v>
      </c>
      <c r="Q46" s="57">
        <f>Q43/资产资本表!Q70</f>
        <v>2.9758199404871184E-2</v>
      </c>
      <c r="R46" s="57">
        <f>R43/资产资本表!R70</f>
        <v>3.3712106959483248E-2</v>
      </c>
      <c r="S46" s="57">
        <f>S43/资产资本表!S70</f>
        <v>5.5615510080103236E-2</v>
      </c>
      <c r="T46" s="57">
        <f>T43/资产资本表!T70</f>
        <v>5.8351428974943942E-2</v>
      </c>
      <c r="U46" s="57">
        <f>U43/资产资本表!U70</f>
        <v>4.1934065392234689E-2</v>
      </c>
      <c r="V46" s="57">
        <f>V43/资产资本表!V70</f>
        <v>4.7375426219501963E-2</v>
      </c>
      <c r="W46" s="57">
        <f>W43/资产资本表!W70</f>
        <v>6.5181890977242918E-2</v>
      </c>
      <c r="X46" s="57">
        <f>X43/资产资本表!X70</f>
        <v>8.8388281798589971E-2</v>
      </c>
      <c r="Y46" s="57">
        <f>Y43/资产资本表!Y70</f>
        <v>7.6029805546488166E-2</v>
      </c>
      <c r="Z46" s="57">
        <f>Z43/资产资本表!Z70</f>
        <v>3.3944089517861126E-2</v>
      </c>
      <c r="AA46" s="57">
        <f>AA43/资产资本表!AA70</f>
        <v>4.9289865887913113E-2</v>
      </c>
      <c r="AB46" s="57">
        <f>AB43/资产资本表!AB70</f>
        <v>8.4485890674816669E-2</v>
      </c>
      <c r="AC46" s="57">
        <f>AC43/资产资本表!AC70</f>
        <v>0.12360333277258347</v>
      </c>
      <c r="AD46" s="57">
        <f>AD43/资产资本表!AD70</f>
        <v>5.6377564482615924E-2</v>
      </c>
      <c r="AE46" s="57">
        <f>AE43/资产资本表!AE70</f>
        <v>9.4686283975604427E-2</v>
      </c>
      <c r="AF46" s="57">
        <f>AF43/资产资本表!AF70</f>
        <v>0.12251052676796827</v>
      </c>
      <c r="AG46" s="57">
        <f>AG43/资产资本表!AG70</f>
        <v>8.9728114176382892E-2</v>
      </c>
      <c r="AH46" s="57">
        <f>AH43/资产资本表!AH70</f>
        <v>7.7750072692777839E-2</v>
      </c>
      <c r="AI46" s="57">
        <f>AI43/资产资本表!AI70</f>
        <v>7.2734519895857733E-2</v>
      </c>
      <c r="AJ46" s="57">
        <f>AJ43/资产资本表!AJ70</f>
        <v>0.1181571077096527</v>
      </c>
      <c r="AK46" s="57">
        <f>AK43/资产资本表!AK70</f>
        <v>0.13577574755064467</v>
      </c>
      <c r="AL46" s="57">
        <f>AL43/资产资本表!AL70</f>
        <v>0.19069326650196861</v>
      </c>
      <c r="AM46" s="57">
        <f>AM43/资产资本表!AM70</f>
        <v>0.26280037835470882</v>
      </c>
      <c r="AN46" s="57">
        <f>AN43/资产资本表!AN70</f>
        <v>0.30765103844998709</v>
      </c>
      <c r="AO46" s="57">
        <f>AO43/资产资本表!AO70</f>
        <v>0.17841786441357804</v>
      </c>
      <c r="AP46" s="57">
        <f>AP43/资产资本表!AP70</f>
        <v>8.933547511301039E-2</v>
      </c>
      <c r="AQ46" s="57">
        <f>AQ43/资产资本表!AQ70</f>
        <v>8.825082670854513E-2</v>
      </c>
      <c r="AR46" s="57">
        <f>AR43/资产资本表!AR70</f>
        <v>0.14324458440698679</v>
      </c>
      <c r="AS46" s="57">
        <f>AS43/资产资本表!AS70</f>
        <v>0.2082024433751718</v>
      </c>
      <c r="AT46" s="57">
        <f>AT43/资产资本表!AT70</f>
        <v>0.21529518791436852</v>
      </c>
      <c r="AU46" s="57">
        <f>AU43/资产资本表!AU70</f>
        <v>0.14292191505437085</v>
      </c>
      <c r="AV46" s="57">
        <f>AV43/资产资本表!AV70</f>
        <v>6.5307818868923714E-2</v>
      </c>
      <c r="AW46" s="57">
        <f>AW43/资产资本表!AW70</f>
        <v>5.1993498972720653E-2</v>
      </c>
      <c r="AX46" s="57">
        <f>AX43/资产资本表!AX70</f>
        <v>8.1780714071302288E-2</v>
      </c>
      <c r="AY46" s="57">
        <f>AY43/资产资本表!AY70</f>
        <v>6.4446607457062224E-2</v>
      </c>
      <c r="AZ46" s="57">
        <f>AZ43/资产资本表!AZ70</f>
        <v>5.6009512446231549E-2</v>
      </c>
      <c r="BA46" s="57">
        <f>BA43/资产资本表!BA70</f>
        <v>5.2089103735020466E-2</v>
      </c>
      <c r="BB46" s="57">
        <f>BB43/资产资本表!BB70</f>
        <v>0.10280173785416757</v>
      </c>
      <c r="BC46" s="57">
        <f>BC43/资产资本表!BC70</f>
        <v>0.12617482077293377</v>
      </c>
      <c r="BD46" s="57">
        <f>BD43/资产资本表!BD70</f>
        <v>0.20933473381676826</v>
      </c>
      <c r="BE46" s="57">
        <f>BE43/资产资本表!BE70</f>
        <v>0.14494889794551197</v>
      </c>
      <c r="BF46" s="57">
        <f>BF43/资产资本表!BF70</f>
        <v>0.21920397355903412</v>
      </c>
      <c r="BG46" s="57">
        <f>BG43/资产资本表!BG70</f>
        <v>0.35383564505045895</v>
      </c>
      <c r="BH46" s="57">
        <f>BH43/资产资本表!BH70</f>
        <v>0.19700370581852561</v>
      </c>
      <c r="BI46" s="57">
        <f>BI43/资产资本表!BI70</f>
        <v>0.21806136881005489</v>
      </c>
      <c r="BJ46" s="57">
        <f>BJ43/资产资本表!BJ70</f>
        <v>0.30299679683981873</v>
      </c>
      <c r="BK46" s="57">
        <f>BK43/资产资本表!BK70</f>
        <v>0.12563327849907996</v>
      </c>
      <c r="BL46" s="57">
        <f>BL43/资产资本表!BL70</f>
        <v>0.16656494675838729</v>
      </c>
      <c r="BM46" s="57">
        <f>BM43/资产资本表!BM70</f>
        <v>0.19220589464790633</v>
      </c>
      <c r="BN46" s="57">
        <f>BN43/资产资本表!BN70</f>
        <v>0.16860031881348422</v>
      </c>
      <c r="BO46" s="57">
        <f>BO43/资产资本表!BO70</f>
        <v>0.10567072524305539</v>
      </c>
      <c r="BP46" s="57">
        <f>BP43/资产资本表!BP70</f>
        <v>0.19575784992481107</v>
      </c>
      <c r="BQ46" s="57">
        <f>BQ43/资产资本表!BQ70</f>
        <v>0.24950072683304633</v>
      </c>
      <c r="BR46" s="57" t="e">
        <f>BR43/资产资本表!BR70</f>
        <v>#DIV/0!</v>
      </c>
      <c r="BS46" s="57">
        <f>BS43/资产资本表!BS70</f>
        <v>0.30868470955280497</v>
      </c>
      <c r="BT46" s="57">
        <f>BT43/资产资本表!BT70</f>
        <v>0.62744854126951266</v>
      </c>
      <c r="BU46" s="57">
        <f>BU43/资产资本表!BU70</f>
        <v>6.8230191876450019E-2</v>
      </c>
      <c r="BV46" s="57">
        <f>BV43/资产资本表!BV70</f>
        <v>0.1407971938240283</v>
      </c>
      <c r="BW46" s="57">
        <f>BW43/资产资本表!BW70</f>
        <v>5.6822629582042393E-2</v>
      </c>
      <c r="BX46" s="57">
        <f>BX43/资产资本表!BX70</f>
        <v>3.4579672907171288E-2</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36891</v>
      </c>
      <c r="BU48" s="1">
        <v>36707</v>
      </c>
      <c r="BV48" s="1">
        <v>36525</v>
      </c>
      <c r="BW48" s="1">
        <v>36160</v>
      </c>
      <c r="BX48" s="1">
        <v>35795</v>
      </c>
      <c r="BY48" s="1">
        <v>25569</v>
      </c>
      <c r="BZ48" s="1"/>
      <c r="CA48" s="1"/>
      <c r="CB48" s="1"/>
      <c r="CC48" s="1"/>
      <c r="CD48" s="1"/>
      <c r="CE48" s="1"/>
      <c r="CF48" s="1"/>
      <c r="CG48" s="1"/>
      <c r="CH48" s="1"/>
      <c r="CI48" s="1"/>
      <c r="CJ48" s="1"/>
      <c r="CK48" s="1"/>
    </row>
    <row r="49" spans="1:89" s="76" customFormat="1" x14ac:dyDescent="0.25">
      <c r="A49" s="148" t="s">
        <v>464</v>
      </c>
      <c r="E49" s="76">
        <f>利润表!E4</f>
        <v>53123173258.809998</v>
      </c>
      <c r="F49" s="76">
        <f>利润表!F4</f>
        <v>38963503949.470001</v>
      </c>
      <c r="G49" s="76">
        <f>利润表!G4</f>
        <v>24430086476.77</v>
      </c>
      <c r="H49" s="76">
        <f>利润表!H4</f>
        <v>11007048624.780001</v>
      </c>
      <c r="I49" s="76">
        <f>利润表!I4</f>
        <v>30099861530.439999</v>
      </c>
      <c r="J49" s="76">
        <f>利润表!J4</f>
        <v>20932181906.599998</v>
      </c>
      <c r="K49" s="76">
        <f>利润表!K4</f>
        <v>12475770000.66</v>
      </c>
      <c r="L49" s="76">
        <f>利润表!L4</f>
        <v>5299611141.0799999</v>
      </c>
      <c r="M49" s="76">
        <f>利润表!M4</f>
        <v>19492382889.529999</v>
      </c>
      <c r="N49" s="76">
        <f>利润表!N4</f>
        <v>14788324545.110001</v>
      </c>
      <c r="O49" s="76">
        <f>利润表!O4</f>
        <v>10042263367.92</v>
      </c>
      <c r="P49" s="76">
        <f>利润表!P4</f>
        <v>4535504042.1400003</v>
      </c>
      <c r="Q49" s="76">
        <f>利润表!Q4</f>
        <v>22088368488.740002</v>
      </c>
      <c r="R49" s="76">
        <f>利润表!R4</f>
        <v>17760200636.82</v>
      </c>
      <c r="S49" s="76">
        <f>利润表!S4</f>
        <v>11664821009.41</v>
      </c>
      <c r="T49" s="76">
        <f>利润表!T4</f>
        <v>5136453372.2299995</v>
      </c>
      <c r="U49" s="76">
        <f>利润表!U4</f>
        <v>20237973217.990002</v>
      </c>
      <c r="V49" s="76">
        <f>利润表!V4</f>
        <v>15374222330.959999</v>
      </c>
      <c r="W49" s="76">
        <f>利润表!W4</f>
        <v>9975902570.6299992</v>
      </c>
      <c r="X49" s="76">
        <f>利润表!X4</f>
        <v>4776338536.5900002</v>
      </c>
      <c r="Y49" s="76">
        <f>利润表!Y4</f>
        <v>15942126516.790001</v>
      </c>
      <c r="Z49" s="76">
        <f>利润表!Z4</f>
        <v>11420363881.030001</v>
      </c>
      <c r="AA49" s="76">
        <f>利润表!AA4</f>
        <v>7160169875.2299995</v>
      </c>
      <c r="AB49" s="76">
        <f>利润表!AB4</f>
        <v>3281137342.6300001</v>
      </c>
      <c r="AC49" s="76">
        <f>利润表!AC4</f>
        <v>13662307339.379999</v>
      </c>
      <c r="AD49" s="76">
        <f>利润表!AD4</f>
        <v>10509011428.01</v>
      </c>
      <c r="AE49" s="76">
        <f>利润表!AE4</f>
        <v>6878445645.8699999</v>
      </c>
      <c r="AF49" s="76">
        <f>利润表!AF4</f>
        <v>3183673615.0500002</v>
      </c>
      <c r="AG49" s="76">
        <f>利润表!AG4</f>
        <v>9429776859.9500008</v>
      </c>
      <c r="AH49" s="76">
        <f>利润表!AH4</f>
        <v>6705726493.8800001</v>
      </c>
      <c r="AI49" s="76">
        <f>利润表!AI4</f>
        <v>4380333890.5100002</v>
      </c>
      <c r="AJ49" s="76">
        <f>利润表!AJ4</f>
        <v>2049227801.8900001</v>
      </c>
      <c r="AK49" s="76">
        <f>利润表!AK4</f>
        <v>6492919698.9300003</v>
      </c>
      <c r="AL49" s="76">
        <f>利润表!AL4</f>
        <v>4654460556.0100002</v>
      </c>
      <c r="AM49" s="76">
        <f>利润表!AM4</f>
        <v>2749958976.3099999</v>
      </c>
      <c r="AN49" s="76">
        <f>利润表!AN4</f>
        <v>1211789500.1500001</v>
      </c>
      <c r="AO49" s="76">
        <f>利润表!AO4</f>
        <v>7704393026.1300001</v>
      </c>
      <c r="AP49" s="76">
        <f>利润表!AP4</f>
        <v>6172540592.6899996</v>
      </c>
      <c r="AQ49" s="76">
        <f>利润表!AQ4</f>
        <v>4167736314.3200002</v>
      </c>
      <c r="AR49" s="76">
        <f>利润表!AR4</f>
        <v>1965085110.6700001</v>
      </c>
      <c r="AS49" s="76">
        <f>利润表!AS4</f>
        <v>7803583625.5100002</v>
      </c>
      <c r="AT49" s="76">
        <f>利润表!AT4</f>
        <v>5865382373.6400003</v>
      </c>
      <c r="AU49" s="76">
        <f>利润表!AU4</f>
        <v>3528589761.7600002</v>
      </c>
      <c r="AV49" s="76">
        <f>利润表!AV4</f>
        <v>1727878248.71</v>
      </c>
      <c r="AW49" s="76">
        <f>利润表!AW4</f>
        <v>4907571866.4799995</v>
      </c>
      <c r="AX49" s="76">
        <f>利润表!AX4</f>
        <v>3547624934.75</v>
      </c>
      <c r="AY49" s="76">
        <f>利润表!AY4</f>
        <v>2101792902.3800001</v>
      </c>
      <c r="AZ49" s="76">
        <f>利润表!AZ4</f>
        <v>1054923007.15</v>
      </c>
      <c r="BA49" s="76">
        <f>利润表!BA4</f>
        <v>3309540687.9699998</v>
      </c>
      <c r="BB49" s="76">
        <f>利润表!BB4</f>
        <v>2551255783.0999999</v>
      </c>
      <c r="BC49" s="76">
        <f>利润表!BC4</f>
        <v>1619465161.96</v>
      </c>
      <c r="BD49" s="76">
        <f>利润表!BD4</f>
        <v>795088991.48000002</v>
      </c>
      <c r="BE49" s="76">
        <f>利润表!BE4</f>
        <v>2104228713.8</v>
      </c>
      <c r="BF49" s="76">
        <f>利润表!BF4</f>
        <v>1695695569.3199999</v>
      </c>
      <c r="BG49" s="76">
        <f>利润表!BG4</f>
        <v>1054055275.14</v>
      </c>
      <c r="BH49" s="76">
        <f>利润表!BH4</f>
        <v>500646460.10000002</v>
      </c>
      <c r="BI49" s="76">
        <f>利润表!BI4</f>
        <v>1343705425.49</v>
      </c>
      <c r="BJ49" s="76">
        <f>利润表!BJ4</f>
        <v>1010725562.63</v>
      </c>
      <c r="BK49" s="76">
        <f>利润表!BK4</f>
        <v>728837860.20000005</v>
      </c>
      <c r="BL49" s="76">
        <f>利润表!BL4</f>
        <v>365414554.81999999</v>
      </c>
      <c r="BM49" s="76">
        <f>利润表!BM4</f>
        <v>881744022.69000006</v>
      </c>
      <c r="BN49" s="76">
        <f>利润表!BN4</f>
        <v>731509319.00999999</v>
      </c>
      <c r="BO49" s="76">
        <f>利润表!BO4</f>
        <v>439549140.19</v>
      </c>
      <c r="BP49" s="76">
        <f>利润表!BP4</f>
        <v>219102788.52000001</v>
      </c>
      <c r="BQ49" s="76">
        <f>利润表!BQ4</f>
        <v>571288456.37</v>
      </c>
      <c r="BR49" s="76">
        <f>利润表!BR4</f>
        <v>477877800</v>
      </c>
      <c r="BS49" s="76">
        <f>利润表!BS4</f>
        <v>290164514.67000002</v>
      </c>
      <c r="BT49" s="76">
        <f>利润表!BT4</f>
        <v>344853089.67000002</v>
      </c>
      <c r="BU49" s="76">
        <f>利润表!BU4</f>
        <v>160888819.90000001</v>
      </c>
      <c r="BV49" s="76">
        <f>利润表!BV4</f>
        <v>210406102.94</v>
      </c>
      <c r="BW49" s="76">
        <f>利润表!BW4</f>
        <v>180697101.69</v>
      </c>
      <c r="BX49" s="76">
        <f>利润表!BX4</f>
        <v>140004535.75999999</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465</v>
      </c>
      <c r="E50" s="76">
        <f>资产资本表!E50</f>
        <v>9137384226.3999996</v>
      </c>
      <c r="F50" s="76">
        <f>资产资本表!F50</f>
        <v>9163648753.7400017</v>
      </c>
      <c r="G50" s="76">
        <f>资产资本表!G50</f>
        <v>9098165901.6200008</v>
      </c>
      <c r="H50" s="76">
        <f>资产资本表!H50</f>
        <v>4748402884.9799995</v>
      </c>
      <c r="I50" s="76">
        <f>资产资本表!I50</f>
        <v>1094826724.3099995</v>
      </c>
      <c r="J50" s="76">
        <f>资产资本表!J50</f>
        <v>427111014.3500042</v>
      </c>
      <c r="K50" s="76">
        <f>资产资本表!K50</f>
        <v>1772871219.7699986</v>
      </c>
      <c r="L50" s="76">
        <f>资产资本表!L50</f>
        <v>855075991.47999859</v>
      </c>
      <c r="M50" s="76">
        <f>资产资本表!M50</f>
        <v>1897817179.5699987</v>
      </c>
      <c r="N50" s="76">
        <f>资产资本表!N50</f>
        <v>3285722939.9999981</v>
      </c>
      <c r="O50" s="76">
        <f>资产资本表!O50</f>
        <v>2511411663.5599995</v>
      </c>
      <c r="P50" s="76">
        <f>资产资本表!P50</f>
        <v>3737131530.0600014</v>
      </c>
      <c r="Q50" s="76">
        <f>资产资本表!Q50</f>
        <v>2568054640.8699989</v>
      </c>
      <c r="R50" s="76">
        <f>资产资本表!R50</f>
        <v>2595518572.5500002</v>
      </c>
      <c r="S50" s="76">
        <f>资产资本表!S50</f>
        <v>3764345239.46</v>
      </c>
      <c r="T50" s="76">
        <f>资产资本表!T50</f>
        <v>3233358907.3699989</v>
      </c>
      <c r="U50" s="76">
        <f>资产资本表!U50</f>
        <v>1992077988.9899998</v>
      </c>
      <c r="V50" s="76">
        <f>资产资本表!V50</f>
        <v>3868929750.6200008</v>
      </c>
      <c r="W50" s="76">
        <f>资产资本表!W50</f>
        <v>4061510920.7600002</v>
      </c>
      <c r="X50" s="76">
        <f>资产资本表!X50</f>
        <v>4112388298.4499993</v>
      </c>
      <c r="Y50" s="76">
        <f>资产资本表!Y50</f>
        <v>3637683221.2400002</v>
      </c>
      <c r="Z50" s="76">
        <f>资产资本表!Z50</f>
        <v>5332459529.6999979</v>
      </c>
      <c r="AA50" s="76">
        <f>资产资本表!AA50</f>
        <v>4676653230.4200001</v>
      </c>
      <c r="AB50" s="76">
        <f>资产资本表!AB50</f>
        <v>4422620156.4400005</v>
      </c>
      <c r="AC50" s="76">
        <f>资产资本表!AC50</f>
        <v>3614410068.1599998</v>
      </c>
      <c r="AD50" s="76">
        <f>资产资本表!AD50</f>
        <v>3557972787.4200001</v>
      </c>
      <c r="AE50" s="76">
        <f>资产资本表!AE50</f>
        <v>3496150481.8700008</v>
      </c>
      <c r="AF50" s="76">
        <f>资产资本表!AF50</f>
        <v>3304654404.3600001</v>
      </c>
      <c r="AG50" s="76">
        <f>资产资本表!AG50</f>
        <v>2725407551.3399997</v>
      </c>
      <c r="AH50" s="76">
        <f>资产资本表!AH50</f>
        <v>2663640658.2400002</v>
      </c>
      <c r="AI50" s="76">
        <f>资产资本表!AI50</f>
        <v>1985632391.1400003</v>
      </c>
      <c r="AJ50" s="76">
        <f>资产资本表!AJ50</f>
        <v>1714671914.8999996</v>
      </c>
      <c r="AK50" s="76">
        <f>资产资本表!AK50</f>
        <v>1580080895.7999997</v>
      </c>
      <c r="AL50" s="76">
        <f>资产资本表!AL50</f>
        <v>2381564808</v>
      </c>
      <c r="AM50" s="76">
        <f>资产资本表!AM50</f>
        <v>2075152422.1499996</v>
      </c>
      <c r="AN50" s="76">
        <f>资产资本表!AN50</f>
        <v>1713152119.1699998</v>
      </c>
      <c r="AO50" s="76">
        <f>资产资本表!AO50</f>
        <v>1848442956.6999998</v>
      </c>
      <c r="AP50" s="76">
        <f>资产资本表!AP50</f>
        <v>2566112259.7200003</v>
      </c>
      <c r="AQ50" s="76">
        <f>资产资本表!AQ50</f>
        <v>2644997334.98</v>
      </c>
      <c r="AR50" s="76">
        <f>资产资本表!AR50</f>
        <v>2427477533.3000002</v>
      </c>
      <c r="AS50" s="76">
        <f>资产资本表!AS50</f>
        <v>1601103883.23</v>
      </c>
      <c r="AT50" s="76">
        <f>资产资本表!AT50</f>
        <v>1163866849.5599999</v>
      </c>
      <c r="AU50" s="76">
        <f>资产资本表!AU50</f>
        <v>1147312584.1200001</v>
      </c>
      <c r="AV50" s="76">
        <f>资产资本表!AV50</f>
        <v>1108498988.23</v>
      </c>
      <c r="AW50" s="76">
        <f>资产资本表!AW50</f>
        <v>367035247.58000004</v>
      </c>
      <c r="AX50" s="76">
        <f>资产资本表!AX50</f>
        <v>319187480.35000002</v>
      </c>
      <c r="AY50" s="76">
        <f>资产资本表!AY50</f>
        <v>142988903.90999985</v>
      </c>
      <c r="AZ50" s="76">
        <f>资产资本表!AZ50</f>
        <v>246847415.45999992</v>
      </c>
      <c r="BA50" s="76">
        <f>资产资本表!BA50</f>
        <v>-33042064.320000052</v>
      </c>
      <c r="BB50" s="76">
        <f>资产资本表!BB50</f>
        <v>55206208.629999995</v>
      </c>
      <c r="BC50" s="76">
        <f>资产资本表!BC50</f>
        <v>111212269.33000004</v>
      </c>
      <c r="BD50" s="76">
        <f>资产资本表!BD50</f>
        <v>-20740992.829999924</v>
      </c>
      <c r="BE50" s="76">
        <f>资产资本表!BE50</f>
        <v>72604013.649999976</v>
      </c>
      <c r="BF50" s="76">
        <f>资产资本表!BF50</f>
        <v>-101536782.21000004</v>
      </c>
      <c r="BG50" s="76">
        <f>资产资本表!BG50</f>
        <v>-228113255.24999994</v>
      </c>
      <c r="BH50" s="76">
        <f>资产资本表!BH50</f>
        <v>-10272168.180000007</v>
      </c>
      <c r="BI50" s="76">
        <f>资产资本表!BI50</f>
        <v>-48319084.850000024</v>
      </c>
      <c r="BJ50" s="76">
        <f>资产资本表!BJ50</f>
        <v>45728451.019999981</v>
      </c>
      <c r="BK50" s="76">
        <f>资产资本表!BK50</f>
        <v>169873366.78999996</v>
      </c>
      <c r="BL50" s="76">
        <f>资产资本表!BL50</f>
        <v>174461044.75</v>
      </c>
      <c r="BM50" s="76">
        <f>资产资本表!BM50</f>
        <v>89081973.099999994</v>
      </c>
      <c r="BN50" s="76">
        <f>资产资本表!BN50</f>
        <v>153130495.05000001</v>
      </c>
      <c r="BO50" s="76">
        <f>资产资本表!BO50</f>
        <v>190693588.65000001</v>
      </c>
      <c r="BP50" s="76">
        <f>资产资本表!BP50</f>
        <v>134393163.49000001</v>
      </c>
      <c r="BQ50" s="76">
        <f>资产资本表!BQ50</f>
        <v>79958015.530000001</v>
      </c>
      <c r="BR50" s="76">
        <f>资产资本表!BR50</f>
        <v>0</v>
      </c>
      <c r="BS50" s="76">
        <f>资产资本表!BS50</f>
        <v>79342735.510000005</v>
      </c>
      <c r="BT50" s="76">
        <f>资产资本表!BT50</f>
        <v>27173213.830000006</v>
      </c>
      <c r="BU50" s="76">
        <f>资产资本表!BU50</f>
        <v>86216990</v>
      </c>
      <c r="BV50" s="76">
        <f>资产资本表!BV50</f>
        <v>31257870.080000002</v>
      </c>
      <c r="BW50" s="76">
        <f>资产资本表!BW50</f>
        <v>28298458.889999997</v>
      </c>
      <c r="BX50" s="76">
        <f>资产资本表!BX50</f>
        <v>60825756.07</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466</v>
      </c>
      <c r="E51" s="44">
        <f>E49/E50</f>
        <v>5.813827233545128</v>
      </c>
      <c r="F51" s="44">
        <f t="shared" ref="F51:BQ51" si="18">F49/F50</f>
        <v>4.2519639279678465</v>
      </c>
      <c r="G51" s="44">
        <f t="shared" si="18"/>
        <v>2.685166080827349</v>
      </c>
      <c r="H51" s="44">
        <f t="shared" si="18"/>
        <v>2.3180528045750193</v>
      </c>
      <c r="I51" s="44">
        <f t="shared" si="18"/>
        <v>27.492808553253074</v>
      </c>
      <c r="J51" s="44">
        <f t="shared" si="18"/>
        <v>49.008761664588512</v>
      </c>
      <c r="K51" s="44">
        <f t="shared" si="18"/>
        <v>7.0370424323761824</v>
      </c>
      <c r="L51" s="44">
        <f t="shared" si="18"/>
        <v>6.1978247476077861</v>
      </c>
      <c r="M51" s="44">
        <f t="shared" si="18"/>
        <v>10.270948697991299</v>
      </c>
      <c r="N51" s="44">
        <f t="shared" si="18"/>
        <v>4.5007825721026888</v>
      </c>
      <c r="O51" s="44">
        <f t="shared" si="18"/>
        <v>3.9986528348302715</v>
      </c>
      <c r="P51" s="44">
        <f t="shared" si="18"/>
        <v>1.213632435909255</v>
      </c>
      <c r="Q51" s="44">
        <f t="shared" si="18"/>
        <v>8.6012065854085407</v>
      </c>
      <c r="R51" s="44">
        <f t="shared" si="18"/>
        <v>6.8426405515454531</v>
      </c>
      <c r="S51" s="44">
        <f t="shared" si="18"/>
        <v>3.0987649291921304</v>
      </c>
      <c r="T51" s="44">
        <f t="shared" si="18"/>
        <v>1.5885812615859494</v>
      </c>
      <c r="U51" s="44">
        <f t="shared" si="18"/>
        <v>10.159227364512383</v>
      </c>
      <c r="V51" s="44">
        <f t="shared" si="18"/>
        <v>3.9737662149322461</v>
      </c>
      <c r="W51" s="44">
        <f t="shared" si="18"/>
        <v>2.456204788134186</v>
      </c>
      <c r="X51" s="44">
        <f t="shared" si="18"/>
        <v>1.1614512516705318</v>
      </c>
      <c r="Y51" s="44">
        <f t="shared" si="18"/>
        <v>4.3824944469341967</v>
      </c>
      <c r="Z51" s="44">
        <f t="shared" si="18"/>
        <v>2.1416691148657447</v>
      </c>
      <c r="AA51" s="44">
        <f t="shared" si="18"/>
        <v>1.5310457120608363</v>
      </c>
      <c r="AB51" s="44">
        <f t="shared" si="18"/>
        <v>0.74189897087412549</v>
      </c>
      <c r="AC51" s="44">
        <f t="shared" si="18"/>
        <v>3.7799549806851651</v>
      </c>
      <c r="AD51" s="44">
        <f t="shared" si="18"/>
        <v>2.9536514346503533</v>
      </c>
      <c r="AE51" s="44">
        <f t="shared" si="18"/>
        <v>1.967434091163861</v>
      </c>
      <c r="AF51" s="44">
        <f t="shared" si="18"/>
        <v>0.96339078932115152</v>
      </c>
      <c r="AG51" s="44">
        <f t="shared" si="18"/>
        <v>3.4599511017402396</v>
      </c>
      <c r="AH51" s="44">
        <f t="shared" si="18"/>
        <v>2.5175041810297367</v>
      </c>
      <c r="AI51" s="44">
        <f t="shared" si="18"/>
        <v>2.2060145221518788</v>
      </c>
      <c r="AJ51" s="44">
        <f t="shared" si="18"/>
        <v>1.195113644821967</v>
      </c>
      <c r="AK51" s="44">
        <f t="shared" si="18"/>
        <v>4.1092324552424992</v>
      </c>
      <c r="AL51" s="44">
        <f t="shared" si="18"/>
        <v>1.9543707315354317</v>
      </c>
      <c r="AM51" s="44">
        <f t="shared" si="18"/>
        <v>1.3251840910369632</v>
      </c>
      <c r="AN51" s="44">
        <f t="shared" si="18"/>
        <v>0.70734495004278808</v>
      </c>
      <c r="AO51" s="44">
        <f t="shared" si="18"/>
        <v>4.1680447850468418</v>
      </c>
      <c r="AP51" s="44">
        <f t="shared" si="18"/>
        <v>2.4054055193062802</v>
      </c>
      <c r="AQ51" s="44">
        <f t="shared" si="18"/>
        <v>1.575705298149767</v>
      </c>
      <c r="AR51" s="44">
        <f t="shared" si="18"/>
        <v>0.80951732146356581</v>
      </c>
      <c r="AS51" s="44">
        <f t="shared" si="18"/>
        <v>4.8738771464143706</v>
      </c>
      <c r="AT51" s="44">
        <f t="shared" si="18"/>
        <v>5.0395647713975267</v>
      </c>
      <c r="AU51" s="44">
        <f t="shared" si="18"/>
        <v>3.075526069006262</v>
      </c>
      <c r="AV51" s="44">
        <f t="shared" si="18"/>
        <v>1.5587549172859383</v>
      </c>
      <c r="AW51" s="44">
        <f t="shared" si="18"/>
        <v>13.370846257511907</v>
      </c>
      <c r="AX51" s="44">
        <f t="shared" si="18"/>
        <v>11.114549138518552</v>
      </c>
      <c r="AY51" s="44">
        <f t="shared" si="18"/>
        <v>14.698993033074172</v>
      </c>
      <c r="AZ51" s="44">
        <f t="shared" si="18"/>
        <v>4.2735833599235864</v>
      </c>
      <c r="BA51" s="44">
        <f t="shared" si="18"/>
        <v>-100.16143833866838</v>
      </c>
      <c r="BB51" s="44">
        <f t="shared" si="18"/>
        <v>46.213204029258478</v>
      </c>
      <c r="BC51" s="44">
        <f t="shared" si="18"/>
        <v>14.561928928494057</v>
      </c>
      <c r="BD51" s="44">
        <f t="shared" si="18"/>
        <v>-38.334181878216434</v>
      </c>
      <c r="BE51" s="44">
        <f t="shared" si="18"/>
        <v>28.982264313152069</v>
      </c>
      <c r="BF51" s="44">
        <f t="shared" si="18"/>
        <v>-16.700308325833436</v>
      </c>
      <c r="BG51" s="44">
        <f t="shared" si="18"/>
        <v>-4.6207541687343499</v>
      </c>
      <c r="BH51" s="44">
        <f t="shared" si="18"/>
        <v>-48.738148687514936</v>
      </c>
      <c r="BI51" s="44">
        <f t="shared" si="18"/>
        <v>-27.80899989437609</v>
      </c>
      <c r="BJ51" s="44">
        <f t="shared" si="18"/>
        <v>22.102772783358546</v>
      </c>
      <c r="BK51" s="44">
        <f t="shared" si="18"/>
        <v>4.2904775125873647</v>
      </c>
      <c r="BL51" s="44">
        <f t="shared" si="18"/>
        <v>2.0945337988983925</v>
      </c>
      <c r="BM51" s="44">
        <f t="shared" si="18"/>
        <v>9.8981195858806146</v>
      </c>
      <c r="BN51" s="44">
        <f t="shared" si="18"/>
        <v>4.7770322872080335</v>
      </c>
      <c r="BO51" s="44">
        <f t="shared" si="18"/>
        <v>2.3050021938427658</v>
      </c>
      <c r="BP51" s="44">
        <f t="shared" si="18"/>
        <v>1.6303120101514919</v>
      </c>
      <c r="BQ51" s="44">
        <f t="shared" si="18"/>
        <v>7.1448553666974677</v>
      </c>
      <c r="BR51" s="44" t="e">
        <f t="shared" ref="BR51:CJ51" si="19">BR49/BR50</f>
        <v>#DIV/0!</v>
      </c>
      <c r="BS51" s="44">
        <f t="shared" si="19"/>
        <v>3.6571024783161019</v>
      </c>
      <c r="BT51" s="44">
        <f t="shared" si="19"/>
        <v>12.690920250635658</v>
      </c>
      <c r="BU51" s="44">
        <f t="shared" si="19"/>
        <v>1.8660918213451896</v>
      </c>
      <c r="BV51" s="44">
        <f t="shared" si="19"/>
        <v>6.7313000662391893</v>
      </c>
      <c r="BW51" s="44">
        <f t="shared" si="19"/>
        <v>6.3854043215708138</v>
      </c>
      <c r="BX51" s="44">
        <f t="shared" si="19"/>
        <v>2.3017311219095875</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467</v>
      </c>
      <c r="E52" s="76">
        <f>资产资本表!E68</f>
        <v>39748194400.440002</v>
      </c>
      <c r="F52" s="76">
        <f>资产资本表!F68</f>
        <v>38266585434.809998</v>
      </c>
      <c r="G52" s="76">
        <f>资产资本表!G68</f>
        <v>37543222477.270004</v>
      </c>
      <c r="H52" s="76">
        <f>资产资本表!H68</f>
        <v>37166652945.050003</v>
      </c>
      <c r="I52" s="76">
        <f>资产资本表!I68</f>
        <v>36850869995.320007</v>
      </c>
      <c r="J52" s="76">
        <f>资产资本表!J68</f>
        <v>36706423293.400002</v>
      </c>
      <c r="K52" s="76">
        <f>资产资本表!K68</f>
        <v>37322138469.719994</v>
      </c>
      <c r="L52" s="76">
        <f>资产资本表!L68</f>
        <v>36810341234.300003</v>
      </c>
      <c r="M52" s="76">
        <f>资产资本表!M68</f>
        <v>36303131422.219994</v>
      </c>
      <c r="N52" s="76">
        <f>资产资本表!N68</f>
        <v>34850737752.839996</v>
      </c>
      <c r="O52" s="76">
        <f>资产资本表!O68</f>
        <v>33858558991.769997</v>
      </c>
      <c r="P52" s="76">
        <f>资产资本表!P68</f>
        <v>32679625333.449997</v>
      </c>
      <c r="Q52" s="76">
        <f>资产资本表!Q68</f>
        <v>31512901732.75</v>
      </c>
      <c r="R52" s="76">
        <f>资产资本表!R68</f>
        <v>29201545436.389996</v>
      </c>
      <c r="S52" s="76">
        <f>资产资本表!S68</f>
        <v>25648022499.719994</v>
      </c>
      <c r="T52" s="76">
        <f>资产资本表!T68</f>
        <v>24625792996.279999</v>
      </c>
      <c r="U52" s="76">
        <f>资产资本表!U68</f>
        <v>22614029100.599998</v>
      </c>
      <c r="V52" s="76">
        <f>资产资本表!V68</f>
        <v>18929487633.280003</v>
      </c>
      <c r="W52" s="76">
        <f>资产资本表!W68</f>
        <v>16887632086.980001</v>
      </c>
      <c r="X52" s="76">
        <f>资产资本表!X68</f>
        <v>15188260539.459999</v>
      </c>
      <c r="Y52" s="76">
        <f>资产资本表!Y68</f>
        <v>13986412958.35</v>
      </c>
      <c r="Z52" s="76">
        <f>资产资本表!Z68</f>
        <v>11477557962.650003</v>
      </c>
      <c r="AA52" s="76">
        <f>资产资本表!AA68</f>
        <v>10693236840.370001</v>
      </c>
      <c r="AB52" s="76">
        <f>资产资本表!AB68</f>
        <v>10200808487.629999</v>
      </c>
      <c r="AC52" s="76">
        <f>资产资本表!AC68</f>
        <v>9638498145.3400002</v>
      </c>
      <c r="AD52" s="76">
        <f>资产资本表!AD68</f>
        <v>8967893306.0699978</v>
      </c>
      <c r="AE52" s="76">
        <f>资产资本表!AE68</f>
        <v>8685247547.1399994</v>
      </c>
      <c r="AF52" s="76">
        <f>资产资本表!AF68</f>
        <v>8497978774.9099998</v>
      </c>
      <c r="AG52" s="76">
        <f>资产资本表!AG68</f>
        <v>7920095595.0099993</v>
      </c>
      <c r="AH52" s="76">
        <f>资产资本表!AH68</f>
        <v>6657488811.2200012</v>
      </c>
      <c r="AI52" s="76">
        <f>资产资本表!AI68</f>
        <v>6474922417.8699999</v>
      </c>
      <c r="AJ52" s="76">
        <f>资产资本表!AJ68</f>
        <v>6184581578.2399998</v>
      </c>
      <c r="AK52" s="76">
        <f>资产资本表!AK68</f>
        <v>5698994178.1400013</v>
      </c>
      <c r="AL52" s="76">
        <f>资产资本表!AL68</f>
        <v>4739928521.1199999</v>
      </c>
      <c r="AM52" s="76">
        <f>资产资本表!AM68</f>
        <v>4063393229.3899994</v>
      </c>
      <c r="AN52" s="76">
        <f>资产资本表!AN68</f>
        <v>3891243691.3700004</v>
      </c>
      <c r="AO52" s="76">
        <f>资产资本表!AO68</f>
        <v>3840074226.4599996</v>
      </c>
      <c r="AP52" s="76">
        <f>资产资本表!AP68</f>
        <v>3662967347.1600003</v>
      </c>
      <c r="AQ52" s="76">
        <f>资产资本表!AQ68</f>
        <v>3511838471.1299996</v>
      </c>
      <c r="AR52" s="76">
        <f>资产资本表!AR68</f>
        <v>3473790851.6499996</v>
      </c>
      <c r="AS52" s="76">
        <f>资产资本表!AS68</f>
        <v>3494484697.0100007</v>
      </c>
      <c r="AT52" s="76">
        <f>资产资本表!AT68</f>
        <v>3441412903.6999993</v>
      </c>
      <c r="AU52" s="76">
        <f>资产资本表!AU68</f>
        <v>3411765793.5900006</v>
      </c>
      <c r="AV52" s="76">
        <f>资产资本表!AV68</f>
        <v>3394773815.0100002</v>
      </c>
      <c r="AW52" s="76">
        <f>资产资本表!AW68</f>
        <v>3680840867.2600002</v>
      </c>
      <c r="AX52" s="76">
        <f>资产资本表!AX68</f>
        <v>3532156519.4499998</v>
      </c>
      <c r="AY52" s="76">
        <f>资产资本表!AY68</f>
        <v>3519464536.4500003</v>
      </c>
      <c r="AZ52" s="76">
        <f>资产资本表!AZ68</f>
        <v>3526255050.9299998</v>
      </c>
      <c r="BA52" s="76">
        <f>资产资本表!BA68</f>
        <v>3454227610.9499998</v>
      </c>
      <c r="BB52" s="76">
        <f>资产资本表!BB68</f>
        <v>3116018063.3999996</v>
      </c>
      <c r="BC52" s="76">
        <f>资产资本表!BC68</f>
        <v>2869331853.6799998</v>
      </c>
      <c r="BD52" s="76">
        <f>资产资本表!BD68</f>
        <v>2408875807.1500001</v>
      </c>
      <c r="BE52" s="76">
        <f>资产资本表!BE68</f>
        <v>2070131818.3599999</v>
      </c>
      <c r="BF52" s="76">
        <f>资产资本表!BF68</f>
        <v>1573081129.0300002</v>
      </c>
      <c r="BG52" s="76">
        <f>资产资本表!BG68</f>
        <v>1223385224.3900003</v>
      </c>
      <c r="BH52" s="76">
        <f>资产资本表!BH68</f>
        <v>997468677.71000004</v>
      </c>
      <c r="BI52" s="76">
        <f>资产资本表!BI68</f>
        <v>889713016.33000004</v>
      </c>
      <c r="BJ52" s="76">
        <f>资产资本表!BJ68</f>
        <v>711221110.63999999</v>
      </c>
      <c r="BK52" s="76">
        <f>资产资本表!BK68</f>
        <v>621524029.53999996</v>
      </c>
      <c r="BL52" s="76">
        <f>资产资本表!BL68</f>
        <v>586336363.18000007</v>
      </c>
      <c r="BM52" s="76">
        <f>资产资本表!BM68</f>
        <v>559431649.25</v>
      </c>
      <c r="BN52" s="76">
        <f>资产资本表!BN68</f>
        <v>495327269.68000007</v>
      </c>
      <c r="BO52" s="76">
        <f>资产资本表!BO68</f>
        <v>451802905.35000002</v>
      </c>
      <c r="BP52" s="76">
        <f>资产资本表!BP68</f>
        <v>432990792.93000001</v>
      </c>
      <c r="BQ52" s="76">
        <f>资产资本表!BQ68</f>
        <v>414138790.77000004</v>
      </c>
      <c r="BR52" s="76">
        <f>资产资本表!BR68</f>
        <v>0</v>
      </c>
      <c r="BS52" s="76">
        <f>资产资本表!BS68</f>
        <v>311335659.87</v>
      </c>
      <c r="BT52" s="76">
        <f>资产资本表!BT68</f>
        <v>224672437.96000001</v>
      </c>
      <c r="BU52" s="76">
        <f>资产资本表!BU68</f>
        <v>156256645.53</v>
      </c>
      <c r="BV52" s="76">
        <f>资产资本表!BV68</f>
        <v>163246201.41</v>
      </c>
      <c r="BW52" s="76">
        <f>资产资本表!BW68</f>
        <v>155380425.27000001</v>
      </c>
      <c r="BX52" s="76">
        <f>资产资本表!BX68</f>
        <v>90358829.920000002</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468</v>
      </c>
      <c r="E53" s="44">
        <f>E49/E52</f>
        <v>1.3364927403651305</v>
      </c>
      <c r="F53" s="44">
        <f t="shared" ref="F53:BQ53" si="20">F49/F52</f>
        <v>1.0182121949669969</v>
      </c>
      <c r="G53" s="44">
        <f t="shared" si="20"/>
        <v>0.65071895444139993</v>
      </c>
      <c r="H53" s="44">
        <f t="shared" si="20"/>
        <v>0.2961538839952485</v>
      </c>
      <c r="I53" s="44">
        <f t="shared" si="20"/>
        <v>0.81680192446644073</v>
      </c>
      <c r="J53" s="44">
        <f t="shared" si="20"/>
        <v>0.57025937229802803</v>
      </c>
      <c r="K53" s="44">
        <f t="shared" si="20"/>
        <v>0.33427264653609756</v>
      </c>
      <c r="L53" s="44">
        <f t="shared" si="20"/>
        <v>0.14397071484199675</v>
      </c>
      <c r="M53" s="44">
        <f t="shared" si="20"/>
        <v>0.53693392624525305</v>
      </c>
      <c r="N53" s="44">
        <f t="shared" si="20"/>
        <v>0.42433318485215987</v>
      </c>
      <c r="O53" s="44">
        <f t="shared" si="20"/>
        <v>0.29659452932893493</v>
      </c>
      <c r="P53" s="44">
        <f t="shared" si="20"/>
        <v>0.13878690455785547</v>
      </c>
      <c r="Q53" s="44">
        <f t="shared" si="20"/>
        <v>0.70093096078754669</v>
      </c>
      <c r="R53" s="44">
        <f t="shared" si="20"/>
        <v>0.60819385999645859</v>
      </c>
      <c r="S53" s="44">
        <f t="shared" si="20"/>
        <v>0.45480391361701855</v>
      </c>
      <c r="T53" s="44">
        <f t="shared" si="20"/>
        <v>0.20858022208689556</v>
      </c>
      <c r="U53" s="44">
        <f t="shared" si="20"/>
        <v>0.89493000685371216</v>
      </c>
      <c r="V53" s="44">
        <f t="shared" si="20"/>
        <v>0.81218375419366984</v>
      </c>
      <c r="W53" s="44">
        <f t="shared" si="20"/>
        <v>0.59072240082262351</v>
      </c>
      <c r="X53" s="44">
        <f t="shared" si="20"/>
        <v>0.31447567838204976</v>
      </c>
      <c r="Y53" s="44">
        <f t="shared" si="20"/>
        <v>1.1398295305782762</v>
      </c>
      <c r="Z53" s="44">
        <f t="shared" si="20"/>
        <v>0.99501687712611664</v>
      </c>
      <c r="AA53" s="44">
        <f t="shared" si="20"/>
        <v>0.66959798815998617</v>
      </c>
      <c r="AB53" s="44">
        <f t="shared" si="20"/>
        <v>0.32165463616034634</v>
      </c>
      <c r="AC53" s="44">
        <f t="shared" si="20"/>
        <v>1.4174726324956988</v>
      </c>
      <c r="AD53" s="44">
        <f t="shared" si="20"/>
        <v>1.1718484006602625</v>
      </c>
      <c r="AE53" s="44">
        <f t="shared" si="20"/>
        <v>0.79196886542802469</v>
      </c>
      <c r="AF53" s="44">
        <f t="shared" si="20"/>
        <v>0.37463892289890049</v>
      </c>
      <c r="AG53" s="44">
        <f t="shared" si="20"/>
        <v>1.1906140206048985</v>
      </c>
      <c r="AH53" s="44">
        <f t="shared" si="20"/>
        <v>1.0072456272969927</v>
      </c>
      <c r="AI53" s="44">
        <f t="shared" si="20"/>
        <v>0.67650754832533755</v>
      </c>
      <c r="AJ53" s="44">
        <f t="shared" si="20"/>
        <v>0.33134461498576701</v>
      </c>
      <c r="AK53" s="44">
        <f t="shared" si="20"/>
        <v>1.1393097616830896</v>
      </c>
      <c r="AL53" s="44">
        <f t="shared" si="20"/>
        <v>0.98196851181844313</v>
      </c>
      <c r="AM53" s="44">
        <f t="shared" si="20"/>
        <v>0.67676417739240724</v>
      </c>
      <c r="AN53" s="44">
        <f t="shared" si="20"/>
        <v>0.31141444644998889</v>
      </c>
      <c r="AO53" s="44">
        <f t="shared" si="20"/>
        <v>2.0063135689000342</v>
      </c>
      <c r="AP53" s="44">
        <f t="shared" si="20"/>
        <v>1.685120288466601</v>
      </c>
      <c r="AQ53" s="44">
        <f t="shared" si="20"/>
        <v>1.1867676570497143</v>
      </c>
      <c r="AR53" s="44">
        <f t="shared" si="20"/>
        <v>0.56568895324731872</v>
      </c>
      <c r="AS53" s="44">
        <f t="shared" si="20"/>
        <v>2.2331142649406965</v>
      </c>
      <c r="AT53" s="44">
        <f t="shared" si="20"/>
        <v>1.7043529904051604</v>
      </c>
      <c r="AU53" s="44">
        <f t="shared" si="20"/>
        <v>1.0342414969953353</v>
      </c>
      <c r="AV53" s="44">
        <f t="shared" si="20"/>
        <v>0.50898184764775267</v>
      </c>
      <c r="AW53" s="44">
        <f t="shared" si="20"/>
        <v>1.3332746628987446</v>
      </c>
      <c r="AX53" s="44">
        <f t="shared" si="20"/>
        <v>1.0043793119627691</v>
      </c>
      <c r="AY53" s="44">
        <f t="shared" si="20"/>
        <v>0.59719110126338382</v>
      </c>
      <c r="AZ53" s="44">
        <f t="shared" si="20"/>
        <v>0.29916242356654804</v>
      </c>
      <c r="BA53" s="44">
        <f t="shared" si="20"/>
        <v>0.95811308944397922</v>
      </c>
      <c r="BB53" s="44">
        <f t="shared" si="20"/>
        <v>0.81875513273380474</v>
      </c>
      <c r="BC53" s="44">
        <f t="shared" si="20"/>
        <v>0.56440497110258958</v>
      </c>
      <c r="BD53" s="44">
        <f t="shared" si="20"/>
        <v>0.3300664106966516</v>
      </c>
      <c r="BE53" s="44">
        <f t="shared" si="20"/>
        <v>1.0164708812924832</v>
      </c>
      <c r="BF53" s="44">
        <f t="shared" si="20"/>
        <v>1.0779454015608252</v>
      </c>
      <c r="BG53" s="44">
        <f t="shared" si="20"/>
        <v>0.86158901883547678</v>
      </c>
      <c r="BH53" s="44">
        <f t="shared" si="20"/>
        <v>0.50191697372331523</v>
      </c>
      <c r="BI53" s="44">
        <f t="shared" si="20"/>
        <v>1.5102683683697073</v>
      </c>
      <c r="BJ53" s="44">
        <f t="shared" si="20"/>
        <v>1.4211129949735148</v>
      </c>
      <c r="BK53" s="44">
        <f t="shared" si="20"/>
        <v>1.1726624000996788</v>
      </c>
      <c r="BL53" s="44">
        <f t="shared" si="20"/>
        <v>0.6232166001749766</v>
      </c>
      <c r="BM53" s="44">
        <f t="shared" si="20"/>
        <v>1.5761425437264891</v>
      </c>
      <c r="BN53" s="44">
        <f t="shared" si="20"/>
        <v>1.4768202031004316</v>
      </c>
      <c r="BO53" s="44">
        <f t="shared" si="20"/>
        <v>0.97287807356947531</v>
      </c>
      <c r="BP53" s="44">
        <f t="shared" si="20"/>
        <v>0.50602181870278595</v>
      </c>
      <c r="BQ53" s="44">
        <f t="shared" si="20"/>
        <v>1.3794613523350825</v>
      </c>
      <c r="BR53" s="44" t="e">
        <f t="shared" ref="BR53:CK53" si="21">BR49/BR52</f>
        <v>#DIV/0!</v>
      </c>
      <c r="BS53" s="44">
        <f t="shared" si="21"/>
        <v>0.93199897111419838</v>
      </c>
      <c r="BT53" s="44">
        <f t="shared" si="21"/>
        <v>1.5349149757808593</v>
      </c>
      <c r="BU53" s="44">
        <f t="shared" si="21"/>
        <v>1.0296446551395515</v>
      </c>
      <c r="BV53" s="44">
        <f t="shared" si="21"/>
        <v>1.288888201518122</v>
      </c>
      <c r="BW53" s="44">
        <f t="shared" si="21"/>
        <v>1.1629334993517231</v>
      </c>
      <c r="BX53" s="44">
        <f t="shared" si="21"/>
        <v>1.5494283833019336</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469</v>
      </c>
      <c r="E54" s="76">
        <f>资产资本表!E17</f>
        <v>3082974654.1799998</v>
      </c>
      <c r="F54" s="76">
        <f>资产资本表!F17</f>
        <v>2774797102.4400001</v>
      </c>
      <c r="G54" s="76">
        <f>资产资本表!G17</f>
        <v>2413037124.25</v>
      </c>
      <c r="H54" s="76">
        <f>资产资本表!H17</f>
        <v>3018524978.0999999</v>
      </c>
      <c r="I54" s="76">
        <f>资产资本表!I17</f>
        <v>2006803439.1900001</v>
      </c>
      <c r="J54" s="76">
        <f>资产资本表!J17</f>
        <v>2450345859.8299999</v>
      </c>
      <c r="K54" s="76">
        <f>资产资本表!K17</f>
        <v>1980750668.1900001</v>
      </c>
      <c r="L54" s="76">
        <f>资产资本表!L17</f>
        <v>2560873154.1500001</v>
      </c>
      <c r="M54" s="76">
        <f>资产资本表!M17</f>
        <v>2086361762.97</v>
      </c>
      <c r="N54" s="76">
        <f>资产资本表!N17</f>
        <v>1295053147.9300001</v>
      </c>
      <c r="O54" s="76">
        <f>资产资本表!O17</f>
        <v>1077010529.8699999</v>
      </c>
      <c r="P54" s="76">
        <f>资产资本表!P17</f>
        <v>1193649598.96</v>
      </c>
      <c r="Q54" s="76">
        <f>资产资本表!Q17</f>
        <v>1052235238.01</v>
      </c>
      <c r="R54" s="76">
        <f>资产资本表!R17</f>
        <v>1112477936.96</v>
      </c>
      <c r="S54" s="76">
        <f>资产资本表!S17</f>
        <v>1738615276.3199999</v>
      </c>
      <c r="T54" s="76">
        <f>资产资本表!T17</f>
        <v>1733239725.05</v>
      </c>
      <c r="U54" s="76">
        <f>资产资本表!U17</f>
        <v>1065182382.29</v>
      </c>
      <c r="V54" s="76">
        <f>资产资本表!V17</f>
        <v>1147001980.8299999</v>
      </c>
      <c r="W54" s="76">
        <f>资产资本表!W17</f>
        <v>1476191069.95</v>
      </c>
      <c r="X54" s="76">
        <f>资产资本表!X17</f>
        <v>1912137275.99</v>
      </c>
      <c r="Y54" s="76">
        <f>资产资本表!Y17</f>
        <v>1481246941.1800001</v>
      </c>
      <c r="Z54" s="76">
        <f>资产资本表!Z17</f>
        <v>618164410.21000004</v>
      </c>
      <c r="AA54" s="76">
        <f>资产资本表!AA17</f>
        <v>825454040.50999999</v>
      </c>
      <c r="AB54" s="76">
        <f>资产资本表!AB17</f>
        <v>1379366488.8800001</v>
      </c>
      <c r="AC54" s="76">
        <f>资产资本表!AC17</f>
        <v>1912246999.96</v>
      </c>
      <c r="AD54" s="76">
        <f>资产资本表!AD17</f>
        <v>789220917.44000006</v>
      </c>
      <c r="AE54" s="76">
        <f>资产资本表!AE17</f>
        <v>1313623838.04</v>
      </c>
      <c r="AF54" s="76">
        <f>资产资本表!AF17</f>
        <v>1694630766.6800001</v>
      </c>
      <c r="AG54" s="76">
        <f>资产资本表!AG17</f>
        <v>1111080540.1500001</v>
      </c>
      <c r="AH54" s="76">
        <f>资产资本表!AH17</f>
        <v>864133411.05999994</v>
      </c>
      <c r="AI54" s="76">
        <f>资产资本表!AI17</f>
        <v>739865397.36000001</v>
      </c>
      <c r="AJ54" s="76">
        <f>资产资本表!AJ17</f>
        <v>1146944429.9400001</v>
      </c>
      <c r="AK54" s="76">
        <f>资产资本表!AK17</f>
        <v>1234629727.6500001</v>
      </c>
      <c r="AL54" s="76">
        <f>资产资本表!AL17</f>
        <v>1748838379.75</v>
      </c>
      <c r="AM54" s="76">
        <f>资产资本表!AM17</f>
        <v>2256342309.7199998</v>
      </c>
      <c r="AN54" s="76">
        <f>资产资本表!AN17</f>
        <v>2572933186.6399999</v>
      </c>
      <c r="AO54" s="76">
        <f>资产资本表!AO17</f>
        <v>1276618727.3699999</v>
      </c>
      <c r="AP54" s="76">
        <f>资产资本表!AP17</f>
        <v>629236293.90999997</v>
      </c>
      <c r="AQ54" s="76">
        <f>资产资本表!AQ17</f>
        <v>599296571.35000002</v>
      </c>
      <c r="AR54" s="76">
        <f>资产资本表!AR17</f>
        <v>1067880744.47</v>
      </c>
      <c r="AS54" s="76">
        <f>资产资本表!AS17</f>
        <v>1429453629.1199999</v>
      </c>
      <c r="AT54" s="76">
        <f>资产资本表!AT17</f>
        <v>1413103676.4000001</v>
      </c>
      <c r="AU54" s="76">
        <f>资产资本表!AU17</f>
        <v>850706200.61999989</v>
      </c>
      <c r="AV54" s="76">
        <f>资产资本表!AV17</f>
        <v>389709284.85000002</v>
      </c>
      <c r="AW54" s="76">
        <f>资产资本表!AW17</f>
        <v>288932115.06</v>
      </c>
      <c r="AX54" s="76">
        <f>资产资本表!AX17</f>
        <v>411777255.02000004</v>
      </c>
      <c r="AY54" s="76">
        <f>资产资本表!AY17</f>
        <v>319700643.26999998</v>
      </c>
      <c r="AZ54" s="76">
        <f>资产资本表!AZ17</f>
        <v>293064125.69999999</v>
      </c>
      <c r="BA54" s="76">
        <f>资产资本表!BA17</f>
        <v>251540912.70000002</v>
      </c>
      <c r="BB54" s="76">
        <f>资产资本表!BB17</f>
        <v>431045267.72999996</v>
      </c>
      <c r="BC54" s="76">
        <f>资产资本表!BC17</f>
        <v>499065860.57999998</v>
      </c>
      <c r="BD54" s="76">
        <f>资产资本表!BD17</f>
        <v>666105084.45999992</v>
      </c>
      <c r="BE54" s="76">
        <f>资产资本表!BE17</f>
        <v>434663772.16999996</v>
      </c>
      <c r="BF54" s="76">
        <f>资产资本表!BF17</f>
        <v>490894508.71000004</v>
      </c>
      <c r="BG54" s="76">
        <f>资产资本表!BG17</f>
        <v>636959775.61999989</v>
      </c>
      <c r="BH54" s="76">
        <f>资产资本表!BH17</f>
        <v>313761458.63999999</v>
      </c>
      <c r="BI54" s="76">
        <f>资产资本表!BI17</f>
        <v>308489187.57999998</v>
      </c>
      <c r="BJ54" s="76">
        <f>资产资本表!BJ17</f>
        <v>355729931.28999996</v>
      </c>
      <c r="BK54" s="76">
        <f>资产资本表!BK17</f>
        <v>131810060.37</v>
      </c>
      <c r="BL54" s="76">
        <f>资产资本表!BL17</f>
        <v>167272296.07000002</v>
      </c>
      <c r="BM54" s="76">
        <f>资产资本表!BM17</f>
        <v>101170759.5</v>
      </c>
      <c r="BN54" s="76">
        <f>资产资本表!BN17</f>
        <v>147230532.29000002</v>
      </c>
      <c r="BO54" s="76">
        <f>资产资本表!BO17</f>
        <v>89244892.909999996</v>
      </c>
      <c r="BP54" s="76">
        <f>资产资本表!BP17</f>
        <v>155303334.25999999</v>
      </c>
      <c r="BQ54" s="76">
        <f>资产资本表!BQ17</f>
        <v>188487236.29999998</v>
      </c>
      <c r="BR54" s="76">
        <f>资产资本表!BR17</f>
        <v>0</v>
      </c>
      <c r="BS54" s="76">
        <f>资产资本表!BS17</f>
        <v>264300102.33000001</v>
      </c>
      <c r="BT54" s="76">
        <f>资产资本表!BT17</f>
        <v>440998601.41000003</v>
      </c>
      <c r="BU54" s="76">
        <f>资产资本表!BU17</f>
        <v>18487747.129999999</v>
      </c>
      <c r="BV54" s="76">
        <f>资产资本表!BV17</f>
        <v>31873298.43</v>
      </c>
      <c r="BW54" s="76">
        <f>资产资本表!BW17</f>
        <v>11065911.380000001</v>
      </c>
      <c r="BX54" s="76">
        <f>资产资本表!BX17</f>
        <v>5415168.2800000003</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470</v>
      </c>
      <c r="E55" s="44">
        <f>E49/E54</f>
        <v>17.231141743829724</v>
      </c>
      <c r="F55" s="44">
        <f t="shared" ref="F55:BQ55" si="22">F49/F54</f>
        <v>14.041929017155054</v>
      </c>
      <c r="G55" s="44">
        <f t="shared" si="22"/>
        <v>10.124206640361223</v>
      </c>
      <c r="H55" s="44">
        <f t="shared" si="22"/>
        <v>3.6464991029189195</v>
      </c>
      <c r="I55" s="44">
        <f t="shared" si="22"/>
        <v>14.998908683647221</v>
      </c>
      <c r="J55" s="44">
        <f t="shared" si="22"/>
        <v>8.5425417896117857</v>
      </c>
      <c r="K55" s="44">
        <f t="shared" si="22"/>
        <v>6.2985060164388562</v>
      </c>
      <c r="L55" s="44">
        <f t="shared" si="22"/>
        <v>2.0694547609637604</v>
      </c>
      <c r="M55" s="44">
        <f t="shared" si="22"/>
        <v>9.3427627152167485</v>
      </c>
      <c r="N55" s="44">
        <f t="shared" si="22"/>
        <v>11.419086983995607</v>
      </c>
      <c r="O55" s="44">
        <f t="shared" si="22"/>
        <v>9.3242016576496685</v>
      </c>
      <c r="P55" s="44">
        <f t="shared" si="22"/>
        <v>3.7996946893725618</v>
      </c>
      <c r="Q55" s="44">
        <f t="shared" si="22"/>
        <v>20.991853998839453</v>
      </c>
      <c r="R55" s="44">
        <f t="shared" si="22"/>
        <v>15.964541899457537</v>
      </c>
      <c r="S55" s="44">
        <f t="shared" si="22"/>
        <v>6.7092594711925431</v>
      </c>
      <c r="T55" s="44">
        <f t="shared" si="22"/>
        <v>2.9634985270614109</v>
      </c>
      <c r="U55" s="44">
        <f t="shared" si="22"/>
        <v>18.999538064534132</v>
      </c>
      <c r="V55" s="44">
        <f t="shared" si="22"/>
        <v>13.403832415210669</v>
      </c>
      <c r="W55" s="44">
        <f t="shared" si="22"/>
        <v>6.7578667651524897</v>
      </c>
      <c r="X55" s="44">
        <f t="shared" si="22"/>
        <v>2.4979056663790384</v>
      </c>
      <c r="Y55" s="44">
        <f t="shared" si="22"/>
        <v>10.762639282880198</v>
      </c>
      <c r="Z55" s="44">
        <f t="shared" si="22"/>
        <v>18.474638287814606</v>
      </c>
      <c r="AA55" s="44">
        <f t="shared" si="22"/>
        <v>8.6742199127236059</v>
      </c>
      <c r="AB55" s="44">
        <f t="shared" si="22"/>
        <v>2.3787277486305869</v>
      </c>
      <c r="AC55" s="44">
        <f t="shared" si="22"/>
        <v>7.1446352587640529</v>
      </c>
      <c r="AD55" s="44">
        <f t="shared" si="22"/>
        <v>13.315677772578729</v>
      </c>
      <c r="AE55" s="44">
        <f t="shared" si="22"/>
        <v>5.2362369246686509</v>
      </c>
      <c r="AF55" s="44">
        <f t="shared" si="22"/>
        <v>1.8786827653832976</v>
      </c>
      <c r="AG55" s="44">
        <f t="shared" si="22"/>
        <v>8.4870326850265467</v>
      </c>
      <c r="AH55" s="44">
        <f t="shared" si="22"/>
        <v>7.7600592779468363</v>
      </c>
      <c r="AI55" s="44">
        <f t="shared" si="22"/>
        <v>5.9204470247425816</v>
      </c>
      <c r="AJ55" s="44">
        <f t="shared" si="22"/>
        <v>1.7866844708397958</v>
      </c>
      <c r="AK55" s="44">
        <f t="shared" si="22"/>
        <v>5.2590015885075552</v>
      </c>
      <c r="AL55" s="44">
        <f t="shared" si="22"/>
        <v>2.6614583771173668</v>
      </c>
      <c r="AM55" s="44">
        <f t="shared" si="22"/>
        <v>1.2187685195032554</v>
      </c>
      <c r="AN55" s="44">
        <f t="shared" si="22"/>
        <v>0.47097589103449639</v>
      </c>
      <c r="AO55" s="44">
        <f t="shared" si="22"/>
        <v>6.0349992217347843</v>
      </c>
      <c r="AP55" s="44">
        <f t="shared" si="22"/>
        <v>9.809574960043328</v>
      </c>
      <c r="AQ55" s="44">
        <f t="shared" si="22"/>
        <v>6.9543803745307375</v>
      </c>
      <c r="AR55" s="44">
        <f t="shared" si="22"/>
        <v>1.8401728103499906</v>
      </c>
      <c r="AS55" s="44">
        <f t="shared" si="22"/>
        <v>5.4591373001123804</v>
      </c>
      <c r="AT55" s="44">
        <f t="shared" si="22"/>
        <v>4.1507091599836139</v>
      </c>
      <c r="AU55" s="44">
        <f t="shared" si="22"/>
        <v>4.1478359499300019</v>
      </c>
      <c r="AV55" s="44">
        <f t="shared" si="22"/>
        <v>4.4337620782503659</v>
      </c>
      <c r="AW55" s="44">
        <f t="shared" si="22"/>
        <v>16.985207288088716</v>
      </c>
      <c r="AX55" s="44">
        <f t="shared" si="22"/>
        <v>8.6153979888415435</v>
      </c>
      <c r="AY55" s="44">
        <f t="shared" si="22"/>
        <v>6.5742529664069274</v>
      </c>
      <c r="AZ55" s="44">
        <f t="shared" si="22"/>
        <v>3.5996320076033106</v>
      </c>
      <c r="BA55" s="44">
        <f t="shared" si="22"/>
        <v>13.157067184204422</v>
      </c>
      <c r="BB55" s="44">
        <f t="shared" si="22"/>
        <v>5.9187653225741172</v>
      </c>
      <c r="BC55" s="44">
        <f t="shared" si="22"/>
        <v>3.2449928754451451</v>
      </c>
      <c r="BD55" s="44">
        <f t="shared" si="22"/>
        <v>1.1936389768358624</v>
      </c>
      <c r="BE55" s="44">
        <f t="shared" si="22"/>
        <v>4.8410492167196804</v>
      </c>
      <c r="BF55" s="44">
        <f t="shared" si="22"/>
        <v>3.454297286347821</v>
      </c>
      <c r="BG55" s="44">
        <f t="shared" si="22"/>
        <v>1.6548223537569704</v>
      </c>
      <c r="BH55" s="44">
        <f t="shared" si="22"/>
        <v>1.5956276537916851</v>
      </c>
      <c r="BI55" s="44">
        <f t="shared" si="22"/>
        <v>4.3557618211223019</v>
      </c>
      <c r="BJ55" s="44">
        <f t="shared" si="22"/>
        <v>2.8412721947932775</v>
      </c>
      <c r="BK55" s="44">
        <f t="shared" si="22"/>
        <v>5.5294554767223492</v>
      </c>
      <c r="BL55" s="44">
        <f t="shared" si="22"/>
        <v>2.1845491656734448</v>
      </c>
      <c r="BM55" s="44">
        <f t="shared" si="22"/>
        <v>8.7154038088445915</v>
      </c>
      <c r="BN55" s="44">
        <f t="shared" si="22"/>
        <v>4.96846209568234</v>
      </c>
      <c r="BO55" s="44">
        <f t="shared" si="22"/>
        <v>4.9252021696442414</v>
      </c>
      <c r="BP55" s="44">
        <f t="shared" si="22"/>
        <v>1.410805438041598</v>
      </c>
      <c r="BQ55" s="44">
        <f t="shared" si="22"/>
        <v>3.0309132203558127</v>
      </c>
      <c r="BR55" s="44" t="e">
        <f t="shared" ref="BR55:CK55" si="23">BR49/BR54</f>
        <v>#DIV/0!</v>
      </c>
      <c r="BS55" s="44">
        <f t="shared" si="23"/>
        <v>1.0978600163677055</v>
      </c>
      <c r="BT55" s="44">
        <f t="shared" si="23"/>
        <v>0.78198227515326579</v>
      </c>
      <c r="BU55" s="44">
        <f t="shared" si="23"/>
        <v>8.7024567552055228</v>
      </c>
      <c r="BV55" s="44">
        <f t="shared" si="23"/>
        <v>6.601328174493549</v>
      </c>
      <c r="BW55" s="44">
        <f t="shared" si="23"/>
        <v>16.329165803422509</v>
      </c>
      <c r="BX55" s="44">
        <f t="shared" si="23"/>
        <v>25.85414312553921</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444</v>
      </c>
      <c r="E56" s="76">
        <f>资产资本表!E19</f>
        <v>525628774</v>
      </c>
      <c r="F56" s="76">
        <f>资产资本表!F19</f>
        <v>439010990.86000001</v>
      </c>
      <c r="G56" s="76">
        <f>资产资本表!G19</f>
        <v>423076239.13999999</v>
      </c>
      <c r="H56" s="76">
        <f>资产资本表!H19</f>
        <v>396232805.06</v>
      </c>
      <c r="I56" s="76">
        <f>资产资本表!I19</f>
        <v>363304422.54000002</v>
      </c>
      <c r="J56" s="76">
        <f>资产资本表!J19</f>
        <v>347165066.92000002</v>
      </c>
      <c r="K56" s="76">
        <f>资产资本表!K19</f>
        <v>201712355.12</v>
      </c>
      <c r="L56" s="76">
        <f>资产资本表!L19</f>
        <v>199866279.61000001</v>
      </c>
      <c r="M56" s="76">
        <f>资产资本表!M19</f>
        <v>186128063.15000001</v>
      </c>
      <c r="N56" s="76">
        <f>资产资本表!N19</f>
        <v>183238489.38999999</v>
      </c>
      <c r="O56" s="76">
        <f>资产资本表!O19</f>
        <v>88134046.409999996</v>
      </c>
      <c r="P56" s="76">
        <f>资产资本表!P19</f>
        <v>87541640.599999994</v>
      </c>
      <c r="Q56" s="76">
        <f>资产资本表!Q19</f>
        <v>88740045.579999998</v>
      </c>
      <c r="R56" s="76">
        <f>资产资本表!R19</f>
        <v>89817551.180000007</v>
      </c>
      <c r="S56" s="76">
        <f>资产资本表!S19</f>
        <v>110355302.09999999</v>
      </c>
      <c r="T56" s="76">
        <f>资产资本表!T19</f>
        <v>111075030.09</v>
      </c>
      <c r="U56" s="76">
        <f>资产资本表!U19</f>
        <v>112053048.5</v>
      </c>
      <c r="V56" s="76">
        <f>资产资本表!V19</f>
        <v>104246705.63</v>
      </c>
      <c r="W56" s="76">
        <f>资产资本表!W19</f>
        <v>104731368.75</v>
      </c>
      <c r="X56" s="76">
        <f>资产资本表!X19</f>
        <v>104890278.81</v>
      </c>
      <c r="Y56" s="76">
        <f>资产资本表!Y19</f>
        <v>45173453.939999998</v>
      </c>
      <c r="Z56" s="76">
        <f>资产资本表!Z19</f>
        <v>39587265.560000002</v>
      </c>
      <c r="AA56" s="76">
        <f>资产资本表!AA19</f>
        <v>39578345.979999997</v>
      </c>
      <c r="AB56" s="76">
        <f>资产资本表!AB19</f>
        <v>25083465.170000002</v>
      </c>
      <c r="AC56" s="76">
        <f>资产资本表!AC19</f>
        <v>25094416.899999999</v>
      </c>
      <c r="AD56" s="76">
        <f>资产资本表!AD19</f>
        <v>20000000</v>
      </c>
      <c r="AE56" s="76">
        <f>资产资本表!AE19</f>
        <v>20000000</v>
      </c>
      <c r="AF56" s="76">
        <f>资产资本表!AF19</f>
        <v>20000000</v>
      </c>
      <c r="AG56" s="76">
        <f>资产资本表!AG19</f>
        <v>20000000</v>
      </c>
      <c r="AH56" s="76">
        <f>资产资本表!AH19</f>
        <v>185003873.38999999</v>
      </c>
      <c r="AI56" s="76">
        <f>资产资本表!AI19</f>
        <v>182955373.99000001</v>
      </c>
      <c r="AJ56" s="76">
        <f>资产资本表!AJ19</f>
        <v>177840883.44</v>
      </c>
      <c r="AK56" s="76">
        <f>资产资本表!AK19</f>
        <v>198825804.06</v>
      </c>
      <c r="AL56" s="76">
        <f>资产资本表!AL19</f>
        <v>194442897.80000001</v>
      </c>
      <c r="AM56" s="76">
        <f>资产资本表!AM19</f>
        <v>190877112.00999999</v>
      </c>
      <c r="AN56" s="76">
        <f>资产资本表!AN19</f>
        <v>185825567.81999999</v>
      </c>
      <c r="AO56" s="76">
        <f>资产资本表!AO19</f>
        <v>185339348.78999999</v>
      </c>
      <c r="AP56" s="76">
        <f>资产资本表!AP19</f>
        <v>185205086.97</v>
      </c>
      <c r="AQ56" s="76">
        <f>资产资本表!AQ19</f>
        <v>34700000</v>
      </c>
      <c r="AR56" s="76">
        <f>资产资本表!AR19</f>
        <v>97100000</v>
      </c>
      <c r="AS56" s="76">
        <f>资产资本表!AS19</f>
        <v>34700000</v>
      </c>
      <c r="AT56" s="76">
        <f>资产资本表!AT19</f>
        <v>34700000</v>
      </c>
      <c r="AU56" s="76">
        <f>资产资本表!AU19</f>
        <v>54700000</v>
      </c>
      <c r="AV56" s="76">
        <f>资产资本表!AV19</f>
        <v>54700000</v>
      </c>
      <c r="AW56" s="76">
        <f>资产资本表!AW19</f>
        <v>54700000</v>
      </c>
      <c r="AX56" s="76">
        <f>资产资本表!AX19</f>
        <v>34700000</v>
      </c>
      <c r="AY56" s="76">
        <f>资产资本表!AY19</f>
        <v>34700000</v>
      </c>
      <c r="AZ56" s="76">
        <f>资产资本表!AZ19</f>
        <v>34700000</v>
      </c>
      <c r="BA56" s="76">
        <f>资产资本表!BA19</f>
        <v>34700000</v>
      </c>
      <c r="BB56" s="76">
        <f>资产资本表!BB19</f>
        <v>34700000</v>
      </c>
      <c r="BC56" s="76">
        <f>资产资本表!BC19</f>
        <v>34700000</v>
      </c>
      <c r="BD56" s="76">
        <f>资产资本表!BD19</f>
        <v>20000000</v>
      </c>
      <c r="BE56" s="76">
        <f>资产资本表!BE19</f>
        <v>20000000</v>
      </c>
      <c r="BF56" s="76">
        <f>资产资本表!BF19</f>
        <v>20000000</v>
      </c>
      <c r="BG56" s="76">
        <f>资产资本表!BG19</f>
        <v>20000000</v>
      </c>
      <c r="BH56" s="76">
        <f>资产资本表!BH19</f>
        <v>20000000</v>
      </c>
      <c r="BI56" s="76">
        <f>资产资本表!BI19</f>
        <v>20000000</v>
      </c>
      <c r="BJ56" s="76">
        <f>资产资本表!BJ19</f>
        <v>20000000</v>
      </c>
      <c r="BK56" s="76">
        <f>资产资本表!BK19</f>
        <v>20000000</v>
      </c>
      <c r="BL56" s="76">
        <f>资产资本表!BL19</f>
        <v>20000000</v>
      </c>
      <c r="BM56" s="76">
        <f>资产资本表!BM19</f>
        <v>20000000</v>
      </c>
      <c r="BN56" s="76">
        <f>资产资本表!BN19</f>
        <v>20000000</v>
      </c>
      <c r="BO56" s="76">
        <f>资产资本表!BO19</f>
        <v>20000000</v>
      </c>
      <c r="BP56" s="76">
        <f>资产资本表!BP19</f>
        <v>20000000</v>
      </c>
      <c r="BQ56" s="76">
        <f>资产资本表!BQ19</f>
        <v>20000000</v>
      </c>
      <c r="BR56" s="76">
        <f>资产资本表!BR19</f>
        <v>0</v>
      </c>
      <c r="BS56" s="76">
        <f>资产资本表!BS19</f>
        <v>20000000</v>
      </c>
      <c r="BT56" s="76">
        <f>资产资本表!BT19</f>
        <v>10000000</v>
      </c>
      <c r="BU56" s="76">
        <f>资产资本表!BU19</f>
        <v>10000000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471</v>
      </c>
      <c r="E57" s="118">
        <f>E49/E56</f>
        <v>101.06595355224978</v>
      </c>
      <c r="F57" s="118">
        <f t="shared" ref="F57:BQ57" si="24">F49/F56</f>
        <v>88.752912252020153</v>
      </c>
      <c r="G57" s="118">
        <f t="shared" si="24"/>
        <v>57.743934110858568</v>
      </c>
      <c r="H57" s="118">
        <f t="shared" si="24"/>
        <v>27.779246150790684</v>
      </c>
      <c r="I57" s="118">
        <f t="shared" si="24"/>
        <v>82.85024806469562</v>
      </c>
      <c r="J57" s="118">
        <f t="shared" si="24"/>
        <v>60.294608821986017</v>
      </c>
      <c r="K57" s="118">
        <f t="shared" si="24"/>
        <v>61.849310089300587</v>
      </c>
      <c r="L57" s="118">
        <f t="shared" si="24"/>
        <v>26.515784210428869</v>
      </c>
      <c r="M57" s="118">
        <f t="shared" si="24"/>
        <v>104.72565264820464</v>
      </c>
      <c r="N57" s="118">
        <f t="shared" si="24"/>
        <v>80.705339769719004</v>
      </c>
      <c r="O57" s="118">
        <f t="shared" si="24"/>
        <v>113.94306487646493</v>
      </c>
      <c r="P57" s="118">
        <f t="shared" si="24"/>
        <v>51.809676070201505</v>
      </c>
      <c r="Q57" s="118">
        <f t="shared" si="24"/>
        <v>248.91094369370282</v>
      </c>
      <c r="R57" s="118">
        <f t="shared" si="24"/>
        <v>197.73641569482834</v>
      </c>
      <c r="S57" s="118">
        <f t="shared" si="24"/>
        <v>105.70240656710594</v>
      </c>
      <c r="T57" s="118">
        <f t="shared" si="24"/>
        <v>46.243096833447808</v>
      </c>
      <c r="U57" s="118">
        <f t="shared" si="24"/>
        <v>180.61064369872992</v>
      </c>
      <c r="V57" s="118">
        <f t="shared" si="24"/>
        <v>147.47921517565561</v>
      </c>
      <c r="W57" s="118">
        <f t="shared" si="24"/>
        <v>95.252288685762053</v>
      </c>
      <c r="X57" s="118">
        <f t="shared" si="24"/>
        <v>45.53652245735698</v>
      </c>
      <c r="Y57" s="118">
        <f t="shared" si="24"/>
        <v>352.90917842953854</v>
      </c>
      <c r="Z57" s="118">
        <f t="shared" si="24"/>
        <v>288.48579762905956</v>
      </c>
      <c r="AA57" s="118">
        <f t="shared" si="24"/>
        <v>180.911296264079</v>
      </c>
      <c r="AB57" s="118">
        <f t="shared" si="24"/>
        <v>130.80877464068493</v>
      </c>
      <c r="AC57" s="118">
        <f t="shared" si="24"/>
        <v>544.43613469177683</v>
      </c>
      <c r="AD57" s="118">
        <f t="shared" si="24"/>
        <v>525.45057140050005</v>
      </c>
      <c r="AE57" s="118">
        <f t="shared" si="24"/>
        <v>343.92228229350002</v>
      </c>
      <c r="AF57" s="118">
        <f t="shared" si="24"/>
        <v>159.18368075250001</v>
      </c>
      <c r="AG57" s="118">
        <f t="shared" si="24"/>
        <v>471.48884299750006</v>
      </c>
      <c r="AH57" s="118">
        <f t="shared" si="24"/>
        <v>36.24641133725833</v>
      </c>
      <c r="AI57" s="118">
        <f t="shared" si="24"/>
        <v>23.942089237288108</v>
      </c>
      <c r="AJ57" s="118">
        <f t="shared" si="24"/>
        <v>11.522816139076193</v>
      </c>
      <c r="AK57" s="118">
        <f t="shared" si="24"/>
        <v>32.656323104674186</v>
      </c>
      <c r="AL57" s="118">
        <f t="shared" si="24"/>
        <v>23.937416118934223</v>
      </c>
      <c r="AM57" s="118">
        <f t="shared" si="24"/>
        <v>14.40696030735173</v>
      </c>
      <c r="AN57" s="118">
        <f t="shared" si="24"/>
        <v>6.5211128606575839</v>
      </c>
      <c r="AO57" s="118">
        <f t="shared" si="24"/>
        <v>41.569116738720794</v>
      </c>
      <c r="AP57" s="118">
        <f t="shared" si="24"/>
        <v>33.328137437660359</v>
      </c>
      <c r="AQ57" s="118">
        <f t="shared" si="24"/>
        <v>120.10767476426514</v>
      </c>
      <c r="AR57" s="118">
        <f t="shared" si="24"/>
        <v>20.237745732955716</v>
      </c>
      <c r="AS57" s="118">
        <f t="shared" si="24"/>
        <v>224.8871361818444</v>
      </c>
      <c r="AT57" s="118">
        <f t="shared" si="24"/>
        <v>169.03119232391933</v>
      </c>
      <c r="AU57" s="118">
        <f t="shared" si="24"/>
        <v>64.508039520292513</v>
      </c>
      <c r="AV57" s="118">
        <f t="shared" si="24"/>
        <v>31.588267800914078</v>
      </c>
      <c r="AW57" s="118">
        <f t="shared" si="24"/>
        <v>89.717950027056659</v>
      </c>
      <c r="AX57" s="118">
        <f t="shared" si="24"/>
        <v>102.23702981988473</v>
      </c>
      <c r="AY57" s="118">
        <f t="shared" si="24"/>
        <v>60.570400644956777</v>
      </c>
      <c r="AZ57" s="118">
        <f t="shared" si="24"/>
        <v>30.401239399135445</v>
      </c>
      <c r="BA57" s="118">
        <f t="shared" si="24"/>
        <v>95.375812333429394</v>
      </c>
      <c r="BB57" s="118">
        <f t="shared" si="24"/>
        <v>73.523221414985585</v>
      </c>
      <c r="BC57" s="118">
        <f t="shared" si="24"/>
        <v>46.670465762536026</v>
      </c>
      <c r="BD57" s="118">
        <f t="shared" si="24"/>
        <v>39.754449573999999</v>
      </c>
      <c r="BE57" s="118">
        <f t="shared" si="24"/>
        <v>105.21143569</v>
      </c>
      <c r="BF57" s="118">
        <f t="shared" si="24"/>
        <v>84.784778465999992</v>
      </c>
      <c r="BG57" s="118">
        <f t="shared" si="24"/>
        <v>52.702763757</v>
      </c>
      <c r="BH57" s="118">
        <f t="shared" si="24"/>
        <v>25.032323005000002</v>
      </c>
      <c r="BI57" s="118">
        <f t="shared" si="24"/>
        <v>67.185271274499996</v>
      </c>
      <c r="BJ57" s="118">
        <f t="shared" si="24"/>
        <v>50.536278131499998</v>
      </c>
      <c r="BK57" s="118">
        <f t="shared" si="24"/>
        <v>36.441893010000001</v>
      </c>
      <c r="BL57" s="118">
        <f t="shared" si="24"/>
        <v>18.270727740999998</v>
      </c>
      <c r="BM57" s="118">
        <f t="shared" si="24"/>
        <v>44.087201134500006</v>
      </c>
      <c r="BN57" s="118">
        <f t="shared" si="24"/>
        <v>36.575465950499996</v>
      </c>
      <c r="BO57" s="118">
        <f t="shared" si="24"/>
        <v>21.9774570095</v>
      </c>
      <c r="BP57" s="118">
        <f t="shared" si="24"/>
        <v>10.955139426000001</v>
      </c>
      <c r="BQ57" s="118">
        <f t="shared" si="24"/>
        <v>28.564422818499999</v>
      </c>
      <c r="BR57" s="118" t="e">
        <f t="shared" ref="BR57:CK57" si="25">BR49/BR56</f>
        <v>#DIV/0!</v>
      </c>
      <c r="BS57" s="118">
        <f t="shared" si="25"/>
        <v>14.508225733500002</v>
      </c>
      <c r="BT57" s="118">
        <f t="shared" si="25"/>
        <v>34.485308967000002</v>
      </c>
      <c r="BU57" s="118">
        <f t="shared" si="25"/>
        <v>16.088881990000001</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8" t="s">
        <v>699</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20" customFormat="1" x14ac:dyDescent="0.25">
      <c r="A61" s="119"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36891</v>
      </c>
      <c r="BU61" s="1">
        <v>36707</v>
      </c>
      <c r="BV61" s="1">
        <v>36525</v>
      </c>
      <c r="BW61" s="1">
        <v>36160</v>
      </c>
      <c r="BX61" s="1">
        <v>35795</v>
      </c>
      <c r="BY61" s="1">
        <v>25569</v>
      </c>
      <c r="BZ61" s="1"/>
      <c r="CA61" s="1"/>
      <c r="CB61" s="1"/>
      <c r="CC61" s="1"/>
      <c r="CD61" s="1"/>
      <c r="CE61" s="1"/>
      <c r="CF61" s="1"/>
      <c r="CG61" s="1"/>
      <c r="CH61" s="1"/>
      <c r="CI61" s="1"/>
      <c r="CJ61" s="1"/>
      <c r="CK61" s="1"/>
    </row>
    <row r="62" spans="1:89" s="76" customFormat="1" x14ac:dyDescent="0.25">
      <c r="A62" s="148"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464</v>
      </c>
      <c r="E63" s="76">
        <f>E49</f>
        <v>53123173258.809998</v>
      </c>
      <c r="F63" s="76">
        <f t="shared" ref="F63:BQ63" si="26">F49</f>
        <v>38963503949.470001</v>
      </c>
      <c r="G63" s="76">
        <f t="shared" si="26"/>
        <v>24430086476.77</v>
      </c>
      <c r="H63" s="76">
        <f t="shared" si="26"/>
        <v>11007048624.780001</v>
      </c>
      <c r="I63" s="76">
        <f t="shared" si="26"/>
        <v>30099861530.439999</v>
      </c>
      <c r="J63" s="76">
        <f t="shared" si="26"/>
        <v>20932181906.599998</v>
      </c>
      <c r="K63" s="76">
        <f t="shared" si="26"/>
        <v>12475770000.66</v>
      </c>
      <c r="L63" s="76">
        <f t="shared" si="26"/>
        <v>5299611141.0799999</v>
      </c>
      <c r="M63" s="76">
        <f t="shared" si="26"/>
        <v>19492382889.529999</v>
      </c>
      <c r="N63" s="76">
        <f t="shared" si="26"/>
        <v>14788324545.110001</v>
      </c>
      <c r="O63" s="76">
        <f t="shared" si="26"/>
        <v>10042263367.92</v>
      </c>
      <c r="P63" s="76">
        <f t="shared" si="26"/>
        <v>4535504042.1400003</v>
      </c>
      <c r="Q63" s="76">
        <f t="shared" si="26"/>
        <v>22088368488.740002</v>
      </c>
      <c r="R63" s="76">
        <f t="shared" si="26"/>
        <v>17760200636.82</v>
      </c>
      <c r="S63" s="76">
        <f t="shared" si="26"/>
        <v>11664821009.41</v>
      </c>
      <c r="T63" s="76">
        <f t="shared" si="26"/>
        <v>5136453372.2299995</v>
      </c>
      <c r="U63" s="76">
        <f t="shared" si="26"/>
        <v>20237973217.990002</v>
      </c>
      <c r="V63" s="76">
        <f t="shared" si="26"/>
        <v>15374222330.959999</v>
      </c>
      <c r="W63" s="76">
        <f t="shared" si="26"/>
        <v>9975902570.6299992</v>
      </c>
      <c r="X63" s="76">
        <f t="shared" si="26"/>
        <v>4776338536.5900002</v>
      </c>
      <c r="Y63" s="76">
        <f t="shared" si="26"/>
        <v>15942126516.790001</v>
      </c>
      <c r="Z63" s="76">
        <f t="shared" si="26"/>
        <v>11420363881.030001</v>
      </c>
      <c r="AA63" s="76">
        <f t="shared" si="26"/>
        <v>7160169875.2299995</v>
      </c>
      <c r="AB63" s="76">
        <f t="shared" si="26"/>
        <v>3281137342.6300001</v>
      </c>
      <c r="AC63" s="76">
        <f t="shared" si="26"/>
        <v>13662307339.379999</v>
      </c>
      <c r="AD63" s="76">
        <f t="shared" si="26"/>
        <v>10509011428.01</v>
      </c>
      <c r="AE63" s="76">
        <f t="shared" si="26"/>
        <v>6878445645.8699999</v>
      </c>
      <c r="AF63" s="76">
        <f t="shared" si="26"/>
        <v>3183673615.0500002</v>
      </c>
      <c r="AG63" s="76">
        <f t="shared" si="26"/>
        <v>9429776859.9500008</v>
      </c>
      <c r="AH63" s="76">
        <f t="shared" si="26"/>
        <v>6705726493.8800001</v>
      </c>
      <c r="AI63" s="76">
        <f t="shared" si="26"/>
        <v>4380333890.5100002</v>
      </c>
      <c r="AJ63" s="76">
        <f t="shared" si="26"/>
        <v>2049227801.8900001</v>
      </c>
      <c r="AK63" s="76">
        <f t="shared" si="26"/>
        <v>6492919698.9300003</v>
      </c>
      <c r="AL63" s="76">
        <f t="shared" si="26"/>
        <v>4654460556.0100002</v>
      </c>
      <c r="AM63" s="76">
        <f t="shared" si="26"/>
        <v>2749958976.3099999</v>
      </c>
      <c r="AN63" s="76">
        <f t="shared" si="26"/>
        <v>1211789500.1500001</v>
      </c>
      <c r="AO63" s="76">
        <f t="shared" si="26"/>
        <v>7704393026.1300001</v>
      </c>
      <c r="AP63" s="76">
        <f t="shared" si="26"/>
        <v>6172540592.6899996</v>
      </c>
      <c r="AQ63" s="76">
        <f t="shared" si="26"/>
        <v>4167736314.3200002</v>
      </c>
      <c r="AR63" s="76">
        <f t="shared" si="26"/>
        <v>1965085110.6700001</v>
      </c>
      <c r="AS63" s="76">
        <f t="shared" si="26"/>
        <v>7803583625.5100002</v>
      </c>
      <c r="AT63" s="76">
        <f t="shared" si="26"/>
        <v>5865382373.6400003</v>
      </c>
      <c r="AU63" s="76">
        <f t="shared" si="26"/>
        <v>3528589761.7600002</v>
      </c>
      <c r="AV63" s="76">
        <f t="shared" si="26"/>
        <v>1727878248.71</v>
      </c>
      <c r="AW63" s="76">
        <f t="shared" si="26"/>
        <v>4907571866.4799995</v>
      </c>
      <c r="AX63" s="76">
        <f t="shared" si="26"/>
        <v>3547624934.75</v>
      </c>
      <c r="AY63" s="76">
        <f t="shared" si="26"/>
        <v>2101792902.3800001</v>
      </c>
      <c r="AZ63" s="76">
        <f t="shared" si="26"/>
        <v>1054923007.15</v>
      </c>
      <c r="BA63" s="76">
        <f t="shared" si="26"/>
        <v>3309540687.9699998</v>
      </c>
      <c r="BB63" s="76">
        <f t="shared" si="26"/>
        <v>2551255783.0999999</v>
      </c>
      <c r="BC63" s="76">
        <f t="shared" si="26"/>
        <v>1619465161.96</v>
      </c>
      <c r="BD63" s="76">
        <f t="shared" si="26"/>
        <v>795088991.48000002</v>
      </c>
      <c r="BE63" s="76">
        <f t="shared" si="26"/>
        <v>2104228713.8</v>
      </c>
      <c r="BF63" s="76">
        <f t="shared" si="26"/>
        <v>1695695569.3199999</v>
      </c>
      <c r="BG63" s="76">
        <f t="shared" si="26"/>
        <v>1054055275.14</v>
      </c>
      <c r="BH63" s="76">
        <f t="shared" si="26"/>
        <v>500646460.10000002</v>
      </c>
      <c r="BI63" s="76">
        <f t="shared" si="26"/>
        <v>1343705425.49</v>
      </c>
      <c r="BJ63" s="76">
        <f t="shared" si="26"/>
        <v>1010725562.63</v>
      </c>
      <c r="BK63" s="76">
        <f t="shared" si="26"/>
        <v>728837860.20000005</v>
      </c>
      <c r="BL63" s="76">
        <f t="shared" si="26"/>
        <v>365414554.81999999</v>
      </c>
      <c r="BM63" s="76">
        <f t="shared" si="26"/>
        <v>881744022.69000006</v>
      </c>
      <c r="BN63" s="76">
        <f t="shared" si="26"/>
        <v>731509319.00999999</v>
      </c>
      <c r="BO63" s="76">
        <f t="shared" si="26"/>
        <v>439549140.19</v>
      </c>
      <c r="BP63" s="76">
        <f t="shared" si="26"/>
        <v>219102788.52000001</v>
      </c>
      <c r="BQ63" s="76">
        <f t="shared" si="26"/>
        <v>571288456.37</v>
      </c>
      <c r="BR63" s="76">
        <f t="shared" ref="BR63:CJ63" si="27">BR49</f>
        <v>477877800</v>
      </c>
      <c r="BS63" s="76">
        <f t="shared" si="27"/>
        <v>290164514.67000002</v>
      </c>
      <c r="BT63" s="76">
        <f t="shared" si="27"/>
        <v>344853089.67000002</v>
      </c>
      <c r="BU63" s="76">
        <f t="shared" si="27"/>
        <v>160888819.90000001</v>
      </c>
      <c r="BV63" s="76">
        <f t="shared" si="27"/>
        <v>210406102.94</v>
      </c>
      <c r="BW63" s="76">
        <f t="shared" si="27"/>
        <v>180697101.69</v>
      </c>
      <c r="BX63" s="76">
        <f t="shared" si="27"/>
        <v>140004535.75999999</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474</v>
      </c>
      <c r="E64" s="76">
        <f>资产资本表!E22+资产资本表!E23-资产资本表!E37</f>
        <v>11461441437.57</v>
      </c>
      <c r="F64" s="76">
        <f>资产资本表!F22+资产资本表!F23-资产资本表!F37</f>
        <v>10816370431.5</v>
      </c>
      <c r="G64" s="76">
        <f>资产资本表!G22+资产资本表!G23-资产资本表!G37</f>
        <v>10304365193.470001</v>
      </c>
      <c r="H64" s="76">
        <f>资产资本表!H22+资产资本表!H23-资产资本表!H37</f>
        <v>6752427736</v>
      </c>
      <c r="I64" s="76">
        <f>资产资本表!I22+资产资本表!I23-资产资本表!I37</f>
        <v>3826469334.2700005</v>
      </c>
      <c r="J64" s="76">
        <f>资产资本表!J22+资产资本表!J23-资产资本表!J37</f>
        <v>3223972442.02</v>
      </c>
      <c r="K64" s="76">
        <f>资产资本表!K22+资产资本表!K23-资产资本表!K37</f>
        <v>2835252727.1100001</v>
      </c>
      <c r="L64" s="76">
        <f>资产资本表!L22+资产资本表!L23-资产资本表!L37</f>
        <v>2213649964.0599999</v>
      </c>
      <c r="M64" s="76">
        <f>资产资本表!M22+资产资本表!M23-资产资本表!M37</f>
        <v>1726696927.8300004</v>
      </c>
      <c r="N64" s="76">
        <f>资产资本表!N22+资产资本表!N23-资产资本表!N37</f>
        <v>2107486566.1500001</v>
      </c>
      <c r="O64" s="76">
        <f>资产资本表!O22+资产资本表!O23-资产资本表!O37</f>
        <v>2697838840.7399998</v>
      </c>
      <c r="P64" s="76">
        <f>资产资本表!P22+资产资本表!P23-资产资本表!P37</f>
        <v>3544283427.4300003</v>
      </c>
      <c r="Q64" s="76">
        <f>资产资本表!Q22+资产资本表!Q23-资产资本表!Q37</f>
        <v>2925479673.96</v>
      </c>
      <c r="R64" s="76">
        <f>资产资本表!R22+资产资本表!R23-资产资本表!R37</f>
        <v>3232494167.1500001</v>
      </c>
      <c r="S64" s="76">
        <f>资产资本表!S22+资产资本表!S23-资产资本表!S37</f>
        <v>4380851041.3400002</v>
      </c>
      <c r="T64" s="76">
        <f>资产资本表!T22+资产资本表!T23-资产资本表!T37</f>
        <v>3912761111.1999998</v>
      </c>
      <c r="U64" s="76">
        <f>资产资本表!U22+资产资本表!U23-资产资本表!U37</f>
        <v>3644476918.6800003</v>
      </c>
      <c r="V64" s="76">
        <f>资产资本表!V22+资产资本表!V23-资产资本表!V37</f>
        <v>4805797377.6799994</v>
      </c>
      <c r="W64" s="76">
        <f>资产资本表!W22+资产资本表!W23-资产资本表!W37</f>
        <v>4960944848.8099995</v>
      </c>
      <c r="X64" s="76">
        <f>资产资本表!X22+资产资本表!X23-资产资本表!X37</f>
        <v>4539392792.25</v>
      </c>
      <c r="Y64" s="76">
        <f>资产资本表!Y22+资产资本表!Y23-资产资本表!Y37</f>
        <v>4011095783.0100002</v>
      </c>
      <c r="Z64" s="76">
        <f>资产资本表!Z22+资产资本表!Z23-资产资本表!Z37</f>
        <v>3856298961.9899993</v>
      </c>
      <c r="AA64" s="76">
        <f>资产资本表!AA22+资产资本表!AA23-资产资本表!AA37</f>
        <v>3269801470.9499998</v>
      </c>
      <c r="AB64" s="76">
        <f>资产资本表!AB22+资产资本表!AB23-资产资本表!AB37</f>
        <v>3097176268.0300002</v>
      </c>
      <c r="AC64" s="76">
        <f>资产资本表!AC22+资产资本表!AC23-资产资本表!AC37</f>
        <v>2778896074.6499996</v>
      </c>
      <c r="AD64" s="76">
        <f>资产资本表!AD22+资产资本表!AD23-资产资本表!AD37</f>
        <v>2845919473.25</v>
      </c>
      <c r="AE64" s="76">
        <f>资产资本表!AE22+资产资本表!AE23-资产资本表!AE37</f>
        <v>2711819647.4900002</v>
      </c>
      <c r="AF64" s="76">
        <f>资产资本表!AF22+资产资本表!AF23-资产资本表!AF37</f>
        <v>2292804786.79</v>
      </c>
      <c r="AG64" s="76">
        <f>资产资本表!AG22+资产资本表!AG23-资产资本表!AG37</f>
        <v>1956216976.0200002</v>
      </c>
      <c r="AH64" s="76">
        <f>资产资本表!AH22+资产资本表!AH23-资产资本表!AH37</f>
        <v>1680088285.5</v>
      </c>
      <c r="AI64" s="76">
        <f>资产资本表!AI22+资产资本表!AI23-资产资本表!AI37</f>
        <v>1276395759.5900002</v>
      </c>
      <c r="AJ64" s="76">
        <f>资产资本表!AJ22+资产资本表!AJ23-资产资本表!AJ37</f>
        <v>1220162089.7199998</v>
      </c>
      <c r="AK64" s="76">
        <f>资产资本表!AK22+资产资本表!AK23-资产资本表!AK37</f>
        <v>952981236.63999987</v>
      </c>
      <c r="AL64" s="76">
        <f>资产资本表!AL22+资产资本表!AL23-资产资本表!AL37</f>
        <v>1081381696.3499999</v>
      </c>
      <c r="AM64" s="76">
        <f>资产资本表!AM22+资产资本表!AM23-资产资本表!AM37</f>
        <v>844017240.1099999</v>
      </c>
      <c r="AN64" s="76">
        <f>资产资本表!AN22+资产资本表!AN23-资产资本表!AN37</f>
        <v>882756980.23999989</v>
      </c>
      <c r="AO64" s="76">
        <f>资产资本表!AO22+资产资本表!AO23-资产资本表!AO37</f>
        <v>1152654316.3499999</v>
      </c>
      <c r="AP64" s="76">
        <f>资产资本表!AP22+资产资本表!AP23-资产资本表!AP37</f>
        <v>1357998121.3099999</v>
      </c>
      <c r="AQ64" s="76">
        <f>资产资本表!AQ22+资产资本表!AQ23-资产资本表!AQ37</f>
        <v>1790765983.7600002</v>
      </c>
      <c r="AR64" s="76">
        <f>资产资本表!AR22+资产资本表!AR23-资产资本表!AR37</f>
        <v>1852045305.71</v>
      </c>
      <c r="AS64" s="76">
        <f>资产资本表!AS22+资产资本表!AS23-资产资本表!AS37</f>
        <v>1268924249.54</v>
      </c>
      <c r="AT64" s="76">
        <f>资产资本表!AT22+资产资本表!AT23-资产资本表!AT37</f>
        <v>968340468.72000003</v>
      </c>
      <c r="AU64" s="76">
        <f>资产资本表!AU22+资产资本表!AU23-资产资本表!AU37</f>
        <v>541598265.38000011</v>
      </c>
      <c r="AV64" s="76">
        <f>资产资本表!AV22+资产资本表!AV23-资产资本表!AV37</f>
        <v>786021540.52999997</v>
      </c>
      <c r="AW64" s="76">
        <f>资产资本表!AW22+资产资本表!AW23-资产资本表!AW37</f>
        <v>530489902.56000006</v>
      </c>
      <c r="AX64" s="76">
        <f>资产资本表!AX22+资产资本表!AX23-资产资本表!AX37</f>
        <v>570524048.10000014</v>
      </c>
      <c r="AY64" s="76">
        <f>资产资本表!AY22+资产资本表!AY23-资产资本表!AY37</f>
        <v>371621478.04000002</v>
      </c>
      <c r="AZ64" s="76">
        <f>资产资本表!AZ22+资产资本表!AZ23-资产资本表!AZ37</f>
        <v>362919235.81999999</v>
      </c>
      <c r="BA64" s="76">
        <f>资产资本表!BA22+资产资本表!BA23-资产资本表!BA37</f>
        <v>220956742.78</v>
      </c>
      <c r="BB64" s="76">
        <f>资产资本表!BB22+资产资本表!BB23-资产资本表!BB37</f>
        <v>265917521.05000001</v>
      </c>
      <c r="BC64" s="76">
        <f>资产资本表!BC22+资产资本表!BC23-资产资本表!BC37</f>
        <v>211935591.84999999</v>
      </c>
      <c r="BD64" s="76">
        <f>资产资本表!BD22+资产资本表!BD23-资产资本表!BD37</f>
        <v>180784343.13000003</v>
      </c>
      <c r="BE64" s="76">
        <f>资产资本表!BE22+资产资本表!BE23-资产资本表!BE37</f>
        <v>184230238.53999999</v>
      </c>
      <c r="BF64" s="76">
        <f>资产资本表!BF22+资产资本表!BF23-资产资本表!BF37</f>
        <v>148614927.16999999</v>
      </c>
      <c r="BG64" s="76">
        <f>资产资本表!BG22+资产资本表!BG23-资产资本表!BG37</f>
        <v>96041333.030000001</v>
      </c>
      <c r="BH64" s="76">
        <f>资产资本表!BH22+资产资本表!BH23-资产资本表!BH37</f>
        <v>120489994.31000002</v>
      </c>
      <c r="BI64" s="76">
        <f>资产资本表!BI22+资产资本表!BI23-资产资本表!BI37</f>
        <v>13403600.329999998</v>
      </c>
      <c r="BJ64" s="76">
        <f>资产资本表!BJ22+资产资本表!BJ23-资产资本表!BJ37</f>
        <v>71890790.25999999</v>
      </c>
      <c r="BK64" s="76">
        <f>资产资本表!BK22+资产资本表!BK23-资产资本表!BK37</f>
        <v>171924356.88999999</v>
      </c>
      <c r="BL64" s="76">
        <f>资产资本表!BL22+资产资本表!BL23-资产资本表!BL37</f>
        <v>145567196.81999999</v>
      </c>
      <c r="BM64" s="76">
        <f>资产资本表!BM22+资产资本表!BM23-资产资本表!BM37</f>
        <v>2757549.9600000009</v>
      </c>
      <c r="BN64" s="76">
        <f>资产资本表!BN22+资产资本表!BN23-资产资本表!BN37</f>
        <v>97760807.090000004</v>
      </c>
      <c r="BO64" s="76">
        <f>资产资本表!BO22+资产资本表!BO23-资产资本表!BO37</f>
        <v>82215887.320000008</v>
      </c>
      <c r="BP64" s="76">
        <f>资产资本表!BP22+资产资本表!BP23-资产资本表!BP37</f>
        <v>98874796.499999985</v>
      </c>
      <c r="BQ64" s="76">
        <f>资产资本表!BQ22+资产资本表!BQ23-资产资本表!BQ37</f>
        <v>23271829.349999998</v>
      </c>
      <c r="BR64" s="76">
        <f>资产资本表!BR22+资产资本表!BR23-资产资本表!BR37</f>
        <v>0</v>
      </c>
      <c r="BS64" s="76">
        <f>资产资本表!BS22+资产资本表!BS23-资产资本表!BS37</f>
        <v>20003421.75</v>
      </c>
      <c r="BT64" s="76">
        <f>资产资本表!BT22+资产资本表!BT23-资产资本表!BT37</f>
        <v>-2683056.7599999998</v>
      </c>
      <c r="BU64" s="76">
        <f>资产资本表!BU22+资产资本表!BU23-资产资本表!BU37</f>
        <v>19945139.300000001</v>
      </c>
      <c r="BV64" s="76">
        <f>资产资本表!BV22+资产资本表!BV23-资产资本表!BV37</f>
        <v>18263277.310000002</v>
      </c>
      <c r="BW64" s="76">
        <f>资产资本表!BW22+资产资本表!BW23-资产资本表!BW37</f>
        <v>7669406.0499999998</v>
      </c>
      <c r="BX64" s="76">
        <f>资产资本表!BX22+资产资本表!BX23-资产资本表!BX37</f>
        <v>11811230.279999999</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697</v>
      </c>
      <c r="E65" s="156">
        <f>E63/(E64+I64)*2</f>
        <v>6.9496969274129636</v>
      </c>
      <c r="F65" s="156">
        <f t="shared" ref="F65:BQ65" si="28">F63/(F64+J64)*2</f>
        <v>5.5502211449486651</v>
      </c>
      <c r="G65" s="156">
        <f t="shared" si="28"/>
        <v>3.7185383356552912</v>
      </c>
      <c r="H65" s="156">
        <f t="shared" si="28"/>
        <v>2.4552650541287062</v>
      </c>
      <c r="I65" s="156">
        <f t="shared" si="28"/>
        <v>10.840612403727079</v>
      </c>
      <c r="J65" s="156">
        <f t="shared" si="28"/>
        <v>7.8523278053993248</v>
      </c>
      <c r="K65" s="156">
        <f t="shared" si="28"/>
        <v>4.5095114901587374</v>
      </c>
      <c r="L65" s="156">
        <f t="shared" si="28"/>
        <v>1.8408032121082254</v>
      </c>
      <c r="M65" s="156">
        <f t="shared" si="28"/>
        <v>8.3798980812680188</v>
      </c>
      <c r="N65" s="156">
        <f t="shared" si="28"/>
        <v>5.5387183151768093</v>
      </c>
      <c r="O65" s="156">
        <f t="shared" si="28"/>
        <v>2.8373225936461521</v>
      </c>
      <c r="P65" s="156">
        <f t="shared" si="28"/>
        <v>1.2164347466733136</v>
      </c>
      <c r="Q65" s="156">
        <f t="shared" si="28"/>
        <v>6.7240530975454282</v>
      </c>
      <c r="R65" s="156">
        <f t="shared" si="28"/>
        <v>4.4188993488903385</v>
      </c>
      <c r="S65" s="156">
        <f t="shared" si="28"/>
        <v>2.4973401574122169</v>
      </c>
      <c r="T65" s="156">
        <f t="shared" si="28"/>
        <v>1.2154187987829712</v>
      </c>
      <c r="U65" s="156">
        <f t="shared" si="28"/>
        <v>5.2871219454352207</v>
      </c>
      <c r="V65" s="156">
        <f t="shared" si="28"/>
        <v>3.5497694156437225</v>
      </c>
      <c r="W65" s="156">
        <f t="shared" si="28"/>
        <v>2.4240578394890653</v>
      </c>
      <c r="X65" s="156">
        <f t="shared" si="28"/>
        <v>1.2509121567257513</v>
      </c>
      <c r="Y65" s="156">
        <f t="shared" si="28"/>
        <v>4.6957719098897579</v>
      </c>
      <c r="Z65" s="156">
        <f t="shared" si="28"/>
        <v>3.4079354444737815</v>
      </c>
      <c r="AA65" s="156">
        <f t="shared" si="28"/>
        <v>2.3940566389792881</v>
      </c>
      <c r="AB65" s="156">
        <f t="shared" si="28"/>
        <v>1.2174949445122214</v>
      </c>
      <c r="AC65" s="156">
        <f t="shared" si="28"/>
        <v>5.7706361783471403</v>
      </c>
      <c r="AD65" s="156">
        <f t="shared" si="28"/>
        <v>4.6438327056303565</v>
      </c>
      <c r="AE65" s="156">
        <f t="shared" si="28"/>
        <v>3.4493852231046374</v>
      </c>
      <c r="AF65" s="156">
        <f t="shared" si="28"/>
        <v>1.8125269761796672</v>
      </c>
      <c r="AG65" s="156">
        <f t="shared" si="28"/>
        <v>6.4827324717266119</v>
      </c>
      <c r="AH65" s="156">
        <f t="shared" si="28"/>
        <v>4.8566354426837641</v>
      </c>
      <c r="AI65" s="156">
        <f t="shared" si="28"/>
        <v>4.1315855836855722</v>
      </c>
      <c r="AJ65" s="156">
        <f t="shared" si="28"/>
        <v>1.9489364390318447</v>
      </c>
      <c r="AK65" s="156">
        <f t="shared" si="28"/>
        <v>6.1671828153832822</v>
      </c>
      <c r="AL65" s="156">
        <f t="shared" si="28"/>
        <v>3.8161015536111464</v>
      </c>
      <c r="AM65" s="156">
        <f t="shared" si="28"/>
        <v>2.0874271184031818</v>
      </c>
      <c r="AN65" s="156">
        <f t="shared" si="28"/>
        <v>0.88619898145876796</v>
      </c>
      <c r="AO65" s="156">
        <f t="shared" si="28"/>
        <v>6.3631163032684128</v>
      </c>
      <c r="AP65" s="156">
        <f t="shared" si="28"/>
        <v>5.3066570955265808</v>
      </c>
      <c r="AQ65" s="156">
        <f t="shared" si="28"/>
        <v>3.5738297016486564</v>
      </c>
      <c r="AR65" s="156">
        <f t="shared" si="28"/>
        <v>1.4897917491899864</v>
      </c>
      <c r="AS65" s="156">
        <f t="shared" si="28"/>
        <v>8.6734714366927204</v>
      </c>
      <c r="AT65" s="156">
        <f t="shared" si="28"/>
        <v>7.6230003480235808</v>
      </c>
      <c r="AU65" s="156">
        <f t="shared" si="28"/>
        <v>7.7277999893989628</v>
      </c>
      <c r="AV65" s="156">
        <f t="shared" si="28"/>
        <v>3.0077760042587944</v>
      </c>
      <c r="AW65" s="156">
        <f t="shared" si="28"/>
        <v>13.061664183115798</v>
      </c>
      <c r="AX65" s="156">
        <f t="shared" si="28"/>
        <v>8.4826605123299412</v>
      </c>
      <c r="AY65" s="156">
        <f t="shared" si="28"/>
        <v>7.2033842474950607</v>
      </c>
      <c r="AZ65" s="156">
        <f t="shared" si="28"/>
        <v>3.880507864918846</v>
      </c>
      <c r="BA65" s="156">
        <f t="shared" si="28"/>
        <v>16.335868823762926</v>
      </c>
      <c r="BB65" s="156">
        <f t="shared" si="28"/>
        <v>12.309076377760427</v>
      </c>
      <c r="BC65" s="156">
        <f t="shared" si="28"/>
        <v>10.516795455315412</v>
      </c>
      <c r="BD65" s="156">
        <f t="shared" si="28"/>
        <v>5.2781726995804616</v>
      </c>
      <c r="BE65" s="156">
        <f t="shared" si="28"/>
        <v>21.29421485542386</v>
      </c>
      <c r="BF65" s="156">
        <f t="shared" si="28"/>
        <v>15.380059883103051</v>
      </c>
      <c r="BG65" s="156">
        <f t="shared" si="28"/>
        <v>7.8670913090006689</v>
      </c>
      <c r="BH65" s="156">
        <f t="shared" si="28"/>
        <v>3.7634499407713871</v>
      </c>
      <c r="BI65" s="156">
        <f t="shared" si="28"/>
        <v>166.28833979985222</v>
      </c>
      <c r="BJ65" s="156">
        <f t="shared" si="28"/>
        <v>11.915308531340511</v>
      </c>
      <c r="BK65" s="156">
        <f t="shared" si="28"/>
        <v>5.7357138572492294</v>
      </c>
      <c r="BL65" s="156">
        <f t="shared" si="28"/>
        <v>2.9897854280842355</v>
      </c>
      <c r="BM65" s="156">
        <f t="shared" si="28"/>
        <v>67.749907686139139</v>
      </c>
      <c r="BN65" s="156">
        <f t="shared" si="28"/>
        <v>14.965288049157818</v>
      </c>
      <c r="BO65" s="156">
        <f t="shared" si="28"/>
        <v>8.6001195701488413</v>
      </c>
      <c r="BP65" s="156">
        <f t="shared" si="28"/>
        <v>4.5555426923812918</v>
      </c>
      <c r="BQ65" s="156">
        <f t="shared" si="28"/>
        <v>26.438154929221305</v>
      </c>
      <c r="BR65" s="156">
        <f t="shared" ref="BR65:CK65" si="29">BR63/(BR64+BV64)*2</f>
        <v>52.33209701506744</v>
      </c>
      <c r="BS65" s="156">
        <f t="shared" si="29"/>
        <v>20.971077966235168</v>
      </c>
      <c r="BT65" s="156">
        <f t="shared" si="29"/>
        <v>75.557961056375717</v>
      </c>
      <c r="BU65" s="156">
        <f t="shared" si="29"/>
        <v>16.13313574601106</v>
      </c>
      <c r="BV65" s="156">
        <f t="shared" si="29"/>
        <v>23.041439865208943</v>
      </c>
      <c r="BW65" s="156">
        <f t="shared" si="29"/>
        <v>47.121537316439259</v>
      </c>
      <c r="BX65" s="156">
        <f t="shared" si="29"/>
        <v>23.707019919350856</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475</v>
      </c>
      <c r="E66" s="83">
        <f>E62/E65</f>
        <v>52.520275892933341</v>
      </c>
      <c r="F66" s="83">
        <f t="shared" ref="F66:BQ66" si="30">F62/F65</f>
        <v>65.763145371638331</v>
      </c>
      <c r="G66" s="83">
        <f t="shared" si="30"/>
        <v>98.156847409690258</v>
      </c>
      <c r="H66" s="83">
        <f t="shared" si="30"/>
        <v>148.66012098621533</v>
      </c>
      <c r="I66" s="83">
        <f t="shared" si="30"/>
        <v>33.669684553476927</v>
      </c>
      <c r="J66" s="83">
        <f t="shared" si="30"/>
        <v>46.483031407453851</v>
      </c>
      <c r="K66" s="83">
        <f t="shared" si="30"/>
        <v>80.940031042509176</v>
      </c>
      <c r="L66" s="83">
        <f t="shared" si="30"/>
        <v>198.28300906861995</v>
      </c>
      <c r="M66" s="83">
        <f t="shared" si="30"/>
        <v>43.55661566050567</v>
      </c>
      <c r="N66" s="83">
        <f t="shared" si="30"/>
        <v>65.899722504365755</v>
      </c>
      <c r="O66" s="83">
        <f t="shared" si="30"/>
        <v>128.64240422198529</v>
      </c>
      <c r="P66" s="83">
        <f t="shared" si="30"/>
        <v>300.05719665456462</v>
      </c>
      <c r="Q66" s="83">
        <f t="shared" si="30"/>
        <v>54.282736127298115</v>
      </c>
      <c r="R66" s="83">
        <f t="shared" si="30"/>
        <v>82.599754188032762</v>
      </c>
      <c r="S66" s="83">
        <f t="shared" si="30"/>
        <v>146.15550024960106</v>
      </c>
      <c r="T66" s="83">
        <f t="shared" si="30"/>
        <v>300.3080093589827</v>
      </c>
      <c r="U66" s="83">
        <f t="shared" si="30"/>
        <v>69.03566888884275</v>
      </c>
      <c r="V66" s="83">
        <f t="shared" si="30"/>
        <v>102.82358014339084</v>
      </c>
      <c r="W66" s="83">
        <f t="shared" si="30"/>
        <v>150.57396488399527</v>
      </c>
      <c r="X66" s="83">
        <f t="shared" si="30"/>
        <v>291.78707556522869</v>
      </c>
      <c r="Y66" s="83">
        <f t="shared" si="30"/>
        <v>77.729499431451103</v>
      </c>
      <c r="Z66" s="83">
        <f t="shared" si="30"/>
        <v>107.10296774895616</v>
      </c>
      <c r="AA66" s="83">
        <f t="shared" si="30"/>
        <v>152.46088754007869</v>
      </c>
      <c r="AB66" s="83">
        <f t="shared" si="30"/>
        <v>299.79590604890274</v>
      </c>
      <c r="AC66" s="83">
        <f t="shared" si="30"/>
        <v>63.25125839150467</v>
      </c>
      <c r="AD66" s="83">
        <f t="shared" si="30"/>
        <v>78.59886932564568</v>
      </c>
      <c r="AE66" s="83">
        <f t="shared" si="30"/>
        <v>105.81595745095696</v>
      </c>
      <c r="AF66" s="83">
        <f t="shared" si="30"/>
        <v>201.37631317870068</v>
      </c>
      <c r="AG66" s="83">
        <f t="shared" si="30"/>
        <v>56.303418595767816</v>
      </c>
      <c r="AH66" s="83">
        <f t="shared" si="30"/>
        <v>75.154910082833382</v>
      </c>
      <c r="AI66" s="83">
        <f t="shared" si="30"/>
        <v>88.34380714302003</v>
      </c>
      <c r="AJ66" s="83">
        <f t="shared" si="30"/>
        <v>187.28163355666834</v>
      </c>
      <c r="AK66" s="83">
        <f t="shared" si="30"/>
        <v>59.184235480996641</v>
      </c>
      <c r="AL66" s="83">
        <f t="shared" si="30"/>
        <v>95.647349755302869</v>
      </c>
      <c r="AM66" s="83">
        <f t="shared" si="30"/>
        <v>174.85640422225322</v>
      </c>
      <c r="AN66" s="83">
        <f t="shared" si="30"/>
        <v>411.87138287969503</v>
      </c>
      <c r="AO66" s="83">
        <f t="shared" si="30"/>
        <v>57.361830682321155</v>
      </c>
      <c r="AP66" s="83">
        <f t="shared" si="30"/>
        <v>68.781531090013075</v>
      </c>
      <c r="AQ66" s="83">
        <f t="shared" si="30"/>
        <v>102.13133542194821</v>
      </c>
      <c r="AR66" s="83">
        <f t="shared" si="30"/>
        <v>245.00068563170248</v>
      </c>
      <c r="AS66" s="83">
        <f t="shared" si="30"/>
        <v>42.082343000045441</v>
      </c>
      <c r="AT66" s="83">
        <f t="shared" si="30"/>
        <v>47.881409331777576</v>
      </c>
      <c r="AU66" s="83">
        <f t="shared" si="30"/>
        <v>47.232071288168555</v>
      </c>
      <c r="AV66" s="83">
        <f t="shared" si="30"/>
        <v>121.35212179470355</v>
      </c>
      <c r="AW66" s="83">
        <f t="shared" si="30"/>
        <v>27.944371780115002</v>
      </c>
      <c r="AX66" s="83">
        <f t="shared" si="30"/>
        <v>43.028952941056119</v>
      </c>
      <c r="AY66" s="83">
        <f t="shared" si="30"/>
        <v>50.670627507747746</v>
      </c>
      <c r="AZ66" s="83">
        <f t="shared" si="30"/>
        <v>94.059853170181199</v>
      </c>
      <c r="BA66" s="83">
        <f t="shared" si="30"/>
        <v>22.343470306828969</v>
      </c>
      <c r="BB66" s="83">
        <f t="shared" si="30"/>
        <v>29.652915360852596</v>
      </c>
      <c r="BC66" s="83">
        <f t="shared" si="30"/>
        <v>34.706389560474072</v>
      </c>
      <c r="BD66" s="83">
        <f t="shared" si="30"/>
        <v>69.152720226265473</v>
      </c>
      <c r="BE66" s="83">
        <f t="shared" si="30"/>
        <v>17.140805729544457</v>
      </c>
      <c r="BF66" s="83">
        <f t="shared" si="30"/>
        <v>23.732027233586969</v>
      </c>
      <c r="BG66" s="83">
        <f t="shared" si="30"/>
        <v>46.395800641389123</v>
      </c>
      <c r="BH66" s="83">
        <f t="shared" si="30"/>
        <v>96.985480275894588</v>
      </c>
      <c r="BI66" s="83">
        <f t="shared" si="30"/>
        <v>2.1949825251687574</v>
      </c>
      <c r="BJ66" s="83">
        <f t="shared" si="30"/>
        <v>30.632861838193318</v>
      </c>
      <c r="BK66" s="83">
        <f t="shared" si="30"/>
        <v>63.636368390080229</v>
      </c>
      <c r="BL66" s="83">
        <f t="shared" si="30"/>
        <v>122.08233961253902</v>
      </c>
      <c r="BM66" s="83">
        <f t="shared" si="30"/>
        <v>5.3874612153113661</v>
      </c>
      <c r="BN66" s="83">
        <f t="shared" si="30"/>
        <v>24.389774443435495</v>
      </c>
      <c r="BO66" s="83">
        <f t="shared" si="30"/>
        <v>42.441270382672478</v>
      </c>
      <c r="BP66" s="83">
        <f t="shared" si="30"/>
        <v>80.122177454384854</v>
      </c>
      <c r="BQ66" s="83">
        <f t="shared" si="30"/>
        <v>13.805804564545326</v>
      </c>
      <c r="BR66" s="83">
        <f t="shared" ref="BR66:CJ66" si="31">BR62/BR65</f>
        <v>6.9746870624142829</v>
      </c>
      <c r="BS66" s="83">
        <f t="shared" si="31"/>
        <v>17.404923132119116</v>
      </c>
      <c r="BT66" s="83">
        <f t="shared" si="31"/>
        <v>4.830728554568382</v>
      </c>
      <c r="BU66" s="83">
        <f t="shared" si="31"/>
        <v>22.624244024615411</v>
      </c>
      <c r="BV66" s="83">
        <f t="shared" si="31"/>
        <v>15.841023917568883</v>
      </c>
      <c r="BW66" s="83">
        <f t="shared" si="31"/>
        <v>7.7459272508213077</v>
      </c>
      <c r="BX66" s="83">
        <f t="shared" si="31"/>
        <v>15.396283516093423</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476</v>
      </c>
      <c r="E67" s="76">
        <f>股权价值增加表!E5</f>
        <v>32033253462.200001</v>
      </c>
      <c r="F67" s="76">
        <f>股权价值增加表!F5</f>
        <v>23762343011.110001</v>
      </c>
      <c r="G67" s="76">
        <f>股权价值增加表!G5</f>
        <v>14946177503.389999</v>
      </c>
      <c r="H67" s="76">
        <f>股权价值增加表!H5</f>
        <v>6688903404.2399998</v>
      </c>
      <c r="I67" s="76">
        <f>股权价值增加表!I5</f>
        <v>20744809250.07</v>
      </c>
      <c r="J67" s="76">
        <f>股权价值增加表!J5</f>
        <v>14628719989.24</v>
      </c>
      <c r="K67" s="76">
        <f>股权价值增加表!K5</f>
        <v>8851952029.6200008</v>
      </c>
      <c r="L67" s="76">
        <f>股权价值增加表!L5</f>
        <v>3868973210.0100002</v>
      </c>
      <c r="M67" s="76">
        <f>股权价值增加表!M5</f>
        <v>13619965426.6</v>
      </c>
      <c r="N67" s="76">
        <f>股权价值增加表!N5</f>
        <v>10094559402.790001</v>
      </c>
      <c r="O67" s="76">
        <f>股权价值增加表!O5</f>
        <v>6718028765.5799999</v>
      </c>
      <c r="P67" s="76">
        <f>股权价值增加表!P5</f>
        <v>3154336266.1700001</v>
      </c>
      <c r="Q67" s="76">
        <f>股权价值增加表!Q5</f>
        <v>15269639735.889999</v>
      </c>
      <c r="R67" s="76">
        <f>股权价值增加表!R5</f>
        <v>12406038868.049999</v>
      </c>
      <c r="S67" s="76">
        <f>股权价值增加表!S5</f>
        <v>8123296494.29</v>
      </c>
      <c r="T67" s="76">
        <f>股权价值增加表!T5</f>
        <v>3554897748.1999998</v>
      </c>
      <c r="U67" s="76">
        <f>股权价值增加表!U5</f>
        <v>13582949179.870001</v>
      </c>
      <c r="V67" s="76">
        <f>股权价值增加表!V5</f>
        <v>10039384410.16</v>
      </c>
      <c r="W67" s="76">
        <f>股权价值增加表!W5</f>
        <v>6429177035.0299997</v>
      </c>
      <c r="X67" s="76">
        <f>股权价值增加表!X5</f>
        <v>3111699665.1199999</v>
      </c>
      <c r="Y67" s="76">
        <f>股权价值增加表!Y5</f>
        <v>10381869493.6</v>
      </c>
      <c r="Z67" s="76">
        <f>股权价值增加表!Z5</f>
        <v>7545910596.1899996</v>
      </c>
      <c r="AA67" s="76">
        <f>股权价值增加表!AA5</f>
        <v>4813978177.7700005</v>
      </c>
      <c r="AB67" s="76">
        <f>股权价值增加表!AB5</f>
        <v>2216024656.5700002</v>
      </c>
      <c r="AC67" s="76">
        <f>股权价值增加表!AC5</f>
        <v>9488664821.2399998</v>
      </c>
      <c r="AD67" s="76">
        <f>股权价值增加表!AD5</f>
        <v>7067162108.7799997</v>
      </c>
      <c r="AE67" s="76">
        <f>股权价值增加表!AE5</f>
        <v>4637940337.5500002</v>
      </c>
      <c r="AF67" s="76">
        <f>股权价值增加表!AF5</f>
        <v>2131293503.98</v>
      </c>
      <c r="AG67" s="76">
        <f>股权价值增加表!AG5</f>
        <v>7041509863.6999998</v>
      </c>
      <c r="AH67" s="76">
        <f>股权价值增加表!AH5</f>
        <v>5021591295.8599997</v>
      </c>
      <c r="AI67" s="76">
        <f>股权价值增加表!AI5</f>
        <v>3243051207.7399998</v>
      </c>
      <c r="AJ67" s="76">
        <f>股权价值增加表!AJ5</f>
        <v>1557274955.4300001</v>
      </c>
      <c r="AK67" s="76">
        <f>股权价值增加表!AK5</f>
        <v>4606765873.4099998</v>
      </c>
      <c r="AL67" s="76">
        <f>股权价值增加表!AL5</f>
        <v>3253577491.3000002</v>
      </c>
      <c r="AM67" s="76">
        <f>股权价值增加表!AM5</f>
        <v>1966108249.5599999</v>
      </c>
      <c r="AN67" s="76">
        <f>股权价值增加表!AN5</f>
        <v>920678918.63</v>
      </c>
      <c r="AO67" s="76">
        <f>股权价值增加表!AO5</f>
        <v>5294196775.4300003</v>
      </c>
      <c r="AP67" s="76">
        <f>股权价值增加表!AP5</f>
        <v>4046162569.9699998</v>
      </c>
      <c r="AQ67" s="76">
        <f>股权价值增加表!AQ5</f>
        <v>2582073570.1300001</v>
      </c>
      <c r="AR67" s="76">
        <f>股权价值增加表!AR5</f>
        <v>1227427771.4100001</v>
      </c>
      <c r="AS67" s="76">
        <f>股权价值增加表!AS5</f>
        <v>4651703918.1899996</v>
      </c>
      <c r="AT67" s="76">
        <f>股权价值增加表!AT5</f>
        <v>3578426888.8699999</v>
      </c>
      <c r="AU67" s="76">
        <f>股权价值增加表!AU5</f>
        <v>2209440549.4899998</v>
      </c>
      <c r="AV67" s="76">
        <f>股权价值增加表!AV5</f>
        <v>1087781048.79</v>
      </c>
      <c r="AW67" s="76">
        <f>股权价值增加表!AW5</f>
        <v>3139049523.0500002</v>
      </c>
      <c r="AX67" s="76">
        <f>股权价值增加表!AX5</f>
        <v>2252345297.48</v>
      </c>
      <c r="AY67" s="76">
        <f>股权价值增加表!AY5</f>
        <v>1400629182.1400001</v>
      </c>
      <c r="AZ67" s="76">
        <f>股权价值增加表!AZ5</f>
        <v>690278011.37</v>
      </c>
      <c r="BA67" s="76">
        <f>股权价值增加表!BA5</f>
        <v>2071239585.1900001</v>
      </c>
      <c r="BB67" s="76">
        <f>股权价值增加表!BB5</f>
        <v>1569034978.9100001</v>
      </c>
      <c r="BC67" s="76">
        <f>股权价值增加表!BC5</f>
        <v>967239817.53999996</v>
      </c>
      <c r="BD67" s="76">
        <f>股权价值增加表!BD5</f>
        <v>469751672.69999999</v>
      </c>
      <c r="BE67" s="76">
        <f>股权价值增加表!BE5</f>
        <v>1252818732.1400001</v>
      </c>
      <c r="BF67" s="76">
        <f>股权价值增加表!BF5</f>
        <v>973372532.09000003</v>
      </c>
      <c r="BG67" s="76">
        <f>股权价值增加表!BG5</f>
        <v>572483914.66999996</v>
      </c>
      <c r="BH67" s="76">
        <f>股权价值增加表!BH5</f>
        <v>290169041.20999998</v>
      </c>
      <c r="BI67" s="76">
        <f>股权价值增加表!BI5</f>
        <v>861457343.46000004</v>
      </c>
      <c r="BJ67" s="76">
        <f>股权价值增加表!BJ5</f>
        <v>621831935.80999994</v>
      </c>
      <c r="BK67" s="76">
        <f>股权价值增加表!BK5</f>
        <v>452234197.25999999</v>
      </c>
      <c r="BL67" s="76">
        <f>股权价值增加表!BL5</f>
        <v>235189970.84999999</v>
      </c>
      <c r="BM67" s="76">
        <f>股权价值增加表!BM5</f>
        <v>576099921.12</v>
      </c>
      <c r="BN67" s="76">
        <f>股权价值增加表!BN5</f>
        <v>487704935.55000001</v>
      </c>
      <c r="BO67" s="76">
        <f>股权价值增加表!BO5</f>
        <v>287596089.52999997</v>
      </c>
      <c r="BP67" s="76">
        <f>股权价值增加表!BP5</f>
        <v>143189251.71000001</v>
      </c>
      <c r="BQ67" s="76">
        <f>股权价值增加表!BQ5</f>
        <v>363108488.54000002</v>
      </c>
      <c r="BR67" s="76">
        <f>股权价值增加表!BR5</f>
        <v>0</v>
      </c>
      <c r="BS67" s="76">
        <f>股权价值增加表!BS5</f>
        <v>176016395.74000001</v>
      </c>
      <c r="BT67" s="76">
        <f>股权价值增加表!BT5</f>
        <v>231885194.97</v>
      </c>
      <c r="BU67" s="76">
        <f>股权价值增加表!BU5</f>
        <v>95901275.469999999</v>
      </c>
      <c r="BV67" s="76">
        <f>股权价值增加表!BV5</f>
        <v>160030203.71000001</v>
      </c>
      <c r="BW67" s="76">
        <f>股权价值增加表!BW5</f>
        <v>142355825.75999999</v>
      </c>
      <c r="BX67" s="76">
        <f>股权价值增加表!BX5</f>
        <v>110766360.22</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477</v>
      </c>
      <c r="E68" s="76">
        <f>资产资本表!E26</f>
        <v>6999627326.7399998</v>
      </c>
      <c r="F68" s="76">
        <f>资产资本表!F26</f>
        <v>6321078779.4700003</v>
      </c>
      <c r="G68" s="76">
        <f>资产资本表!G26</f>
        <v>6322000146.6300001</v>
      </c>
      <c r="H68" s="76">
        <f>资产资本表!H26</f>
        <v>5670195142.4700003</v>
      </c>
      <c r="I68" s="76">
        <f>资产资本表!I26</f>
        <v>4337350786.5600004</v>
      </c>
      <c r="J68" s="76">
        <f>资产资本表!J26</f>
        <v>5092984949.7799997</v>
      </c>
      <c r="K68" s="76">
        <f>资产资本表!K26</f>
        <v>4758766253.9399996</v>
      </c>
      <c r="L68" s="76">
        <f>资产资本表!L26</f>
        <v>3900858069.79</v>
      </c>
      <c r="M68" s="76">
        <f>资产资本表!M26</f>
        <v>4193853062.9400001</v>
      </c>
      <c r="N68" s="76">
        <f>资产资本表!N26</f>
        <v>4509449643.25</v>
      </c>
      <c r="O68" s="76">
        <f>资产资本表!O26</f>
        <v>3700649237.1399999</v>
      </c>
      <c r="P68" s="76">
        <f>资产资本表!P26</f>
        <v>3108855567.0500002</v>
      </c>
      <c r="Q68" s="76">
        <f>资产资本表!Q26</f>
        <v>3009992528.5799999</v>
      </c>
      <c r="R68" s="76">
        <f>资产资本表!R26</f>
        <v>3223628632.25</v>
      </c>
      <c r="S68" s="76">
        <f>资产资本表!S26</f>
        <v>2965551203.3099999</v>
      </c>
      <c r="T68" s="76">
        <f>资产资本表!T26</f>
        <v>3147369926.3099999</v>
      </c>
      <c r="U68" s="76">
        <f>资产资本表!U26</f>
        <v>2265001877.4200001</v>
      </c>
      <c r="V68" s="76">
        <f>资产资本表!V26</f>
        <v>2100504580.3800001</v>
      </c>
      <c r="W68" s="76">
        <f>资产资本表!W26</f>
        <v>2123847513.46</v>
      </c>
      <c r="X68" s="76">
        <f>资产资本表!X26</f>
        <v>2332381125.75</v>
      </c>
      <c r="Y68" s="76">
        <f>资产资本表!Y26</f>
        <v>1994863273.8199999</v>
      </c>
      <c r="Z68" s="76">
        <f>资产资本表!Z26</f>
        <v>1533361212.1099999</v>
      </c>
      <c r="AA68" s="76">
        <f>资产资本表!AA26</f>
        <v>1803651365.7</v>
      </c>
      <c r="AB68" s="76">
        <f>资产资本表!AB26</f>
        <v>1846576379.25</v>
      </c>
      <c r="AC68" s="76">
        <f>资产资本表!AC26</f>
        <v>1337878714.5899999</v>
      </c>
      <c r="AD68" s="76">
        <f>资产资本表!AD26</f>
        <v>1544732794.0699999</v>
      </c>
      <c r="AE68" s="76">
        <f>资产资本表!AE26</f>
        <v>1501907514.8800001</v>
      </c>
      <c r="AF68" s="76">
        <f>资产资本表!AF26</f>
        <v>1544141137.4300001</v>
      </c>
      <c r="AG68" s="76">
        <f>资产资本表!AG26</f>
        <v>1168328974.6400001</v>
      </c>
      <c r="AH68" s="76">
        <f>资产资本表!AH26</f>
        <v>1056549179.8200001</v>
      </c>
      <c r="AI68" s="76">
        <f>资产资本表!AI26</f>
        <v>1071845447.54</v>
      </c>
      <c r="AJ68" s="76">
        <f>资产资本表!AJ26</f>
        <v>854309612.65999997</v>
      </c>
      <c r="AK68" s="76">
        <f>资产资本表!AK26</f>
        <v>755633666.27999997</v>
      </c>
      <c r="AL68" s="76">
        <f>资产资本表!AL26</f>
        <v>787356714.60000002</v>
      </c>
      <c r="AM68" s="76">
        <f>资产资本表!AM26</f>
        <v>582097046.21000004</v>
      </c>
      <c r="AN68" s="76">
        <f>资产资本表!AN26</f>
        <v>502390011.13</v>
      </c>
      <c r="AO68" s="76">
        <f>资产资本表!AO26</f>
        <v>600437286.60000002</v>
      </c>
      <c r="AP68" s="76">
        <f>资产资本表!AP26</f>
        <v>1053594015.15</v>
      </c>
      <c r="AQ68" s="76">
        <f>资产资本表!AQ26</f>
        <v>747438909.23000002</v>
      </c>
      <c r="AR68" s="76">
        <f>资产资本表!AR26</f>
        <v>753701314.21000004</v>
      </c>
      <c r="AS68" s="76">
        <f>资产资本表!AS26</f>
        <v>650856646.64999998</v>
      </c>
      <c r="AT68" s="76">
        <f>资产资本表!AT26</f>
        <v>655852463.64999998</v>
      </c>
      <c r="AU68" s="76">
        <f>资产资本表!AU26</f>
        <v>847578880.75</v>
      </c>
      <c r="AV68" s="76">
        <f>资产资本表!AV26</f>
        <v>646016908.86000001</v>
      </c>
      <c r="AW68" s="76">
        <f>资产资本表!AW26</f>
        <v>463770420.89999998</v>
      </c>
      <c r="AX68" s="76">
        <f>资产资本表!AX26</f>
        <v>466866450.95999998</v>
      </c>
      <c r="AY68" s="76">
        <f>资产资本表!AY26</f>
        <v>451418078.76999998</v>
      </c>
      <c r="AZ68" s="76">
        <f>资产资本表!AZ26</f>
        <v>560739203.50999999</v>
      </c>
      <c r="BA68" s="76">
        <f>资产资本表!BA26</f>
        <v>474792028.51999998</v>
      </c>
      <c r="BB68" s="76">
        <f>资产资本表!BB26</f>
        <v>391055453.54000002</v>
      </c>
      <c r="BC68" s="76">
        <f>资产资本表!BC26</f>
        <v>406930969.38</v>
      </c>
      <c r="BD68" s="76">
        <f>资产资本表!BD26</f>
        <v>292760453.91000003</v>
      </c>
      <c r="BE68" s="76">
        <f>资产资本表!BE26</f>
        <v>276734083.68000001</v>
      </c>
      <c r="BF68" s="76">
        <f>资产资本表!BF26</f>
        <v>201248182.09999999</v>
      </c>
      <c r="BG68" s="76">
        <f>资产资本表!BG26</f>
        <v>151322083.05000001</v>
      </c>
      <c r="BH68" s="76">
        <f>资产资本表!BH26</f>
        <v>128228127.72</v>
      </c>
      <c r="BI68" s="76">
        <f>资产资本表!BI26</f>
        <v>134963979.69999999</v>
      </c>
      <c r="BJ68" s="76">
        <f>资产资本表!BJ26</f>
        <v>66364741.060000002</v>
      </c>
      <c r="BK68" s="76">
        <f>资产资本表!BK26</f>
        <v>87953986.450000003</v>
      </c>
      <c r="BL68" s="76">
        <f>资产资本表!BL26</f>
        <v>105167541.09</v>
      </c>
      <c r="BM68" s="76">
        <f>资产资本表!BM26</f>
        <v>89124838.510000005</v>
      </c>
      <c r="BN68" s="76">
        <f>资产资本表!BN26</f>
        <v>63810429.280000001</v>
      </c>
      <c r="BO68" s="76">
        <f>资产资本表!BO26</f>
        <v>101666987.34999999</v>
      </c>
      <c r="BP68" s="76">
        <f>资产资本表!BP26</f>
        <v>62748646.630000003</v>
      </c>
      <c r="BQ68" s="76">
        <f>资产资本表!BQ26</f>
        <v>44425718.57</v>
      </c>
      <c r="BR68" s="76">
        <f>资产资本表!BR26</f>
        <v>0</v>
      </c>
      <c r="BS68" s="76">
        <f>资产资本表!BS26</f>
        <v>76038317.769999996</v>
      </c>
      <c r="BT68" s="76">
        <f>资产资本表!BT26</f>
        <v>51274560.890000001</v>
      </c>
      <c r="BU68" s="76">
        <f>资产资本表!BU26</f>
        <v>80346101.359999999</v>
      </c>
      <c r="BV68" s="76">
        <f>资产资本表!BV26</f>
        <v>29237014.609999999</v>
      </c>
      <c r="BW68" s="76">
        <f>资产资本表!BW26</f>
        <v>21916789.77</v>
      </c>
      <c r="BX68" s="76">
        <f>资产资本表!BX26</f>
        <v>54198832.219999999</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478</v>
      </c>
      <c r="E69" s="156">
        <f>E67/(E68+I68)*2</f>
        <v>5.6511096946760659</v>
      </c>
      <c r="F69" s="156">
        <f t="shared" ref="F69:BQ69" si="32">F67/(F68+J68)*2</f>
        <v>4.1636955206787487</v>
      </c>
      <c r="G69" s="156">
        <f t="shared" si="32"/>
        <v>2.6976793775963297</v>
      </c>
      <c r="H69" s="156">
        <f t="shared" si="32"/>
        <v>1.3977361228483982</v>
      </c>
      <c r="I69" s="156">
        <f t="shared" si="32"/>
        <v>4.8632782936691452</v>
      </c>
      <c r="J69" s="156">
        <f t="shared" si="32"/>
        <v>3.0468772991920963</v>
      </c>
      <c r="K69" s="156">
        <f t="shared" si="32"/>
        <v>2.0928046480170903</v>
      </c>
      <c r="L69" s="156">
        <f t="shared" si="32"/>
        <v>1.1038890917530106</v>
      </c>
      <c r="M69" s="156">
        <f t="shared" si="32"/>
        <v>3.7813040975316654</v>
      </c>
      <c r="N69" s="156">
        <f t="shared" si="32"/>
        <v>2.6107480212043539</v>
      </c>
      <c r="O69" s="156">
        <f t="shared" si="32"/>
        <v>2.0155495849826268</v>
      </c>
      <c r="P69" s="156">
        <f t="shared" si="32"/>
        <v>1.008383175931824</v>
      </c>
      <c r="Q69" s="156">
        <f t="shared" si="32"/>
        <v>5.7894430062415498</v>
      </c>
      <c r="R69" s="156">
        <f t="shared" si="32"/>
        <v>4.6603037048810805</v>
      </c>
      <c r="S69" s="156">
        <f t="shared" si="32"/>
        <v>3.1922421277480377</v>
      </c>
      <c r="T69" s="156">
        <f t="shared" si="32"/>
        <v>1.2974668792165693</v>
      </c>
      <c r="U69" s="156">
        <f t="shared" si="32"/>
        <v>6.3771733130642199</v>
      </c>
      <c r="V69" s="156">
        <f t="shared" si="32"/>
        <v>5.5254569009720127</v>
      </c>
      <c r="W69" s="156">
        <f t="shared" si="32"/>
        <v>3.273929405375184</v>
      </c>
      <c r="X69" s="156">
        <f t="shared" si="32"/>
        <v>1.4892229276784665</v>
      </c>
      <c r="Y69" s="156">
        <f t="shared" si="32"/>
        <v>6.2302269600852185</v>
      </c>
      <c r="Z69" s="156">
        <f t="shared" si="32"/>
        <v>4.9029760501399915</v>
      </c>
      <c r="AA69" s="156">
        <f t="shared" si="32"/>
        <v>2.9126561357305669</v>
      </c>
      <c r="AB69" s="156">
        <f t="shared" si="32"/>
        <v>1.30711251861512</v>
      </c>
      <c r="AC69" s="156">
        <f t="shared" si="32"/>
        <v>7.5721296858324374</v>
      </c>
      <c r="AD69" s="156">
        <f t="shared" si="32"/>
        <v>5.4335994172993471</v>
      </c>
      <c r="AE69" s="156">
        <f t="shared" si="32"/>
        <v>3.6040291397579391</v>
      </c>
      <c r="AF69" s="156">
        <f t="shared" si="32"/>
        <v>1.7772251557802676</v>
      </c>
      <c r="AG69" s="156">
        <f t="shared" si="32"/>
        <v>7.3197989544463216</v>
      </c>
      <c r="AH69" s="156">
        <f t="shared" si="32"/>
        <v>5.4466893468438524</v>
      </c>
      <c r="AI69" s="156">
        <f t="shared" si="32"/>
        <v>3.9216009262655778</v>
      </c>
      <c r="AJ69" s="156">
        <f t="shared" si="32"/>
        <v>2.2956812666899458</v>
      </c>
      <c r="AK69" s="156">
        <f t="shared" si="32"/>
        <v>6.794284419449041</v>
      </c>
      <c r="AL69" s="156">
        <f t="shared" si="32"/>
        <v>3.5346709053336087</v>
      </c>
      <c r="AM69" s="156">
        <f t="shared" si="32"/>
        <v>2.9575856771911537</v>
      </c>
      <c r="AN69" s="156">
        <f t="shared" si="32"/>
        <v>1.465942642953592</v>
      </c>
      <c r="AO69" s="156">
        <f t="shared" si="32"/>
        <v>8.461955476247411</v>
      </c>
      <c r="AP69" s="156">
        <f t="shared" si="32"/>
        <v>4.7338862259207222</v>
      </c>
      <c r="AQ69" s="156">
        <f t="shared" si="32"/>
        <v>3.2376736941126869</v>
      </c>
      <c r="AR69" s="156">
        <f t="shared" si="32"/>
        <v>1.7538212351310027</v>
      </c>
      <c r="AS69" s="156">
        <f t="shared" si="32"/>
        <v>8.3466552241812177</v>
      </c>
      <c r="AT69" s="156">
        <f t="shared" si="32"/>
        <v>6.3745730873573851</v>
      </c>
      <c r="AU69" s="156">
        <f t="shared" si="32"/>
        <v>3.4017640046000155</v>
      </c>
      <c r="AV69" s="156">
        <f t="shared" si="32"/>
        <v>1.8028183783609106</v>
      </c>
      <c r="AW69" s="156">
        <f t="shared" si="32"/>
        <v>6.6890584105294799</v>
      </c>
      <c r="AX69" s="156">
        <f t="shared" si="32"/>
        <v>5.2507000594481266</v>
      </c>
      <c r="AY69" s="156">
        <f t="shared" si="32"/>
        <v>3.263542227159864</v>
      </c>
      <c r="AZ69" s="156">
        <f t="shared" si="32"/>
        <v>1.6175238159007719</v>
      </c>
      <c r="BA69" s="156">
        <f t="shared" si="32"/>
        <v>5.5120894711873722</v>
      </c>
      <c r="BB69" s="156">
        <f t="shared" si="32"/>
        <v>5.2980764746264493</v>
      </c>
      <c r="BC69" s="156">
        <f t="shared" si="32"/>
        <v>3.4652379000159006</v>
      </c>
      <c r="BD69" s="156">
        <f t="shared" si="32"/>
        <v>2.2316599223722275</v>
      </c>
      <c r="BE69" s="156">
        <f t="shared" si="32"/>
        <v>6.0861045682580261</v>
      </c>
      <c r="BF69" s="156">
        <f t="shared" si="32"/>
        <v>7.2744807731728383</v>
      </c>
      <c r="BG69" s="156">
        <f t="shared" si="32"/>
        <v>4.7851330546032722</v>
      </c>
      <c r="BH69" s="156">
        <f t="shared" si="32"/>
        <v>2.4864989371008197</v>
      </c>
      <c r="BI69" s="156">
        <f t="shared" si="32"/>
        <v>7.6885348438287888</v>
      </c>
      <c r="BJ69" s="156">
        <f t="shared" si="32"/>
        <v>9.5537718012714521</v>
      </c>
      <c r="BK69" s="156">
        <f t="shared" si="32"/>
        <v>4.7698752748415636</v>
      </c>
      <c r="BL69" s="156">
        <f t="shared" si="32"/>
        <v>2.8012781143194951</v>
      </c>
      <c r="BM69" s="156">
        <f t="shared" si="32"/>
        <v>8.6274431753197742</v>
      </c>
      <c r="BN69" s="156">
        <f t="shared" si="32"/>
        <v>15.286057186982774</v>
      </c>
      <c r="BO69" s="156">
        <f t="shared" si="32"/>
        <v>3.2367755069078377</v>
      </c>
      <c r="BP69" s="156">
        <f t="shared" si="32"/>
        <v>2.5115808408544233</v>
      </c>
      <c r="BQ69" s="156">
        <f t="shared" si="32"/>
        <v>5.8203605388414248</v>
      </c>
      <c r="BR69" s="156">
        <f t="shared" ref="BR69:CJ69" si="33">BR67/(BR68+BV68)*2</f>
        <v>0</v>
      </c>
      <c r="BS69" s="156">
        <f t="shared" si="33"/>
        <v>3.5938176203445784</v>
      </c>
      <c r="BT69" s="156">
        <f t="shared" si="33"/>
        <v>4.3970367906560659</v>
      </c>
      <c r="BU69" s="156">
        <f t="shared" si="33"/>
        <v>2.3872042039800596</v>
      </c>
      <c r="BV69" s="156">
        <f t="shared" si="33"/>
        <v>10.94709605920329</v>
      </c>
      <c r="BW69" s="156">
        <f t="shared" si="33"/>
        <v>12.99057273021422</v>
      </c>
      <c r="BX69" s="156">
        <f t="shared" si="33"/>
        <v>4.0874076316030266</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479</v>
      </c>
      <c r="E70" s="83">
        <f>E62/E69</f>
        <v>64.589084218957566</v>
      </c>
      <c r="F70" s="83">
        <f t="shared" ref="F70:BQ70" si="34">F62/F69</f>
        <v>87.662509947533138</v>
      </c>
      <c r="G70" s="83">
        <f t="shared" si="34"/>
        <v>135.30147542041121</v>
      </c>
      <c r="H70" s="83">
        <f t="shared" si="34"/>
        <v>261.13655791922946</v>
      </c>
      <c r="I70" s="83">
        <f t="shared" si="34"/>
        <v>75.052254458714586</v>
      </c>
      <c r="J70" s="83">
        <f t="shared" si="34"/>
        <v>119.79478139693471</v>
      </c>
      <c r="K70" s="83">
        <f t="shared" si="34"/>
        <v>174.40710500420263</v>
      </c>
      <c r="L70" s="83">
        <f t="shared" si="34"/>
        <v>330.649159165409</v>
      </c>
      <c r="M70" s="83">
        <f t="shared" si="34"/>
        <v>96.527544620984671</v>
      </c>
      <c r="N70" s="83">
        <f t="shared" si="34"/>
        <v>139.80667495885845</v>
      </c>
      <c r="O70" s="83">
        <f t="shared" si="34"/>
        <v>181.09204691342097</v>
      </c>
      <c r="P70" s="83">
        <f t="shared" si="34"/>
        <v>361.96557887105939</v>
      </c>
      <c r="Q70" s="83">
        <f t="shared" si="34"/>
        <v>63.04578862016546</v>
      </c>
      <c r="R70" s="83">
        <f t="shared" si="34"/>
        <v>78.321075859864777</v>
      </c>
      <c r="S70" s="83">
        <f t="shared" si="34"/>
        <v>114.33969774012371</v>
      </c>
      <c r="T70" s="83">
        <f t="shared" si="34"/>
        <v>281.3173930269362</v>
      </c>
      <c r="U70" s="83">
        <f t="shared" si="34"/>
        <v>57.235389737999483</v>
      </c>
      <c r="V70" s="83">
        <f t="shared" si="34"/>
        <v>66.057885626759827</v>
      </c>
      <c r="W70" s="83">
        <f t="shared" si="34"/>
        <v>111.48682662513669</v>
      </c>
      <c r="X70" s="83">
        <f t="shared" si="34"/>
        <v>245.09426575173305</v>
      </c>
      <c r="Y70" s="83">
        <f t="shared" si="34"/>
        <v>58.585345660506633</v>
      </c>
      <c r="Z70" s="83">
        <f t="shared" si="34"/>
        <v>74.444581467938931</v>
      </c>
      <c r="AA70" s="83">
        <f t="shared" si="34"/>
        <v>125.31517041178253</v>
      </c>
      <c r="AB70" s="83">
        <f t="shared" si="34"/>
        <v>279.24145381662771</v>
      </c>
      <c r="AC70" s="83">
        <f t="shared" si="34"/>
        <v>48.203083563521133</v>
      </c>
      <c r="AD70" s="83">
        <f t="shared" si="34"/>
        <v>67.1746244005259</v>
      </c>
      <c r="AE70" s="83">
        <f t="shared" si="34"/>
        <v>101.27554074785168</v>
      </c>
      <c r="AF70" s="83">
        <f t="shared" si="34"/>
        <v>205.37634120970534</v>
      </c>
      <c r="AG70" s="83">
        <f t="shared" si="34"/>
        <v>49.864757525653793</v>
      </c>
      <c r="AH70" s="83">
        <f t="shared" si="34"/>
        <v>67.01318484622287</v>
      </c>
      <c r="AI70" s="83">
        <f t="shared" si="34"/>
        <v>93.074233422210682</v>
      </c>
      <c r="AJ70" s="83">
        <f t="shared" si="34"/>
        <v>158.99419718935087</v>
      </c>
      <c r="AK70" s="83">
        <f t="shared" si="34"/>
        <v>53.721625040477541</v>
      </c>
      <c r="AL70" s="83">
        <f t="shared" si="34"/>
        <v>103.26279582329337</v>
      </c>
      <c r="AM70" s="83">
        <f t="shared" si="34"/>
        <v>123.41147132773644</v>
      </c>
      <c r="AN70" s="83">
        <f t="shared" si="34"/>
        <v>248.98654920399568</v>
      </c>
      <c r="AO70" s="83">
        <f t="shared" si="34"/>
        <v>43.134237827716042</v>
      </c>
      <c r="AP70" s="83">
        <f t="shared" si="34"/>
        <v>77.103669708286859</v>
      </c>
      <c r="AQ70" s="83">
        <f t="shared" si="34"/>
        <v>112.73526441645673</v>
      </c>
      <c r="AR70" s="83">
        <f t="shared" si="34"/>
        <v>208.11699202212938</v>
      </c>
      <c r="AS70" s="83">
        <f t="shared" si="34"/>
        <v>43.730091898674949</v>
      </c>
      <c r="AT70" s="83">
        <f t="shared" si="34"/>
        <v>57.25873638877875</v>
      </c>
      <c r="AU70" s="83">
        <f t="shared" si="34"/>
        <v>107.29727268159428</v>
      </c>
      <c r="AV70" s="83">
        <f t="shared" si="34"/>
        <v>202.46077163460654</v>
      </c>
      <c r="AW70" s="83">
        <f t="shared" si="34"/>
        <v>54.566723385976239</v>
      </c>
      <c r="AX70" s="83">
        <f t="shared" si="34"/>
        <v>69.514540131314078</v>
      </c>
      <c r="AY70" s="83">
        <f t="shared" si="34"/>
        <v>111.84166607755081</v>
      </c>
      <c r="AZ70" s="83">
        <f t="shared" si="34"/>
        <v>225.65355539864964</v>
      </c>
      <c r="BA70" s="83">
        <f t="shared" si="34"/>
        <v>66.218083343515559</v>
      </c>
      <c r="BB70" s="83">
        <f t="shared" si="34"/>
        <v>68.89292779144624</v>
      </c>
      <c r="BC70" s="83">
        <f t="shared" si="34"/>
        <v>105.33187346194187</v>
      </c>
      <c r="BD70" s="83">
        <f t="shared" si="34"/>
        <v>163.5553859891024</v>
      </c>
      <c r="BE70" s="83">
        <f t="shared" si="34"/>
        <v>59.972679717606439</v>
      </c>
      <c r="BF70" s="83">
        <f t="shared" si="34"/>
        <v>50.175402393812575</v>
      </c>
      <c r="BG70" s="83">
        <f t="shared" si="34"/>
        <v>76.277920767296521</v>
      </c>
      <c r="BH70" s="83">
        <f t="shared" si="34"/>
        <v>146.7927432237629</v>
      </c>
      <c r="BI70" s="83">
        <f t="shared" si="34"/>
        <v>47.473284236068416</v>
      </c>
      <c r="BJ70" s="83">
        <f t="shared" si="34"/>
        <v>38.204806184655197</v>
      </c>
      <c r="BK70" s="83">
        <f t="shared" si="34"/>
        <v>76.521917024785068</v>
      </c>
      <c r="BL70" s="83">
        <f t="shared" si="34"/>
        <v>130.29766595976429</v>
      </c>
      <c r="BM70" s="83">
        <f t="shared" si="34"/>
        <v>42.306856455936192</v>
      </c>
      <c r="BN70" s="83">
        <f t="shared" si="34"/>
        <v>23.877969023354492</v>
      </c>
      <c r="BO70" s="83">
        <f t="shared" si="34"/>
        <v>112.76654782545994</v>
      </c>
      <c r="BP70" s="83">
        <f t="shared" si="34"/>
        <v>145.32679739499423</v>
      </c>
      <c r="BQ70" s="83">
        <f t="shared" si="34"/>
        <v>62.710891802014601</v>
      </c>
      <c r="BR70" s="83" t="e">
        <f t="shared" ref="BR70:CJ70" si="35">BR62/BR69</f>
        <v>#DIV/0!</v>
      </c>
      <c r="BS70" s="83">
        <f t="shared" si="35"/>
        <v>101.56330636639359</v>
      </c>
      <c r="BT70" s="83">
        <f t="shared" si="35"/>
        <v>83.010449395293705</v>
      </c>
      <c r="BU70" s="83">
        <f t="shared" si="35"/>
        <v>152.89852430364138</v>
      </c>
      <c r="BV70" s="83">
        <f t="shared" si="35"/>
        <v>33.342175680749811</v>
      </c>
      <c r="BW70" s="83">
        <f t="shared" si="35"/>
        <v>28.097298524110645</v>
      </c>
      <c r="BX70" s="83">
        <f t="shared" si="35"/>
        <v>89.298654036336444</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480</v>
      </c>
      <c r="E71" s="76">
        <f>资产资本表!E35+资产资本表!E36-资产资本表!E24</f>
        <v>5757879787.7000008</v>
      </c>
      <c r="F71" s="76">
        <f>资产资本表!F35+资产资本表!F36-资产资本表!F24</f>
        <v>5274300260.0300007</v>
      </c>
      <c r="G71" s="76">
        <f>资产资本表!G35+资产资本表!G36-资产资本表!G24</f>
        <v>5259042676.21</v>
      </c>
      <c r="H71" s="76">
        <f>资产资本表!H35+资产资本表!H36-资产资本表!H24</f>
        <v>5055565256.3400002</v>
      </c>
      <c r="I71" s="76">
        <f>资产资本表!I35+资产资本表!I36-资产资本表!I24</f>
        <v>5088745148.9699993</v>
      </c>
      <c r="J71" s="76">
        <f>资产资本表!J35+资产资本表!J36-资产资本表!J24</f>
        <v>5965951327.0699997</v>
      </c>
      <c r="K71" s="76">
        <f>资产资本表!K35+资产资本表!K36-资产资本表!K24</f>
        <v>5614156357.8100004</v>
      </c>
      <c r="L71" s="76">
        <f>资产资本表!L35+资产资本表!L36-资产资本表!L24</f>
        <v>6047924256.6500006</v>
      </c>
      <c r="M71" s="76">
        <f>资产资本表!M35+资产资本表!M36-资产资本表!M24</f>
        <v>5250716928.0300007</v>
      </c>
      <c r="N71" s="76">
        <f>资产资本表!N35+资产资本表!N36-资产资本表!N24</f>
        <v>4523256957.4300003</v>
      </c>
      <c r="O71" s="76">
        <f>资产资本表!O35+资产资本表!O36-资产资本表!O24</f>
        <v>4969983253.7600002</v>
      </c>
      <c r="P71" s="76">
        <f>资产资本表!P35+资产资本表!P36-资产资本表!P24</f>
        <v>4017647178.4499993</v>
      </c>
      <c r="Q71" s="76">
        <f>资产资本表!Q35+资产资本表!Q36-资产资本表!Q24</f>
        <v>4311797548.3700008</v>
      </c>
      <c r="R71" s="76">
        <f>资产资本表!R35+资产资本表!R36-资产资本表!R24</f>
        <v>4221192310.7799997</v>
      </c>
      <c r="S71" s="76">
        <f>资产资本表!S35+资产资本表!S36-资产资本表!S24</f>
        <v>3521074101.3699994</v>
      </c>
      <c r="T71" s="76">
        <f>资产资本表!T35+资产资本表!T36-资产资本表!T24</f>
        <v>3918254527.2400007</v>
      </c>
      <c r="U71" s="76">
        <f>资产资本表!U35+资产资本表!U36-资产资本表!U24</f>
        <v>3815772896.8900003</v>
      </c>
      <c r="V71" s="76">
        <f>资产资本表!V35+资产资本表!V36-资产资本表!V24</f>
        <v>2620356785.3299999</v>
      </c>
      <c r="W71" s="76">
        <f>资产资本表!W35+资产资本表!W36-资产资本表!W24</f>
        <v>2456181511.8099999</v>
      </c>
      <c r="X71" s="76">
        <f>资产资本表!X35+资产资本表!X36-资产资本表!X24</f>
        <v>2375490805.8299999</v>
      </c>
      <c r="Y71" s="76">
        <f>资产资本表!Y35+资产资本表!Y36-资产资本表!Y24</f>
        <v>1912846678.26</v>
      </c>
      <c r="Z71" s="76">
        <f>资产资本表!Z35+资产资本表!Z36-资产资本表!Z24</f>
        <v>-218184338.20000005</v>
      </c>
      <c r="AA71" s="76">
        <f>资产资本表!AA35+资产资本表!AA36-资产资本表!AA24</f>
        <v>190880764.64999986</v>
      </c>
      <c r="AB71" s="76">
        <f>资产资本表!AB35+资产资本表!AB36-资产资本表!AB24</f>
        <v>414655204.4000001</v>
      </c>
      <c r="AC71" s="76">
        <f>资产资本表!AC35+资产资本表!AC36-资产资本表!AC24</f>
        <v>-404539862.52999997</v>
      </c>
      <c r="AD71" s="76">
        <f>资产资本表!AD35+资产资本表!AD36-资产资本表!AD24</f>
        <v>-229873919.5</v>
      </c>
      <c r="AE71" s="76">
        <f>资产资本表!AE35+资产资本表!AE36-资产资本表!AE24</f>
        <v>470141676.54000008</v>
      </c>
      <c r="AF71" s="76">
        <f>资产资本表!AF35+资产资本表!AF36-资产资本表!AF24</f>
        <v>539509021.26999986</v>
      </c>
      <c r="AG71" s="76">
        <f>资产资本表!AG35+资产资本表!AG36-资产资本表!AG24</f>
        <v>478714568.70000011</v>
      </c>
      <c r="AH71" s="76">
        <f>资产资本表!AH35+资产资本表!AH36-资产资本表!AH24</f>
        <v>260798878.99000001</v>
      </c>
      <c r="AI71" s="76">
        <f>资产资本表!AI35+资产资本表!AI36-资产资本表!AI24</f>
        <v>376509268.13</v>
      </c>
      <c r="AJ71" s="76">
        <f>资产资本表!AJ35+资产资本表!AJ36-资产资本表!AJ24</f>
        <v>304871185.04999995</v>
      </c>
      <c r="AK71" s="76">
        <f>资产资本表!AK35+资产资本表!AK36-资产资本表!AK24</f>
        <v>-35163478.570000052</v>
      </c>
      <c r="AL71" s="76">
        <f>资产资本表!AL35+资产资本表!AL36-资产资本表!AL24</f>
        <v>-441926026.38</v>
      </c>
      <c r="AM71" s="76">
        <f>资产资本表!AM35+资产资本表!AM36-资产资本表!AM24</f>
        <v>-707444213.99000001</v>
      </c>
      <c r="AN71" s="76">
        <f>资产资本表!AN35+资产资本表!AN36-资产资本表!AN24</f>
        <v>-578353201.16999996</v>
      </c>
      <c r="AO71" s="76">
        <f>资产资本表!AO35+资产资本表!AO36-资产资本表!AO24</f>
        <v>-516007471.58000004</v>
      </c>
      <c r="AP71" s="76">
        <f>资产资本表!AP35+资产资本表!AP36-资产资本表!AP24</f>
        <v>-366284877.32000005</v>
      </c>
      <c r="AQ71" s="76">
        <f>资产资本表!AQ35+资产资本表!AQ36-资产资本表!AQ24</f>
        <v>-516200063.71000004</v>
      </c>
      <c r="AR71" s="76">
        <f>资产资本表!AR35+资产资本表!AR36-资产资本表!AR24</f>
        <v>-497244078.88999999</v>
      </c>
      <c r="AS71" s="76">
        <f>资产资本表!AS35+资产资本表!AS36-资产资本表!AS24</f>
        <v>-247721220.10000002</v>
      </c>
      <c r="AT71" s="76">
        <f>资产资本表!AT35+资产资本表!AT36-资产资本表!AT24</f>
        <v>-68803105.319999993</v>
      </c>
      <c r="AU71" s="76">
        <f>资产资本表!AU35+资产资本表!AU36-资产资本表!AU24</f>
        <v>-73865461.209999979</v>
      </c>
      <c r="AV71" s="76">
        <f>资产资本表!AV35+资产资本表!AV36-资产资本表!AV24</f>
        <v>-43804504.430000007</v>
      </c>
      <c r="AW71" s="76">
        <f>资产资本表!AW35+资产资本表!AW36-资产资本表!AW24</f>
        <v>345890399.38</v>
      </c>
      <c r="AX71" s="76">
        <f>资产资本表!AX35+资产资本表!AX36-资产资本表!AX24</f>
        <v>361364627.10000002</v>
      </c>
      <c r="AY71" s="76">
        <f>资产资本表!AY35+资产资本表!AY36-资产资本表!AY24</f>
        <v>336833525.68000001</v>
      </c>
      <c r="AZ71" s="76">
        <f>资产资本表!AZ35+资产资本表!AZ36-资产资本表!AZ24</f>
        <v>308631326.33999997</v>
      </c>
      <c r="BA71" s="76">
        <f>资产资本表!BA35+资产资本表!BA36-资产资本表!BA24</f>
        <v>345395657.25999999</v>
      </c>
      <c r="BB71" s="76">
        <f>资产资本表!BB35+资产资本表!BB36-资产资本表!BB24</f>
        <v>135425814.25</v>
      </c>
      <c r="BC71" s="76">
        <f>资产资本表!BC35+资产资本表!BC36-资产资本表!BC24</f>
        <v>75605385.00999999</v>
      </c>
      <c r="BD71" s="76">
        <f>资产资本表!BD35+资产资本表!BD36-资产资本表!BD24</f>
        <v>111833622.79000001</v>
      </c>
      <c r="BE71" s="76">
        <f>资产资本表!BE35+资产资本表!BE36-资产资本表!BE24</f>
        <v>110842776.69</v>
      </c>
      <c r="BF71" s="76">
        <f>资产资本表!BF35+资产资本表!BF36-资产资本表!BF24</f>
        <v>76174693.74000001</v>
      </c>
      <c r="BG71" s="76">
        <f>资产资本表!BG35+资产资本表!BG36-资产资本表!BG24</f>
        <v>104747895.39999999</v>
      </c>
      <c r="BH71" s="76">
        <f>资产资本表!BH35+资产资本表!BH36-资产资本表!BH24</f>
        <v>115935043.44</v>
      </c>
      <c r="BI71" s="76">
        <f>资产资本表!BI35+资产资本表!BI36-资产资本表!BI24</f>
        <v>125396857.88999999</v>
      </c>
      <c r="BJ71" s="76">
        <f>资产资本表!BJ35+资产资本表!BJ36-资产资本表!BJ24</f>
        <v>-10888558.460000001</v>
      </c>
      <c r="BK71" s="76">
        <f>资产资本表!BK35+资产资本表!BK36-资产资本表!BK24</f>
        <v>6390097.3300000019</v>
      </c>
      <c r="BL71" s="76">
        <f>资产资本表!BL35+资产资本表!BL36-资产资本表!BL24</f>
        <v>7535349.4600000009</v>
      </c>
      <c r="BM71" s="76">
        <f>资产资本表!BM35+资产资本表!BM36-资产资本表!BM24</f>
        <v>-5490314.2100000009</v>
      </c>
      <c r="BN71" s="76">
        <f>资产资本表!BN35+资产资本表!BN36-资产资本表!BN24</f>
        <v>-15489687.920000002</v>
      </c>
      <c r="BO71" s="76">
        <f>资产资本表!BO35+资产资本表!BO36-资产资本表!BO24</f>
        <v>-6981351.0599999987</v>
      </c>
      <c r="BP71" s="76">
        <f>资产资本表!BP35+资产资本表!BP36-资产资本表!BP24</f>
        <v>-13074022.169999998</v>
      </c>
      <c r="BQ71" s="76">
        <f>资产资本表!BQ35+资产资本表!BQ36-资产资本表!BQ24</f>
        <v>-18558797.609999999</v>
      </c>
      <c r="BR71" s="76">
        <f>资产资本表!BR35+资产资本表!BR36-资产资本表!BR24</f>
        <v>0</v>
      </c>
      <c r="BS71" s="76">
        <f>资产资本表!BS35+资产资本表!BS36-资产资本表!BS24</f>
        <v>9495275.7499999963</v>
      </c>
      <c r="BT71" s="76">
        <f>资产资本表!BT35+资产资本表!BT36-资产资本表!BT24</f>
        <v>12821497.699999999</v>
      </c>
      <c r="BU71" s="76">
        <f>资产资本表!BU35+资产资本表!BU36-资产资本表!BU24</f>
        <v>-1107785.8000000007</v>
      </c>
      <c r="BV71" s="76">
        <f>资产资本表!BV35+资产资本表!BV36-资产资本表!BV24</f>
        <v>13955923.73</v>
      </c>
      <c r="BW71" s="76">
        <f>资产资本表!BW35+资产资本表!BW36-资产资本表!BW24</f>
        <v>4935488.41</v>
      </c>
      <c r="BX71" s="76">
        <f>资产资本表!BX35+资产资本表!BX36-资产资本表!BX24</f>
        <v>4096677.4099999997</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481</v>
      </c>
      <c r="E72" s="156">
        <f>E67/(E71+I71)*2</f>
        <v>5.9065845180841041</v>
      </c>
      <c r="F72" s="156">
        <f t="shared" ref="F72:BQ72" si="36">F67/(F71+J71)*2</f>
        <v>4.2280802750680628</v>
      </c>
      <c r="G72" s="156">
        <f t="shared" si="36"/>
        <v>2.7491775799608722</v>
      </c>
      <c r="H72" s="156">
        <f t="shared" si="36"/>
        <v>1.2048290578227023</v>
      </c>
      <c r="I72" s="156">
        <f t="shared" si="36"/>
        <v>4.0127443953233426</v>
      </c>
      <c r="J72" s="156">
        <f t="shared" si="36"/>
        <v>2.7892896379714367</v>
      </c>
      <c r="K72" s="156">
        <f t="shared" si="36"/>
        <v>1.6726824011171457</v>
      </c>
      <c r="L72" s="156">
        <f t="shared" si="36"/>
        <v>0.76875381292677947</v>
      </c>
      <c r="M72" s="156">
        <f t="shared" si="36"/>
        <v>2.84861590750292</v>
      </c>
      <c r="N72" s="156">
        <f t="shared" si="36"/>
        <v>2.3087924906805184</v>
      </c>
      <c r="O72" s="156">
        <f t="shared" si="36"/>
        <v>1.5823774318333164</v>
      </c>
      <c r="P72" s="156">
        <f t="shared" si="36"/>
        <v>0.79495346166103775</v>
      </c>
      <c r="Q72" s="156">
        <f t="shared" si="36"/>
        <v>3.7574918208910151</v>
      </c>
      <c r="R72" s="156">
        <f t="shared" si="36"/>
        <v>3.6266753899650834</v>
      </c>
      <c r="S72" s="156">
        <f t="shared" si="36"/>
        <v>2.7180689667605735</v>
      </c>
      <c r="T72" s="156">
        <f t="shared" si="36"/>
        <v>1.129660499455249</v>
      </c>
      <c r="U72" s="156">
        <f t="shared" si="36"/>
        <v>4.7421369150749859</v>
      </c>
      <c r="V72" s="156">
        <f t="shared" si="36"/>
        <v>8.3585875961191487</v>
      </c>
      <c r="W72" s="156">
        <f t="shared" si="36"/>
        <v>4.857594090024917</v>
      </c>
      <c r="X72" s="156">
        <f t="shared" si="36"/>
        <v>2.2304923496555604</v>
      </c>
      <c r="Y72" s="156">
        <f t="shared" si="36"/>
        <v>13.766256819008428</v>
      </c>
      <c r="Z72" s="156">
        <f t="shared" si="36"/>
        <v>-33.682720791377122</v>
      </c>
      <c r="AA72" s="156">
        <f t="shared" si="36"/>
        <v>14.565248856313191</v>
      </c>
      <c r="AB72" s="156">
        <f t="shared" si="36"/>
        <v>4.6449543945413394</v>
      </c>
      <c r="AC72" s="156">
        <f t="shared" si="36"/>
        <v>255.84637435551252</v>
      </c>
      <c r="AD72" s="156">
        <f t="shared" si="36"/>
        <v>457.05231148744167</v>
      </c>
      <c r="AE72" s="156">
        <f t="shared" si="36"/>
        <v>10.955968021408715</v>
      </c>
      <c r="AF72" s="156">
        <f t="shared" si="36"/>
        <v>5.048184426938807</v>
      </c>
      <c r="AG72" s="156">
        <f t="shared" si="36"/>
        <v>31.750614620905154</v>
      </c>
      <c r="AH72" s="156">
        <f t="shared" si="36"/>
        <v>-55.448245812071363</v>
      </c>
      <c r="AI72" s="156">
        <f t="shared" si="36"/>
        <v>-19.599327591785684</v>
      </c>
      <c r="AJ72" s="156">
        <f t="shared" si="36"/>
        <v>-11.388499891317826</v>
      </c>
      <c r="AK72" s="156">
        <f t="shared" si="36"/>
        <v>-16.71628692388914</v>
      </c>
      <c r="AL72" s="156">
        <f t="shared" si="36"/>
        <v>-8.0513080840782525</v>
      </c>
      <c r="AM72" s="156">
        <f t="shared" si="36"/>
        <v>-3.21352910382674</v>
      </c>
      <c r="AN72" s="156">
        <f t="shared" si="36"/>
        <v>-1.711939841608082</v>
      </c>
      <c r="AO72" s="156">
        <f t="shared" si="36"/>
        <v>-13.864077212509001</v>
      </c>
      <c r="AP72" s="156">
        <f t="shared" si="36"/>
        <v>-18.599284427112622</v>
      </c>
      <c r="AQ72" s="156">
        <f t="shared" si="36"/>
        <v>-8.7518197931664368</v>
      </c>
      <c r="AR72" s="156">
        <f t="shared" si="36"/>
        <v>-4.5372183173578158</v>
      </c>
      <c r="AS72" s="156">
        <f t="shared" si="36"/>
        <v>94.769131254980195</v>
      </c>
      <c r="AT72" s="156">
        <f t="shared" si="36"/>
        <v>24.462730895697895</v>
      </c>
      <c r="AU72" s="156">
        <f t="shared" si="36"/>
        <v>16.803869731809641</v>
      </c>
      <c r="AV72" s="156">
        <f t="shared" si="36"/>
        <v>8.2150368376181824</v>
      </c>
      <c r="AW72" s="156">
        <f t="shared" si="36"/>
        <v>9.0817672160418486</v>
      </c>
      <c r="AX72" s="156">
        <f t="shared" si="36"/>
        <v>9.0675870951114863</v>
      </c>
      <c r="AY72" s="156">
        <f t="shared" si="36"/>
        <v>6.7919352216151596</v>
      </c>
      <c r="AZ72" s="156">
        <f t="shared" si="36"/>
        <v>3.2834033504970175</v>
      </c>
      <c r="BA72" s="156">
        <f t="shared" si="36"/>
        <v>9.0796365718587886</v>
      </c>
      <c r="BB72" s="156">
        <f t="shared" si="36"/>
        <v>14.83016268547097</v>
      </c>
      <c r="BC72" s="156">
        <f t="shared" si="36"/>
        <v>10.726057384053767</v>
      </c>
      <c r="BD72" s="156">
        <f t="shared" si="36"/>
        <v>4.1248138339243408</v>
      </c>
      <c r="BE72" s="156">
        <f t="shared" si="36"/>
        <v>10.60633821557785</v>
      </c>
      <c r="BF72" s="156">
        <f t="shared" si="36"/>
        <v>29.818659901229793</v>
      </c>
      <c r="BG72" s="156">
        <f t="shared" si="36"/>
        <v>10.30221800137779</v>
      </c>
      <c r="BH72" s="156">
        <f t="shared" si="36"/>
        <v>4.7002205855943293</v>
      </c>
      <c r="BI72" s="156">
        <f t="shared" si="36"/>
        <v>14.368812860772808</v>
      </c>
      <c r="BJ72" s="156">
        <f t="shared" si="36"/>
        <v>-47.14732942076644</v>
      </c>
      <c r="BK72" s="156">
        <f t="shared" si="36"/>
        <v>-1529.7466191376163</v>
      </c>
      <c r="BL72" s="156">
        <f t="shared" si="36"/>
        <v>-84.926473602734362</v>
      </c>
      <c r="BM72" s="156">
        <f t="shared" si="36"/>
        <v>-47.910286702637983</v>
      </c>
      <c r="BN72" s="156">
        <f t="shared" si="36"/>
        <v>-62.971563800234392</v>
      </c>
      <c r="BO72" s="156">
        <f t="shared" si="36"/>
        <v>228.80247023629036</v>
      </c>
      <c r="BP72" s="156">
        <f t="shared" si="36"/>
        <v>-1134.0623877757328</v>
      </c>
      <c r="BQ72" s="156">
        <f t="shared" si="36"/>
        <v>-36.926443294199011</v>
      </c>
      <c r="BR72" s="156">
        <f t="shared" ref="BR72:CJ72" si="37">BR67/(BR71+BV71)*2</f>
        <v>0</v>
      </c>
      <c r="BS72" s="156">
        <f t="shared" si="37"/>
        <v>24.394604996441167</v>
      </c>
      <c r="BT72" s="156">
        <f t="shared" si="37"/>
        <v>27.412554068309323</v>
      </c>
      <c r="BU72" s="156">
        <f t="shared" si="37"/>
        <v>-173.14046717334693</v>
      </c>
      <c r="BV72" s="156">
        <f t="shared" si="37"/>
        <v>22.933659828764341</v>
      </c>
      <c r="BW72" s="156">
        <f t="shared" si="37"/>
        <v>57.686621438140499</v>
      </c>
      <c r="BX72" s="156">
        <f t="shared" si="37"/>
        <v>54.076193526792729</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482</v>
      </c>
      <c r="E73" s="83">
        <f>E62/E72</f>
        <v>61.795441829789247</v>
      </c>
      <c r="F73" s="83">
        <f t="shared" ref="F73:BQ73" si="38">F62/F72</f>
        <v>86.327594618369517</v>
      </c>
      <c r="G73" s="83">
        <f t="shared" si="38"/>
        <v>132.76697826307563</v>
      </c>
      <c r="H73" s="83">
        <f t="shared" si="38"/>
        <v>302.94754067403301</v>
      </c>
      <c r="I73" s="83">
        <f t="shared" si="38"/>
        <v>90.960191839128768</v>
      </c>
      <c r="J73" s="83">
        <f t="shared" si="38"/>
        <v>130.85769044245012</v>
      </c>
      <c r="K73" s="83">
        <f t="shared" si="38"/>
        <v>218.21237537755223</v>
      </c>
      <c r="L73" s="83">
        <f t="shared" si="38"/>
        <v>474.79439303251263</v>
      </c>
      <c r="M73" s="83">
        <f t="shared" si="38"/>
        <v>128.13240249014717</v>
      </c>
      <c r="N73" s="83">
        <f t="shared" si="38"/>
        <v>158.09129727913137</v>
      </c>
      <c r="O73" s="83">
        <f t="shared" si="38"/>
        <v>230.66557488570663</v>
      </c>
      <c r="P73" s="83">
        <f t="shared" si="38"/>
        <v>459.14637472908231</v>
      </c>
      <c r="Q73" s="83">
        <f t="shared" si="38"/>
        <v>97.139266670032953</v>
      </c>
      <c r="R73" s="83">
        <f t="shared" si="38"/>
        <v>100.64314027385674</v>
      </c>
      <c r="S73" s="83">
        <f t="shared" si="38"/>
        <v>134.28651166089111</v>
      </c>
      <c r="T73" s="83">
        <f t="shared" si="38"/>
        <v>323.10592445784573</v>
      </c>
      <c r="U73" s="83">
        <f t="shared" si="38"/>
        <v>76.969519551340994</v>
      </c>
      <c r="V73" s="83">
        <f t="shared" si="38"/>
        <v>43.667664638636758</v>
      </c>
      <c r="W73" s="83">
        <f t="shared" si="38"/>
        <v>75.140078243575047</v>
      </c>
      <c r="X73" s="83">
        <f t="shared" si="38"/>
        <v>163.64100063215389</v>
      </c>
      <c r="Y73" s="83">
        <f t="shared" si="38"/>
        <v>26.514106543182351</v>
      </c>
      <c r="Z73" s="83">
        <f t="shared" si="38"/>
        <v>-10.836416756850625</v>
      </c>
      <c r="AA73" s="83">
        <f t="shared" si="38"/>
        <v>25.05964735657734</v>
      </c>
      <c r="AB73" s="83">
        <f t="shared" si="38"/>
        <v>78.579888842168387</v>
      </c>
      <c r="AC73" s="83">
        <f t="shared" si="38"/>
        <v>1.4266373753368595</v>
      </c>
      <c r="AD73" s="83">
        <f t="shared" si="38"/>
        <v>0.79859567674460619</v>
      </c>
      <c r="AE73" s="83">
        <f t="shared" si="38"/>
        <v>33.315175736800697</v>
      </c>
      <c r="AF73" s="83">
        <f t="shared" si="38"/>
        <v>72.30322213511802</v>
      </c>
      <c r="AG73" s="83">
        <f t="shared" si="38"/>
        <v>11.495840454051484</v>
      </c>
      <c r="AH73" s="83">
        <f t="shared" si="38"/>
        <v>-6.5827150102652601</v>
      </c>
      <c r="AI73" s="83">
        <f t="shared" si="38"/>
        <v>-18.623087873329691</v>
      </c>
      <c r="AJ73" s="83">
        <f t="shared" si="38"/>
        <v>-32.04987517963297</v>
      </c>
      <c r="AK73" s="83">
        <f t="shared" si="38"/>
        <v>-21.834992523272668</v>
      </c>
      <c r="AL73" s="83">
        <f t="shared" si="38"/>
        <v>-45.334248321934226</v>
      </c>
      <c r="AM73" s="83">
        <f t="shared" si="38"/>
        <v>-113.58229168217275</v>
      </c>
      <c r="AN73" s="83">
        <f t="shared" si="38"/>
        <v>-213.208426563134</v>
      </c>
      <c r="AO73" s="83">
        <f t="shared" si="38"/>
        <v>-26.327031680887867</v>
      </c>
      <c r="AP73" s="83">
        <f t="shared" si="38"/>
        <v>-19.624410897654254</v>
      </c>
      <c r="AQ73" s="83">
        <f t="shared" si="38"/>
        <v>-41.705611932846004</v>
      </c>
      <c r="AR73" s="83">
        <f t="shared" si="38"/>
        <v>-80.445765327984603</v>
      </c>
      <c r="AS73" s="83">
        <f t="shared" si="38"/>
        <v>3.8514650832659072</v>
      </c>
      <c r="AT73" s="83">
        <f t="shared" si="38"/>
        <v>14.920656305964197</v>
      </c>
      <c r="AU73" s="83">
        <f t="shared" si="38"/>
        <v>21.721187192320162</v>
      </c>
      <c r="AV73" s="83">
        <f t="shared" si="38"/>
        <v>44.430719814742289</v>
      </c>
      <c r="AW73" s="83">
        <f t="shared" si="38"/>
        <v>40.190415732663951</v>
      </c>
      <c r="AX73" s="83">
        <f t="shared" si="38"/>
        <v>40.253266516378829</v>
      </c>
      <c r="AY73" s="83">
        <f t="shared" si="38"/>
        <v>53.740206302085575</v>
      </c>
      <c r="AZ73" s="83">
        <f t="shared" si="38"/>
        <v>111.16514209097977</v>
      </c>
      <c r="BA73" s="83">
        <f t="shared" si="38"/>
        <v>40.199846889386784</v>
      </c>
      <c r="BB73" s="83">
        <f t="shared" si="38"/>
        <v>24.612002426486427</v>
      </c>
      <c r="BC73" s="83">
        <f t="shared" si="38"/>
        <v>34.029279066009735</v>
      </c>
      <c r="BD73" s="83">
        <f t="shared" si="38"/>
        <v>88.488842089811271</v>
      </c>
      <c r="BE73" s="83">
        <f t="shared" si="38"/>
        <v>34.413384957299726</v>
      </c>
      <c r="BF73" s="83">
        <f t="shared" si="38"/>
        <v>12.240657400735387</v>
      </c>
      <c r="BG73" s="83">
        <f t="shared" si="38"/>
        <v>35.429263868342325</v>
      </c>
      <c r="BH73" s="83">
        <f t="shared" si="38"/>
        <v>77.65592983416262</v>
      </c>
      <c r="BI73" s="83">
        <f t="shared" si="38"/>
        <v>25.402237716969537</v>
      </c>
      <c r="BJ73" s="83">
        <f t="shared" si="38"/>
        <v>-7.7416898153988054</v>
      </c>
      <c r="BK73" s="83">
        <f t="shared" si="38"/>
        <v>-0.23860160593508364</v>
      </c>
      <c r="BL73" s="83">
        <f t="shared" si="38"/>
        <v>-4.2978353452821123</v>
      </c>
      <c r="BM73" s="83">
        <f t="shared" si="38"/>
        <v>-7.6184056727822247</v>
      </c>
      <c r="BN73" s="83">
        <f t="shared" si="38"/>
        <v>-5.7962670445646678</v>
      </c>
      <c r="BO73" s="83">
        <f t="shared" si="38"/>
        <v>1.5952624970484577</v>
      </c>
      <c r="BP73" s="83">
        <f t="shared" si="38"/>
        <v>-0.32185178164305789</v>
      </c>
      <c r="BQ73" s="83">
        <f t="shared" si="38"/>
        <v>-9.8845154701736462</v>
      </c>
      <c r="BR73" s="83" t="e">
        <f t="shared" ref="BR73:CJ73" si="39">BR62/BR72</f>
        <v>#DIV/0!</v>
      </c>
      <c r="BS73" s="83">
        <f t="shared" si="39"/>
        <v>14.962324663721688</v>
      </c>
      <c r="BT73" s="83">
        <f t="shared" si="39"/>
        <v>13.315067216664918</v>
      </c>
      <c r="BU73" s="83">
        <f t="shared" si="39"/>
        <v>-2.1081149078485777</v>
      </c>
      <c r="BV73" s="83">
        <f t="shared" si="39"/>
        <v>15.915471090322965</v>
      </c>
      <c r="BW73" s="83">
        <f t="shared" si="39"/>
        <v>6.3272902954006938</v>
      </c>
      <c r="BX73" s="83">
        <f t="shared" si="39"/>
        <v>6.7497354416996114</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65" customFormat="1" x14ac:dyDescent="0.25">
      <c r="A74" s="264" t="s">
        <v>483</v>
      </c>
      <c r="E74" s="265">
        <f>E66+E70</f>
        <v>117.10936011189091</v>
      </c>
      <c r="F74" s="265">
        <f t="shared" ref="F74:BQ74" si="40">F66+F70</f>
        <v>153.42565531917148</v>
      </c>
      <c r="G74" s="265">
        <f t="shared" si="40"/>
        <v>233.45832283010145</v>
      </c>
      <c r="H74" s="265">
        <f t="shared" si="40"/>
        <v>409.79667890544476</v>
      </c>
      <c r="I74" s="265">
        <f t="shared" si="40"/>
        <v>108.72193901219151</v>
      </c>
      <c r="J74" s="265">
        <f t="shared" si="40"/>
        <v>166.27781280438856</v>
      </c>
      <c r="K74" s="265">
        <f t="shared" si="40"/>
        <v>255.3471360467118</v>
      </c>
      <c r="L74" s="265">
        <f t="shared" si="40"/>
        <v>528.93216823402895</v>
      </c>
      <c r="M74" s="265">
        <f t="shared" si="40"/>
        <v>140.08416028149034</v>
      </c>
      <c r="N74" s="265">
        <f t="shared" si="40"/>
        <v>205.70639746322422</v>
      </c>
      <c r="O74" s="265">
        <f t="shared" si="40"/>
        <v>309.73445113540629</v>
      </c>
      <c r="P74" s="265">
        <f t="shared" si="40"/>
        <v>662.02277552562396</v>
      </c>
      <c r="Q74" s="265">
        <f t="shared" si="40"/>
        <v>117.32852474746358</v>
      </c>
      <c r="R74" s="265">
        <f t="shared" si="40"/>
        <v>160.92083004789754</v>
      </c>
      <c r="S74" s="265">
        <f t="shared" si="40"/>
        <v>260.49519798972477</v>
      </c>
      <c r="T74" s="265">
        <f t="shared" si="40"/>
        <v>581.62540238591896</v>
      </c>
      <c r="U74" s="265">
        <f t="shared" si="40"/>
        <v>126.27105862684223</v>
      </c>
      <c r="V74" s="265">
        <f t="shared" si="40"/>
        <v>168.88146577015067</v>
      </c>
      <c r="W74" s="265">
        <f t="shared" si="40"/>
        <v>262.06079150913195</v>
      </c>
      <c r="X74" s="265">
        <f t="shared" si="40"/>
        <v>536.88134131696177</v>
      </c>
      <c r="Y74" s="265">
        <f t="shared" si="40"/>
        <v>136.31484509195775</v>
      </c>
      <c r="Z74" s="265">
        <f t="shared" si="40"/>
        <v>181.54754921689511</v>
      </c>
      <c r="AA74" s="265">
        <f t="shared" si="40"/>
        <v>277.77605795186122</v>
      </c>
      <c r="AB74" s="265">
        <f t="shared" si="40"/>
        <v>579.03735986553045</v>
      </c>
      <c r="AC74" s="265">
        <f t="shared" si="40"/>
        <v>111.4543419550258</v>
      </c>
      <c r="AD74" s="265">
        <f t="shared" si="40"/>
        <v>145.77349372617158</v>
      </c>
      <c r="AE74" s="265">
        <f t="shared" si="40"/>
        <v>207.09149819880864</v>
      </c>
      <c r="AF74" s="265">
        <f t="shared" si="40"/>
        <v>406.75265438840603</v>
      </c>
      <c r="AG74" s="265">
        <f t="shared" si="40"/>
        <v>106.16817612142161</v>
      </c>
      <c r="AH74" s="265">
        <f t="shared" si="40"/>
        <v>142.16809492905625</v>
      </c>
      <c r="AI74" s="265">
        <f t="shared" si="40"/>
        <v>181.41804056523071</v>
      </c>
      <c r="AJ74" s="265">
        <f t="shared" si="40"/>
        <v>346.27583074601921</v>
      </c>
      <c r="AK74" s="265">
        <f t="shared" si="40"/>
        <v>112.90586052147418</v>
      </c>
      <c r="AL74" s="265">
        <f t="shared" si="40"/>
        <v>198.91014557859626</v>
      </c>
      <c r="AM74" s="265">
        <f t="shared" si="40"/>
        <v>298.26787554998964</v>
      </c>
      <c r="AN74" s="265">
        <f t="shared" si="40"/>
        <v>660.85793208369068</v>
      </c>
      <c r="AO74" s="265">
        <f t="shared" si="40"/>
        <v>100.49606851003719</v>
      </c>
      <c r="AP74" s="265">
        <f t="shared" si="40"/>
        <v>145.88520079829993</v>
      </c>
      <c r="AQ74" s="265">
        <f t="shared" si="40"/>
        <v>214.86659983840494</v>
      </c>
      <c r="AR74" s="265">
        <f t="shared" si="40"/>
        <v>453.11767765383183</v>
      </c>
      <c r="AS74" s="265">
        <f t="shared" si="40"/>
        <v>85.812434898720397</v>
      </c>
      <c r="AT74" s="265">
        <f t="shared" si="40"/>
        <v>105.14014572055632</v>
      </c>
      <c r="AU74" s="265">
        <f t="shared" si="40"/>
        <v>154.52934396976283</v>
      </c>
      <c r="AV74" s="265">
        <f t="shared" si="40"/>
        <v>323.81289342931007</v>
      </c>
      <c r="AW74" s="265">
        <f t="shared" si="40"/>
        <v>82.511095166091238</v>
      </c>
      <c r="AX74" s="265">
        <f t="shared" si="40"/>
        <v>112.5434930723702</v>
      </c>
      <c r="AY74" s="265">
        <f t="shared" si="40"/>
        <v>162.51229358529855</v>
      </c>
      <c r="AZ74" s="265">
        <f t="shared" si="40"/>
        <v>319.71340856883086</v>
      </c>
      <c r="BA74" s="265">
        <f t="shared" si="40"/>
        <v>88.561553650344536</v>
      </c>
      <c r="BB74" s="265">
        <f t="shared" si="40"/>
        <v>98.545843152298829</v>
      </c>
      <c r="BC74" s="265">
        <f t="shared" si="40"/>
        <v>140.03826302241595</v>
      </c>
      <c r="BD74" s="265">
        <f t="shared" si="40"/>
        <v>232.70810621536788</v>
      </c>
      <c r="BE74" s="265">
        <f t="shared" si="40"/>
        <v>77.113485447150893</v>
      </c>
      <c r="BF74" s="265">
        <f t="shared" si="40"/>
        <v>73.907429627399551</v>
      </c>
      <c r="BG74" s="265">
        <f t="shared" si="40"/>
        <v>122.67372140868565</v>
      </c>
      <c r="BH74" s="265">
        <f t="shared" si="40"/>
        <v>243.77822349965749</v>
      </c>
      <c r="BI74" s="265">
        <f t="shared" si="40"/>
        <v>49.66826676123717</v>
      </c>
      <c r="BJ74" s="265">
        <f t="shared" si="40"/>
        <v>68.837668022848518</v>
      </c>
      <c r="BK74" s="265">
        <f t="shared" si="40"/>
        <v>140.1582854148653</v>
      </c>
      <c r="BL74" s="265">
        <f t="shared" si="40"/>
        <v>252.3800055723033</v>
      </c>
      <c r="BM74" s="265">
        <f t="shared" si="40"/>
        <v>47.69431767124756</v>
      </c>
      <c r="BN74" s="265">
        <f t="shared" si="40"/>
        <v>48.267743466789987</v>
      </c>
      <c r="BO74" s="265">
        <f t="shared" si="40"/>
        <v>155.20781820813241</v>
      </c>
      <c r="BP74" s="265">
        <f t="shared" si="40"/>
        <v>225.44897484937908</v>
      </c>
      <c r="BQ74" s="265">
        <f t="shared" si="40"/>
        <v>76.516696366559927</v>
      </c>
      <c r="BR74" s="265" t="e">
        <f t="shared" ref="BR74:CK74" si="41">BR66+BR70</f>
        <v>#DIV/0!</v>
      </c>
      <c r="BS74" s="265">
        <f t="shared" si="41"/>
        <v>118.9682294985127</v>
      </c>
      <c r="BT74" s="265">
        <f t="shared" si="41"/>
        <v>87.841177949862086</v>
      </c>
      <c r="BU74" s="265">
        <f t="shared" si="41"/>
        <v>175.5227683282568</v>
      </c>
      <c r="BV74" s="265">
        <f t="shared" si="41"/>
        <v>49.183199598318694</v>
      </c>
      <c r="BW74" s="265">
        <f t="shared" si="41"/>
        <v>35.843225774931952</v>
      </c>
      <c r="BX74" s="265">
        <f t="shared" si="41"/>
        <v>104.69493755242986</v>
      </c>
      <c r="BY74" s="265" t="e">
        <f t="shared" si="41"/>
        <v>#DIV/0!</v>
      </c>
      <c r="BZ74" s="265" t="e">
        <f t="shared" si="41"/>
        <v>#DIV/0!</v>
      </c>
      <c r="CA74" s="265" t="e">
        <f t="shared" si="41"/>
        <v>#DIV/0!</v>
      </c>
      <c r="CB74" s="265" t="e">
        <f t="shared" si="41"/>
        <v>#DIV/0!</v>
      </c>
      <c r="CC74" s="265" t="e">
        <f t="shared" si="41"/>
        <v>#DIV/0!</v>
      </c>
      <c r="CD74" s="265" t="e">
        <f t="shared" si="41"/>
        <v>#DIV/0!</v>
      </c>
      <c r="CE74" s="265" t="e">
        <f t="shared" si="41"/>
        <v>#DIV/0!</v>
      </c>
      <c r="CF74" s="265" t="e">
        <f t="shared" si="41"/>
        <v>#DIV/0!</v>
      </c>
      <c r="CG74" s="265" t="e">
        <f t="shared" si="41"/>
        <v>#DIV/0!</v>
      </c>
      <c r="CH74" s="265" t="e">
        <f t="shared" si="41"/>
        <v>#DIV/0!</v>
      </c>
      <c r="CI74" s="265" t="e">
        <f t="shared" si="41"/>
        <v>#DIV/0!</v>
      </c>
      <c r="CJ74" s="265" t="e">
        <f t="shared" si="41"/>
        <v>#DIV/0!</v>
      </c>
      <c r="CK74" s="265">
        <f t="shared" si="41"/>
        <v>0</v>
      </c>
    </row>
    <row r="75" spans="1:89" s="265" customFormat="1" x14ac:dyDescent="0.25">
      <c r="A75" s="264" t="s">
        <v>484</v>
      </c>
      <c r="E75" s="265">
        <f>E74-E73</f>
        <v>55.31391828210166</v>
      </c>
      <c r="F75" s="265">
        <f t="shared" ref="F75:BQ75" si="42">F74-F73</f>
        <v>67.098060700801966</v>
      </c>
      <c r="G75" s="265">
        <f t="shared" si="42"/>
        <v>100.69134456702582</v>
      </c>
      <c r="H75" s="265">
        <f t="shared" si="42"/>
        <v>106.84913823141176</v>
      </c>
      <c r="I75" s="265">
        <f t="shared" si="42"/>
        <v>17.761747173062744</v>
      </c>
      <c r="J75" s="265">
        <f t="shared" si="42"/>
        <v>35.420122361938439</v>
      </c>
      <c r="K75" s="265">
        <f t="shared" si="42"/>
        <v>37.134760669159562</v>
      </c>
      <c r="L75" s="265">
        <f t="shared" si="42"/>
        <v>54.13777520151632</v>
      </c>
      <c r="M75" s="265">
        <f t="shared" si="42"/>
        <v>11.951757791343169</v>
      </c>
      <c r="N75" s="265">
        <f t="shared" si="42"/>
        <v>47.615100184092853</v>
      </c>
      <c r="O75" s="265">
        <f t="shared" si="42"/>
        <v>79.068876249699656</v>
      </c>
      <c r="P75" s="265">
        <f t="shared" si="42"/>
        <v>202.87640079654165</v>
      </c>
      <c r="Q75" s="265">
        <f t="shared" si="42"/>
        <v>20.189258077430623</v>
      </c>
      <c r="R75" s="265">
        <f t="shared" si="42"/>
        <v>60.277689774040795</v>
      </c>
      <c r="S75" s="265">
        <f t="shared" si="42"/>
        <v>126.20868632883366</v>
      </c>
      <c r="T75" s="265">
        <f t="shared" si="42"/>
        <v>258.51947792807323</v>
      </c>
      <c r="U75" s="265">
        <f t="shared" si="42"/>
        <v>49.301539075501239</v>
      </c>
      <c r="V75" s="265">
        <f t="shared" si="42"/>
        <v>125.21380113151392</v>
      </c>
      <c r="W75" s="265">
        <f t="shared" si="42"/>
        <v>186.92071326555691</v>
      </c>
      <c r="X75" s="265">
        <f t="shared" si="42"/>
        <v>373.24034068480785</v>
      </c>
      <c r="Y75" s="265">
        <f t="shared" si="42"/>
        <v>109.8007385487754</v>
      </c>
      <c r="Z75" s="265">
        <f t="shared" si="42"/>
        <v>192.38396597374572</v>
      </c>
      <c r="AA75" s="265">
        <f t="shared" si="42"/>
        <v>252.71641059528389</v>
      </c>
      <c r="AB75" s="265">
        <f t="shared" si="42"/>
        <v>500.45747102336207</v>
      </c>
      <c r="AC75" s="265">
        <f t="shared" si="42"/>
        <v>110.02770457968894</v>
      </c>
      <c r="AD75" s="265">
        <f t="shared" si="42"/>
        <v>144.97489804942697</v>
      </c>
      <c r="AE75" s="265">
        <f t="shared" si="42"/>
        <v>173.77632246200795</v>
      </c>
      <c r="AF75" s="265">
        <f t="shared" si="42"/>
        <v>334.44943225328802</v>
      </c>
      <c r="AG75" s="265">
        <f t="shared" si="42"/>
        <v>94.67233566737012</v>
      </c>
      <c r="AH75" s="265">
        <f t="shared" si="42"/>
        <v>148.7508099393215</v>
      </c>
      <c r="AI75" s="265">
        <f t="shared" si="42"/>
        <v>200.04112843856041</v>
      </c>
      <c r="AJ75" s="265">
        <f t="shared" si="42"/>
        <v>378.32570592565219</v>
      </c>
      <c r="AK75" s="265">
        <f t="shared" si="42"/>
        <v>134.74085304474684</v>
      </c>
      <c r="AL75" s="265">
        <f t="shared" si="42"/>
        <v>244.2443939005305</v>
      </c>
      <c r="AM75" s="265">
        <f t="shared" si="42"/>
        <v>411.85016723216239</v>
      </c>
      <c r="AN75" s="265">
        <f t="shared" si="42"/>
        <v>874.06635864682471</v>
      </c>
      <c r="AO75" s="265">
        <f t="shared" si="42"/>
        <v>126.82310019092506</v>
      </c>
      <c r="AP75" s="265">
        <f t="shared" si="42"/>
        <v>165.50961169595419</v>
      </c>
      <c r="AQ75" s="265">
        <f t="shared" si="42"/>
        <v>256.57221177125092</v>
      </c>
      <c r="AR75" s="265">
        <f t="shared" si="42"/>
        <v>533.56344298181648</v>
      </c>
      <c r="AS75" s="265">
        <f t="shared" si="42"/>
        <v>81.96096981545449</v>
      </c>
      <c r="AT75" s="265">
        <f t="shared" si="42"/>
        <v>90.219489414592118</v>
      </c>
      <c r="AU75" s="265">
        <f t="shared" si="42"/>
        <v>132.80815677744266</v>
      </c>
      <c r="AV75" s="265">
        <f t="shared" si="42"/>
        <v>279.38217361456776</v>
      </c>
      <c r="AW75" s="265">
        <f t="shared" si="42"/>
        <v>42.320679433427287</v>
      </c>
      <c r="AX75" s="265">
        <f t="shared" si="42"/>
        <v>72.290226555991367</v>
      </c>
      <c r="AY75" s="265">
        <f t="shared" si="42"/>
        <v>108.77208728321298</v>
      </c>
      <c r="AZ75" s="265">
        <f t="shared" si="42"/>
        <v>208.54826647785109</v>
      </c>
      <c r="BA75" s="265">
        <f t="shared" si="42"/>
        <v>48.361706760957752</v>
      </c>
      <c r="BB75" s="265">
        <f t="shared" si="42"/>
        <v>73.933840725812402</v>
      </c>
      <c r="BC75" s="265">
        <f t="shared" si="42"/>
        <v>106.00898395640621</v>
      </c>
      <c r="BD75" s="265">
        <f t="shared" si="42"/>
        <v>144.21926412555661</v>
      </c>
      <c r="BE75" s="265">
        <f t="shared" si="42"/>
        <v>42.700100489851167</v>
      </c>
      <c r="BF75" s="265">
        <f t="shared" si="42"/>
        <v>61.666772226664165</v>
      </c>
      <c r="BG75" s="265">
        <f t="shared" si="42"/>
        <v>87.244457540343319</v>
      </c>
      <c r="BH75" s="265">
        <f t="shared" si="42"/>
        <v>166.12229366549485</v>
      </c>
      <c r="BI75" s="265">
        <f t="shared" si="42"/>
        <v>24.266029044267633</v>
      </c>
      <c r="BJ75" s="265">
        <f t="shared" si="42"/>
        <v>76.579357838247319</v>
      </c>
      <c r="BK75" s="265">
        <f t="shared" si="42"/>
        <v>140.39688702080039</v>
      </c>
      <c r="BL75" s="265">
        <f t="shared" si="42"/>
        <v>256.6778409175854</v>
      </c>
      <c r="BM75" s="265">
        <f t="shared" si="42"/>
        <v>55.312723344029784</v>
      </c>
      <c r="BN75" s="265">
        <f t="shared" si="42"/>
        <v>54.064010511354653</v>
      </c>
      <c r="BO75" s="265">
        <f t="shared" si="42"/>
        <v>153.61255571108396</v>
      </c>
      <c r="BP75" s="265">
        <f t="shared" si="42"/>
        <v>225.77082663102215</v>
      </c>
      <c r="BQ75" s="265">
        <f t="shared" si="42"/>
        <v>86.40121183673358</v>
      </c>
      <c r="BR75" s="265" t="e">
        <f t="shared" ref="BR75:CJ75" si="43">BR74-BR73</f>
        <v>#DIV/0!</v>
      </c>
      <c r="BS75" s="265">
        <f t="shared" si="43"/>
        <v>104.00590483479101</v>
      </c>
      <c r="BT75" s="265">
        <f t="shared" si="43"/>
        <v>74.526110733197171</v>
      </c>
      <c r="BU75" s="265">
        <f t="shared" si="43"/>
        <v>177.63088323610538</v>
      </c>
      <c r="BV75" s="265">
        <f t="shared" si="43"/>
        <v>33.267728507995727</v>
      </c>
      <c r="BW75" s="265">
        <f t="shared" si="43"/>
        <v>29.515935479531258</v>
      </c>
      <c r="BX75" s="265">
        <f t="shared" si="43"/>
        <v>97.94520211073025</v>
      </c>
      <c r="BY75" s="265" t="e">
        <f t="shared" si="43"/>
        <v>#DIV/0!</v>
      </c>
      <c r="BZ75" s="265" t="e">
        <f t="shared" si="43"/>
        <v>#DIV/0!</v>
      </c>
      <c r="CA75" s="265" t="e">
        <f t="shared" si="43"/>
        <v>#DIV/0!</v>
      </c>
      <c r="CB75" s="265" t="e">
        <f t="shared" si="43"/>
        <v>#DIV/0!</v>
      </c>
      <c r="CC75" s="265" t="e">
        <f t="shared" si="43"/>
        <v>#DIV/0!</v>
      </c>
      <c r="CD75" s="265" t="e">
        <f t="shared" si="43"/>
        <v>#DIV/0!</v>
      </c>
      <c r="CE75" s="265" t="e">
        <f t="shared" si="43"/>
        <v>#DIV/0!</v>
      </c>
      <c r="CF75" s="265" t="e">
        <f t="shared" si="43"/>
        <v>#DIV/0!</v>
      </c>
      <c r="CG75" s="265" t="e">
        <f t="shared" si="43"/>
        <v>#DIV/0!</v>
      </c>
      <c r="CH75" s="265" t="e">
        <f t="shared" si="43"/>
        <v>#DIV/0!</v>
      </c>
      <c r="CI75" s="265" t="e">
        <f t="shared" si="43"/>
        <v>#DIV/0!</v>
      </c>
      <c r="CJ75" s="265" t="e">
        <f t="shared" si="43"/>
        <v>#DIV/0!</v>
      </c>
    </row>
    <row r="76" spans="1:89" s="121" customFormat="1" x14ac:dyDescent="0.25">
      <c r="A76" s="150" t="s">
        <v>485</v>
      </c>
      <c r="E76" s="121">
        <f>E71-E64-E68</f>
        <v>-12703188976.609999</v>
      </c>
      <c r="F76" s="121">
        <f t="shared" ref="F76:BQ76" si="44">F71-F64-F68</f>
        <v>-11863148950.939999</v>
      </c>
      <c r="G76" s="121">
        <f t="shared" si="44"/>
        <v>-11367322663.890001</v>
      </c>
      <c r="H76" s="121">
        <f t="shared" si="44"/>
        <v>-7367057622.1300001</v>
      </c>
      <c r="I76" s="121">
        <f t="shared" si="44"/>
        <v>-3075074971.8600016</v>
      </c>
      <c r="J76" s="121">
        <f t="shared" si="44"/>
        <v>-2351006064.73</v>
      </c>
      <c r="K76" s="121">
        <f t="shared" si="44"/>
        <v>-1979862623.2399993</v>
      </c>
      <c r="L76" s="121">
        <f t="shared" si="44"/>
        <v>-66583777.199999332</v>
      </c>
      <c r="M76" s="121">
        <f t="shared" si="44"/>
        <v>-669833062.73999977</v>
      </c>
      <c r="N76" s="121">
        <f t="shared" si="44"/>
        <v>-2093679251.9699998</v>
      </c>
      <c r="O76" s="121">
        <f t="shared" si="44"/>
        <v>-1428504824.1199994</v>
      </c>
      <c r="P76" s="121">
        <f t="shared" si="44"/>
        <v>-2635491816.0300012</v>
      </c>
      <c r="Q76" s="121">
        <f t="shared" si="44"/>
        <v>-1623674654.1699991</v>
      </c>
      <c r="R76" s="121">
        <f t="shared" si="44"/>
        <v>-2234930488.6200004</v>
      </c>
      <c r="S76" s="121">
        <f t="shared" si="44"/>
        <v>-3825328143.2800007</v>
      </c>
      <c r="T76" s="121">
        <f t="shared" si="44"/>
        <v>-3141876510.269999</v>
      </c>
      <c r="U76" s="121">
        <f t="shared" si="44"/>
        <v>-2093705899.21</v>
      </c>
      <c r="V76" s="121">
        <f t="shared" si="44"/>
        <v>-4285945172.7299995</v>
      </c>
      <c r="W76" s="121">
        <f t="shared" si="44"/>
        <v>-4628610850.4599991</v>
      </c>
      <c r="X76" s="121">
        <f t="shared" si="44"/>
        <v>-4496283112.1700001</v>
      </c>
      <c r="Y76" s="121">
        <f t="shared" si="44"/>
        <v>-4093112378.5700002</v>
      </c>
      <c r="Z76" s="121">
        <f t="shared" si="44"/>
        <v>-5607844512.2999992</v>
      </c>
      <c r="AA76" s="121">
        <f t="shared" si="44"/>
        <v>-4882572072</v>
      </c>
      <c r="AB76" s="121">
        <f t="shared" si="44"/>
        <v>-4529097442.8800001</v>
      </c>
      <c r="AC76" s="121">
        <f t="shared" si="44"/>
        <v>-4521314651.7699995</v>
      </c>
      <c r="AD76" s="121">
        <f t="shared" si="44"/>
        <v>-4620526186.8199997</v>
      </c>
      <c r="AE76" s="121">
        <f t="shared" si="44"/>
        <v>-3743585485.8300004</v>
      </c>
      <c r="AF76" s="121">
        <f t="shared" si="44"/>
        <v>-3297436902.9499998</v>
      </c>
      <c r="AG76" s="121">
        <f t="shared" si="44"/>
        <v>-2645831381.96</v>
      </c>
      <c r="AH76" s="121">
        <f t="shared" si="44"/>
        <v>-2475838586.3299999</v>
      </c>
      <c r="AI76" s="121">
        <f t="shared" si="44"/>
        <v>-1971731939</v>
      </c>
      <c r="AJ76" s="121">
        <f t="shared" si="44"/>
        <v>-1769600517.3299999</v>
      </c>
      <c r="AK76" s="121">
        <f t="shared" si="44"/>
        <v>-1743778381.4899998</v>
      </c>
      <c r="AL76" s="121">
        <f t="shared" si="44"/>
        <v>-2310664437.3299999</v>
      </c>
      <c r="AM76" s="121">
        <f t="shared" si="44"/>
        <v>-2133558500.3099999</v>
      </c>
      <c r="AN76" s="121">
        <f t="shared" si="44"/>
        <v>-1963500192.54</v>
      </c>
      <c r="AO76" s="121">
        <f t="shared" si="44"/>
        <v>-2269099074.5299997</v>
      </c>
      <c r="AP76" s="121">
        <f t="shared" si="44"/>
        <v>-2777877013.7800002</v>
      </c>
      <c r="AQ76" s="121">
        <f t="shared" si="44"/>
        <v>-3054404956.7000003</v>
      </c>
      <c r="AR76" s="121">
        <f t="shared" si="44"/>
        <v>-3102990698.8099999</v>
      </c>
      <c r="AS76" s="121">
        <f t="shared" si="44"/>
        <v>-2167502116.29</v>
      </c>
      <c r="AT76" s="121">
        <f t="shared" si="44"/>
        <v>-1692996037.6900001</v>
      </c>
      <c r="AU76" s="121">
        <f t="shared" si="44"/>
        <v>-1463042607.3400002</v>
      </c>
      <c r="AV76" s="121">
        <f t="shared" si="44"/>
        <v>-1475842953.8200002</v>
      </c>
      <c r="AW76" s="121">
        <f t="shared" si="44"/>
        <v>-648369924.08000004</v>
      </c>
      <c r="AX76" s="121">
        <f t="shared" si="44"/>
        <v>-676025871.96000004</v>
      </c>
      <c r="AY76" s="121">
        <f t="shared" si="44"/>
        <v>-486206031.13</v>
      </c>
      <c r="AZ76" s="121">
        <f t="shared" si="44"/>
        <v>-615027112.99000001</v>
      </c>
      <c r="BA76" s="121">
        <f t="shared" si="44"/>
        <v>-350353114.03999996</v>
      </c>
      <c r="BB76" s="121">
        <f t="shared" si="44"/>
        <v>-521547160.34000003</v>
      </c>
      <c r="BC76" s="121">
        <f t="shared" si="44"/>
        <v>-543261176.22000003</v>
      </c>
      <c r="BD76" s="121">
        <f t="shared" si="44"/>
        <v>-361711174.25000006</v>
      </c>
      <c r="BE76" s="121">
        <f t="shared" si="44"/>
        <v>-350121545.52999997</v>
      </c>
      <c r="BF76" s="121">
        <f t="shared" si="44"/>
        <v>-273688415.52999997</v>
      </c>
      <c r="BG76" s="121">
        <f t="shared" si="44"/>
        <v>-142615520.68000001</v>
      </c>
      <c r="BH76" s="121">
        <f t="shared" si="44"/>
        <v>-132783078.59000002</v>
      </c>
      <c r="BI76" s="121">
        <f t="shared" si="44"/>
        <v>-22970722.140000001</v>
      </c>
      <c r="BJ76" s="121">
        <f t="shared" si="44"/>
        <v>-149144089.78</v>
      </c>
      <c r="BK76" s="121">
        <f t="shared" si="44"/>
        <v>-253488246.00999999</v>
      </c>
      <c r="BL76" s="121">
        <f t="shared" si="44"/>
        <v>-243199388.44999999</v>
      </c>
      <c r="BM76" s="121">
        <f t="shared" si="44"/>
        <v>-97372702.680000007</v>
      </c>
      <c r="BN76" s="121">
        <f t="shared" si="44"/>
        <v>-177060924.29000002</v>
      </c>
      <c r="BO76" s="121">
        <f t="shared" si="44"/>
        <v>-190864225.73000002</v>
      </c>
      <c r="BP76" s="121">
        <f t="shared" si="44"/>
        <v>-174697465.29999998</v>
      </c>
      <c r="BQ76" s="121">
        <f t="shared" si="44"/>
        <v>-86256345.530000001</v>
      </c>
      <c r="BR76" s="121">
        <f t="shared" ref="BR76:CJ76" si="45">BR71-BR64-BR68</f>
        <v>0</v>
      </c>
      <c r="BS76" s="121">
        <f t="shared" si="45"/>
        <v>-86546463.769999996</v>
      </c>
      <c r="BT76" s="121">
        <f t="shared" si="45"/>
        <v>-35770006.43</v>
      </c>
      <c r="BU76" s="121">
        <f t="shared" si="45"/>
        <v>-101399026.46000001</v>
      </c>
      <c r="BV76" s="121">
        <f t="shared" si="45"/>
        <v>-33544368.190000001</v>
      </c>
      <c r="BW76" s="121">
        <f t="shared" si="45"/>
        <v>-24650707.41</v>
      </c>
      <c r="BX76" s="121">
        <f t="shared" si="45"/>
        <v>-61913385.089999996</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8" t="s">
        <v>696</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9" customFormat="1" x14ac:dyDescent="0.25">
      <c r="A80" s="258" t="s">
        <v>579</v>
      </c>
      <c r="B80" s="256">
        <v>43373</v>
      </c>
      <c r="C80" s="256">
        <v>43281</v>
      </c>
      <c r="D80" s="256">
        <v>43190</v>
      </c>
      <c r="E80" s="256">
        <v>43100</v>
      </c>
      <c r="F80" s="256">
        <v>43008</v>
      </c>
      <c r="G80" s="256">
        <v>42916</v>
      </c>
      <c r="H80" s="256">
        <v>42825</v>
      </c>
      <c r="I80" s="256">
        <v>42735</v>
      </c>
      <c r="J80" s="256">
        <v>42643</v>
      </c>
      <c r="K80" s="256">
        <v>42551</v>
      </c>
      <c r="L80" s="256">
        <v>42460</v>
      </c>
      <c r="M80" s="256">
        <v>42369</v>
      </c>
      <c r="N80" s="256">
        <v>42277</v>
      </c>
      <c r="O80" s="256">
        <v>42185</v>
      </c>
      <c r="P80" s="256">
        <v>42094</v>
      </c>
      <c r="Q80" s="256">
        <v>42004</v>
      </c>
      <c r="R80" s="256">
        <v>41912</v>
      </c>
      <c r="S80" s="256">
        <v>41820</v>
      </c>
      <c r="T80" s="256">
        <v>41729</v>
      </c>
      <c r="U80" s="256">
        <v>41639</v>
      </c>
      <c r="V80" s="256">
        <v>41547</v>
      </c>
      <c r="W80" s="256">
        <v>41455</v>
      </c>
      <c r="X80" s="256">
        <v>41364</v>
      </c>
      <c r="Y80" s="256">
        <v>41274</v>
      </c>
      <c r="Z80" s="256">
        <v>41182</v>
      </c>
      <c r="AA80" s="256">
        <v>41090</v>
      </c>
      <c r="AB80" s="256">
        <v>40999</v>
      </c>
      <c r="AC80" s="256">
        <v>40908</v>
      </c>
      <c r="AD80" s="256">
        <v>40816</v>
      </c>
      <c r="AE80" s="256">
        <v>40724</v>
      </c>
      <c r="AF80" s="256">
        <v>40633</v>
      </c>
      <c r="AG80" s="256">
        <v>40543</v>
      </c>
      <c r="AH80" s="256">
        <v>40451</v>
      </c>
      <c r="AI80" s="256">
        <v>40359</v>
      </c>
      <c r="AJ80" s="256">
        <v>40268</v>
      </c>
      <c r="AK80" s="256">
        <v>40178</v>
      </c>
      <c r="AL80" s="256">
        <v>40086</v>
      </c>
      <c r="AM80" s="256">
        <v>39994</v>
      </c>
      <c r="AN80" s="256">
        <v>39903</v>
      </c>
      <c r="AO80" s="256">
        <v>39813</v>
      </c>
      <c r="AP80" s="256">
        <v>39721</v>
      </c>
      <c r="AQ80" s="256">
        <v>39629</v>
      </c>
      <c r="AR80" s="256">
        <v>39538</v>
      </c>
      <c r="AS80" s="256">
        <v>39447</v>
      </c>
      <c r="AT80" s="256">
        <v>39355</v>
      </c>
      <c r="AU80" s="256">
        <v>39263</v>
      </c>
      <c r="AV80" s="256">
        <v>39172</v>
      </c>
      <c r="AW80" s="256">
        <v>39082</v>
      </c>
      <c r="AX80" s="256">
        <v>38990</v>
      </c>
      <c r="AY80" s="256">
        <v>38898</v>
      </c>
      <c r="AZ80" s="256">
        <v>38807</v>
      </c>
      <c r="BA80" s="256">
        <v>38717</v>
      </c>
      <c r="BB80" s="256">
        <v>38625</v>
      </c>
      <c r="BC80" s="256">
        <v>38533</v>
      </c>
      <c r="BD80" s="256">
        <v>38442</v>
      </c>
      <c r="BE80" s="256">
        <v>38352</v>
      </c>
      <c r="BF80" s="256">
        <v>38260</v>
      </c>
      <c r="BG80" s="256">
        <v>38168</v>
      </c>
      <c r="BH80" s="256">
        <v>38077</v>
      </c>
      <c r="BI80" s="256">
        <v>37986</v>
      </c>
      <c r="BJ80" s="256">
        <v>37894</v>
      </c>
      <c r="BK80" s="256">
        <v>37802</v>
      </c>
      <c r="BL80" s="256">
        <v>37711</v>
      </c>
      <c r="BM80" s="256">
        <v>37621</v>
      </c>
      <c r="BN80" s="256">
        <v>37529</v>
      </c>
      <c r="BO80" s="256">
        <v>37437</v>
      </c>
      <c r="BP80" s="256">
        <v>37346</v>
      </c>
      <c r="BQ80" s="256">
        <v>37256</v>
      </c>
      <c r="BR80" s="256">
        <v>37164</v>
      </c>
      <c r="BS80" s="256">
        <v>37072</v>
      </c>
      <c r="BT80" s="256">
        <v>36891</v>
      </c>
      <c r="BU80" s="256">
        <v>36707</v>
      </c>
      <c r="BV80" s="256">
        <v>36525</v>
      </c>
      <c r="BW80" s="256">
        <v>36160</v>
      </c>
      <c r="BX80" s="256">
        <v>35795</v>
      </c>
      <c r="BY80" s="256">
        <v>25569</v>
      </c>
      <c r="BZ80" s="256"/>
      <c r="CA80" s="256"/>
      <c r="CB80" s="256"/>
      <c r="CC80" s="256"/>
      <c r="CD80" s="256"/>
      <c r="CE80" s="256"/>
      <c r="CF80" s="256"/>
      <c r="CG80" s="256"/>
      <c r="CH80" s="256"/>
      <c r="CI80" s="256"/>
      <c r="CJ80" s="256"/>
      <c r="CK80" s="256"/>
    </row>
    <row r="81" spans="1:89" s="76" customFormat="1" x14ac:dyDescent="0.25">
      <c r="A81" s="70" t="s">
        <v>580</v>
      </c>
      <c r="E81" s="76">
        <f>股权价值增加表!E4</f>
        <v>53123173258.809998</v>
      </c>
      <c r="F81" s="76">
        <f>股权价值增加表!F4</f>
        <v>38963503949.470001</v>
      </c>
      <c r="G81" s="76">
        <f>股权价值增加表!G4</f>
        <v>24430086476.77</v>
      </c>
      <c r="H81" s="76">
        <f>股权价值增加表!H4</f>
        <v>11007048624.780001</v>
      </c>
      <c r="I81" s="76">
        <f>股权价值增加表!I4</f>
        <v>30099861530.439999</v>
      </c>
      <c r="J81" s="76">
        <f>股权价值增加表!J4</f>
        <v>20932181906.599998</v>
      </c>
      <c r="K81" s="76">
        <f>股权价值增加表!K4</f>
        <v>12475770000.66</v>
      </c>
      <c r="L81" s="76">
        <f>股权价值增加表!L4</f>
        <v>5299611141.0799999</v>
      </c>
      <c r="M81" s="76">
        <f>股权价值增加表!M4</f>
        <v>19492382889.529999</v>
      </c>
      <c r="N81" s="76">
        <f>股权价值增加表!N4</f>
        <v>14788324545.110001</v>
      </c>
      <c r="O81" s="76">
        <f>股权价值增加表!O4</f>
        <v>10042263367.92</v>
      </c>
      <c r="P81" s="76">
        <f>股权价值增加表!P4</f>
        <v>4535504042.1400003</v>
      </c>
      <c r="Q81" s="76">
        <f>股权价值增加表!Q4</f>
        <v>22088368488.740002</v>
      </c>
      <c r="R81" s="76">
        <f>股权价值增加表!R4</f>
        <v>17760200636.82</v>
      </c>
      <c r="S81" s="76">
        <f>股权价值增加表!S4</f>
        <v>11664821009.41</v>
      </c>
      <c r="T81" s="76">
        <f>股权价值增加表!T4</f>
        <v>5136453372.2299995</v>
      </c>
      <c r="U81" s="76">
        <f>股权价值增加表!U4</f>
        <v>20237973217.990002</v>
      </c>
      <c r="V81" s="76">
        <f>股权价值增加表!V4</f>
        <v>15374222330.959999</v>
      </c>
      <c r="W81" s="76">
        <f>股权价值增加表!W4</f>
        <v>9975902570.6299992</v>
      </c>
      <c r="X81" s="76">
        <f>股权价值增加表!X4</f>
        <v>4776338536.5900002</v>
      </c>
      <c r="Y81" s="76">
        <f>股权价值增加表!Y4</f>
        <v>15942126516.790001</v>
      </c>
      <c r="Z81" s="76">
        <f>股权价值增加表!Z4</f>
        <v>11420363881.030001</v>
      </c>
      <c r="AA81" s="76">
        <f>股权价值增加表!AA4</f>
        <v>7160169875.2299995</v>
      </c>
      <c r="AB81" s="76">
        <f>股权价值增加表!AB4</f>
        <v>3281137342.6300001</v>
      </c>
      <c r="AC81" s="76">
        <f>股权价值增加表!AC4</f>
        <v>13662307339.379999</v>
      </c>
      <c r="AD81" s="76">
        <f>股权价值增加表!AD4</f>
        <v>10509011428.01</v>
      </c>
      <c r="AE81" s="76">
        <f>股权价值增加表!AE4</f>
        <v>6878445645.8699999</v>
      </c>
      <c r="AF81" s="76">
        <f>股权价值增加表!AF4</f>
        <v>3183673615.0500002</v>
      </c>
      <c r="AG81" s="76">
        <f>股权价值增加表!AG4</f>
        <v>9429776859.9500008</v>
      </c>
      <c r="AH81" s="76">
        <f>股权价值增加表!AH4</f>
        <v>6705726493.8800001</v>
      </c>
      <c r="AI81" s="76">
        <f>股权价值增加表!AI4</f>
        <v>4380333890.5100002</v>
      </c>
      <c r="AJ81" s="76">
        <f>股权价值增加表!AJ4</f>
        <v>2049227801.8900001</v>
      </c>
      <c r="AK81" s="76">
        <f>股权价值增加表!AK4</f>
        <v>6492919698.9300003</v>
      </c>
      <c r="AL81" s="76">
        <f>股权价值增加表!AL4</f>
        <v>4654460556.0100002</v>
      </c>
      <c r="AM81" s="76">
        <f>股权价值增加表!AM4</f>
        <v>2749958976.3099999</v>
      </c>
      <c r="AN81" s="76">
        <f>股权价值增加表!AN4</f>
        <v>1211789500.1500001</v>
      </c>
      <c r="AO81" s="76">
        <f>股权价值增加表!AO4</f>
        <v>7704393026.1300001</v>
      </c>
      <c r="AP81" s="76">
        <f>股权价值增加表!AP4</f>
        <v>6172540592.6899996</v>
      </c>
      <c r="AQ81" s="76">
        <f>股权价值增加表!AQ4</f>
        <v>4167736314.3200002</v>
      </c>
      <c r="AR81" s="76">
        <f>股权价值增加表!AR4</f>
        <v>1965085110.6700001</v>
      </c>
      <c r="AS81" s="76">
        <f>股权价值增加表!AS4</f>
        <v>7803583625.5100002</v>
      </c>
      <c r="AT81" s="76">
        <f>股权价值增加表!AT4</f>
        <v>5865382373.6400003</v>
      </c>
      <c r="AU81" s="76">
        <f>股权价值增加表!AU4</f>
        <v>3528589761.7600002</v>
      </c>
      <c r="AV81" s="76">
        <f>股权价值增加表!AV4</f>
        <v>1727878248.71</v>
      </c>
      <c r="AW81" s="76">
        <f>股权价值增加表!AW4</f>
        <v>4907571866.4799995</v>
      </c>
      <c r="AX81" s="76">
        <f>股权价值增加表!AX4</f>
        <v>3547624934.75</v>
      </c>
      <c r="AY81" s="76">
        <f>股权价值增加表!AY4</f>
        <v>2101792902.3800001</v>
      </c>
      <c r="AZ81" s="76">
        <f>股权价值增加表!AZ4</f>
        <v>1054923007.15</v>
      </c>
      <c r="BA81" s="76">
        <f>股权价值增加表!BA4</f>
        <v>3309540687.9699998</v>
      </c>
      <c r="BB81" s="76">
        <f>股权价值增加表!BB4</f>
        <v>2551255783.0999999</v>
      </c>
      <c r="BC81" s="76">
        <f>股权价值增加表!BC4</f>
        <v>1619465161.96</v>
      </c>
      <c r="BD81" s="76">
        <f>股权价值增加表!BD4</f>
        <v>795088991.48000002</v>
      </c>
      <c r="BE81" s="76">
        <f>股权价值增加表!BE4</f>
        <v>2104228713.8</v>
      </c>
      <c r="BF81" s="76">
        <f>股权价值增加表!BF4</f>
        <v>1695695569.3199999</v>
      </c>
      <c r="BG81" s="76">
        <f>股权价值增加表!BG4</f>
        <v>1054055275.14</v>
      </c>
      <c r="BH81" s="76">
        <f>股权价值增加表!BH4</f>
        <v>500646460.10000002</v>
      </c>
      <c r="BI81" s="76">
        <f>股权价值增加表!BI4</f>
        <v>1343705425.49</v>
      </c>
      <c r="BJ81" s="76">
        <f>股权价值增加表!BJ4</f>
        <v>1010725562.63</v>
      </c>
      <c r="BK81" s="76">
        <f>股权价值增加表!BK4</f>
        <v>728837860.20000005</v>
      </c>
      <c r="BL81" s="76">
        <f>股权价值增加表!BL4</f>
        <v>365414554.81999999</v>
      </c>
      <c r="BM81" s="76">
        <f>股权价值增加表!BM4</f>
        <v>881744022.69000006</v>
      </c>
      <c r="BN81" s="76">
        <f>股权价值增加表!BN4</f>
        <v>731509319.00999999</v>
      </c>
      <c r="BO81" s="76">
        <f>股权价值增加表!BO4</f>
        <v>439549140.19</v>
      </c>
      <c r="BP81" s="76">
        <f>股权价值增加表!BP4</f>
        <v>219102788.52000001</v>
      </c>
      <c r="BQ81" s="76">
        <f>股权价值增加表!BQ4</f>
        <v>571288456.37</v>
      </c>
      <c r="BR81" s="76">
        <f>股权价值增加表!BR4</f>
        <v>477877800</v>
      </c>
      <c r="BS81" s="76">
        <f>股权价值增加表!BS4</f>
        <v>290164514.67000002</v>
      </c>
      <c r="BT81" s="76">
        <f>股权价值增加表!BT4</f>
        <v>344853089.67000002</v>
      </c>
      <c r="BU81" s="76">
        <f>股权价值增加表!BU4</f>
        <v>160888819.90000001</v>
      </c>
      <c r="BV81" s="76">
        <f>股权价值增加表!BV4</f>
        <v>210406102.94</v>
      </c>
      <c r="BW81" s="76">
        <f>股权价值增加表!BW4</f>
        <v>180697101.69</v>
      </c>
      <c r="BX81" s="76">
        <f>股权价值增加表!BX4</f>
        <v>140004535.75999999</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40329999039.200005</v>
      </c>
      <c r="F82" s="76">
        <f>投资和筹资活动现金流表!F34</f>
        <v>38759177403.380005</v>
      </c>
      <c r="G82" s="76">
        <f>投资和筹资活动现金流表!G34</f>
        <v>37998462187.840004</v>
      </c>
      <c r="H82" s="76">
        <f>投资和筹资活动现金流表!H34</f>
        <v>37582182792.099998</v>
      </c>
      <c r="I82" s="76">
        <f>投资和筹资活动现金流表!I34</f>
        <v>37231700360.709999</v>
      </c>
      <c r="J82" s="76">
        <f>投资和筹资活动现金流表!J34</f>
        <v>37065671349.32</v>
      </c>
      <c r="K82" s="76">
        <f>投资和筹资活动现金流表!K34</f>
        <v>37523142802.980003</v>
      </c>
      <c r="L82" s="76">
        <f>投资和筹资活动现金流表!L34</f>
        <v>37004462639.419998</v>
      </c>
      <c r="M82" s="76">
        <f>投资和筹资活动现金流表!M34</f>
        <v>36480311463.849998</v>
      </c>
      <c r="N82" s="76">
        <f>投资和筹资活动现金流表!N34</f>
        <v>35011582105.75</v>
      </c>
      <c r="O82" s="76">
        <f>投资和筹资活动现金流表!O34</f>
        <v>33904269426.460003</v>
      </c>
      <c r="P82" s="76">
        <f>投资和筹资活动现金流表!P34</f>
        <v>32708834688.040001</v>
      </c>
      <c r="Q82" s="76">
        <f>投资和筹资活动现金流表!Q34</f>
        <v>31538036431.02</v>
      </c>
      <c r="R82" s="76">
        <f>投资和筹资活动现金流表!R34</f>
        <v>29219530611.060001</v>
      </c>
      <c r="S82" s="76">
        <f>投资和筹资活动现金流表!S34</f>
        <v>25661943748.800003</v>
      </c>
      <c r="T82" s="76">
        <f>投资和筹资活动现金流表!T34</f>
        <v>24626719058.690002</v>
      </c>
      <c r="U82" s="76">
        <f>投资和筹资活动现金流表!U34</f>
        <v>22600570678</v>
      </c>
      <c r="V82" s="76">
        <f>投资和筹资活动现金流表!V34</f>
        <v>18883648552.460003</v>
      </c>
      <c r="W82" s="76">
        <f>投资和筹资活动现金流表!W34</f>
        <v>16805848475.17</v>
      </c>
      <c r="X82" s="76">
        <f>投资和筹资活动现金流表!X34</f>
        <v>15091685022.139999</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60" t="s">
        <v>582</v>
      </c>
      <c r="E83" s="156">
        <f>E81/E82</f>
        <v>1.3172123611303652</v>
      </c>
      <c r="F83" s="156">
        <f t="shared" ref="F83:BQ83" si="46">F81/F82</f>
        <v>1.0052716945967015</v>
      </c>
      <c r="G83" s="156">
        <f t="shared" si="46"/>
        <v>0.64292303083223046</v>
      </c>
      <c r="H83" s="156">
        <f t="shared" si="46"/>
        <v>0.29287943932553456</v>
      </c>
      <c r="I83" s="156">
        <f t="shared" si="46"/>
        <v>0.8084471361454092</v>
      </c>
      <c r="J83" s="156">
        <f t="shared" si="46"/>
        <v>0.56473230200871616</v>
      </c>
      <c r="K83" s="156">
        <f t="shared" si="46"/>
        <v>0.33248201159923102</v>
      </c>
      <c r="L83" s="156">
        <f t="shared" si="46"/>
        <v>0.14321546005736202</v>
      </c>
      <c r="M83" s="156">
        <f t="shared" si="46"/>
        <v>0.53432610927255619</v>
      </c>
      <c r="N83" s="156">
        <f t="shared" si="46"/>
        <v>0.42238378432722395</v>
      </c>
      <c r="O83" s="156">
        <f t="shared" si="46"/>
        <v>0.29619465447271043</v>
      </c>
      <c r="P83" s="156">
        <f t="shared" si="46"/>
        <v>0.13866296630244701</v>
      </c>
      <c r="Q83" s="156">
        <f t="shared" si="46"/>
        <v>0.70037234363184553</v>
      </c>
      <c r="R83" s="156">
        <f t="shared" si="46"/>
        <v>0.60781950515308814</v>
      </c>
      <c r="S83" s="156">
        <f t="shared" si="46"/>
        <v>0.45455718879266371</v>
      </c>
      <c r="T83" s="156">
        <f t="shared" si="46"/>
        <v>0.20857237864243655</v>
      </c>
      <c r="U83" s="156">
        <f t="shared" si="46"/>
        <v>0.89546292907064451</v>
      </c>
      <c r="V83" s="156">
        <f t="shared" si="46"/>
        <v>0.81415528827754924</v>
      </c>
      <c r="W83" s="156">
        <f t="shared" si="46"/>
        <v>0.59359707933634021</v>
      </c>
      <c r="X83" s="156">
        <f t="shared" si="46"/>
        <v>0.31648808794928823</v>
      </c>
      <c r="Y83" s="156">
        <f t="shared" si="46"/>
        <v>4.7062947232759038</v>
      </c>
      <c r="Z83" s="156">
        <f t="shared" si="46"/>
        <v>3.4446645966694485</v>
      </c>
      <c r="AA83" s="156">
        <f t="shared" si="46"/>
        <v>2.4050271005033244</v>
      </c>
      <c r="AB83" s="156">
        <f t="shared" si="46"/>
        <v>1.2016697119623247</v>
      </c>
      <c r="AC83" s="156">
        <f t="shared" si="46"/>
        <v>6.0577976344112878</v>
      </c>
      <c r="AD83" s="156">
        <f t="shared" si="46"/>
        <v>5.4832052184458568</v>
      </c>
      <c r="AE83" s="156">
        <f t="shared" si="46"/>
        <v>4.845575771607213</v>
      </c>
      <c r="AF83" s="156">
        <f t="shared" si="46"/>
        <v>2.9758541712489146</v>
      </c>
      <c r="AG83" s="156">
        <f t="shared" si="46"/>
        <v>11.173798031746374</v>
      </c>
      <c r="AH83" s="156">
        <f t="shared" si="46"/>
        <v>9.1090238780401069</v>
      </c>
      <c r="AI83" s="156">
        <f t="shared" si="46"/>
        <v>7.8546903487308111</v>
      </c>
      <c r="AJ83" s="156">
        <f t="shared" si="46"/>
        <v>4.3789348821435885</v>
      </c>
      <c r="AK83" s="156">
        <f t="shared" si="46"/>
        <v>15.002597704839266</v>
      </c>
      <c r="AL83" s="156">
        <f t="shared" si="46"/>
        <v>11.46753139643206</v>
      </c>
      <c r="AM83" s="156">
        <f t="shared" si="46"/>
        <v>8.0460355116346296</v>
      </c>
      <c r="AN83" s="156">
        <f t="shared" si="46"/>
        <v>4.0629478551156222</v>
      </c>
      <c r="AO83" s="156">
        <f t="shared" si="46"/>
        <v>27.570752807232239</v>
      </c>
      <c r="AP83" s="156">
        <f t="shared" si="46"/>
        <v>1.6785537551538909</v>
      </c>
      <c r="AQ83" s="156">
        <f t="shared" si="46"/>
        <v>1.2346301012880336</v>
      </c>
      <c r="AR83" s="156">
        <f t="shared" si="46"/>
        <v>0.57795225646098281</v>
      </c>
      <c r="AS83" s="156">
        <f t="shared" si="46"/>
        <v>2.3235073623941065</v>
      </c>
      <c r="AT83" s="156">
        <f t="shared" si="46"/>
        <v>1.7732171270379322</v>
      </c>
      <c r="AU83" s="156">
        <f t="shared" si="46"/>
        <v>1.0690941865363754</v>
      </c>
      <c r="AV83" s="156">
        <f t="shared" si="46"/>
        <v>0.52642293449907729</v>
      </c>
      <c r="AW83" s="156">
        <f t="shared" si="46"/>
        <v>1.3777609346469393</v>
      </c>
      <c r="AX83" s="156">
        <f t="shared" si="46"/>
        <v>1.0454772990342802</v>
      </c>
      <c r="AY83" s="156">
        <f t="shared" si="46"/>
        <v>0.62171918144418303</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583</v>
      </c>
      <c r="E84" s="76">
        <f>资产资本表!E52</f>
        <v>27610330297.200001</v>
      </c>
      <c r="F84" s="76">
        <f>资产资本表!F52</f>
        <v>26875745942.34</v>
      </c>
      <c r="G84" s="76">
        <f>资产资本表!G52</f>
        <v>27854423659.349998</v>
      </c>
      <c r="H84" s="76">
        <f>资产资本表!H52</f>
        <v>28324221866.419998</v>
      </c>
      <c r="I84" s="76">
        <f>资产资本表!I52</f>
        <v>28467944952.560001</v>
      </c>
      <c r="J84" s="76">
        <f>资产资本表!J52</f>
        <v>28156264803.41</v>
      </c>
      <c r="K84" s="76">
        <f>资产资本表!K52</f>
        <v>26260546040.91</v>
      </c>
      <c r="L84" s="76">
        <f>资产资本表!L52</f>
        <v>25639838997.040001</v>
      </c>
      <c r="M84" s="76">
        <f>资产资本表!M52</f>
        <v>20046292042.669998</v>
      </c>
      <c r="N84" s="76">
        <f>资产资本表!N52</f>
        <v>15541120179.26</v>
      </c>
      <c r="O84" s="76">
        <f>资产资本表!O52</f>
        <v>14940845999.92</v>
      </c>
      <c r="P84" s="76">
        <f>资产资本表!P52</f>
        <v>15202737894.35</v>
      </c>
      <c r="Q84" s="76">
        <f>资产资本表!Q52</f>
        <v>15194706091.809999</v>
      </c>
      <c r="R84" s="76">
        <f>资产资本表!R52</f>
        <v>8282893921.8699999</v>
      </c>
      <c r="S84" s="76">
        <f>资产资本表!S52</f>
        <v>8468538152.9799995</v>
      </c>
      <c r="T84" s="76">
        <f>资产资本表!T52</f>
        <v>8403429056.3900003</v>
      </c>
      <c r="U84" s="76">
        <f>资产资本表!U52</f>
        <v>8581742525.6999998</v>
      </c>
      <c r="V84" s="76">
        <f>资产资本表!V52</f>
        <v>8213154455.4200001</v>
      </c>
      <c r="W84" s="76">
        <f>资产资本表!W52</f>
        <v>8385445702.21</v>
      </c>
      <c r="X84" s="76">
        <f>资产资本表!X52</f>
        <v>8506811642.6899996</v>
      </c>
      <c r="Y84" s="76">
        <f>资产资本表!Y52</f>
        <v>7331466385.9200001</v>
      </c>
      <c r="Z84" s="76">
        <f>资产资本表!Z52</f>
        <v>7315834420.8900003</v>
      </c>
      <c r="AA84" s="76">
        <f>资产资本表!AA52</f>
        <v>7021878815.4799995</v>
      </c>
      <c r="AB84" s="76">
        <f>资产资本表!AB52</f>
        <v>6973039747.8199997</v>
      </c>
      <c r="AC84" s="76">
        <f>资产资本表!AC52</f>
        <v>6904926388.5</v>
      </c>
      <c r="AD84" s="76">
        <f>资产资本表!AD52</f>
        <v>6940526824.6899996</v>
      </c>
      <c r="AE84" s="76">
        <f>资产资本表!AE52</f>
        <v>6878914363.9200001</v>
      </c>
      <c r="AF84" s="76">
        <f>资产资本表!AF52</f>
        <v>7028201259.4200001</v>
      </c>
      <c r="AG84" s="76">
        <f>资产资本表!AG52</f>
        <v>6930473425.6899996</v>
      </c>
      <c r="AH84" s="76">
        <f>资产资本表!AH52</f>
        <v>3007103038.6199999</v>
      </c>
      <c r="AI84" s="76">
        <f>资产资本表!AI52</f>
        <v>3044359199.9499998</v>
      </c>
      <c r="AJ84" s="76">
        <f>资产资本表!AJ52</f>
        <v>3113034019.25</v>
      </c>
      <c r="AK84" s="76">
        <f>资产资本表!AK52</f>
        <v>3171488252.02</v>
      </c>
      <c r="AL84" s="76">
        <f>资产资本表!AL52</f>
        <v>3140094282.9400001</v>
      </c>
      <c r="AM84" s="76">
        <f>资产资本表!AM52</f>
        <v>3138735615.9899998</v>
      </c>
      <c r="AN84" s="76">
        <f>资产资本表!AN52</f>
        <v>3209359193.23</v>
      </c>
      <c r="AO84" s="76">
        <f>资产资本表!AO52</f>
        <v>3270794999.4699998</v>
      </c>
      <c r="AP84" s="76">
        <f>资产资本表!AP52</f>
        <v>3053570234.6500001</v>
      </c>
      <c r="AQ84" s="76">
        <f>资产资本表!AQ52</f>
        <v>3048236597.2199998</v>
      </c>
      <c r="AR84" s="76">
        <f>资产资本表!AR52</f>
        <v>3108392153.2199998</v>
      </c>
      <c r="AS84" s="76">
        <f>资产资本表!AS52</f>
        <v>3168269562.73</v>
      </c>
      <c r="AT84" s="76">
        <f>资产资本表!AT52</f>
        <v>3013851800.8699999</v>
      </c>
      <c r="AU84" s="76">
        <f>资产资本表!AU52</f>
        <v>3002774814.4400001</v>
      </c>
      <c r="AV84" s="76">
        <f>资产资本表!AV52</f>
        <v>3046470440.8200002</v>
      </c>
      <c r="AW84" s="76">
        <f>资产资本表!AW52</f>
        <v>3211140565.3099999</v>
      </c>
      <c r="AX84" s="76">
        <f>资产资本表!AX52</f>
        <v>3011158795.48</v>
      </c>
      <c r="AY84" s="76">
        <f>资产资本表!AY52</f>
        <v>3052357459.6500001</v>
      </c>
      <c r="AZ84" s="76">
        <f>资产资本表!AZ52</f>
        <v>3100906126.9299998</v>
      </c>
      <c r="BA84" s="76">
        <f>资产资本表!BA52</f>
        <v>1200821161.1800001</v>
      </c>
      <c r="BB84" s="76">
        <f>资产资本表!BB52</f>
        <v>514718415.57999998</v>
      </c>
      <c r="BC84" s="76">
        <f>资产资本表!BC52</f>
        <v>518805666.5</v>
      </c>
      <c r="BD84" s="76">
        <f>资产资本表!BD52</f>
        <v>530706397.14999998</v>
      </c>
      <c r="BE84" s="76">
        <f>资产资本表!BE52</f>
        <v>542282212.54999995</v>
      </c>
      <c r="BF84" s="76">
        <f>资产资本表!BF52</f>
        <v>501338322.23000002</v>
      </c>
      <c r="BG84" s="76">
        <f>资产资本表!BG52</f>
        <v>511067697.66000003</v>
      </c>
      <c r="BH84" s="76">
        <f>资产资本表!BH52</f>
        <v>547753811.85000002</v>
      </c>
      <c r="BI84" s="76">
        <f>资产资本表!BI52</f>
        <v>553857998.78999996</v>
      </c>
      <c r="BJ84" s="76">
        <f>资产资本表!BJ52</f>
        <v>540911117.13999999</v>
      </c>
      <c r="BK84" s="76">
        <f>资产资本表!BK52</f>
        <v>542975646.75</v>
      </c>
      <c r="BL84" s="76">
        <f>资产资本表!BL52</f>
        <v>530908025.23000002</v>
      </c>
      <c r="BM84" s="76">
        <f>资产资本表!BM52</f>
        <v>454547167.70999998</v>
      </c>
      <c r="BN84" s="76">
        <f>资产资本表!BN52</f>
        <v>407784922.23000002</v>
      </c>
      <c r="BO84" s="76">
        <f>资产资本表!BO52</f>
        <v>292207357.57999998</v>
      </c>
      <c r="BP84" s="76">
        <f>资产资本表!BP52</f>
        <v>295216991.61000001</v>
      </c>
      <c r="BQ84" s="76">
        <f>资产资本表!BQ52</f>
        <v>301676687.98000002</v>
      </c>
      <c r="BR84" s="76">
        <f>资产资本表!BR52</f>
        <v>0</v>
      </c>
      <c r="BS84" s="76">
        <f>资产资本表!BS52</f>
        <v>272725792.60000002</v>
      </c>
      <c r="BT84" s="76">
        <f>资产资本表!BT52</f>
        <v>224672437.96000001</v>
      </c>
      <c r="BU84" s="76">
        <f>资产资本表!BU52</f>
        <v>150440787.72999999</v>
      </c>
      <c r="BV84" s="76">
        <f>资产资本表!BV52</f>
        <v>161324164.68000001</v>
      </c>
      <c r="BW84" s="76">
        <f>资产资本表!BW52</f>
        <v>127608573</v>
      </c>
      <c r="BX84" s="76">
        <f>资产资本表!BX52</f>
        <v>32463099.34</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60" t="s">
        <v>584</v>
      </c>
      <c r="E85" s="156">
        <f>E81/E84</f>
        <v>1.9240325156196081</v>
      </c>
      <c r="F85" s="156">
        <f t="shared" ref="F85:BQ85" si="48">F81/F84</f>
        <v>1.4497645584633605</v>
      </c>
      <c r="G85" s="156">
        <f t="shared" si="48"/>
        <v>0.87706307534995298</v>
      </c>
      <c r="H85" s="156">
        <f t="shared" si="48"/>
        <v>0.3886090384650423</v>
      </c>
      <c r="I85" s="156">
        <f t="shared" si="48"/>
        <v>1.0573247061071489</v>
      </c>
      <c r="J85" s="156">
        <f t="shared" si="48"/>
        <v>0.74342893323211345</v>
      </c>
      <c r="K85" s="156">
        <f t="shared" si="48"/>
        <v>0.4750765647151669</v>
      </c>
      <c r="L85" s="156">
        <f t="shared" si="48"/>
        <v>0.2066944001361247</v>
      </c>
      <c r="M85" s="156">
        <f t="shared" si="48"/>
        <v>0.9723684982758426</v>
      </c>
      <c r="N85" s="156">
        <f t="shared" si="48"/>
        <v>0.95156104415467913</v>
      </c>
      <c r="O85" s="156">
        <f t="shared" si="48"/>
        <v>0.67213485554792352</v>
      </c>
      <c r="P85" s="156">
        <f t="shared" si="48"/>
        <v>0.29833468640050625</v>
      </c>
      <c r="Q85" s="156">
        <f t="shared" si="48"/>
        <v>1.4536884330158719</v>
      </c>
      <c r="R85" s="156">
        <f t="shared" si="48"/>
        <v>2.1442023529875582</v>
      </c>
      <c r="S85" s="156">
        <f t="shared" si="48"/>
        <v>1.3774302953698401</v>
      </c>
      <c r="T85" s="156">
        <f t="shared" si="48"/>
        <v>0.61123302615665209</v>
      </c>
      <c r="U85" s="156">
        <f t="shared" si="48"/>
        <v>2.358259194724468</v>
      </c>
      <c r="V85" s="156">
        <f t="shared" si="48"/>
        <v>1.8719022531975262</v>
      </c>
      <c r="W85" s="156">
        <f t="shared" si="48"/>
        <v>1.1896687337681802</v>
      </c>
      <c r="X85" s="156">
        <f t="shared" si="48"/>
        <v>0.56147223392378298</v>
      </c>
      <c r="Y85" s="156">
        <f t="shared" si="48"/>
        <v>2.1744799304279261</v>
      </c>
      <c r="Z85" s="156">
        <f t="shared" si="48"/>
        <v>1.5610473425177203</v>
      </c>
      <c r="AA85" s="156">
        <f t="shared" si="48"/>
        <v>1.0196943102243707</v>
      </c>
      <c r="AB85" s="156">
        <f t="shared" si="48"/>
        <v>0.4705461981133538</v>
      </c>
      <c r="AC85" s="156">
        <f t="shared" si="48"/>
        <v>1.9786318594408574</v>
      </c>
      <c r="AD85" s="156">
        <f t="shared" si="48"/>
        <v>1.5141518350776475</v>
      </c>
      <c r="AE85" s="156">
        <f t="shared" si="48"/>
        <v>0.99993186162449432</v>
      </c>
      <c r="AF85" s="156">
        <f t="shared" si="48"/>
        <v>0.45298555029039278</v>
      </c>
      <c r="AG85" s="156">
        <f t="shared" si="48"/>
        <v>1.3606252099597611</v>
      </c>
      <c r="AH85" s="156">
        <f t="shared" si="48"/>
        <v>2.229962328446633</v>
      </c>
      <c r="AI85" s="156">
        <f t="shared" si="48"/>
        <v>1.4388360908863653</v>
      </c>
      <c r="AJ85" s="156">
        <f t="shared" si="48"/>
        <v>0.65827350077713098</v>
      </c>
      <c r="AK85" s="156">
        <f t="shared" si="48"/>
        <v>2.0472784960797181</v>
      </c>
      <c r="AL85" s="156">
        <f t="shared" si="48"/>
        <v>1.4822677717982826</v>
      </c>
      <c r="AM85" s="156">
        <f t="shared" si="48"/>
        <v>0.87613590717886114</v>
      </c>
      <c r="AN85" s="156">
        <f t="shared" si="48"/>
        <v>0.37757989280421339</v>
      </c>
      <c r="AO85" s="156">
        <f t="shared" si="48"/>
        <v>2.355510824548289</v>
      </c>
      <c r="AP85" s="156">
        <f t="shared" si="48"/>
        <v>2.0214175926421731</v>
      </c>
      <c r="AQ85" s="156">
        <f t="shared" si="48"/>
        <v>1.367261425219088</v>
      </c>
      <c r="AR85" s="156">
        <f t="shared" si="48"/>
        <v>0.63218700016159735</v>
      </c>
      <c r="AS85" s="156">
        <f t="shared" si="48"/>
        <v>2.4630428285861803</v>
      </c>
      <c r="AT85" s="156">
        <f t="shared" si="48"/>
        <v>1.9461416025654803</v>
      </c>
      <c r="AU85" s="156">
        <f t="shared" si="48"/>
        <v>1.1751096834805648</v>
      </c>
      <c r="AV85" s="156">
        <f t="shared" si="48"/>
        <v>0.56717381057041127</v>
      </c>
      <c r="AW85" s="156">
        <f t="shared" si="48"/>
        <v>1.5282955593712007</v>
      </c>
      <c r="AX85" s="156">
        <f t="shared" si="48"/>
        <v>1.1781593651172699</v>
      </c>
      <c r="AY85" s="156">
        <f t="shared" si="48"/>
        <v>0.68858019749135246</v>
      </c>
      <c r="AZ85" s="156">
        <f t="shared" si="48"/>
        <v>0.34019830461440276</v>
      </c>
      <c r="BA85" s="156">
        <f t="shared" si="48"/>
        <v>2.7560645955954368</v>
      </c>
      <c r="BB85" s="156">
        <f t="shared" si="48"/>
        <v>4.9566048267870295</v>
      </c>
      <c r="BC85" s="156">
        <f t="shared" si="48"/>
        <v>3.1215255856500943</v>
      </c>
      <c r="BD85" s="156">
        <f t="shared" si="48"/>
        <v>1.4981711088273812</v>
      </c>
      <c r="BE85" s="156">
        <f t="shared" si="48"/>
        <v>3.880320366595067</v>
      </c>
      <c r="BF85" s="156">
        <f t="shared" si="48"/>
        <v>3.3823378228446344</v>
      </c>
      <c r="BG85" s="156">
        <f t="shared" si="48"/>
        <v>2.0624572438566355</v>
      </c>
      <c r="BH85" s="156">
        <f t="shared" si="48"/>
        <v>0.91399904349200556</v>
      </c>
      <c r="BI85" s="156">
        <f t="shared" si="48"/>
        <v>2.4260829101061292</v>
      </c>
      <c r="BJ85" s="156">
        <f t="shared" si="48"/>
        <v>1.868561267466798</v>
      </c>
      <c r="BK85" s="156">
        <f t="shared" si="48"/>
        <v>1.3423030380137395</v>
      </c>
      <c r="BL85" s="156">
        <f t="shared" si="48"/>
        <v>0.68828222112802884</v>
      </c>
      <c r="BM85" s="156">
        <f t="shared" si="48"/>
        <v>1.9398295387741822</v>
      </c>
      <c r="BN85" s="156">
        <f t="shared" si="48"/>
        <v>1.7938606337127199</v>
      </c>
      <c r="BO85" s="156">
        <f t="shared" si="48"/>
        <v>1.5042370727084142</v>
      </c>
      <c r="BP85" s="156">
        <f t="shared" si="48"/>
        <v>0.74217539893316309</v>
      </c>
      <c r="BQ85" s="156">
        <f t="shared" si="48"/>
        <v>1.8937109797753886</v>
      </c>
      <c r="BR85" s="156" t="e">
        <f t="shared" ref="BR85:CK85" si="49">BR81/BR84</f>
        <v>#DIV/0!</v>
      </c>
      <c r="BS85" s="156">
        <f t="shared" si="49"/>
        <v>1.0639423279468727</v>
      </c>
      <c r="BT85" s="156">
        <f t="shared" si="49"/>
        <v>1.5349149757808593</v>
      </c>
      <c r="BU85" s="156">
        <f t="shared" si="49"/>
        <v>1.0694494646541692</v>
      </c>
      <c r="BV85" s="156">
        <f t="shared" si="49"/>
        <v>1.3042441803889586</v>
      </c>
      <c r="BW85" s="156">
        <f t="shared" si="49"/>
        <v>1.4160263487156148</v>
      </c>
      <c r="BX85" s="156">
        <f t="shared" si="49"/>
        <v>4.3127285627805367</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585</v>
      </c>
      <c r="E86" s="76">
        <f>资产资本表!E53</f>
        <v>6419934249.79</v>
      </c>
      <c r="F86" s="76">
        <f>资产资本表!F53</f>
        <v>6031416257</v>
      </c>
      <c r="G86" s="76">
        <f>资产资本表!G53</f>
        <v>4696787548.8599997</v>
      </c>
      <c r="H86" s="76">
        <f>资产资本表!H53</f>
        <v>4457048042.8999996</v>
      </c>
      <c r="I86" s="76">
        <f>资产资本表!I53</f>
        <v>4244587397.6399999</v>
      </c>
      <c r="J86" s="76">
        <f>资产资本表!J53</f>
        <v>4278312350.96</v>
      </c>
      <c r="K86" s="76">
        <f>资产资本表!K53</f>
        <v>6820872393.9200001</v>
      </c>
      <c r="L86" s="76">
        <f>资产资本表!L53</f>
        <v>7177772668.6300001</v>
      </c>
      <c r="M86" s="76">
        <f>资产资本表!M53</f>
        <v>12409182506.280001</v>
      </c>
      <c r="N86" s="76">
        <f>资产资本表!N53</f>
        <v>15743094148.309999</v>
      </c>
      <c r="O86" s="76">
        <f>资产资本表!O53</f>
        <v>14745305134.66</v>
      </c>
      <c r="P86" s="76">
        <f>资产资本表!P53</f>
        <v>13177217443.719999</v>
      </c>
      <c r="Q86" s="76">
        <f>资产资本表!Q53</f>
        <v>11724952148.09</v>
      </c>
      <c r="R86" s="76">
        <f>资产资本表!R53</f>
        <v>14404264121.92</v>
      </c>
      <c r="S86" s="76">
        <f>资产资本表!S53</f>
        <v>11690892067.59</v>
      </c>
      <c r="T86" s="76">
        <f>资产资本表!T53</f>
        <v>9688718650.8400002</v>
      </c>
      <c r="U86" s="76">
        <f>资产资本表!U53</f>
        <v>8111173521.5600004</v>
      </c>
      <c r="V86" s="76">
        <f>资产资本表!V53</f>
        <v>5909174119.3299999</v>
      </c>
      <c r="W86" s="76">
        <f>资产资本表!W53</f>
        <v>3916253578.0300002</v>
      </c>
      <c r="X86" s="76">
        <f>资产资本表!X53</f>
        <v>2859189104.6399999</v>
      </c>
      <c r="Y86" s="76">
        <f>资产资本表!Y53</f>
        <v>3630499456.2199998</v>
      </c>
      <c r="Z86" s="76">
        <f>资产资本表!Z53</f>
        <v>2962583503.6999998</v>
      </c>
      <c r="AA86" s="76">
        <f>资产资本表!AA53</f>
        <v>2391706422.9000001</v>
      </c>
      <c r="AB86" s="76">
        <f>资产资本表!AB53</f>
        <v>2011894322.96</v>
      </c>
      <c r="AC86" s="76">
        <f>资产资本表!AC53</f>
        <v>1509477073.0799999</v>
      </c>
      <c r="AD86" s="76">
        <f>资产资本表!AD53</f>
        <v>633642795.73000002</v>
      </c>
      <c r="AE86" s="76">
        <f>资产资本表!AE53</f>
        <v>493980592.55000001</v>
      </c>
      <c r="AF86" s="76">
        <f>资产资本表!AF53</f>
        <v>347731443.24000001</v>
      </c>
      <c r="AG86" s="76">
        <f>资产资本表!AG53</f>
        <v>424423195.69999999</v>
      </c>
      <c r="AH86" s="76">
        <f>资产资本表!AH53</f>
        <v>3446348374</v>
      </c>
      <c r="AI86" s="76">
        <f>资产资本表!AI53</f>
        <v>3200818545.5500002</v>
      </c>
      <c r="AJ86" s="76">
        <f>资产资本表!AJ53</f>
        <v>2838804091.79</v>
      </c>
      <c r="AK86" s="76">
        <f>资产资本表!AK53</f>
        <v>2284635605.25</v>
      </c>
      <c r="AL86" s="76">
        <f>资产资本表!AL53</f>
        <v>1083575141.46</v>
      </c>
      <c r="AM86" s="76">
        <f>资产资本表!AM53</f>
        <v>638819980.21000004</v>
      </c>
      <c r="AN86" s="76">
        <f>资产资本表!AN53</f>
        <v>491770818.95999998</v>
      </c>
      <c r="AO86" s="76">
        <f>资产资本表!AO53</f>
        <v>376540145.83999997</v>
      </c>
      <c r="AP86" s="76">
        <f>资产资本表!AP53</f>
        <v>381557856.75</v>
      </c>
      <c r="AQ86" s="76">
        <f>资产资本表!AQ53</f>
        <v>229158773.31</v>
      </c>
      <c r="AR86" s="76">
        <f>资产资本表!AR53</f>
        <v>137702688.37</v>
      </c>
      <c r="AS86" s="76">
        <f>资产资本表!AS53</f>
        <v>137950009.86000001</v>
      </c>
      <c r="AT86" s="76">
        <f>资产资本表!AT53</f>
        <v>232921459.44999999</v>
      </c>
      <c r="AU86" s="76">
        <f>资产资本表!AU53</f>
        <v>216472303.81999999</v>
      </c>
      <c r="AV86" s="76">
        <f>资产资本表!AV53</f>
        <v>175417523.03999999</v>
      </c>
      <c r="AW86" s="76">
        <f>资产资本表!AW53</f>
        <v>456411720.36000001</v>
      </c>
      <c r="AX86" s="76">
        <f>资产资本表!AX53</f>
        <v>447891022.47000003</v>
      </c>
      <c r="AY86" s="76">
        <f>资产资本表!AY53</f>
        <v>443145140.56999999</v>
      </c>
      <c r="AZ86" s="76">
        <f>资产资本表!AZ53</f>
        <v>401111011.37</v>
      </c>
      <c r="BA86" s="76">
        <f>资产资本表!BA53</f>
        <v>2182697956.2800002</v>
      </c>
      <c r="BB86" s="76">
        <f>资产资本表!BB53</f>
        <v>2430417924.8699999</v>
      </c>
      <c r="BC86" s="76">
        <f>资产资本表!BC53</f>
        <v>2128825869.75</v>
      </c>
      <c r="BD86" s="76">
        <f>资产资本表!BD53</f>
        <v>1567646215.22</v>
      </c>
      <c r="BE86" s="76">
        <f>资产资本表!BE53</f>
        <v>1448062021.6099999</v>
      </c>
      <c r="BF86" s="76">
        <f>资产资本表!BF53</f>
        <v>1005064705.1900001</v>
      </c>
      <c r="BG86" s="76">
        <f>资产资本表!BG53</f>
        <v>711595799.20000005</v>
      </c>
      <c r="BH86" s="76">
        <f>资产资本表!BH53</f>
        <v>449154961.02999997</v>
      </c>
      <c r="BI86" s="76">
        <f>资产资本表!BI53</f>
        <v>335369597.91000003</v>
      </c>
      <c r="BJ86" s="76">
        <f>资产资本表!BJ53</f>
        <v>169955328.56999999</v>
      </c>
      <c r="BK86" s="76">
        <f>资产资本表!BK53</f>
        <v>78548382.790000007</v>
      </c>
      <c r="BL86" s="76">
        <f>资产资本表!BL53</f>
        <v>55428337.950000003</v>
      </c>
      <c r="BM86" s="76">
        <f>资产资本表!BM53</f>
        <v>104884481.54000001</v>
      </c>
      <c r="BN86" s="76">
        <f>资产资本表!BN53</f>
        <v>87543208.420000002</v>
      </c>
      <c r="BO86" s="76">
        <f>资产资本表!BO53</f>
        <v>159596408.74000001</v>
      </c>
      <c r="BP86" s="76">
        <f>资产资本表!BP53</f>
        <v>137773801.31999999</v>
      </c>
      <c r="BQ86" s="76">
        <f>资产资本表!BQ53</f>
        <v>112462102.79000001</v>
      </c>
      <c r="BR86" s="76">
        <f>资产资本表!BR53</f>
        <v>0</v>
      </c>
      <c r="BS86" s="76">
        <f>资产资本表!BS53</f>
        <v>38609867.270000003</v>
      </c>
      <c r="BT86" s="76">
        <f>资产资本表!BT53</f>
        <v>0</v>
      </c>
      <c r="BU86" s="76">
        <f>资产资本表!BU53</f>
        <v>5815857.7999999998</v>
      </c>
      <c r="BV86" s="76">
        <f>资产资本表!BV53</f>
        <v>1922036.73</v>
      </c>
      <c r="BW86" s="76">
        <f>资产资本表!BW53</f>
        <v>27771852.27</v>
      </c>
      <c r="BX86" s="76">
        <f>资产资本表!BX53</f>
        <v>57895730.579999998</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63" t="s">
        <v>586</v>
      </c>
      <c r="E87" s="54">
        <f>E81/E86</f>
        <v>8.2747223245390238</v>
      </c>
      <c r="F87" s="54">
        <f t="shared" ref="F87:BQ87" si="50">F81/F86</f>
        <v>6.4600920064585754</v>
      </c>
      <c r="G87" s="54">
        <f t="shared" si="50"/>
        <v>5.2014459292925972</v>
      </c>
      <c r="H87" s="54">
        <f t="shared" si="50"/>
        <v>2.4695826741903844</v>
      </c>
      <c r="I87" s="54">
        <f t="shared" si="50"/>
        <v>7.0913515756974608</v>
      </c>
      <c r="J87" s="54">
        <f t="shared" si="50"/>
        <v>4.8926259210370828</v>
      </c>
      <c r="K87" s="54">
        <f t="shared" si="50"/>
        <v>1.8290578213691069</v>
      </c>
      <c r="L87" s="54">
        <f t="shared" si="50"/>
        <v>0.73833644303637724</v>
      </c>
      <c r="M87" s="54">
        <f t="shared" si="50"/>
        <v>1.5708031435322476</v>
      </c>
      <c r="N87" s="54">
        <f t="shared" si="50"/>
        <v>0.9393531160897941</v>
      </c>
      <c r="O87" s="54">
        <f t="shared" si="50"/>
        <v>0.6810481896583388</v>
      </c>
      <c r="P87" s="54">
        <f t="shared" si="50"/>
        <v>0.34419285114715409</v>
      </c>
      <c r="Q87" s="54">
        <f t="shared" si="50"/>
        <v>1.883877069156159</v>
      </c>
      <c r="R87" s="54">
        <f t="shared" si="50"/>
        <v>1.2329821562903052</v>
      </c>
      <c r="S87" s="54">
        <f t="shared" si="50"/>
        <v>0.9977699684481498</v>
      </c>
      <c r="T87" s="54">
        <f t="shared" si="50"/>
        <v>0.53014785105610174</v>
      </c>
      <c r="U87" s="54">
        <f t="shared" si="50"/>
        <v>2.4950733903295519</v>
      </c>
      <c r="V87" s="54">
        <f t="shared" si="50"/>
        <v>2.6017548341769245</v>
      </c>
      <c r="W87" s="54">
        <f t="shared" si="50"/>
        <v>2.5473076173091411</v>
      </c>
      <c r="X87" s="54">
        <f t="shared" si="50"/>
        <v>1.670522082236106</v>
      </c>
      <c r="Y87" s="54">
        <f t="shared" si="50"/>
        <v>4.3911662042744419</v>
      </c>
      <c r="Z87" s="54">
        <f t="shared" si="50"/>
        <v>3.854866492967032</v>
      </c>
      <c r="AA87" s="54">
        <f t="shared" si="50"/>
        <v>2.993749486422387</v>
      </c>
      <c r="AB87" s="54">
        <f t="shared" si="50"/>
        <v>1.6308696262945988</v>
      </c>
      <c r="AC87" s="54">
        <f t="shared" si="50"/>
        <v>9.0510201069187879</v>
      </c>
      <c r="AD87" s="54">
        <f t="shared" si="50"/>
        <v>16.585072060833419</v>
      </c>
      <c r="AE87" s="54">
        <f t="shared" si="50"/>
        <v>13.924526083833493</v>
      </c>
      <c r="AF87" s="54">
        <f t="shared" si="50"/>
        <v>9.1555528754777207</v>
      </c>
      <c r="AG87" s="54">
        <f t="shared" si="50"/>
        <v>22.217864045808092</v>
      </c>
      <c r="AH87" s="54">
        <f t="shared" si="50"/>
        <v>1.945748301149546</v>
      </c>
      <c r="AI87" s="54">
        <f t="shared" si="50"/>
        <v>1.3685042835682903</v>
      </c>
      <c r="AJ87" s="54">
        <f t="shared" si="50"/>
        <v>0.72186305769267267</v>
      </c>
      <c r="AK87" s="54">
        <f t="shared" si="50"/>
        <v>2.8419935695694902</v>
      </c>
      <c r="AL87" s="54">
        <f t="shared" si="50"/>
        <v>4.2954663483130657</v>
      </c>
      <c r="AM87" s="54">
        <f t="shared" si="50"/>
        <v>4.3047479125590327</v>
      </c>
      <c r="AN87" s="54">
        <f t="shared" si="50"/>
        <v>2.4641346200913268</v>
      </c>
      <c r="AO87" s="54">
        <f t="shared" si="50"/>
        <v>20.461013549943658</v>
      </c>
      <c r="AP87" s="54">
        <f t="shared" si="50"/>
        <v>16.177207423445356</v>
      </c>
      <c r="AQ87" s="54">
        <f t="shared" si="50"/>
        <v>18.187112167344321</v>
      </c>
      <c r="AR87" s="54">
        <f t="shared" si="50"/>
        <v>14.270491984803652</v>
      </c>
      <c r="AS87" s="54">
        <f t="shared" si="50"/>
        <v>56.568199113791636</v>
      </c>
      <c r="AT87" s="54">
        <f t="shared" si="50"/>
        <v>25.181803288928347</v>
      </c>
      <c r="AU87" s="54">
        <f t="shared" si="50"/>
        <v>16.300421344866713</v>
      </c>
      <c r="AV87" s="54">
        <f t="shared" si="50"/>
        <v>9.8500891972804592</v>
      </c>
      <c r="AW87" s="54">
        <f t="shared" si="50"/>
        <v>10.752510611710619</v>
      </c>
      <c r="AX87" s="54">
        <f t="shared" si="50"/>
        <v>7.9207324031318844</v>
      </c>
      <c r="AY87" s="54">
        <f t="shared" si="50"/>
        <v>4.7428995829144087</v>
      </c>
      <c r="AZ87" s="54">
        <f t="shared" si="50"/>
        <v>2.6300026108654966</v>
      </c>
      <c r="BA87" s="54">
        <f t="shared" si="50"/>
        <v>1.5162614132880263</v>
      </c>
      <c r="BB87" s="54">
        <f t="shared" si="50"/>
        <v>1.0497189627320838</v>
      </c>
      <c r="BC87" s="54">
        <f t="shared" si="50"/>
        <v>0.76073162440015962</v>
      </c>
      <c r="BD87" s="54">
        <f t="shared" si="50"/>
        <v>0.50718649639224811</v>
      </c>
      <c r="BE87" s="54">
        <f t="shared" si="50"/>
        <v>1.4531343840234507</v>
      </c>
      <c r="BF87" s="54">
        <f t="shared" si="50"/>
        <v>1.6871506486733521</v>
      </c>
      <c r="BG87" s="54">
        <f t="shared" si="50"/>
        <v>1.4812556177608194</v>
      </c>
      <c r="BH87" s="54">
        <f t="shared" si="50"/>
        <v>1.1146408334262188</v>
      </c>
      <c r="BI87" s="54">
        <f t="shared" si="50"/>
        <v>4.0066405358860155</v>
      </c>
      <c r="BJ87" s="54">
        <f t="shared" si="50"/>
        <v>5.9470071996813534</v>
      </c>
      <c r="BK87" s="54">
        <f t="shared" si="50"/>
        <v>9.2788397967219307</v>
      </c>
      <c r="BL87" s="54">
        <f t="shared" si="50"/>
        <v>6.5925583976490127</v>
      </c>
      <c r="BM87" s="54">
        <f t="shared" si="50"/>
        <v>8.4068110910547578</v>
      </c>
      <c r="BN87" s="54">
        <f t="shared" si="50"/>
        <v>8.355980232075666</v>
      </c>
      <c r="BO87" s="54">
        <f t="shared" si="50"/>
        <v>2.7541292668187389</v>
      </c>
      <c r="BP87" s="54">
        <f t="shared" si="50"/>
        <v>1.5903080732388406</v>
      </c>
      <c r="BQ87" s="54">
        <f t="shared" si="50"/>
        <v>5.0798308247602701</v>
      </c>
      <c r="BR87" s="54" t="e">
        <f t="shared" ref="BR87:CK87" si="51">BR81/BR86</f>
        <v>#DIV/0!</v>
      </c>
      <c r="BS87" s="54">
        <f t="shared" si="51"/>
        <v>7.5152942806270362</v>
      </c>
      <c r="BT87" s="54" t="e">
        <f t="shared" si="51"/>
        <v>#DIV/0!</v>
      </c>
      <c r="BU87" s="54">
        <f t="shared" si="51"/>
        <v>27.663815972254344</v>
      </c>
      <c r="BV87" s="54">
        <f t="shared" si="51"/>
        <v>109.47038610443204</v>
      </c>
      <c r="BW87" s="54">
        <f t="shared" si="51"/>
        <v>6.506483612733116</v>
      </c>
      <c r="BX87" s="54">
        <f t="shared" si="51"/>
        <v>2.4182186554592744</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885595169.94000006</v>
      </c>
      <c r="F88" s="76">
        <f>资产资本表!F54</f>
        <v>882519929.28999996</v>
      </c>
      <c r="G88" s="76">
        <f>资产资本表!G54</f>
        <v>798436360.15999997</v>
      </c>
      <c r="H88" s="76">
        <f>资产资本表!H54</f>
        <v>509536802.60000002</v>
      </c>
      <c r="I88" s="76">
        <f>资产资本表!I54</f>
        <v>454182921.75</v>
      </c>
      <c r="J88" s="76">
        <f>资产资本表!J54</f>
        <v>491469411.33999997</v>
      </c>
      <c r="K88" s="76">
        <f>资产资本表!K54</f>
        <v>380271692.55000001</v>
      </c>
      <c r="L88" s="76">
        <f>资产资本表!L54</f>
        <v>302191437.08999997</v>
      </c>
      <c r="M88" s="76">
        <f>资产资本表!M54</f>
        <v>288918624.81999999</v>
      </c>
      <c r="N88" s="76">
        <f>资产资本表!N54</f>
        <v>547389482.40999997</v>
      </c>
      <c r="O88" s="76">
        <f>资产资本表!O54</f>
        <v>1205567516.71</v>
      </c>
      <c r="P88" s="76">
        <f>资产资本表!P54</f>
        <v>1427800115.96</v>
      </c>
      <c r="Q88" s="76">
        <f>资产资本表!Q54</f>
        <v>1651540601.04</v>
      </c>
      <c r="R88" s="76">
        <f>资产资本表!R54</f>
        <v>1863114042.3699999</v>
      </c>
      <c r="S88" s="76">
        <f>资产资本表!S54</f>
        <v>1803505858.0699999</v>
      </c>
      <c r="T88" s="76">
        <f>资产资本表!T54</f>
        <v>1849226197.3099999</v>
      </c>
      <c r="U88" s="76">
        <f>资产资本表!U54</f>
        <v>1552221234.21</v>
      </c>
      <c r="V88" s="76">
        <f>资产资本表!V54</f>
        <v>829460453.76999998</v>
      </c>
      <c r="W88" s="76">
        <f>资产资本表!W54</f>
        <v>521719015.51999998</v>
      </c>
      <c r="X88" s="76">
        <f>资产资本表!X54</f>
        <v>123543631.48</v>
      </c>
      <c r="Y88" s="76">
        <f>资产资本表!Y54</f>
        <v>74954357.370000005</v>
      </c>
      <c r="Z88" s="76">
        <f>资产资本表!Z54</f>
        <v>50784079.869999997</v>
      </c>
      <c r="AA88" s="76">
        <f>资产资本表!AA54</f>
        <v>149599659.69</v>
      </c>
      <c r="AB88" s="76">
        <f>资产资本表!AB54</f>
        <v>107423564.48</v>
      </c>
      <c r="AC88" s="76">
        <f>资产资本表!AC54</f>
        <v>90320650.329999998</v>
      </c>
      <c r="AD88" s="76">
        <f>资产资本表!AD54</f>
        <v>169707539.15000001</v>
      </c>
      <c r="AE88" s="76">
        <f>资产资本表!AE54</f>
        <v>98203090.900000006</v>
      </c>
      <c r="AF88" s="76">
        <f>资产资本表!AF54</f>
        <v>87688597.280000001</v>
      </c>
      <c r="AG88" s="76">
        <f>资产资本表!AG54</f>
        <v>47176215.990000002</v>
      </c>
      <c r="AH88" s="76">
        <f>资产资本表!AH54</f>
        <v>38781152.18</v>
      </c>
      <c r="AI88" s="76">
        <f>资产资本表!AI54</f>
        <v>62456250.670000002</v>
      </c>
      <c r="AJ88" s="76">
        <f>资产资本表!AJ54</f>
        <v>60619543.990000002</v>
      </c>
      <c r="AK88" s="76">
        <f>资产资本表!AK54</f>
        <v>68479219.390000001</v>
      </c>
      <c r="AL88" s="76">
        <f>资产资本表!AL54</f>
        <v>342783774.69</v>
      </c>
      <c r="AM88" s="76">
        <f>资产资本表!AM54</f>
        <v>109587347.72</v>
      </c>
      <c r="AN88" s="76">
        <f>资产资本表!AN54</f>
        <v>23007901.109999999</v>
      </c>
      <c r="AO88" s="76">
        <f>资产资本表!AO54</f>
        <v>20337394.030000001</v>
      </c>
      <c r="AP88" s="76">
        <f>资产资本表!AP54</f>
        <v>37609033.420000002</v>
      </c>
      <c r="AQ88" s="76">
        <f>资产资本表!AQ54</f>
        <v>36792191.539999999</v>
      </c>
      <c r="AR88" s="76">
        <f>资产资本表!AR54</f>
        <v>14026281.85</v>
      </c>
      <c r="AS88" s="76">
        <f>资产资本表!AS54</f>
        <v>10714561.92</v>
      </c>
      <c r="AT88" s="76">
        <f>资产资本表!AT54</f>
        <v>28452837.210000001</v>
      </c>
      <c r="AU88" s="76">
        <f>资产资本表!AU54</f>
        <v>16626422.9</v>
      </c>
      <c r="AV88" s="76">
        <f>资产资本表!AV54</f>
        <v>9072492.3200000003</v>
      </c>
      <c r="AW88" s="76">
        <f>资产资本表!AW54</f>
        <v>11944548.27</v>
      </c>
      <c r="AX88" s="76">
        <f>资产资本表!AX54</f>
        <v>64029206.469999999</v>
      </c>
      <c r="AY88" s="76">
        <f>资产资本表!AY54</f>
        <v>23944836.23</v>
      </c>
      <c r="AZ88" s="76">
        <f>资产资本表!AZ54</f>
        <v>24216537.629999999</v>
      </c>
      <c r="BA88" s="76">
        <f>资产资本表!BA54</f>
        <v>69390655.019999996</v>
      </c>
      <c r="BB88" s="76">
        <f>资产资本表!BB54</f>
        <v>164022357.93000001</v>
      </c>
      <c r="BC88" s="76">
        <f>资产资本表!BC54</f>
        <v>216680985.99000001</v>
      </c>
      <c r="BD88" s="76">
        <f>资产资本表!BD54</f>
        <v>309795637.45999998</v>
      </c>
      <c r="BE88" s="76">
        <f>资产资本表!BE54</f>
        <v>79060026.879999995</v>
      </c>
      <c r="BF88" s="76">
        <f>资产资本表!BF54</f>
        <v>66192681.979999997</v>
      </c>
      <c r="BG88" s="76">
        <f>资产资本表!BG54</f>
        <v>236307.9</v>
      </c>
      <c r="BH88" s="76">
        <f>资产资本表!BH54</f>
        <v>74485.2</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-4275</v>
      </c>
      <c r="AI89" s="76">
        <f>资产资本表!AI55</f>
        <v>0</v>
      </c>
      <c r="AJ89" s="76">
        <f>资产资本表!AJ55</f>
        <v>0</v>
      </c>
      <c r="AK89" s="76">
        <f>资产资本表!AK55</f>
        <v>0</v>
      </c>
      <c r="AL89" s="76">
        <f>资产资本表!AL55</f>
        <v>0</v>
      </c>
      <c r="AM89" s="76">
        <f>资产资本表!AM55</f>
        <v>0</v>
      </c>
      <c r="AN89" s="76">
        <f>资产资本表!AN55</f>
        <v>20717.84</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2521052340.8299999</v>
      </c>
      <c r="F92" s="76">
        <f>资产资本表!F58</f>
        <v>2515787026.27</v>
      </c>
      <c r="G92" s="76">
        <f>资产资本表!G58</f>
        <v>2540428030.3800001</v>
      </c>
      <c r="H92" s="76">
        <f>资产资本表!H58</f>
        <v>2575537098.3000002</v>
      </c>
      <c r="I92" s="76">
        <f>资产资本表!I58</f>
        <v>2611559168.7399998</v>
      </c>
      <c r="J92" s="76">
        <f>资产资本表!J58</f>
        <v>2633621929.3600001</v>
      </c>
      <c r="K92" s="76">
        <f>资产资本表!K58</f>
        <v>2468350588.0799999</v>
      </c>
      <c r="L92" s="76">
        <f>资产资本表!L58</f>
        <v>2353185070.5500002</v>
      </c>
      <c r="M92" s="76">
        <f>资产资本表!M58</f>
        <v>2252000441.8899999</v>
      </c>
      <c r="N92" s="76">
        <f>资产资本表!N58</f>
        <v>1829545293.73</v>
      </c>
      <c r="O92" s="76">
        <f>资产资本表!O58</f>
        <v>1621388446.21</v>
      </c>
      <c r="P92" s="76">
        <f>资产资本表!P58</f>
        <v>1594428526.8399999</v>
      </c>
      <c r="Q92" s="76">
        <f>资产资本表!Q58</f>
        <v>1611644411.28</v>
      </c>
      <c r="R92" s="76">
        <f>资产资本表!R58</f>
        <v>1578873505.55</v>
      </c>
      <c r="S92" s="76">
        <f>资产资本表!S58</f>
        <v>1586145945.1199999</v>
      </c>
      <c r="T92" s="76">
        <f>资产资本表!T58</f>
        <v>1528729050.28</v>
      </c>
      <c r="U92" s="76">
        <f>资产资本表!U58</f>
        <v>1435194979.3</v>
      </c>
      <c r="V92" s="76">
        <f>资产资本表!V58</f>
        <v>1285790446.0599999</v>
      </c>
      <c r="W92" s="76">
        <f>资产资本表!W58</f>
        <v>1296214029.1600001</v>
      </c>
      <c r="X92" s="76">
        <f>资产资本表!X58</f>
        <v>1302363684.6900001</v>
      </c>
      <c r="Y92" s="76">
        <f>资产资本表!Y58</f>
        <v>1200726989.6900001</v>
      </c>
      <c r="Z92" s="76">
        <f>资产资本表!Z58</f>
        <v>807676004.94000006</v>
      </c>
      <c r="AA92" s="76">
        <f>资产资本表!AA58</f>
        <v>801715135.16999996</v>
      </c>
      <c r="AB92" s="76">
        <f>资产资本表!AB58</f>
        <v>801725008.40999997</v>
      </c>
      <c r="AC92" s="76">
        <f>资产资本表!AC58</f>
        <v>807053366.02999997</v>
      </c>
      <c r="AD92" s="76">
        <f>资产资本表!AD58</f>
        <v>892022868.63999999</v>
      </c>
      <c r="AE92" s="76">
        <f>资产资本表!AE58</f>
        <v>891762689.20000005</v>
      </c>
      <c r="AF92" s="76">
        <f>资产资本表!AF58</f>
        <v>749525786.65999997</v>
      </c>
      <c r="AG92" s="76">
        <f>资产资本表!AG58</f>
        <v>229348714.94999999</v>
      </c>
      <c r="AH92" s="76">
        <f>资产资本表!AH58</f>
        <v>147563241.53</v>
      </c>
      <c r="AI92" s="76">
        <f>资产资本表!AI58</f>
        <v>139155294</v>
      </c>
      <c r="AJ92" s="76">
        <f>资产资本表!AJ58</f>
        <v>139500745.62</v>
      </c>
      <c r="AK92" s="76">
        <f>资产资本表!AK58</f>
        <v>136840125.19999999</v>
      </c>
      <c r="AL92" s="76">
        <f>资产资本表!AL58</f>
        <v>137774764.36000001</v>
      </c>
      <c r="AM92" s="76">
        <f>资产资本表!AM58</f>
        <v>139201486.81999999</v>
      </c>
      <c r="AN92" s="76">
        <f>资产资本表!AN58</f>
        <v>142555459.21000001</v>
      </c>
      <c r="AO92" s="76">
        <f>资产资本表!AO58</f>
        <v>143840660.94999999</v>
      </c>
      <c r="AP92" s="76">
        <f>资产资本表!AP58</f>
        <v>130642293.51000001</v>
      </c>
      <c r="AQ92" s="76">
        <f>资产资本表!AQ58</f>
        <v>131699029.61</v>
      </c>
      <c r="AR92" s="76">
        <f>资产资本表!AR58</f>
        <v>134651300.81</v>
      </c>
      <c r="AS92" s="76">
        <f>资产资本表!AS58</f>
        <v>130794538.09</v>
      </c>
      <c r="AT92" s="76">
        <f>资产资本表!AT58</f>
        <v>131844781.08</v>
      </c>
      <c r="AU92" s="76">
        <f>资产资本表!AU58</f>
        <v>132776290.97</v>
      </c>
      <c r="AV92" s="76">
        <f>资产资本表!AV58</f>
        <v>124557800.87</v>
      </c>
      <c r="AW92" s="76">
        <f>资产资本表!AW58</f>
        <v>1344033.32</v>
      </c>
      <c r="AX92" s="76">
        <f>资产资本表!AX58</f>
        <v>9077495.0299999993</v>
      </c>
      <c r="AY92" s="76">
        <f>资产资本表!AY58</f>
        <v>17100</v>
      </c>
      <c r="AZ92" s="76">
        <f>资产资本表!AZ58</f>
        <v>21375</v>
      </c>
      <c r="BA92" s="76">
        <f>资产资本表!BA58</f>
        <v>25650</v>
      </c>
      <c r="BB92" s="76">
        <f>资产资本表!BB58</f>
        <v>29925</v>
      </c>
      <c r="BC92" s="76">
        <f>资产资本表!BC58</f>
        <v>34200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60" t="s">
        <v>695</v>
      </c>
      <c r="E93" s="156">
        <f>E81/E92</f>
        <v>21.071824808413293</v>
      </c>
      <c r="F93" s="156">
        <f t="shared" ref="F93:BQ93" si="52">F81/F92</f>
        <v>15.487600318552699</v>
      </c>
      <c r="G93" s="156">
        <f t="shared" si="52"/>
        <v>9.6165237450618584</v>
      </c>
      <c r="H93" s="156">
        <f t="shared" si="52"/>
        <v>4.2736905758590211</v>
      </c>
      <c r="I93" s="156">
        <f t="shared" si="52"/>
        <v>11.525628785566552</v>
      </c>
      <c r="J93" s="156">
        <f t="shared" si="52"/>
        <v>7.9480587829426055</v>
      </c>
      <c r="K93" s="156">
        <f t="shared" si="52"/>
        <v>5.0542941755953095</v>
      </c>
      <c r="L93" s="156">
        <f t="shared" si="52"/>
        <v>2.2521012934360254</v>
      </c>
      <c r="M93" s="156">
        <f t="shared" si="52"/>
        <v>8.655585730334467</v>
      </c>
      <c r="N93" s="156">
        <f t="shared" si="52"/>
        <v>8.0830600891876188</v>
      </c>
      <c r="O93" s="156">
        <f t="shared" si="52"/>
        <v>6.193619666770056</v>
      </c>
      <c r="P93" s="156">
        <f t="shared" si="52"/>
        <v>2.8445953931399623</v>
      </c>
      <c r="Q93" s="156">
        <f t="shared" si="52"/>
        <v>13.705485114546441</v>
      </c>
      <c r="R93" s="156">
        <f t="shared" si="52"/>
        <v>11.24865327994293</v>
      </c>
      <c r="S93" s="156">
        <f t="shared" si="52"/>
        <v>7.3541914886826492</v>
      </c>
      <c r="T93" s="156">
        <f t="shared" si="52"/>
        <v>3.3599501306586759</v>
      </c>
      <c r="U93" s="156">
        <f t="shared" si="52"/>
        <v>14.101201237382284</v>
      </c>
      <c r="V93" s="156">
        <f t="shared" si="52"/>
        <v>11.957020195686365</v>
      </c>
      <c r="W93" s="156">
        <f t="shared" si="52"/>
        <v>7.6961846934296751</v>
      </c>
      <c r="X93" s="156">
        <f t="shared" si="52"/>
        <v>3.6674383605274636</v>
      </c>
      <c r="Y93" s="156">
        <f t="shared" si="52"/>
        <v>13.277061858088064</v>
      </c>
      <c r="Z93" s="156">
        <f t="shared" si="52"/>
        <v>14.139783540899407</v>
      </c>
      <c r="AA93" s="156">
        <f t="shared" si="52"/>
        <v>8.9310648647187119</v>
      </c>
      <c r="AB93" s="156">
        <f t="shared" si="52"/>
        <v>4.0925969730409548</v>
      </c>
      <c r="AC93" s="156">
        <f t="shared" si="52"/>
        <v>16.928629399796272</v>
      </c>
      <c r="AD93" s="156">
        <f t="shared" si="52"/>
        <v>11.781100908357089</v>
      </c>
      <c r="AE93" s="156">
        <f t="shared" si="52"/>
        <v>7.7133140118708612</v>
      </c>
      <c r="AF93" s="156">
        <f t="shared" si="52"/>
        <v>4.247583834622862</v>
      </c>
      <c r="AG93" s="156">
        <f t="shared" si="52"/>
        <v>41.115455397279092</v>
      </c>
      <c r="AH93" s="156">
        <f t="shared" si="52"/>
        <v>45.44306850643904</v>
      </c>
      <c r="AI93" s="156">
        <f t="shared" si="52"/>
        <v>31.478025482163837</v>
      </c>
      <c r="AJ93" s="156">
        <f t="shared" si="52"/>
        <v>14.689726515671078</v>
      </c>
      <c r="AK93" s="156">
        <f t="shared" si="52"/>
        <v>47.448945909982264</v>
      </c>
      <c r="AL93" s="156">
        <f t="shared" si="52"/>
        <v>33.783113893398351</v>
      </c>
      <c r="AM93" s="156">
        <f t="shared" si="52"/>
        <v>19.755241406767038</v>
      </c>
      <c r="AN93" s="156">
        <f t="shared" si="52"/>
        <v>8.5004776868271303</v>
      </c>
      <c r="AO93" s="156">
        <f t="shared" si="52"/>
        <v>53.561996832092568</v>
      </c>
      <c r="AP93" s="156">
        <f t="shared" si="52"/>
        <v>47.24764413461191</v>
      </c>
      <c r="AQ93" s="156">
        <f t="shared" si="52"/>
        <v>31.645915134393224</v>
      </c>
      <c r="AR93" s="156">
        <f t="shared" si="52"/>
        <v>14.593881372470642</v>
      </c>
      <c r="AS93" s="156">
        <f t="shared" si="52"/>
        <v>59.662916658953584</v>
      </c>
      <c r="AT93" s="156">
        <f t="shared" si="52"/>
        <v>44.48702728764848</v>
      </c>
      <c r="AU93" s="156">
        <f t="shared" si="52"/>
        <v>26.575450601773955</v>
      </c>
      <c r="AV93" s="156">
        <f t="shared" si="52"/>
        <v>13.87209983350118</v>
      </c>
      <c r="AW93" s="156">
        <f t="shared" si="52"/>
        <v>3651.3766388470185</v>
      </c>
      <c r="AX93" s="156">
        <f t="shared" si="52"/>
        <v>390.81540920986879</v>
      </c>
      <c r="AY93" s="156">
        <f t="shared" si="52"/>
        <v>122911.86563625732</v>
      </c>
      <c r="AZ93" s="156">
        <f t="shared" si="52"/>
        <v>49353.123141520467</v>
      </c>
      <c r="BA93" s="156">
        <f t="shared" si="52"/>
        <v>129026.92740623781</v>
      </c>
      <c r="BB93" s="156">
        <f t="shared" si="52"/>
        <v>85254.996928989131</v>
      </c>
      <c r="BC93" s="156">
        <f t="shared" si="52"/>
        <v>47352.782513450293</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277518585.35000002</v>
      </c>
      <c r="F95" s="76">
        <f>资产资本表!F60</f>
        <v>277518585.35000002</v>
      </c>
      <c r="G95" s="76">
        <f>资产资本表!G60</f>
        <v>277518585.35000002</v>
      </c>
      <c r="H95" s="76">
        <f>资产资本表!H60</f>
        <v>277518585.35000002</v>
      </c>
      <c r="I95" s="76">
        <f>资产资本表!I60</f>
        <v>277518585.35000002</v>
      </c>
      <c r="J95" s="76">
        <f>资产资本表!J60</f>
        <v>277518585.35000002</v>
      </c>
      <c r="K95" s="76">
        <f>资产资本表!K60</f>
        <v>277518585.35000002</v>
      </c>
      <c r="L95" s="76">
        <f>资产资本表!L60</f>
        <v>277518585.35000002</v>
      </c>
      <c r="M95" s="76">
        <f>资产资本表!M60</f>
        <v>277518585.35000002</v>
      </c>
      <c r="N95" s="76">
        <f>资产资本表!N60</f>
        <v>277518585.35000002</v>
      </c>
      <c r="O95" s="76">
        <f>资产资本表!O60</f>
        <v>277518585.35000002</v>
      </c>
      <c r="P95" s="76">
        <f>资产资本表!P60</f>
        <v>277518585.35000002</v>
      </c>
      <c r="Q95" s="76">
        <f>资产资本表!Q60</f>
        <v>277518585.35000002</v>
      </c>
      <c r="R95" s="76">
        <f>资产资本表!R60</f>
        <v>277518585.35000002</v>
      </c>
      <c r="S95" s="76">
        <f>资产资本表!S60</f>
        <v>277518585.35000002</v>
      </c>
      <c r="T95" s="76">
        <f>资产资本表!T60</f>
        <v>277518585.35000002</v>
      </c>
      <c r="U95" s="76">
        <f>资产资本表!U60</f>
        <v>277518585.35000002</v>
      </c>
      <c r="V95" s="76">
        <f>资产资本表!V60</f>
        <v>277518585.35000002</v>
      </c>
      <c r="W95" s="76">
        <f>资产资本表!W60</f>
        <v>277518585.35000002</v>
      </c>
      <c r="X95" s="76">
        <f>资产资本表!X60</f>
        <v>277518585.35000002</v>
      </c>
      <c r="Y95" s="76">
        <f>资产资本表!Y60</f>
        <v>277518585.35000002</v>
      </c>
      <c r="Z95" s="76">
        <f>资产资本表!Z60</f>
        <v>277518585.35000002</v>
      </c>
      <c r="AA95" s="76">
        <f>资产资本表!AA60</f>
        <v>277518585.35000002</v>
      </c>
      <c r="AB95" s="76">
        <f>资产资本表!AB60</f>
        <v>277518585.35000002</v>
      </c>
      <c r="AC95" s="76">
        <f>资产资本表!AC60</f>
        <v>277518585.35000002</v>
      </c>
      <c r="AD95" s="76">
        <f>资产资本表!AD60</f>
        <v>277518585.35000002</v>
      </c>
      <c r="AE95" s="76">
        <f>资产资本表!AE60</f>
        <v>277518585.35000002</v>
      </c>
      <c r="AF95" s="76">
        <f>资产资本表!AF60</f>
        <v>277518585.35000002</v>
      </c>
      <c r="AG95" s="76">
        <f>资产资本表!AG60</f>
        <v>277518585.35000002</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15473499.25</v>
      </c>
      <c r="F96" s="76">
        <f>资产资本表!F61</f>
        <v>17622282.879999999</v>
      </c>
      <c r="G96" s="76">
        <f>资产资本表!G61</f>
        <v>19681876.82</v>
      </c>
      <c r="H96" s="76">
        <f>资产资本表!H61</f>
        <v>15810421.939999999</v>
      </c>
      <c r="I96" s="76">
        <f>资产资本表!I61</f>
        <v>17564859.399999999</v>
      </c>
      <c r="J96" s="76">
        <f>资产资本表!J61</f>
        <v>19323199.719999999</v>
      </c>
      <c r="K96" s="76">
        <f>资产资本表!K61</f>
        <v>21046248.030000001</v>
      </c>
      <c r="L96" s="76">
        <f>资产资本表!L61</f>
        <v>0</v>
      </c>
      <c r="M96" s="76">
        <f>资产资本表!M61</f>
        <v>0</v>
      </c>
      <c r="N96" s="76">
        <f>资产资本表!N61</f>
        <v>46660538.18</v>
      </c>
      <c r="O96" s="76">
        <f>资产资本表!O61</f>
        <v>50374363.799999997</v>
      </c>
      <c r="P96" s="76">
        <f>资产资本表!P61</f>
        <v>51803672.229999997</v>
      </c>
      <c r="Q96" s="76">
        <f>资产资本表!Q61</f>
        <v>33355660.239999998</v>
      </c>
      <c r="R96" s="76">
        <f>资产资本表!R61</f>
        <v>25996932.469999999</v>
      </c>
      <c r="S96" s="76">
        <f>资产资本表!S61</f>
        <v>21984196.449999999</v>
      </c>
      <c r="T96" s="76">
        <f>资产资本表!T61</f>
        <v>14765244.619999999</v>
      </c>
      <c r="U96" s="76">
        <f>资产资本表!U61</f>
        <v>13723209.26</v>
      </c>
      <c r="V96" s="76">
        <f>资产资本表!V61</f>
        <v>16599815.57</v>
      </c>
      <c r="W96" s="76">
        <f>资产资本表!W61</f>
        <v>14238429.369999999</v>
      </c>
      <c r="X96" s="76">
        <f>资产资本表!X61</f>
        <v>14869651.33</v>
      </c>
      <c r="Y96" s="76">
        <f>资产资本表!Y61</f>
        <v>15252834.609999999</v>
      </c>
      <c r="Z96" s="76">
        <f>资产资本表!Z61</f>
        <v>15580998.27</v>
      </c>
      <c r="AA96" s="76">
        <f>资产资本表!AA61</f>
        <v>14217698.58</v>
      </c>
      <c r="AB96" s="76">
        <f>资产资本表!AB61</f>
        <v>9641738.0899999999</v>
      </c>
      <c r="AC96" s="76">
        <f>资产资本表!AC61</f>
        <v>10955655.74</v>
      </c>
      <c r="AD96" s="76">
        <f>资产资本表!AD61</f>
        <v>11909469.25</v>
      </c>
      <c r="AE96" s="76">
        <f>资产资本表!AE61</f>
        <v>12686718.390000001</v>
      </c>
      <c r="AF96" s="76">
        <f>资产资本表!AF61</f>
        <v>8045069.8899999997</v>
      </c>
      <c r="AG96" s="76">
        <f>资产资本表!AG61</f>
        <v>8922775.6600000001</v>
      </c>
      <c r="AH96" s="76">
        <f>资产资本表!AH61</f>
        <v>581627.39</v>
      </c>
      <c r="AI96" s="76">
        <f>资产资本表!AI61</f>
        <v>98285.06</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1292188.47</v>
      </c>
      <c r="BB96" s="76">
        <f>资产资本表!BB61</f>
        <v>6829440.0199999996</v>
      </c>
      <c r="BC96" s="76">
        <f>资产资本表!BC61</f>
        <v>4985131.4400000004</v>
      </c>
      <c r="BD96" s="76">
        <f>资产资本表!BD61</f>
        <v>727557.32</v>
      </c>
      <c r="BE96" s="76">
        <f>资产资本表!BE61</f>
        <v>727557.32</v>
      </c>
      <c r="BF96" s="76">
        <f>资产资本表!BF61</f>
        <v>485419.63</v>
      </c>
      <c r="BG96" s="76">
        <f>资产资本表!BG61</f>
        <v>485419.63</v>
      </c>
      <c r="BH96" s="76">
        <f>资产资本表!BH61</f>
        <v>485419.63</v>
      </c>
      <c r="BI96" s="76">
        <f>资产资本表!BI61</f>
        <v>485419.63</v>
      </c>
      <c r="BJ96" s="76">
        <f>资产资本表!BJ61</f>
        <v>354664.93</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1025337106.74</v>
      </c>
      <c r="F97" s="76">
        <f>资产资本表!F62</f>
        <v>971554072.52999997</v>
      </c>
      <c r="G97" s="76">
        <f>资产资本表!G62</f>
        <v>644164375.10000002</v>
      </c>
      <c r="H97" s="76">
        <f>资产资本表!H62</f>
        <v>558368491.55999994</v>
      </c>
      <c r="I97" s="76">
        <f>资产资本表!I62</f>
        <v>447603763.74000001</v>
      </c>
      <c r="J97" s="76">
        <f>资产资本表!J62</f>
        <v>454082024.14999998</v>
      </c>
      <c r="K97" s="76">
        <f>资产资本表!K62</f>
        <v>373086228.72000003</v>
      </c>
      <c r="L97" s="76">
        <f>资产资本表!L62</f>
        <v>315625167.63</v>
      </c>
      <c r="M97" s="76">
        <f>资产资本表!M62</f>
        <v>337540615.06</v>
      </c>
      <c r="N97" s="76">
        <f>资产资本表!N62</f>
        <v>216515599.40000001</v>
      </c>
      <c r="O97" s="76">
        <f>资产资本表!O62</f>
        <v>280845845.41000003</v>
      </c>
      <c r="P97" s="76">
        <f>资产资本表!P62</f>
        <v>282041155.38</v>
      </c>
      <c r="Q97" s="76">
        <f>资产资本表!Q62</f>
        <v>289562552.20999998</v>
      </c>
      <c r="R97" s="76">
        <f>资产资本表!R62</f>
        <v>210972416.61000001</v>
      </c>
      <c r="S97" s="76">
        <f>资产资本表!S62</f>
        <v>192834275.5</v>
      </c>
      <c r="T97" s="76">
        <f>资产资本表!T62</f>
        <v>125926363.09999999</v>
      </c>
      <c r="U97" s="76">
        <f>资产资本表!U62</f>
        <v>149250013.84</v>
      </c>
      <c r="V97" s="76">
        <f>资产资本表!V62</f>
        <v>154210525.69</v>
      </c>
      <c r="W97" s="76">
        <f>资产资本表!W62</f>
        <v>142684756.84999999</v>
      </c>
      <c r="X97" s="76">
        <f>资产资本表!X62</f>
        <v>101120229.31999999</v>
      </c>
      <c r="Y97" s="76">
        <f>资产资本表!Y62</f>
        <v>107539272.72</v>
      </c>
      <c r="Z97" s="76">
        <f>资产资本表!Z62</f>
        <v>64545609.07</v>
      </c>
      <c r="AA97" s="76">
        <f>资产资本表!AA62</f>
        <v>53709224.07</v>
      </c>
      <c r="AB97" s="76">
        <f>资产资本表!AB62</f>
        <v>37324547.960000001</v>
      </c>
      <c r="AC97" s="76">
        <f>资产资本表!AC62</f>
        <v>55703060.469999999</v>
      </c>
      <c r="AD97" s="76">
        <f>资产资本表!AD62</f>
        <v>62120528.719999999</v>
      </c>
      <c r="AE97" s="76">
        <f>资产资本表!AE62</f>
        <v>56338061.979999997</v>
      </c>
      <c r="AF97" s="76">
        <f>资产资本表!AF62</f>
        <v>25665860.079999998</v>
      </c>
      <c r="AG97" s="76">
        <f>资产资本表!AG62</f>
        <v>30844167.579999998</v>
      </c>
      <c r="AH97" s="76">
        <f>资产资本表!AH62</f>
        <v>27140803.390000001</v>
      </c>
      <c r="AI97" s="76">
        <f>资产资本表!AI62</f>
        <v>30834241.670000002</v>
      </c>
      <c r="AJ97" s="76">
        <f>资产资本表!AJ62</f>
        <v>34144766.299999997</v>
      </c>
      <c r="AK97" s="76">
        <f>资产资本表!AK62</f>
        <v>39921871.270000003</v>
      </c>
      <c r="AL97" s="76">
        <f>资产资本表!AL62</f>
        <v>38241626.659999996</v>
      </c>
      <c r="AM97" s="76">
        <f>资产资本表!AM62</f>
        <v>39623227.640000001</v>
      </c>
      <c r="AN97" s="76">
        <f>资产资本表!AN62</f>
        <v>27137390.010000002</v>
      </c>
      <c r="AO97" s="76">
        <f>资产资本表!AO62</f>
        <v>31202175.16</v>
      </c>
      <c r="AP97" s="76">
        <f>资产资本表!AP62</f>
        <v>62262437.82</v>
      </c>
      <c r="AQ97" s="76">
        <f>资产资本表!AQ62</f>
        <v>68659748.439999998</v>
      </c>
      <c r="AR97" s="76">
        <f>资产资本表!AR62</f>
        <v>81759656.409999996</v>
      </c>
      <c r="AS97" s="76">
        <f>资产资本表!AS62</f>
        <v>49657543.729999997</v>
      </c>
      <c r="AT97" s="76">
        <f>资产资本表!AT62</f>
        <v>39542329.969999999</v>
      </c>
      <c r="AU97" s="76">
        <f>资产资本表!AU62</f>
        <v>50741697.509999998</v>
      </c>
      <c r="AV97" s="76">
        <f>资产资本表!AV62</f>
        <v>45632219.380000003</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14900951.35</v>
      </c>
      <c r="F98" s="76">
        <f>资产资本表!F63</f>
        <v>15979392.9</v>
      </c>
      <c r="G98" s="76">
        <f>资产资本表!G63</f>
        <v>16916127.620000001</v>
      </c>
      <c r="H98" s="76">
        <f>资产资本表!H63</f>
        <v>17573045.18</v>
      </c>
      <c r="I98" s="76">
        <f>资产资本表!I63</f>
        <v>18193330.190000001</v>
      </c>
      <c r="J98" s="76">
        <f>资产资本表!J63</f>
        <v>18677347.32</v>
      </c>
      <c r="K98" s="76">
        <f>资产资本表!K63</f>
        <v>18831656.27</v>
      </c>
      <c r="L98" s="76">
        <f>资产资本表!L63</f>
        <v>19918664.640000001</v>
      </c>
      <c r="M98" s="76">
        <f>资产资本表!M63</f>
        <v>20708157.32</v>
      </c>
      <c r="N98" s="76">
        <f>资产资本表!N63</f>
        <v>18382599.41</v>
      </c>
      <c r="O98" s="76">
        <f>资产资本表!O63</f>
        <v>18439119.09</v>
      </c>
      <c r="P98" s="76">
        <f>资产资本表!P63</f>
        <v>19155061.34</v>
      </c>
      <c r="Q98" s="76">
        <f>资产资本表!Q63</f>
        <v>19508197.41</v>
      </c>
      <c r="R98" s="76">
        <f>资产资本表!R63</f>
        <v>22068733.440000001</v>
      </c>
      <c r="S98" s="76">
        <f>资产资本表!S63</f>
        <v>22168127.440000001</v>
      </c>
      <c r="T98" s="76">
        <f>资产资本表!T63</f>
        <v>22292117.579999998</v>
      </c>
      <c r="U98" s="76">
        <f>资产资本表!U63</f>
        <v>19207114.25</v>
      </c>
      <c r="V98" s="76">
        <f>资产资本表!V63</f>
        <v>16305603.300000001</v>
      </c>
      <c r="W98" s="76">
        <f>资产资本表!W63</f>
        <v>16417362.99</v>
      </c>
      <c r="X98" s="76">
        <f>资产资本表!X63</f>
        <v>16536832.92</v>
      </c>
      <c r="Y98" s="76">
        <f>资产资本表!Y63</f>
        <v>16638243.720000001</v>
      </c>
      <c r="Z98" s="76">
        <f>资产资本表!Z63</f>
        <v>16965239.440000001</v>
      </c>
      <c r="AA98" s="76">
        <f>资产资本表!AA63</f>
        <v>17108700.870000001</v>
      </c>
      <c r="AB98" s="76">
        <f>资产资本表!AB63</f>
        <v>17759027.440000001</v>
      </c>
      <c r="AC98" s="76">
        <f>资产资本表!AC63</f>
        <v>17456634.16</v>
      </c>
      <c r="AD98" s="76">
        <f>资产资本表!AD63</f>
        <v>19555305.460000001</v>
      </c>
      <c r="AE98" s="76">
        <f>资产资本表!AE63</f>
        <v>24156555.149999999</v>
      </c>
      <c r="AF98" s="76">
        <f>资产资本表!AF63</f>
        <v>26397827.010000002</v>
      </c>
      <c r="AG98" s="76">
        <f>资产资本表!AG63</f>
        <v>28611485.91</v>
      </c>
      <c r="AH98" s="76">
        <f>资产资本表!AH63</f>
        <v>10025150.890000001</v>
      </c>
      <c r="AI98" s="76">
        <f>资产资本表!AI63</f>
        <v>2799399.03</v>
      </c>
      <c r="AJ98" s="76">
        <f>资产资本表!AJ63</f>
        <v>1521588.71</v>
      </c>
      <c r="AK98" s="76">
        <f>资产资本表!AK63</f>
        <v>2370894.9900000002</v>
      </c>
      <c r="AL98" s="76">
        <f>资产资本表!AL63</f>
        <v>2541068.9900000002</v>
      </c>
      <c r="AM98" s="76">
        <f>资产资本表!AM63</f>
        <v>2574428.9900000002</v>
      </c>
      <c r="AN98" s="76">
        <f>资产资本表!AN63</f>
        <v>2607788.9900000002</v>
      </c>
      <c r="AO98" s="76">
        <f>资产资本表!AO63</f>
        <v>2641148.9900000002</v>
      </c>
      <c r="AP98" s="76">
        <f>资产资本表!AP63</f>
        <v>2674508.9900000002</v>
      </c>
      <c r="AQ98" s="76">
        <f>资产资本表!AQ63</f>
        <v>2707868.99</v>
      </c>
      <c r="AR98" s="76">
        <f>资产资本表!AR63</f>
        <v>2741229.01</v>
      </c>
      <c r="AS98" s="76">
        <f>资产资本表!AS63</f>
        <v>2901519.32</v>
      </c>
      <c r="AT98" s="76">
        <f>资产资本表!AT63</f>
        <v>5200304.88</v>
      </c>
      <c r="AU98" s="76">
        <f>资产资本表!AU63</f>
        <v>7625736.0499999998</v>
      </c>
      <c r="AV98" s="76">
        <f>资产资本表!AV63</f>
        <v>6376661.4199999999</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860.97</v>
      </c>
      <c r="BO98" s="76">
        <f>资产资本表!BO63</f>
        <v>860.97</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1007854102.6900001</v>
      </c>
      <c r="F99" s="93">
        <f>资产资本表!F64</f>
        <v>710400732.04999995</v>
      </c>
      <c r="G99" s="93">
        <f>资产资本表!G64</f>
        <v>728698168.87</v>
      </c>
      <c r="H99" s="93">
        <f>资产资本表!H64</f>
        <v>466184681.16000003</v>
      </c>
      <c r="I99" s="93">
        <f>资产资本表!I64</f>
        <v>348101676.32999998</v>
      </c>
      <c r="J99" s="93">
        <f>资产资本表!J64</f>
        <v>414508336.43000001</v>
      </c>
      <c r="K99" s="93">
        <f>资产资本表!K64</f>
        <v>739278348.42999995</v>
      </c>
      <c r="L99" s="93">
        <f>资产资本表!L64</f>
        <v>764127972.64999998</v>
      </c>
      <c r="M99" s="93">
        <f>资产资本表!M64</f>
        <v>712386763.47000003</v>
      </c>
      <c r="N99" s="93">
        <f>资产资本表!N64</f>
        <v>667276525.61000001</v>
      </c>
      <c r="O99" s="93">
        <f>资产资本表!O64</f>
        <v>755152218.79999995</v>
      </c>
      <c r="P99" s="93">
        <f>资产资本表!P64</f>
        <v>685233000.96000004</v>
      </c>
      <c r="Q99" s="93">
        <f>资产资本表!Q64</f>
        <v>749129880.13999999</v>
      </c>
      <c r="R99" s="93">
        <f>资产资本表!R64</f>
        <v>2579980643.6900001</v>
      </c>
      <c r="S99" s="93">
        <f>资产资本表!S64</f>
        <v>1628771546.0999999</v>
      </c>
      <c r="T99" s="93">
        <f>资产资本表!T64</f>
        <v>2759771965.9699998</v>
      </c>
      <c r="U99" s="93">
        <f>资产资本表!U64</f>
        <v>2512412145.6300001</v>
      </c>
      <c r="V99" s="93">
        <f>资产资本表!V64</f>
        <v>2259884835.3899999</v>
      </c>
      <c r="W99" s="93">
        <f>资产资本表!W64</f>
        <v>2349975353.48</v>
      </c>
      <c r="X99" s="93">
        <f>资产资本表!X64</f>
        <v>2019380842.8800001</v>
      </c>
      <c r="Y99" s="93">
        <f>资产资本表!Y64</f>
        <v>1365093320.1900001</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202" customFormat="1" x14ac:dyDescent="0.25">
      <c r="A100" s="88" t="s">
        <v>692</v>
      </c>
      <c r="E100" s="202">
        <f>(E84+I84)/2</f>
        <v>28039137624.880001</v>
      </c>
      <c r="F100" s="202">
        <f t="shared" ref="F100:BQ100" si="54">(F84+J84)/2</f>
        <v>27516005372.875</v>
      </c>
      <c r="G100" s="202">
        <f t="shared" si="54"/>
        <v>27057484850.129997</v>
      </c>
      <c r="H100" s="202">
        <f t="shared" si="54"/>
        <v>26982030431.73</v>
      </c>
      <c r="I100" s="202">
        <f t="shared" si="54"/>
        <v>24257118497.614998</v>
      </c>
      <c r="J100" s="202">
        <f t="shared" si="54"/>
        <v>21848692491.334999</v>
      </c>
      <c r="K100" s="202">
        <f t="shared" si="54"/>
        <v>20600696020.415001</v>
      </c>
      <c r="L100" s="202">
        <f t="shared" si="54"/>
        <v>20421288445.695</v>
      </c>
      <c r="M100" s="202">
        <f t="shared" si="54"/>
        <v>17620499067.239998</v>
      </c>
      <c r="N100" s="202">
        <f t="shared" si="54"/>
        <v>11912007050.565001</v>
      </c>
      <c r="O100" s="202">
        <f t="shared" si="54"/>
        <v>11704692076.450001</v>
      </c>
      <c r="P100" s="202">
        <f t="shared" si="54"/>
        <v>11803083475.370001</v>
      </c>
      <c r="Q100" s="202">
        <f t="shared" si="54"/>
        <v>11888224308.754999</v>
      </c>
      <c r="R100" s="202">
        <f t="shared" si="54"/>
        <v>8248024188.6450005</v>
      </c>
      <c r="S100" s="202">
        <f t="shared" si="54"/>
        <v>8426991927.5949993</v>
      </c>
      <c r="T100" s="202">
        <f t="shared" si="54"/>
        <v>8455120349.54</v>
      </c>
      <c r="U100" s="202">
        <f t="shared" si="54"/>
        <v>7956604455.8099995</v>
      </c>
      <c r="V100" s="202">
        <f t="shared" si="54"/>
        <v>7764494438.1550007</v>
      </c>
      <c r="W100" s="202">
        <f t="shared" si="54"/>
        <v>7703662258.8449993</v>
      </c>
      <c r="X100" s="202">
        <f t="shared" si="54"/>
        <v>7739925695.2549992</v>
      </c>
      <c r="Y100" s="202">
        <f t="shared" si="54"/>
        <v>7118196387.21</v>
      </c>
      <c r="Z100" s="202">
        <f t="shared" si="54"/>
        <v>7128180622.79</v>
      </c>
      <c r="AA100" s="202">
        <f t="shared" si="54"/>
        <v>6950396589.6999998</v>
      </c>
      <c r="AB100" s="202">
        <f t="shared" si="54"/>
        <v>7000620503.6199999</v>
      </c>
      <c r="AC100" s="202">
        <f t="shared" si="54"/>
        <v>6917699907.0949993</v>
      </c>
      <c r="AD100" s="202">
        <f t="shared" si="54"/>
        <v>4973814931.6549997</v>
      </c>
      <c r="AE100" s="202">
        <f t="shared" si="54"/>
        <v>4961636781.9349995</v>
      </c>
      <c r="AF100" s="202">
        <f t="shared" si="54"/>
        <v>5070617639.335</v>
      </c>
      <c r="AG100" s="202">
        <f t="shared" si="54"/>
        <v>5050980838.8549995</v>
      </c>
      <c r="AH100" s="202">
        <f t="shared" si="54"/>
        <v>3073598660.7799997</v>
      </c>
      <c r="AI100" s="202">
        <f t="shared" si="54"/>
        <v>3091547407.9699998</v>
      </c>
      <c r="AJ100" s="202">
        <f t="shared" si="54"/>
        <v>3161196606.2399998</v>
      </c>
      <c r="AK100" s="202">
        <f t="shared" si="54"/>
        <v>3221141625.7449999</v>
      </c>
      <c r="AL100" s="202">
        <f t="shared" si="54"/>
        <v>3096832258.7950001</v>
      </c>
      <c r="AM100" s="202">
        <f t="shared" si="54"/>
        <v>3093486106.6049995</v>
      </c>
      <c r="AN100" s="202">
        <f t="shared" si="54"/>
        <v>3158875673.2249999</v>
      </c>
      <c r="AO100" s="202">
        <f t="shared" si="54"/>
        <v>3219532281.0999999</v>
      </c>
      <c r="AP100" s="202">
        <f t="shared" si="54"/>
        <v>3033711017.7600002</v>
      </c>
      <c r="AQ100" s="202">
        <f t="shared" si="54"/>
        <v>3025505705.8299999</v>
      </c>
      <c r="AR100" s="202">
        <f t="shared" si="54"/>
        <v>3077431297.02</v>
      </c>
      <c r="AS100" s="202">
        <f t="shared" si="54"/>
        <v>3189705064.02</v>
      </c>
      <c r="AT100" s="202">
        <f t="shared" si="54"/>
        <v>3012505298.1750002</v>
      </c>
      <c r="AU100" s="202">
        <f t="shared" si="54"/>
        <v>3027566137.0450001</v>
      </c>
      <c r="AV100" s="202">
        <f t="shared" si="54"/>
        <v>3073688283.875</v>
      </c>
      <c r="AW100" s="202">
        <f t="shared" si="54"/>
        <v>2205980863.2449999</v>
      </c>
      <c r="AX100" s="202">
        <f t="shared" si="54"/>
        <v>1762938605.53</v>
      </c>
      <c r="AY100" s="202">
        <f t="shared" si="54"/>
        <v>1785581563.075</v>
      </c>
      <c r="AZ100" s="202">
        <f t="shared" si="54"/>
        <v>1815806262.04</v>
      </c>
      <c r="BA100" s="202">
        <f t="shared" si="54"/>
        <v>871551686.86500001</v>
      </c>
      <c r="BB100" s="202">
        <f t="shared" si="54"/>
        <v>508028368.90499997</v>
      </c>
      <c r="BC100" s="202">
        <f t="shared" si="54"/>
        <v>514936682.08000004</v>
      </c>
      <c r="BD100" s="202">
        <f t="shared" si="54"/>
        <v>539230104.5</v>
      </c>
      <c r="BE100" s="202">
        <f t="shared" si="54"/>
        <v>548070105.66999996</v>
      </c>
      <c r="BF100" s="202">
        <f t="shared" si="54"/>
        <v>521124719.685</v>
      </c>
      <c r="BG100" s="202">
        <f t="shared" si="54"/>
        <v>527021672.20500004</v>
      </c>
      <c r="BH100" s="202">
        <f t="shared" si="54"/>
        <v>539330918.53999996</v>
      </c>
      <c r="BI100" s="202">
        <f t="shared" si="54"/>
        <v>504202583.25</v>
      </c>
      <c r="BJ100" s="202">
        <f t="shared" si="54"/>
        <v>474348019.685</v>
      </c>
      <c r="BK100" s="202">
        <f t="shared" si="54"/>
        <v>417591502.16499996</v>
      </c>
      <c r="BL100" s="202">
        <f t="shared" si="54"/>
        <v>413062508.42000002</v>
      </c>
      <c r="BM100" s="202">
        <f t="shared" si="54"/>
        <v>378111927.84500003</v>
      </c>
      <c r="BN100" s="202">
        <f t="shared" si="54"/>
        <v>203892461.11500001</v>
      </c>
      <c r="BO100" s="202">
        <f t="shared" si="54"/>
        <v>282466575.09000003</v>
      </c>
      <c r="BP100" s="202">
        <f t="shared" si="54"/>
        <v>259944714.78500003</v>
      </c>
      <c r="BQ100" s="202">
        <f t="shared" si="54"/>
        <v>226058737.85500002</v>
      </c>
      <c r="BR100" s="202">
        <f t="shared" ref="BR100:CK100" si="55">(BR84+BV84)/2</f>
        <v>80662082.340000004</v>
      </c>
      <c r="BS100" s="202">
        <f t="shared" si="55"/>
        <v>200167182.80000001</v>
      </c>
      <c r="BT100" s="202">
        <f t="shared" si="55"/>
        <v>128567768.65000001</v>
      </c>
      <c r="BU100" s="202">
        <f t="shared" si="55"/>
        <v>75220393.864999995</v>
      </c>
      <c r="BV100" s="202">
        <f t="shared" si="55"/>
        <v>80662082.340000004</v>
      </c>
      <c r="BW100" s="202">
        <f t="shared" si="55"/>
        <v>63804286.5</v>
      </c>
      <c r="BX100" s="202">
        <f t="shared" si="55"/>
        <v>16231549.67</v>
      </c>
      <c r="BY100" s="202">
        <f t="shared" si="55"/>
        <v>0</v>
      </c>
      <c r="BZ100" s="202">
        <f t="shared" si="55"/>
        <v>0</v>
      </c>
      <c r="CA100" s="202">
        <f t="shared" si="55"/>
        <v>0</v>
      </c>
      <c r="CB100" s="202">
        <f t="shared" si="55"/>
        <v>0</v>
      </c>
      <c r="CC100" s="202">
        <f t="shared" si="55"/>
        <v>0</v>
      </c>
      <c r="CD100" s="202">
        <f t="shared" si="55"/>
        <v>0</v>
      </c>
      <c r="CE100" s="202">
        <f t="shared" si="55"/>
        <v>0</v>
      </c>
      <c r="CF100" s="202">
        <f t="shared" si="55"/>
        <v>0</v>
      </c>
      <c r="CG100" s="202">
        <f t="shared" si="55"/>
        <v>0</v>
      </c>
      <c r="CH100" s="202">
        <f t="shared" si="55"/>
        <v>0</v>
      </c>
      <c r="CI100" s="202">
        <f t="shared" si="55"/>
        <v>0</v>
      </c>
      <c r="CJ100" s="202">
        <f t="shared" si="55"/>
        <v>0</v>
      </c>
      <c r="CK100" s="202">
        <f t="shared" si="55"/>
        <v>0</v>
      </c>
    </row>
    <row r="101" spans="1:89" s="261" customFormat="1" ht="15" thickBot="1" x14ac:dyDescent="0.3">
      <c r="A101" s="262" t="s">
        <v>693</v>
      </c>
      <c r="E101" s="261">
        <f>E100/E84</f>
        <v>1.0155306844599206</v>
      </c>
      <c r="F101" s="261">
        <f t="shared" ref="F101:BQ101" si="56">F100/F84</f>
        <v>1.0238229454880483</v>
      </c>
      <c r="G101" s="261">
        <f t="shared" si="56"/>
        <v>0.97138914741276683</v>
      </c>
      <c r="H101" s="261">
        <f t="shared" si="56"/>
        <v>0.95261329892768409</v>
      </c>
      <c r="I101" s="261">
        <f t="shared" si="56"/>
        <v>0.8520853380192327</v>
      </c>
      <c r="J101" s="261">
        <f t="shared" si="56"/>
        <v>0.77597979149169349</v>
      </c>
      <c r="K101" s="261">
        <f t="shared" si="56"/>
        <v>0.78447325460491946</v>
      </c>
      <c r="L101" s="261">
        <f t="shared" si="56"/>
        <v>0.79646710917539465</v>
      </c>
      <c r="M101" s="261">
        <f t="shared" si="56"/>
        <v>0.87899044021375516</v>
      </c>
      <c r="N101" s="261">
        <f t="shared" si="56"/>
        <v>0.76648316937036887</v>
      </c>
      <c r="O101" s="261">
        <f t="shared" si="56"/>
        <v>0.78340223013560761</v>
      </c>
      <c r="P101" s="261">
        <f t="shared" si="56"/>
        <v>0.77637880475177701</v>
      </c>
      <c r="Q101" s="261">
        <f t="shared" si="56"/>
        <v>0.78239251466422211</v>
      </c>
      <c r="R101" s="261">
        <f t="shared" si="56"/>
        <v>0.99579015093590295</v>
      </c>
      <c r="S101" s="261">
        <f t="shared" si="56"/>
        <v>0.99509404992520689</v>
      </c>
      <c r="T101" s="261">
        <f t="shared" si="56"/>
        <v>1.0061512143201463</v>
      </c>
      <c r="U101" s="261">
        <f t="shared" si="56"/>
        <v>0.92715487932457996</v>
      </c>
      <c r="V101" s="261">
        <f t="shared" si="56"/>
        <v>0.94537299648992712</v>
      </c>
      <c r="W101" s="261">
        <f t="shared" si="56"/>
        <v>0.91869442989949657</v>
      </c>
      <c r="X101" s="261">
        <f t="shared" si="56"/>
        <v>0.90985036701805966</v>
      </c>
      <c r="Y101" s="261">
        <f t="shared" si="56"/>
        <v>0.97091032168958957</v>
      </c>
      <c r="Z101" s="261">
        <f t="shared" si="56"/>
        <v>0.97434963842755051</v>
      </c>
      <c r="AA101" s="261">
        <f t="shared" si="56"/>
        <v>0.98982007128599048</v>
      </c>
      <c r="AB101" s="261">
        <f t="shared" si="56"/>
        <v>1.0039553418304583</v>
      </c>
      <c r="AC101" s="261">
        <f t="shared" si="56"/>
        <v>1.0018499137972381</v>
      </c>
      <c r="AD101" s="261">
        <f t="shared" si="56"/>
        <v>0.7166336298796967</v>
      </c>
      <c r="AE101" s="261">
        <f t="shared" si="56"/>
        <v>0.72128195227416292</v>
      </c>
      <c r="AF101" s="261">
        <f t="shared" si="56"/>
        <v>0.72146733597572743</v>
      </c>
      <c r="AG101" s="261">
        <f t="shared" si="56"/>
        <v>0.72880747513321897</v>
      </c>
      <c r="AH101" s="261">
        <f t="shared" si="56"/>
        <v>1.0221128512412117</v>
      </c>
      <c r="AI101" s="261">
        <f t="shared" si="56"/>
        <v>1.015500210363079</v>
      </c>
      <c r="AJ101" s="261">
        <f t="shared" si="56"/>
        <v>1.0154712690873848</v>
      </c>
      <c r="AK101" s="261">
        <f t="shared" si="56"/>
        <v>1.0156561745714727</v>
      </c>
      <c r="AL101" s="261">
        <f t="shared" si="56"/>
        <v>0.98622269898708437</v>
      </c>
      <c r="AM101" s="261">
        <f t="shared" si="56"/>
        <v>0.9855835231376352</v>
      </c>
      <c r="AN101" s="261">
        <f t="shared" si="56"/>
        <v>0.98426990655595892</v>
      </c>
      <c r="AO101" s="261">
        <f t="shared" si="56"/>
        <v>0.98432713808774119</v>
      </c>
      <c r="AP101" s="261">
        <f t="shared" si="56"/>
        <v>0.99349639426509662</v>
      </c>
      <c r="AQ101" s="261">
        <f t="shared" si="56"/>
        <v>0.99254293731309096</v>
      </c>
      <c r="AR101" s="261">
        <f t="shared" si="56"/>
        <v>0.99003959131478081</v>
      </c>
      <c r="AS101" s="261">
        <f t="shared" si="56"/>
        <v>1.0067656810336332</v>
      </c>
      <c r="AT101" s="261">
        <f t="shared" si="56"/>
        <v>0.99955322863101259</v>
      </c>
      <c r="AU101" s="261">
        <f t="shared" si="56"/>
        <v>1.0082561377848853</v>
      </c>
      <c r="AV101" s="261">
        <f t="shared" si="56"/>
        <v>1.0089342219410058</v>
      </c>
      <c r="AW101" s="261">
        <f t="shared" si="56"/>
        <v>0.68697735847388453</v>
      </c>
      <c r="AX101" s="261">
        <f t="shared" si="56"/>
        <v>0.58546849411473001</v>
      </c>
      <c r="AY101" s="261">
        <f t="shared" si="56"/>
        <v>0.5849844216082557</v>
      </c>
      <c r="AZ101" s="261">
        <f t="shared" si="56"/>
        <v>0.5855727931492426</v>
      </c>
      <c r="BA101" s="261">
        <f t="shared" si="56"/>
        <v>0.72579640919099075</v>
      </c>
      <c r="BB101" s="261">
        <f t="shared" si="56"/>
        <v>0.9870025115237786</v>
      </c>
      <c r="BC101" s="261">
        <f t="shared" si="56"/>
        <v>0.99254251703513352</v>
      </c>
      <c r="BD101" s="261">
        <f t="shared" si="56"/>
        <v>1.016061060118691</v>
      </c>
      <c r="BE101" s="261">
        <f t="shared" si="56"/>
        <v>1.010673212187402</v>
      </c>
      <c r="BF101" s="261">
        <f t="shared" si="56"/>
        <v>1.0394671553672343</v>
      </c>
      <c r="BG101" s="261">
        <f t="shared" si="56"/>
        <v>1.031216949570571</v>
      </c>
      <c r="BH101" s="261">
        <f t="shared" si="56"/>
        <v>0.98462284857214899</v>
      </c>
      <c r="BI101" s="261">
        <f t="shared" si="56"/>
        <v>0.91034630600536426</v>
      </c>
      <c r="BJ101" s="261">
        <f t="shared" si="56"/>
        <v>0.87694263374185388</v>
      </c>
      <c r="BK101" s="261">
        <f t="shared" si="56"/>
        <v>0.76907961648834289</v>
      </c>
      <c r="BL101" s="261">
        <f t="shared" si="56"/>
        <v>0.77803025908499512</v>
      </c>
      <c r="BM101" s="261">
        <f t="shared" si="56"/>
        <v>0.83184310607394329</v>
      </c>
      <c r="BN101" s="261">
        <f t="shared" si="56"/>
        <v>0.5</v>
      </c>
      <c r="BO101" s="261">
        <f t="shared" si="56"/>
        <v>0.96666482811839149</v>
      </c>
      <c r="BP101" s="261">
        <f t="shared" si="56"/>
        <v>0.88052084457388935</v>
      </c>
      <c r="BQ101" s="261">
        <f t="shared" si="56"/>
        <v>0.74934108886128725</v>
      </c>
      <c r="BR101" s="261" t="e">
        <f t="shared" ref="BR101:CK101" si="57">BR100/BR84</f>
        <v>#DIV/0!</v>
      </c>
      <c r="BS101" s="261">
        <f t="shared" si="57"/>
        <v>0.73395032017958095</v>
      </c>
      <c r="BT101" s="261">
        <f t="shared" si="57"/>
        <v>0.57224539786624751</v>
      </c>
      <c r="BU101" s="261">
        <f t="shared" si="57"/>
        <v>0.5</v>
      </c>
      <c r="BV101" s="261">
        <f t="shared" si="57"/>
        <v>0.5</v>
      </c>
      <c r="BW101" s="261">
        <f t="shared" si="57"/>
        <v>0.5</v>
      </c>
      <c r="BX101" s="261">
        <f t="shared" si="57"/>
        <v>0.5</v>
      </c>
      <c r="BY101" s="261" t="e">
        <f t="shared" si="57"/>
        <v>#DIV/0!</v>
      </c>
      <c r="BZ101" s="261" t="e">
        <f t="shared" si="57"/>
        <v>#DIV/0!</v>
      </c>
      <c r="CA101" s="261" t="e">
        <f t="shared" si="57"/>
        <v>#DIV/0!</v>
      </c>
      <c r="CB101" s="261" t="e">
        <f t="shared" si="57"/>
        <v>#DIV/0!</v>
      </c>
      <c r="CC101" s="261" t="e">
        <f t="shared" si="57"/>
        <v>#DIV/0!</v>
      </c>
      <c r="CD101" s="261" t="e">
        <f t="shared" si="57"/>
        <v>#DIV/0!</v>
      </c>
      <c r="CE101" s="261" t="e">
        <f t="shared" si="57"/>
        <v>#DIV/0!</v>
      </c>
      <c r="CF101" s="261" t="e">
        <f t="shared" si="57"/>
        <v>#DIV/0!</v>
      </c>
      <c r="CG101" s="261" t="e">
        <f t="shared" si="57"/>
        <v>#DIV/0!</v>
      </c>
      <c r="CH101" s="261" t="e">
        <f t="shared" si="57"/>
        <v>#DIV/0!</v>
      </c>
      <c r="CI101" s="261" t="e">
        <f t="shared" si="57"/>
        <v>#DIV/0!</v>
      </c>
      <c r="CJ101" s="261" t="e">
        <f t="shared" si="57"/>
        <v>#DIV/0!</v>
      </c>
      <c r="CK101" s="261" t="e">
        <f t="shared" si="57"/>
        <v>#DIV/0!</v>
      </c>
    </row>
    <row r="102" spans="1:89" ht="204.75" customHeight="1" x14ac:dyDescent="0.25">
      <c r="A102" s="287" t="s">
        <v>694</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4" workbookViewId="0">
      <selection activeCell="Y28" sqref="Y28"/>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20.44140625" hidden="1" customWidth="1"/>
    <col min="9" max="9" width="21.44140625" bestFit="1" customWidth="1"/>
    <col min="10" max="12" width="21.44140625" hidden="1" customWidth="1"/>
    <col min="13" max="13" width="21.44140625" bestFit="1" customWidth="1"/>
    <col min="14" max="15" width="21.44140625" hidden="1" customWidth="1"/>
    <col min="16" max="16" width="19.33203125" hidden="1" customWidth="1"/>
    <col min="17" max="17" width="21.44140625" bestFit="1" customWidth="1"/>
    <col min="18" max="20" width="21.44140625" hidden="1" customWidth="1"/>
    <col min="21" max="21" width="21.44140625" bestFit="1" customWidth="1"/>
    <col min="22" max="23" width="21.44140625" hidden="1" customWidth="1"/>
    <col min="24" max="24" width="19.33203125" hidden="1" customWidth="1"/>
    <col min="25" max="25" width="21.44140625" bestFit="1" customWidth="1"/>
    <col min="26" max="27" width="21.44140625" hidden="1" customWidth="1"/>
    <col min="28" max="28" width="19.33203125" hidden="1" customWidth="1"/>
    <col min="29" max="29" width="21.44140625" bestFit="1" customWidth="1"/>
    <col min="30" max="30" width="21.44140625" hidden="1" customWidth="1"/>
    <col min="31" max="32" width="19.33203125" hidden="1" customWidth="1"/>
    <col min="33" max="33" width="20.44140625" bestFit="1" customWidth="1"/>
    <col min="34" max="36" width="19.33203125" hidden="1" customWidth="1"/>
    <col min="37" max="37" width="21.44140625" bestFit="1" customWidth="1"/>
    <col min="38" max="40" width="19.33203125" hidden="1" customWidth="1"/>
    <col min="41" max="41" width="21.44140625" bestFit="1" customWidth="1"/>
    <col min="42" max="44" width="19.33203125" hidden="1" customWidth="1"/>
    <col min="45" max="45" width="21.44140625" bestFit="1" customWidth="1"/>
    <col min="46" max="46" width="21.44140625" hidden="1" customWidth="1"/>
    <col min="47"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4" width="17.77734375" hidden="1" customWidth="1"/>
    <col min="65" max="65" width="17.77734375" bestFit="1" customWidth="1"/>
    <col min="66" max="66" width="19" hidden="1" customWidth="1"/>
    <col min="67" max="67" width="17.77734375" bestFit="1" customWidth="1"/>
    <col min="68" max="68" width="17.77734375" hidden="1" customWidth="1"/>
    <col min="69" max="69" width="17.77734375" bestFit="1" customWidth="1"/>
    <col min="70" max="70" width="19" hidden="1" customWidth="1"/>
    <col min="71" max="71" width="17.77734375" bestFit="1" customWidth="1"/>
    <col min="72" max="72" width="17.21875" hidden="1" customWidth="1"/>
    <col min="73" max="76" width="17.218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61535059267.309998</v>
      </c>
      <c r="F2" s="26">
        <f>现金流量表!F4</f>
        <v>42897180340.470001</v>
      </c>
      <c r="G2" s="26">
        <f>现金流量表!G4</f>
        <v>25049927662.849998</v>
      </c>
      <c r="H2" s="26">
        <f>现金流量表!H4</f>
        <v>11565703517.41</v>
      </c>
      <c r="I2" s="26">
        <f>现金流量表!I4</f>
        <v>37012639797.660004</v>
      </c>
      <c r="J2" s="26">
        <f>现金流量表!J4</f>
        <v>25254477060.209999</v>
      </c>
      <c r="K2" s="26">
        <f>现金流量表!K4</f>
        <v>14502819069.799999</v>
      </c>
      <c r="L2" s="26">
        <f>现金流量表!L4</f>
        <v>6199381852.5900002</v>
      </c>
      <c r="M2" s="26">
        <f>现金流量表!M4</f>
        <v>25981900736.91</v>
      </c>
      <c r="N2" s="26">
        <f>现金流量表!N4</f>
        <v>17120211868.559999</v>
      </c>
      <c r="O2" s="26">
        <f>现金流量表!O4</f>
        <v>11370141264.530001</v>
      </c>
      <c r="P2" s="26">
        <f>现金流量表!P4</f>
        <v>4489668822.2600002</v>
      </c>
      <c r="Q2" s="26">
        <f>现金流量表!Q4</f>
        <v>29780903077.529999</v>
      </c>
      <c r="R2" s="26">
        <f>现金流量表!R4</f>
        <v>20339971142.209999</v>
      </c>
      <c r="S2" s="26">
        <f>现金流量表!S4</f>
        <v>12399408113.83</v>
      </c>
      <c r="T2" s="26">
        <f>现金流量表!T4</f>
        <v>5646612095.8500004</v>
      </c>
      <c r="U2" s="26">
        <f>现金流量表!U4</f>
        <v>25434710492.709999</v>
      </c>
      <c r="V2" s="26">
        <f>现金流量表!V4</f>
        <v>16584581779.299999</v>
      </c>
      <c r="W2" s="26">
        <f>现金流量表!W4</f>
        <v>10534862303.17</v>
      </c>
      <c r="X2" s="26">
        <f>现金流量表!X4</f>
        <v>4839495726.1400003</v>
      </c>
      <c r="Y2" s="26">
        <f>现金流量表!Y4</f>
        <v>18685013760.110001</v>
      </c>
      <c r="Z2" s="26">
        <f>现金流量表!Z4</f>
        <v>12106614342.190001</v>
      </c>
      <c r="AA2" s="26">
        <f>现金流量表!AA4</f>
        <v>7752030627.0299997</v>
      </c>
      <c r="AB2" s="26">
        <f>现金流量表!AB4</f>
        <v>3728292298.1999998</v>
      </c>
      <c r="AC2" s="26">
        <f>现金流量表!AC4</f>
        <v>15918845089.59</v>
      </c>
      <c r="AD2" s="26">
        <f>现金流量表!AD4</f>
        <v>11149448694.879999</v>
      </c>
      <c r="AE2" s="26">
        <f>现金流量表!AE4</f>
        <v>7763149173.1999998</v>
      </c>
      <c r="AF2" s="26">
        <f>现金流量表!AF4</f>
        <v>3537039593.6599998</v>
      </c>
      <c r="AG2" s="26">
        <f>现金流量表!AG4</f>
        <v>10437416621.93</v>
      </c>
      <c r="AH2" s="26">
        <f>现金流量表!AH4</f>
        <v>7352827775.46</v>
      </c>
      <c r="AI2" s="26">
        <f>现金流量表!AI4</f>
        <v>4902659864.1999998</v>
      </c>
      <c r="AJ2" s="26">
        <f>现金流量表!AJ4</f>
        <v>2186865896.29</v>
      </c>
      <c r="AK2" s="26">
        <f>现金流量表!AK4</f>
        <v>7959965606.6499996</v>
      </c>
      <c r="AL2" s="26">
        <f>现金流量表!AL4</f>
        <v>5424116775.7799997</v>
      </c>
      <c r="AM2" s="26">
        <f>现金流量表!AM4</f>
        <v>3470568225.4400001</v>
      </c>
      <c r="AN2" s="26">
        <f>现金流量表!AN4</f>
        <v>1613817611.1400001</v>
      </c>
      <c r="AO2" s="26">
        <f>现金流量表!AO4</f>
        <v>9527178125.2700005</v>
      </c>
      <c r="AP2" s="26">
        <f>现金流量表!AP4</f>
        <v>6604332027.75</v>
      </c>
      <c r="AQ2" s="26">
        <f>现金流量表!AQ4</f>
        <v>4408299735.3400002</v>
      </c>
      <c r="AR2" s="26">
        <f>现金流量表!AR4</f>
        <v>1729320727.98</v>
      </c>
      <c r="AS2" s="26">
        <f>现金流量表!AS4</f>
        <v>8791855063.2999992</v>
      </c>
      <c r="AT2" s="26">
        <f>现金流量表!AT4</f>
        <v>6257769827.7600002</v>
      </c>
      <c r="AU2" s="26">
        <f>现金流量表!AU4</f>
        <v>3672186347.1599998</v>
      </c>
      <c r="AV2" s="26">
        <f>现金流量表!AV4</f>
        <v>1787888603.78</v>
      </c>
      <c r="AW2" s="26">
        <f>现金流量表!AW4</f>
        <v>5377946355.4300003</v>
      </c>
      <c r="AX2" s="26">
        <f>现金流量表!AX4</f>
        <v>3816491428.75</v>
      </c>
      <c r="AY2" s="26">
        <f>现金流量表!AY4</f>
        <v>2446423972.5799999</v>
      </c>
      <c r="AZ2" s="26">
        <f>现金流量表!AZ4</f>
        <v>1162738676.6300001</v>
      </c>
      <c r="BA2" s="26">
        <f>现金流量表!BA4</f>
        <v>3860376191.9000001</v>
      </c>
      <c r="BB2" s="26">
        <f>现金流量表!BB4</f>
        <v>2954112547.54</v>
      </c>
      <c r="BC2" s="26">
        <f>现金流量表!BC4</f>
        <v>1911732591.21</v>
      </c>
      <c r="BD2" s="26">
        <f>现金流量表!BD4</f>
        <v>918390736.91999996</v>
      </c>
      <c r="BE2" s="26">
        <f>现金流量表!BE4</f>
        <v>2280997936.5100002</v>
      </c>
      <c r="BF2" s="26">
        <f>现金流量表!BF4</f>
        <v>1843035504.8299999</v>
      </c>
      <c r="BG2" s="26">
        <f>现金流量表!BG4</f>
        <v>1146045952.75</v>
      </c>
      <c r="BH2" s="26">
        <f>现金流量表!BH4</f>
        <v>474478292.08999997</v>
      </c>
      <c r="BI2" s="26">
        <f>现金流量表!BI4</f>
        <v>1609658666.6199999</v>
      </c>
      <c r="BJ2" s="26">
        <f>现金流量表!BJ4</f>
        <v>1162274609.3499999</v>
      </c>
      <c r="BK2" s="26">
        <f>现金流量表!BK4</f>
        <v>728783183.47000003</v>
      </c>
      <c r="BL2" s="26">
        <f>现金流量表!BL4</f>
        <v>331063872.73000002</v>
      </c>
      <c r="BM2" s="26">
        <f>现金流量表!BM4</f>
        <v>996933601.72000003</v>
      </c>
      <c r="BN2" s="26">
        <f>现金流量表!BN4</f>
        <v>278467610.75</v>
      </c>
      <c r="BO2" s="26">
        <f>现金流量表!BO4</f>
        <v>643929683.94000006</v>
      </c>
      <c r="BP2" s="26">
        <f>现金流量表!BP4</f>
        <v>317083323.06</v>
      </c>
      <c r="BQ2" s="26">
        <f>现金流量表!BQ4</f>
        <v>430942696.16000003</v>
      </c>
      <c r="BR2" s="26">
        <f>现金流量表!BR4</f>
        <v>188265572.46000001</v>
      </c>
      <c r="BS2" s="26">
        <f>现金流量表!BS4</f>
        <v>237176842</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53123173258.809998</v>
      </c>
      <c r="F3" s="26">
        <f>利润表!F3</f>
        <v>38963503949.470001</v>
      </c>
      <c r="G3" s="26">
        <f>利润表!G3</f>
        <v>24430086476.77</v>
      </c>
      <c r="H3" s="26">
        <f>利润表!H3</f>
        <v>11007048624.780001</v>
      </c>
      <c r="I3" s="26">
        <f>利润表!I3</f>
        <v>30099861530.439999</v>
      </c>
      <c r="J3" s="26">
        <f>利润表!J3</f>
        <v>20932181906.599998</v>
      </c>
      <c r="K3" s="26">
        <f>利润表!K3</f>
        <v>12475770000.66</v>
      </c>
      <c r="L3" s="26">
        <f>利润表!L3</f>
        <v>5299611141.0799999</v>
      </c>
      <c r="M3" s="26">
        <f>利润表!M3</f>
        <v>19492382889.529999</v>
      </c>
      <c r="N3" s="26">
        <f>利润表!N3</f>
        <v>14788324545.110001</v>
      </c>
      <c r="O3" s="26">
        <f>利润表!O3</f>
        <v>10042263367.92</v>
      </c>
      <c r="P3" s="26">
        <f>利润表!P3</f>
        <v>4535504042.1400003</v>
      </c>
      <c r="Q3" s="26">
        <f>利润表!Q3</f>
        <v>22088368488.740002</v>
      </c>
      <c r="R3" s="26">
        <f>利润表!R3</f>
        <v>17760200636.82</v>
      </c>
      <c r="S3" s="26">
        <f>利润表!S3</f>
        <v>11664821009.41</v>
      </c>
      <c r="T3" s="26">
        <f>利润表!T3</f>
        <v>5136453372.2299995</v>
      </c>
      <c r="U3" s="26">
        <f>利润表!U3</f>
        <v>20237973217.990002</v>
      </c>
      <c r="V3" s="26">
        <f>利润表!V3</f>
        <v>15374222330.959999</v>
      </c>
      <c r="W3" s="26">
        <f>利润表!W3</f>
        <v>9975902570.6299992</v>
      </c>
      <c r="X3" s="26">
        <f>利润表!X3</f>
        <v>4776338536.5900002</v>
      </c>
      <c r="Y3" s="26">
        <f>利润表!Y3</f>
        <v>15942126516.790001</v>
      </c>
      <c r="Z3" s="26">
        <f>利润表!Z3</f>
        <v>11420363881.030001</v>
      </c>
      <c r="AA3" s="26">
        <f>利润表!AA3</f>
        <v>7160169875.2299995</v>
      </c>
      <c r="AB3" s="26">
        <f>利润表!AB3</f>
        <v>3281137342.6300001</v>
      </c>
      <c r="AC3" s="26">
        <f>利润表!AC3</f>
        <v>13662307339.379999</v>
      </c>
      <c r="AD3" s="26">
        <f>利润表!AD3</f>
        <v>10509011428.01</v>
      </c>
      <c r="AE3" s="26">
        <f>利润表!AE3</f>
        <v>6878445645.8699999</v>
      </c>
      <c r="AF3" s="26">
        <f>利润表!AF3</f>
        <v>3183673615.0500002</v>
      </c>
      <c r="AG3" s="26">
        <f>利润表!AG3</f>
        <v>9429776859.9500008</v>
      </c>
      <c r="AH3" s="26">
        <f>利润表!AH3</f>
        <v>6705726493.8800001</v>
      </c>
      <c r="AI3" s="26">
        <f>利润表!AI3</f>
        <v>4380333890.5100002</v>
      </c>
      <c r="AJ3" s="26">
        <f>利润表!AJ3</f>
        <v>2049227801.8900001</v>
      </c>
      <c r="AK3" s="26">
        <f>利润表!AK3</f>
        <v>6492919698.9300003</v>
      </c>
      <c r="AL3" s="26">
        <f>利润表!AL3</f>
        <v>4654460556.0100002</v>
      </c>
      <c r="AM3" s="26">
        <f>利润表!AM3</f>
        <v>2749958976.3099999</v>
      </c>
      <c r="AN3" s="26">
        <f>利润表!AN3</f>
        <v>1211789500.1500001</v>
      </c>
      <c r="AO3" s="26">
        <f>利润表!AO3</f>
        <v>7704393026.1300001</v>
      </c>
      <c r="AP3" s="26">
        <f>利润表!AP3</f>
        <v>6172540592.6899996</v>
      </c>
      <c r="AQ3" s="26">
        <f>利润表!AQ3</f>
        <v>4167736314.3200002</v>
      </c>
      <c r="AR3" s="26">
        <f>利润表!AR3</f>
        <v>1965085110.6700001</v>
      </c>
      <c r="AS3" s="26">
        <f>利润表!AS3</f>
        <v>7803583625.5100002</v>
      </c>
      <c r="AT3" s="26">
        <f>利润表!AT3</f>
        <v>5865382373.6400003</v>
      </c>
      <c r="AU3" s="26">
        <f>利润表!AU3</f>
        <v>3528589761.7600002</v>
      </c>
      <c r="AV3" s="26">
        <f>利润表!AV3</f>
        <v>1727878248.71</v>
      </c>
      <c r="AW3" s="26">
        <f>利润表!AW3</f>
        <v>4907452080.1700001</v>
      </c>
      <c r="AX3" s="26">
        <f>利润表!AX3</f>
        <v>3544767170.25</v>
      </c>
      <c r="AY3" s="26">
        <f>利润表!AY3</f>
        <v>2099665559.29</v>
      </c>
      <c r="AZ3" s="26">
        <f>利润表!AZ3</f>
        <v>1053321162.3099999</v>
      </c>
      <c r="BA3" s="26">
        <f>利润表!BA3</f>
        <v>3313328564.54</v>
      </c>
      <c r="BB3" s="26">
        <f>利润表!BB3</f>
        <v>2544222631.0799999</v>
      </c>
      <c r="BC3" s="26">
        <f>利润表!BC3</f>
        <v>1615930766.0699999</v>
      </c>
      <c r="BD3" s="26">
        <f>利润表!BD3</f>
        <v>795135266.36000001</v>
      </c>
      <c r="BE3" s="26">
        <f>利润表!BE3</f>
        <v>2106015417.76</v>
      </c>
      <c r="BF3" s="26">
        <f>利润表!BF3</f>
        <v>1697207737</v>
      </c>
      <c r="BG3" s="26">
        <f>利润表!BG3</f>
        <v>1055474228.74</v>
      </c>
      <c r="BH3" s="26">
        <f>利润表!BH3</f>
        <v>501736960.55000001</v>
      </c>
      <c r="BI3" s="26">
        <f>利润表!BI3</f>
        <v>1343181090.8900001</v>
      </c>
      <c r="BJ3" s="26">
        <f>利润表!BJ3</f>
        <v>1010831052.88</v>
      </c>
      <c r="BK3" s="26">
        <f>利润表!BK3</f>
        <v>728932226.85000002</v>
      </c>
      <c r="BL3" s="26">
        <f>利润表!BL3</f>
        <v>364466439.76999998</v>
      </c>
      <c r="BM3" s="26">
        <f>利润表!BM3</f>
        <v>881895635.89999998</v>
      </c>
      <c r="BN3" s="26">
        <f>利润表!BN3</f>
        <v>731742886.64999998</v>
      </c>
      <c r="BO3" s="26">
        <f>利润表!BO3</f>
        <v>439663277.50999999</v>
      </c>
      <c r="BP3" s="26">
        <f>利润表!BP3</f>
        <v>219205439.69</v>
      </c>
      <c r="BQ3" s="26">
        <f>利润表!BQ3</f>
        <v>571647538.66999996</v>
      </c>
      <c r="BR3" s="26">
        <f>利润表!BR3</f>
        <v>478079600</v>
      </c>
      <c r="BS3" s="26">
        <f>利润表!BS3</f>
        <v>290341398.47000003</v>
      </c>
      <c r="BT3" s="26">
        <f>利润表!BT3</f>
        <v>345710195.74000001</v>
      </c>
      <c r="BU3" s="26">
        <f>利润表!BU3</f>
        <v>161569570.75999999</v>
      </c>
      <c r="BV3" s="26">
        <f>利润表!BV3</f>
        <v>210843458.52000001</v>
      </c>
      <c r="BW3" s="26">
        <f>利润表!BW3</f>
        <v>181524246.47</v>
      </c>
      <c r="BX3" s="26">
        <f>利润表!BX3</f>
        <v>140737571.91999999</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0.99004002440903427</v>
      </c>
      <c r="F5" s="28">
        <f t="shared" ref="F5:BQ5" si="2">(F2/(1+F4))/F3</f>
        <v>0.94098972076034604</v>
      </c>
      <c r="G5" s="28">
        <f t="shared" si="2"/>
        <v>0.87638636089114674</v>
      </c>
      <c r="H5" s="28">
        <f t="shared" si="2"/>
        <v>0.89808058622477338</v>
      </c>
      <c r="I5" s="28">
        <f t="shared" si="2"/>
        <v>1.0509927043286449</v>
      </c>
      <c r="J5" s="28">
        <f t="shared" si="2"/>
        <v>1.0311883980703787</v>
      </c>
      <c r="K5" s="28">
        <f t="shared" si="2"/>
        <v>0.99357168766931081</v>
      </c>
      <c r="L5" s="28">
        <f t="shared" si="2"/>
        <v>0.99981240641475522</v>
      </c>
      <c r="M5" s="28">
        <f t="shared" si="2"/>
        <v>1.1392528503284083</v>
      </c>
      <c r="N5" s="28">
        <f t="shared" si="2"/>
        <v>0.98947380226088388</v>
      </c>
      <c r="O5" s="28">
        <f t="shared" si="2"/>
        <v>0.96771704752412802</v>
      </c>
      <c r="P5" s="28">
        <f t="shared" si="2"/>
        <v>0.84606335791045317</v>
      </c>
      <c r="Q5" s="28">
        <f t="shared" si="2"/>
        <v>1.1523604981102964</v>
      </c>
      <c r="R5" s="28">
        <f t="shared" si="2"/>
        <v>0.9788510318850967</v>
      </c>
      <c r="S5" s="28">
        <f t="shared" si="2"/>
        <v>0.90852527476641021</v>
      </c>
      <c r="T5" s="28">
        <f t="shared" si="2"/>
        <v>0.93959077105218469</v>
      </c>
      <c r="U5" s="28">
        <f t="shared" si="2"/>
        <v>1.0741722287617059</v>
      </c>
      <c r="V5" s="28">
        <f t="shared" si="2"/>
        <v>0.92198850234389862</v>
      </c>
      <c r="W5" s="28">
        <f t="shared" si="2"/>
        <v>0.90259059277345999</v>
      </c>
      <c r="X5" s="28">
        <f t="shared" si="2"/>
        <v>0.86600250417049796</v>
      </c>
      <c r="Y5" s="28">
        <f t="shared" si="2"/>
        <v>1.0017545158761467</v>
      </c>
      <c r="Z5" s="28">
        <f t="shared" si="2"/>
        <v>0.90605988859876652</v>
      </c>
      <c r="AA5" s="28">
        <f t="shared" si="2"/>
        <v>0.92535055983946379</v>
      </c>
      <c r="AB5" s="28">
        <f t="shared" si="2"/>
        <v>0.97117989315617936</v>
      </c>
      <c r="AC5" s="28">
        <f t="shared" si="2"/>
        <v>0.99586769393671959</v>
      </c>
      <c r="AD5" s="28">
        <f t="shared" si="2"/>
        <v>0.9067877977140778</v>
      </c>
      <c r="AE5" s="28">
        <f t="shared" si="2"/>
        <v>0.96463221127409859</v>
      </c>
      <c r="AF5" s="28">
        <f t="shared" si="2"/>
        <v>0.94956679903397934</v>
      </c>
      <c r="AG5" s="28">
        <f t="shared" si="2"/>
        <v>0.94603181391503044</v>
      </c>
      <c r="AH5" s="28">
        <f t="shared" si="2"/>
        <v>0.93717931828704681</v>
      </c>
      <c r="AI5" s="28">
        <f t="shared" si="2"/>
        <v>0.95661830375936041</v>
      </c>
      <c r="AJ5" s="28">
        <f t="shared" si="2"/>
        <v>0.91210755043989278</v>
      </c>
      <c r="AK5" s="28">
        <f t="shared" si="2"/>
        <v>1.0478166561207165</v>
      </c>
      <c r="AL5" s="28">
        <f t="shared" si="2"/>
        <v>0.99603320051133548</v>
      </c>
      <c r="AM5" s="28">
        <f t="shared" si="2"/>
        <v>1.0786697743984124</v>
      </c>
      <c r="AN5" s="28">
        <f t="shared" si="2"/>
        <v>1.1382598144330436</v>
      </c>
      <c r="AO5" s="28">
        <f t="shared" si="2"/>
        <v>1.0569148353333444</v>
      </c>
      <c r="AP5" s="28">
        <f t="shared" si="2"/>
        <v>0.91449025633481917</v>
      </c>
      <c r="AQ5" s="28">
        <f t="shared" si="2"/>
        <v>0.90403453275747681</v>
      </c>
      <c r="AR5" s="28">
        <f t="shared" si="2"/>
        <v>0.75215668585085627</v>
      </c>
      <c r="AS5" s="28">
        <f t="shared" si="2"/>
        <v>0.96294297564055975</v>
      </c>
      <c r="AT5" s="28">
        <f t="shared" si="2"/>
        <v>0.91187937624405058</v>
      </c>
      <c r="AU5" s="28">
        <f t="shared" si="2"/>
        <v>0.88948305738238365</v>
      </c>
      <c r="AV5" s="28">
        <f t="shared" si="2"/>
        <v>0.88438518101697305</v>
      </c>
      <c r="AW5" s="28">
        <f t="shared" si="2"/>
        <v>0.93664395931546995</v>
      </c>
      <c r="AX5" s="28">
        <f t="shared" si="2"/>
        <v>0.92021798031972202</v>
      </c>
      <c r="AY5" s="28">
        <f t="shared" si="2"/>
        <v>0.99585414975889919</v>
      </c>
      <c r="AZ5" s="28">
        <f t="shared" si="2"/>
        <v>0.9434859720561859</v>
      </c>
      <c r="BA5" s="28">
        <f t="shared" si="2"/>
        <v>0.99581637209041374</v>
      </c>
      <c r="BB5" s="28">
        <f t="shared" si="2"/>
        <v>0.99239842002080114</v>
      </c>
      <c r="BC5" s="28">
        <f t="shared" si="2"/>
        <v>1.0111568601670438</v>
      </c>
      <c r="BD5" s="28">
        <f t="shared" si="2"/>
        <v>0.98718970344283974</v>
      </c>
      <c r="BE5" s="28">
        <f t="shared" si="2"/>
        <v>0.92571539100107147</v>
      </c>
      <c r="BF5" s="28">
        <f t="shared" si="2"/>
        <v>0.92813860488677602</v>
      </c>
      <c r="BG5" s="28">
        <f t="shared" si="2"/>
        <v>0.9280439338734171</v>
      </c>
      <c r="BH5" s="28">
        <f t="shared" si="2"/>
        <v>0.80826615073718788</v>
      </c>
      <c r="BI5" s="28">
        <f t="shared" si="2"/>
        <v>1.0242674256418798</v>
      </c>
      <c r="BJ5" s="28">
        <f t="shared" si="2"/>
        <v>0.98275285388019962</v>
      </c>
      <c r="BK5" s="28">
        <f t="shared" si="2"/>
        <v>0.85452609564976434</v>
      </c>
      <c r="BL5" s="28">
        <f t="shared" si="2"/>
        <v>0.77636935560231835</v>
      </c>
      <c r="BM5" s="28">
        <f t="shared" si="2"/>
        <v>0.96619142536124836</v>
      </c>
      <c r="BN5" s="28">
        <f t="shared" si="2"/>
        <v>0.32525974526947582</v>
      </c>
      <c r="BO5" s="28">
        <f t="shared" si="2"/>
        <v>1.2517926317333867</v>
      </c>
      <c r="BP5" s="28">
        <f t="shared" si="2"/>
        <v>1.2363351366372712</v>
      </c>
      <c r="BQ5" s="28">
        <f t="shared" si="2"/>
        <v>0.64432550797296473</v>
      </c>
      <c r="BR5" s="28">
        <f t="shared" ref="BR5:CL5" si="3">(BR2/(1+BR4))/BR3</f>
        <v>0.33657730991305151</v>
      </c>
      <c r="BS5" s="28">
        <f t="shared" si="3"/>
        <v>0.6981961602475214</v>
      </c>
      <c r="BT5" s="28">
        <f t="shared" si="3"/>
        <v>0</v>
      </c>
      <c r="BU5" s="28">
        <f t="shared" si="3"/>
        <v>0</v>
      </c>
      <c r="BV5" s="28">
        <f t="shared" si="3"/>
        <v>0</v>
      </c>
      <c r="BW5" s="28">
        <f t="shared" si="3"/>
        <v>0</v>
      </c>
      <c r="BX5" s="28">
        <f t="shared" si="3"/>
        <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43714485045.209999</v>
      </c>
      <c r="F6" s="26">
        <f>现金流量表!F8</f>
        <v>31797274223.98</v>
      </c>
      <c r="G6" s="26">
        <f>现金流量表!G8</f>
        <v>20517049226.77</v>
      </c>
      <c r="H6" s="26">
        <f>现金流量表!H8</f>
        <v>9830634920.5300007</v>
      </c>
      <c r="I6" s="26">
        <f>现金流量表!I8</f>
        <v>24633123207.389999</v>
      </c>
      <c r="J6" s="26">
        <f>现金流量表!J8</f>
        <v>17342812363.5</v>
      </c>
      <c r="K6" s="26">
        <f>现金流量表!K8</f>
        <v>10001121832.65</v>
      </c>
      <c r="L6" s="26">
        <f>现金流量表!L8</f>
        <v>3650041819.4400001</v>
      </c>
      <c r="M6" s="26">
        <f>现金流量表!M8</f>
        <v>17503058307.23</v>
      </c>
      <c r="N6" s="26">
        <f>现金流量表!N8</f>
        <v>11381281660</v>
      </c>
      <c r="O6" s="26">
        <f>现金流量表!O8</f>
        <v>7532129993.1400003</v>
      </c>
      <c r="P6" s="26">
        <f>现金流量表!P8</f>
        <v>2862045093.6199999</v>
      </c>
      <c r="Q6" s="26">
        <f>现金流量表!Q8</f>
        <v>22041947070.5</v>
      </c>
      <c r="R6" s="26">
        <f>现金流量表!R8</f>
        <v>13724816986.549999</v>
      </c>
      <c r="S6" s="26">
        <f>现金流量表!S8</f>
        <v>9043415666.9300003</v>
      </c>
      <c r="T6" s="26">
        <f>现金流量表!T8</f>
        <v>3964591346.9299998</v>
      </c>
      <c r="U6" s="26">
        <f>现金流量表!U8</f>
        <v>17869332966.560001</v>
      </c>
      <c r="V6" s="26">
        <f>现金流量表!V8</f>
        <v>11570013149.5</v>
      </c>
      <c r="W6" s="26">
        <f>现金流量表!W8</f>
        <v>7041632858.04</v>
      </c>
      <c r="X6" s="26">
        <f>现金流量表!X8</f>
        <v>3184538812.6100001</v>
      </c>
      <c r="Y6" s="26">
        <f>现金流量表!Y8</f>
        <v>12544205821.25</v>
      </c>
      <c r="Z6" s="26">
        <f>现金流量表!Z8</f>
        <v>7662549475.5200005</v>
      </c>
      <c r="AA6" s="26">
        <f>现金流量表!AA8</f>
        <v>5041006165.6300001</v>
      </c>
      <c r="AB6" s="26">
        <f>现金流量表!AB8</f>
        <v>2429235350.5599999</v>
      </c>
      <c r="AC6" s="26">
        <f>现金流量表!AC8</f>
        <v>11915144787.27</v>
      </c>
      <c r="AD6" s="26">
        <f>现金流量表!AD8</f>
        <v>8676325384.1599998</v>
      </c>
      <c r="AE6" s="26">
        <f>现金流量表!AE8</f>
        <v>5978217703.4499998</v>
      </c>
      <c r="AF6" s="26">
        <f>现金流量表!AF8</f>
        <v>2928230276.1900001</v>
      </c>
      <c r="AG6" s="26">
        <f>现金流量表!AG8</f>
        <v>8918980746.4099998</v>
      </c>
      <c r="AH6" s="26">
        <f>现金流量表!AH8</f>
        <v>6420991610.8800001</v>
      </c>
      <c r="AI6" s="26">
        <f>现金流量表!AI8</f>
        <v>4213363744.77</v>
      </c>
      <c r="AJ6" s="26">
        <f>现金流量表!AJ8</f>
        <v>1743025963.78</v>
      </c>
      <c r="AK6" s="26">
        <f>现金流量表!AK8</f>
        <v>5618962505.29</v>
      </c>
      <c r="AL6" s="26">
        <f>现金流量表!AL8</f>
        <v>3851862516.8299999</v>
      </c>
      <c r="AM6" s="26">
        <f>现金流量表!AM8</f>
        <v>2083834886.6500001</v>
      </c>
      <c r="AN6" s="26">
        <f>现金流量表!AN8</f>
        <v>860545602.83000004</v>
      </c>
      <c r="AO6" s="26">
        <f>现金流量表!AO8</f>
        <v>6347565435.3000002</v>
      </c>
      <c r="AP6" s="26">
        <f>现金流量表!AP8</f>
        <v>4476669131.3199997</v>
      </c>
      <c r="AQ6" s="26">
        <f>现金流量表!AQ8</f>
        <v>3009197108.96</v>
      </c>
      <c r="AR6" s="26">
        <f>现金流量表!AR8</f>
        <v>1261996299.96</v>
      </c>
      <c r="AS6" s="26">
        <f>现金流量表!AS8</f>
        <v>5742735880.3100004</v>
      </c>
      <c r="AT6" s="26">
        <f>现金流量表!AT8</f>
        <v>3913137807.3099999</v>
      </c>
      <c r="AU6" s="26">
        <f>现金流量表!AU8</f>
        <v>2459384100.25</v>
      </c>
      <c r="AV6" s="26">
        <f>现金流量表!AV8</f>
        <v>1456729211.21</v>
      </c>
      <c r="AW6" s="26">
        <f>现金流量表!AW8</f>
        <v>3427846509.1700001</v>
      </c>
      <c r="AX6" s="26">
        <f>现金流量表!AX8</f>
        <v>2316522423.6500001</v>
      </c>
      <c r="AY6" s="26">
        <f>现金流量表!AY8</f>
        <v>1602563932.25</v>
      </c>
      <c r="AZ6" s="26">
        <f>现金流量表!AZ8</f>
        <v>870959511.79999995</v>
      </c>
      <c r="BA6" s="26">
        <f>现金流量表!BA8</f>
        <v>2382151897.7199998</v>
      </c>
      <c r="BB6" s="26">
        <f>现金流量表!BB8</f>
        <v>1905942959.3499999</v>
      </c>
      <c r="BC6" s="26">
        <f>现金流量表!BC8</f>
        <v>1320262901.4200001</v>
      </c>
      <c r="BD6" s="26">
        <f>现金流量表!BD8</f>
        <v>520950415.08999997</v>
      </c>
      <c r="BE6" s="26">
        <f>现金流量表!BE8</f>
        <v>1611947324.95</v>
      </c>
      <c r="BF6" s="26">
        <f>现金流量表!BF8</f>
        <v>1221928013.54</v>
      </c>
      <c r="BG6" s="26">
        <f>现金流量表!BG8</f>
        <v>674775502.52999997</v>
      </c>
      <c r="BH6" s="26">
        <f>现金流量表!BH8</f>
        <v>307699727.26999998</v>
      </c>
      <c r="BI6" s="26">
        <f>现金流量表!BI8</f>
        <v>971810754.45000005</v>
      </c>
      <c r="BJ6" s="26">
        <f>现金流量表!BJ8</f>
        <v>664902342.58000004</v>
      </c>
      <c r="BK6" s="26">
        <f>现金流量表!BK8</f>
        <v>496900542.49000001</v>
      </c>
      <c r="BL6" s="26">
        <f>现金流量表!BL8</f>
        <v>259376355.59</v>
      </c>
      <c r="BM6" s="26">
        <f>现金流量表!BM8</f>
        <v>715833678.22000003</v>
      </c>
      <c r="BN6" s="26">
        <f>现金流量表!BN8</f>
        <v>224040001.56</v>
      </c>
      <c r="BO6" s="26">
        <f>现金流量表!BO8</f>
        <v>447381165.74000001</v>
      </c>
      <c r="BP6" s="26">
        <f>现金流量表!BP8</f>
        <v>222414544.03999999</v>
      </c>
      <c r="BQ6" s="26">
        <f>现金流量表!BQ8</f>
        <v>303178065.76999998</v>
      </c>
      <c r="BR6" s="26">
        <f>现金流量表!BR8</f>
        <v>170527639.5</v>
      </c>
      <c r="BS6" s="26">
        <f>现金流量表!BS8</f>
        <v>136274993.81999999</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2055572019.8800001</v>
      </c>
      <c r="F7" s="26">
        <f>现金流量表!F9</f>
        <v>1569453913.6900001</v>
      </c>
      <c r="G7" s="26">
        <f>现金流量表!G9</f>
        <v>1036431220.29</v>
      </c>
      <c r="H7" s="26">
        <f>现金流量表!H9</f>
        <v>670628130.46000004</v>
      </c>
      <c r="I7" s="26">
        <f>现金流量表!I9</f>
        <v>1443746530.4400001</v>
      </c>
      <c r="J7" s="26">
        <f>现金流量表!J9</f>
        <v>1052079006.53</v>
      </c>
      <c r="K7" s="26">
        <f>现金流量表!K9</f>
        <v>688030947.66999996</v>
      </c>
      <c r="L7" s="26">
        <f>现金流量表!L9</f>
        <v>397540710.99000001</v>
      </c>
      <c r="M7" s="26">
        <f>现金流量表!M9</f>
        <v>1278943798.3699999</v>
      </c>
      <c r="N7" s="26">
        <f>现金流量表!N9</f>
        <v>927104689.86000001</v>
      </c>
      <c r="O7" s="26">
        <f>现金流量表!O9</f>
        <v>662696661.62</v>
      </c>
      <c r="P7" s="26">
        <f>现金流量表!P9</f>
        <v>339410229.89999998</v>
      </c>
      <c r="Q7" s="26">
        <f>现金流量表!Q9</f>
        <v>977279891.60000002</v>
      </c>
      <c r="R7" s="26">
        <f>现金流量表!R9</f>
        <v>759032201.63</v>
      </c>
      <c r="S7" s="26">
        <f>现金流量表!S9</f>
        <v>473551748.88</v>
      </c>
      <c r="T7" s="26">
        <f>现金流量表!T9</f>
        <v>318850470.57999998</v>
      </c>
      <c r="U7" s="26">
        <f>现金流量表!U9</f>
        <v>856674925.64999998</v>
      </c>
      <c r="V7" s="26">
        <f>现金流量表!V9</f>
        <v>653804103.99000001</v>
      </c>
      <c r="W7" s="26">
        <f>现金流量表!W9</f>
        <v>394566457.98000002</v>
      </c>
      <c r="X7" s="26">
        <f>现金流量表!X9</f>
        <v>251859067.52000001</v>
      </c>
      <c r="Y7" s="26">
        <f>现金流量表!Y9</f>
        <v>674312732.66999996</v>
      </c>
      <c r="Z7" s="26">
        <f>现金流量表!Z9</f>
        <v>550661031.14999998</v>
      </c>
      <c r="AA7" s="26">
        <f>现金流量表!AA9</f>
        <v>303505108.44</v>
      </c>
      <c r="AB7" s="26">
        <f>现金流量表!AB9</f>
        <v>165621414.31999999</v>
      </c>
      <c r="AC7" s="26">
        <f>现金流量表!AC9</f>
        <v>485281977.95999998</v>
      </c>
      <c r="AD7" s="26">
        <f>现金流量表!AD9</f>
        <v>374757939.47000003</v>
      </c>
      <c r="AE7" s="26">
        <f>现金流量表!AE9</f>
        <v>272803167.50999999</v>
      </c>
      <c r="AF7" s="26">
        <f>现金流量表!AF9</f>
        <v>129062979.86</v>
      </c>
      <c r="AG7" s="26">
        <f>现金流量表!AG9</f>
        <v>292442218.50999999</v>
      </c>
      <c r="AH7" s="26">
        <f>现金流量表!AH9</f>
        <v>238993848.71000001</v>
      </c>
      <c r="AI7" s="26">
        <f>现金流量表!AI9</f>
        <v>153303006.06</v>
      </c>
      <c r="AJ7" s="26">
        <f>现金流量表!AJ9</f>
        <v>92424497.049999997</v>
      </c>
      <c r="AK7" s="26">
        <f>现金流量表!AK9</f>
        <v>272074526.52999997</v>
      </c>
      <c r="AL7" s="26">
        <f>现金流量表!AL9</f>
        <v>203112497.72</v>
      </c>
      <c r="AM7" s="26">
        <f>现金流量表!AM9</f>
        <v>147953633.53999999</v>
      </c>
      <c r="AN7" s="26">
        <f>现金流量表!AN9</f>
        <v>91645017.310000002</v>
      </c>
      <c r="AO7" s="26">
        <f>现金流量表!AO9</f>
        <v>279001081.32999998</v>
      </c>
      <c r="AP7" s="26">
        <f>现金流量表!AP9</f>
        <v>224194218.36000001</v>
      </c>
      <c r="AQ7" s="26">
        <f>现金流量表!AQ9</f>
        <v>168890760.63</v>
      </c>
      <c r="AR7" s="26">
        <f>现金流量表!AR9</f>
        <v>88753886.909999996</v>
      </c>
      <c r="AS7" s="26">
        <f>现金流量表!AS9</f>
        <v>290494084.35000002</v>
      </c>
      <c r="AT7" s="26">
        <f>现金流量表!AT9</f>
        <v>186684295.03999999</v>
      </c>
      <c r="AU7" s="26">
        <f>现金流量表!AU9</f>
        <v>122373009.81</v>
      </c>
      <c r="AV7" s="26">
        <f>现金流量表!AV9</f>
        <v>50303372.350000001</v>
      </c>
      <c r="AW7" s="26">
        <f>现金流量表!AW9</f>
        <v>231854367.72</v>
      </c>
      <c r="AX7" s="26">
        <f>现金流量表!AX9</f>
        <v>177684013.56999999</v>
      </c>
      <c r="AY7" s="26">
        <f>现金流量表!AY9</f>
        <v>97935244.219999999</v>
      </c>
      <c r="AZ7" s="26">
        <f>现金流量表!AZ9</f>
        <v>68432091.010000005</v>
      </c>
      <c r="BA7" s="26">
        <f>现金流量表!BA9</f>
        <v>140543386.21000001</v>
      </c>
      <c r="BB7" s="26">
        <f>现金流量表!BB9</f>
        <v>65411401.170000002</v>
      </c>
      <c r="BC7" s="26">
        <f>现金流量表!BC9</f>
        <v>43132244.670000002</v>
      </c>
      <c r="BD7" s="26">
        <f>现金流量表!BD9</f>
        <v>25002055.27</v>
      </c>
      <c r="BE7" s="26">
        <f>现金流量表!BE9</f>
        <v>138326649.59999999</v>
      </c>
      <c r="BF7" s="26">
        <f>现金流量表!BF9</f>
        <v>95574258.260000005</v>
      </c>
      <c r="BG7" s="26">
        <f>现金流量表!BG9</f>
        <v>50356037.450000003</v>
      </c>
      <c r="BH7" s="26">
        <f>现金流量表!BH9</f>
        <v>17635352.489999998</v>
      </c>
      <c r="BI7" s="26">
        <f>现金流量表!BI9</f>
        <v>83224664.489999995</v>
      </c>
      <c r="BJ7" s="26">
        <f>现金流量表!BJ9</f>
        <v>56659404.609999999</v>
      </c>
      <c r="BK7" s="26">
        <f>现金流量表!BK9</f>
        <v>27789433.449999999</v>
      </c>
      <c r="BL7" s="26">
        <f>现金流量表!BL9</f>
        <v>10223227.130000001</v>
      </c>
      <c r="BM7" s="26">
        <f>现金流量表!BM9</f>
        <v>46364666.990000002</v>
      </c>
      <c r="BN7" s="26">
        <f>现金流量表!BN9</f>
        <v>12611824.32</v>
      </c>
      <c r="BO7" s="26">
        <f>现金流量表!BO9</f>
        <v>30401472.579999998</v>
      </c>
      <c r="BP7" s="26">
        <f>现金流量表!BP9</f>
        <v>11532817.449999999</v>
      </c>
      <c r="BQ7" s="26">
        <f>现金流量表!BQ9</f>
        <v>13762056.439999999</v>
      </c>
      <c r="BR7" s="26">
        <f>现金流量表!BR9</f>
        <v>5858118.75</v>
      </c>
      <c r="BS7" s="26">
        <f>现金流量表!BS9</f>
        <v>9082638.9700000007</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491</v>
      </c>
      <c r="E8" s="58">
        <f>利润表!E6</f>
        <v>32033253462.200001</v>
      </c>
      <c r="F8" s="58">
        <f>利润表!F6</f>
        <v>23762343011.110001</v>
      </c>
      <c r="G8" s="58">
        <f>利润表!G6</f>
        <v>14946177503.389999</v>
      </c>
      <c r="H8" s="58">
        <f>利润表!H6</f>
        <v>6688903404.2399998</v>
      </c>
      <c r="I8" s="58">
        <f>利润表!I6</f>
        <v>20744809250.07</v>
      </c>
      <c r="J8" s="58">
        <f>利润表!J6</f>
        <v>14628719989.24</v>
      </c>
      <c r="K8" s="58">
        <f>利润表!K6</f>
        <v>8851952029.6200008</v>
      </c>
      <c r="L8" s="58">
        <f>利润表!L6</f>
        <v>3868973210.0100002</v>
      </c>
      <c r="M8" s="58">
        <f>利润表!M6</f>
        <v>13619965426.6</v>
      </c>
      <c r="N8" s="58">
        <f>利润表!N6</f>
        <v>10094559402.790001</v>
      </c>
      <c r="O8" s="58">
        <f>利润表!O6</f>
        <v>6718028765.5799999</v>
      </c>
      <c r="P8" s="58">
        <f>利润表!P6</f>
        <v>3154336266.1700001</v>
      </c>
      <c r="Q8" s="58">
        <f>利润表!Q6</f>
        <v>15269639735.889999</v>
      </c>
      <c r="R8" s="58">
        <f>利润表!R6</f>
        <v>12406038868.049999</v>
      </c>
      <c r="S8" s="58">
        <f>利润表!S6</f>
        <v>8123296494.29</v>
      </c>
      <c r="T8" s="58">
        <f>利润表!T6</f>
        <v>3554897748.1999998</v>
      </c>
      <c r="U8" s="58">
        <f>利润表!U6</f>
        <v>13582949179.870001</v>
      </c>
      <c r="V8" s="58">
        <f>利润表!V6</f>
        <v>10039384410.16</v>
      </c>
      <c r="W8" s="58">
        <f>利润表!W6</f>
        <v>6429177035.0299997</v>
      </c>
      <c r="X8" s="58">
        <f>利润表!X6</f>
        <v>3111699665.1199999</v>
      </c>
      <c r="Y8" s="58">
        <f>利润表!Y6</f>
        <v>10381869493.6</v>
      </c>
      <c r="Z8" s="58">
        <f>利润表!Z6</f>
        <v>7545910596.1899996</v>
      </c>
      <c r="AA8" s="58">
        <f>利润表!AA6</f>
        <v>4813978177.7700005</v>
      </c>
      <c r="AB8" s="58">
        <f>利润表!AB6</f>
        <v>2216024656.5700002</v>
      </c>
      <c r="AC8" s="58">
        <f>利润表!AC6</f>
        <v>9488664821.2399998</v>
      </c>
      <c r="AD8" s="58">
        <f>利润表!AD6</f>
        <v>7067162108.7799997</v>
      </c>
      <c r="AE8" s="58">
        <f>利润表!AE6</f>
        <v>4637940337.5500002</v>
      </c>
      <c r="AF8" s="58">
        <f>利润表!AF6</f>
        <v>2131293503.98</v>
      </c>
      <c r="AG8" s="58">
        <f>利润表!AG6</f>
        <v>7041509863.6999998</v>
      </c>
      <c r="AH8" s="58">
        <f>利润表!AH6</f>
        <v>5021591295.8599997</v>
      </c>
      <c r="AI8" s="58">
        <f>利润表!AI6</f>
        <v>3243051207.7399998</v>
      </c>
      <c r="AJ8" s="58">
        <f>利润表!AJ6</f>
        <v>1557274955.4300001</v>
      </c>
      <c r="AK8" s="58">
        <f>利润表!AK6</f>
        <v>4606765873.4099998</v>
      </c>
      <c r="AL8" s="58">
        <f>利润表!AL6</f>
        <v>3253577491.3000002</v>
      </c>
      <c r="AM8" s="58">
        <f>利润表!AM6</f>
        <v>1966108249.5599999</v>
      </c>
      <c r="AN8" s="58">
        <f>利润表!AN6</f>
        <v>920678918.63</v>
      </c>
      <c r="AO8" s="58">
        <f>利润表!AO6</f>
        <v>5294196775.4300003</v>
      </c>
      <c r="AP8" s="58">
        <f>利润表!AP6</f>
        <v>4046162569.9699998</v>
      </c>
      <c r="AQ8" s="58">
        <f>利润表!AQ6</f>
        <v>2582073570.1300001</v>
      </c>
      <c r="AR8" s="58">
        <f>利润表!AR6</f>
        <v>1227427771.4100001</v>
      </c>
      <c r="AS8" s="58">
        <f>利润表!AS6</f>
        <v>4651703918.1899996</v>
      </c>
      <c r="AT8" s="58">
        <f>利润表!AT6</f>
        <v>3578426888.8699999</v>
      </c>
      <c r="AU8" s="58">
        <f>利润表!AU6</f>
        <v>2209440549.4899998</v>
      </c>
      <c r="AV8" s="58">
        <f>利润表!AV6</f>
        <v>1087781048.79</v>
      </c>
      <c r="AW8" s="58">
        <f>利润表!AW6</f>
        <v>3139049523.0500002</v>
      </c>
      <c r="AX8" s="58">
        <f>利润表!AX6</f>
        <v>2252345297.48</v>
      </c>
      <c r="AY8" s="58">
        <f>利润表!AY6</f>
        <v>1400629182.1400001</v>
      </c>
      <c r="AZ8" s="58">
        <f>利润表!AZ6</f>
        <v>690278011.37</v>
      </c>
      <c r="BA8" s="58">
        <f>利润表!BA6</f>
        <v>2071239585.1900001</v>
      </c>
      <c r="BB8" s="58">
        <f>利润表!BB6</f>
        <v>1569034978.9100001</v>
      </c>
      <c r="BC8" s="58">
        <f>利润表!BC6</f>
        <v>967239817.53999996</v>
      </c>
      <c r="BD8" s="58">
        <f>利润表!BD6</f>
        <v>469751672.69999999</v>
      </c>
      <c r="BE8" s="58">
        <f>利润表!BE6</f>
        <v>1252818732.1400001</v>
      </c>
      <c r="BF8" s="58">
        <f>利润表!BF6</f>
        <v>973372532.09000003</v>
      </c>
      <c r="BG8" s="58">
        <f>利润表!BG6</f>
        <v>572483914.66999996</v>
      </c>
      <c r="BH8" s="58">
        <f>利润表!BH6</f>
        <v>290169041.20999998</v>
      </c>
      <c r="BI8" s="58">
        <f>利润表!BI6</f>
        <v>861457343.46000004</v>
      </c>
      <c r="BJ8" s="58">
        <f>利润表!BJ6</f>
        <v>621831935.80999994</v>
      </c>
      <c r="BK8" s="58">
        <f>利润表!BK6</f>
        <v>452234197.25999999</v>
      </c>
      <c r="BL8" s="58">
        <f>利润表!BL6</f>
        <v>235189970.84999999</v>
      </c>
      <c r="BM8" s="58">
        <f>利润表!BM6</f>
        <v>576099921.12</v>
      </c>
      <c r="BN8" s="58">
        <f>利润表!BN6</f>
        <v>487704935.55000001</v>
      </c>
      <c r="BO8" s="58">
        <f>利润表!BO6</f>
        <v>287596089.52999997</v>
      </c>
      <c r="BP8" s="58">
        <f>利润表!BP6</f>
        <v>143189251.71000001</v>
      </c>
      <c r="BQ8" s="58">
        <f>利润表!BQ6</f>
        <v>363108488.54000002</v>
      </c>
      <c r="BR8" s="58">
        <f>利润表!BR6</f>
        <v>0</v>
      </c>
      <c r="BS8" s="58">
        <f>利润表!BS6</f>
        <v>176016395.74000001</v>
      </c>
      <c r="BT8" s="58">
        <f>利润表!BT6</f>
        <v>231885194.97</v>
      </c>
      <c r="BU8" s="58">
        <f>利润表!BU6</f>
        <v>95901275.469999999</v>
      </c>
      <c r="BV8" s="58">
        <f>利润表!BV6</f>
        <v>160030203.71000001</v>
      </c>
      <c r="BW8" s="58">
        <f>利润表!BW6</f>
        <v>142355825.75999999</v>
      </c>
      <c r="BX8" s="58">
        <f>利润表!BX6</f>
        <v>110766360.22</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492</v>
      </c>
      <c r="E9" s="58">
        <f>利润表!E7</f>
        <v>475378440.49000001</v>
      </c>
      <c r="F9" s="58">
        <f>利润表!F7</f>
        <v>304423717.72000003</v>
      </c>
      <c r="G9" s="58">
        <f>利润表!G7</f>
        <v>168049530.69</v>
      </c>
      <c r="H9" s="58">
        <f>利润表!H7</f>
        <v>65662825.07</v>
      </c>
      <c r="I9" s="58">
        <f>利润表!I7</f>
        <v>203761067.86000001</v>
      </c>
      <c r="J9" s="58">
        <f>利润表!J7</f>
        <v>71349811.150000006</v>
      </c>
      <c r="K9" s="58">
        <f>利润表!K7</f>
        <v>46576489</v>
      </c>
      <c r="L9" s="58">
        <f>利润表!L7</f>
        <v>12391312.449999999</v>
      </c>
      <c r="M9" s="58">
        <f>利润表!M7</f>
        <v>95650234.629999995</v>
      </c>
      <c r="N9" s="58">
        <f>利润表!N7</f>
        <v>66574350.329999998</v>
      </c>
      <c r="O9" s="58">
        <f>利润表!O7</f>
        <v>43914758.340000004</v>
      </c>
      <c r="P9" s="58">
        <f>利润表!P7</f>
        <v>15741136.26</v>
      </c>
      <c r="Q9" s="58">
        <f>利润表!Q7</f>
        <v>107719792.73999999</v>
      </c>
      <c r="R9" s="58">
        <f>利润表!R7</f>
        <v>77169296.909999996</v>
      </c>
      <c r="S9" s="58">
        <f>利润表!S7</f>
        <v>42471754.68</v>
      </c>
      <c r="T9" s="58">
        <f>利润表!T7</f>
        <v>16211541.390000001</v>
      </c>
      <c r="U9" s="58">
        <f>利润表!U7</f>
        <v>124987791.27</v>
      </c>
      <c r="V9" s="58">
        <f>利润表!V7</f>
        <v>103692578.84</v>
      </c>
      <c r="W9" s="58">
        <f>利润表!W7</f>
        <v>71270991.959999993</v>
      </c>
      <c r="X9" s="58">
        <f>利润表!X7</f>
        <v>37477122.899999999</v>
      </c>
      <c r="Y9" s="58">
        <f>利润表!Y7</f>
        <v>88203142.469999999</v>
      </c>
      <c r="Z9" s="58">
        <f>利润表!Z7</f>
        <v>60403158.270000003</v>
      </c>
      <c r="AA9" s="58">
        <f>利润表!AA7</f>
        <v>26438278.57</v>
      </c>
      <c r="AB9" s="58">
        <f>利润表!AB7</f>
        <v>5891628.04</v>
      </c>
      <c r="AC9" s="58">
        <f>利润表!AC7</f>
        <v>60570135.009999998</v>
      </c>
      <c r="AD9" s="58">
        <f>利润表!AD7</f>
        <v>44222697.229999997</v>
      </c>
      <c r="AE9" s="58">
        <f>利润表!AE7</f>
        <v>21190332.379999999</v>
      </c>
      <c r="AF9" s="58">
        <f>利润表!AF7</f>
        <v>5550792.3799999999</v>
      </c>
      <c r="AG9" s="58">
        <f>利润表!AG7</f>
        <v>27279924.27</v>
      </c>
      <c r="AH9" s="58">
        <f>利润表!AH7</f>
        <v>18299304.010000002</v>
      </c>
      <c r="AI9" s="58">
        <f>利润表!AI7</f>
        <v>10643212.15</v>
      </c>
      <c r="AJ9" s="58">
        <f>利润表!AJ7</f>
        <v>4012920.88</v>
      </c>
      <c r="AK9" s="58">
        <f>利润表!AK7</f>
        <v>27503335.260000002</v>
      </c>
      <c r="AL9" s="58">
        <f>利润表!AL7</f>
        <v>22542449.609999999</v>
      </c>
      <c r="AM9" s="58">
        <f>利润表!AM7</f>
        <v>15171273.380000001</v>
      </c>
      <c r="AN9" s="58">
        <f>利润表!AN7</f>
        <v>7452994.5999999996</v>
      </c>
      <c r="AO9" s="58">
        <f>利润表!AO7</f>
        <v>48551437.280000001</v>
      </c>
      <c r="AP9" s="58">
        <f>利润表!AP7</f>
        <v>38282893.909999996</v>
      </c>
      <c r="AQ9" s="58">
        <f>利润表!AQ7</f>
        <v>31496366.91</v>
      </c>
      <c r="AR9" s="58">
        <f>利润表!AR7</f>
        <v>15203092.939999999</v>
      </c>
      <c r="AS9" s="58">
        <f>利润表!AS7</f>
        <v>66652892.759999998</v>
      </c>
      <c r="AT9" s="58">
        <f>利润表!AT7</f>
        <v>51980200.600000001</v>
      </c>
      <c r="AU9" s="58">
        <f>利润表!AU7</f>
        <v>27940093.84</v>
      </c>
      <c r="AV9" s="58">
        <f>利润表!AV7</f>
        <v>11767810.68</v>
      </c>
      <c r="AW9" s="58">
        <f>利润表!AW7</f>
        <v>35246912</v>
      </c>
      <c r="AX9" s="58">
        <f>利润表!AX7</f>
        <v>28646260.920000002</v>
      </c>
      <c r="AY9" s="58">
        <f>利润表!AY7</f>
        <v>12901095.949999999</v>
      </c>
      <c r="AZ9" s="58">
        <f>利润表!AZ7</f>
        <v>3704089.66</v>
      </c>
      <c r="BA9" s="58">
        <f>利润表!BA7</f>
        <v>24391547.969999999</v>
      </c>
      <c r="BB9" s="58">
        <f>利润表!BB7</f>
        <v>17824759.629999999</v>
      </c>
      <c r="BC9" s="58">
        <f>利润表!BC7</f>
        <v>11130050.93</v>
      </c>
      <c r="BD9" s="58">
        <f>利润表!BD7</f>
        <v>5116990.8099999996</v>
      </c>
      <c r="BE9" s="58">
        <f>利润表!BE7</f>
        <v>13071649.359999999</v>
      </c>
      <c r="BF9" s="58">
        <f>利润表!BF7</f>
        <v>12274977.810000001</v>
      </c>
      <c r="BG9" s="58">
        <f>利润表!BG7</f>
        <v>7784529.9000000004</v>
      </c>
      <c r="BH9" s="58">
        <f>利润表!BH7</f>
        <v>3340067.99</v>
      </c>
      <c r="BI9" s="58">
        <f>利润表!BI7</f>
        <v>10033587.91</v>
      </c>
      <c r="BJ9" s="58">
        <f>利润表!BJ7</f>
        <v>7705082.3300000001</v>
      </c>
      <c r="BK9" s="58">
        <f>利润表!BK7</f>
        <v>4887731.57</v>
      </c>
      <c r="BL9" s="58">
        <f>利润表!BL7</f>
        <v>2091601.66</v>
      </c>
      <c r="BM9" s="58">
        <f>利润表!BM7</f>
        <v>5214040.9400000004</v>
      </c>
      <c r="BN9" s="58">
        <f>利润表!BN7</f>
        <v>4255415.29</v>
      </c>
      <c r="BO9" s="58">
        <f>利润表!BO7</f>
        <v>2423002.52</v>
      </c>
      <c r="BP9" s="58">
        <f>利润表!BP7</f>
        <v>1645637.62</v>
      </c>
      <c r="BQ9" s="58">
        <f>利润表!BQ7</f>
        <v>4091150.91</v>
      </c>
      <c r="BR9" s="58">
        <f>利润表!BR7</f>
        <v>0</v>
      </c>
      <c r="BS9" s="58">
        <f>利润表!BS7</f>
        <v>1939877.85</v>
      </c>
      <c r="BT9" s="58">
        <f>利润表!BT7</f>
        <v>1899489.84</v>
      </c>
      <c r="BU9" s="58">
        <f>利润表!BU7</f>
        <v>575201.6</v>
      </c>
      <c r="BV9" s="58">
        <f>利润表!BV7</f>
        <v>1076291.96</v>
      </c>
      <c r="BW9" s="58">
        <f>利润表!BW7</f>
        <v>769057.81</v>
      </c>
      <c r="BX9" s="58">
        <f>利润表!BX7</f>
        <v>526966.91</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493</v>
      </c>
      <c r="E10" s="58">
        <f>利润表!E8</f>
        <v>1416999560.47</v>
      </c>
      <c r="F10" s="58">
        <f>利润表!F8</f>
        <v>1038617673.1799999</v>
      </c>
      <c r="G10" s="58">
        <f>利润表!G8</f>
        <v>671559854.64999998</v>
      </c>
      <c r="H10" s="58">
        <f>利润表!H8</f>
        <v>304224336.44999999</v>
      </c>
      <c r="I10" s="58">
        <f>利润表!I8</f>
        <v>1165983654.8900001</v>
      </c>
      <c r="J10" s="58">
        <f>利润表!J8</f>
        <v>803987150.49000001</v>
      </c>
      <c r="K10" s="58">
        <f>利润表!K8</f>
        <v>517908496.91000003</v>
      </c>
      <c r="L10" s="58">
        <f>利润表!L8</f>
        <v>244093669.31</v>
      </c>
      <c r="M10" s="58">
        <f>利润表!M8</f>
        <v>847269688.95000005</v>
      </c>
      <c r="N10" s="58">
        <f>利润表!N8</f>
        <v>579629667.38999999</v>
      </c>
      <c r="O10" s="58">
        <f>利润表!O8</f>
        <v>370192797.54000002</v>
      </c>
      <c r="P10" s="58">
        <f>利润表!P8</f>
        <v>161249607.06999999</v>
      </c>
      <c r="Q10" s="58">
        <f>利润表!Q8</f>
        <v>700428306.59000003</v>
      </c>
      <c r="R10" s="58">
        <f>利润表!R8</f>
        <v>514838924.38999999</v>
      </c>
      <c r="S10" s="58">
        <f>利润表!S8</f>
        <v>330760603.86000001</v>
      </c>
      <c r="T10" s="58">
        <f>利润表!T8</f>
        <v>119773632.52</v>
      </c>
      <c r="U10" s="58">
        <f>利润表!U8</f>
        <v>595849295.92999995</v>
      </c>
      <c r="V10" s="58">
        <f>利润表!V8</f>
        <v>460278237.80000001</v>
      </c>
      <c r="W10" s="58">
        <f>利润表!W8</f>
        <v>322569181.61000001</v>
      </c>
      <c r="X10" s="58">
        <f>利润表!X8</f>
        <v>134340553.72</v>
      </c>
      <c r="Y10" s="58">
        <f>利润表!Y8</f>
        <v>486416845.54000002</v>
      </c>
      <c r="Z10" s="58">
        <f>利润表!Z8</f>
        <v>339515631.80000001</v>
      </c>
      <c r="AA10" s="58">
        <f>利润表!AA8</f>
        <v>206667894.94999999</v>
      </c>
      <c r="AB10" s="58">
        <f>利润表!AB8</f>
        <v>94460901.930000007</v>
      </c>
      <c r="AC10" s="58">
        <f>利润表!AC8</f>
        <v>386726440.72000003</v>
      </c>
      <c r="AD10" s="58">
        <f>利润表!AD8</f>
        <v>286345415.00999999</v>
      </c>
      <c r="AE10" s="58">
        <f>利润表!AE8</f>
        <v>187948342.78999999</v>
      </c>
      <c r="AF10" s="58">
        <f>利润表!AF8</f>
        <v>85474453.390000001</v>
      </c>
      <c r="AG10" s="58">
        <f>利润表!AG8</f>
        <v>273624351.13999999</v>
      </c>
      <c r="AH10" s="58">
        <f>利润表!AH8</f>
        <v>201674303.13999999</v>
      </c>
      <c r="AI10" s="58">
        <f>利润表!AI8</f>
        <v>135418094.25</v>
      </c>
      <c r="AJ10" s="58">
        <f>利润表!AJ8</f>
        <v>61923604.390000001</v>
      </c>
      <c r="AK10" s="58">
        <f>利润表!AK8</f>
        <v>235225015.80000001</v>
      </c>
      <c r="AL10" s="58">
        <f>利润表!AL8</f>
        <v>165433233.72999999</v>
      </c>
      <c r="AM10" s="58">
        <f>利润表!AM8</f>
        <v>101363953.83</v>
      </c>
      <c r="AN10" s="58">
        <f>利润表!AN8</f>
        <v>54973468.200000003</v>
      </c>
      <c r="AO10" s="58">
        <f>利润表!AO8</f>
        <v>207141030.28999999</v>
      </c>
      <c r="AP10" s="58">
        <f>利润表!AP8</f>
        <v>163742472.84999999</v>
      </c>
      <c r="AQ10" s="58">
        <f>利润表!AQ8</f>
        <v>108594338.31999999</v>
      </c>
      <c r="AR10" s="58">
        <f>利润表!AR8</f>
        <v>50674850.340000004</v>
      </c>
      <c r="AS10" s="58">
        <f>利润表!AS8</f>
        <v>223516631.16999999</v>
      </c>
      <c r="AT10" s="58">
        <f>利润表!AT8</f>
        <v>159092253.09</v>
      </c>
      <c r="AU10" s="58">
        <f>利润表!AU8</f>
        <v>98006221.109999999</v>
      </c>
      <c r="AV10" s="58">
        <f>利润表!AV8</f>
        <v>45876275.130000003</v>
      </c>
      <c r="AW10" s="58">
        <f>利润表!AW8</f>
        <v>126715371.18000001</v>
      </c>
      <c r="AX10" s="58">
        <f>利润表!AX8</f>
        <v>91500805.799999997</v>
      </c>
      <c r="AY10" s="58">
        <f>利润表!AY8</f>
        <v>51590565.619999997</v>
      </c>
      <c r="AZ10" s="58">
        <f>利润表!AZ8</f>
        <v>24362096.32</v>
      </c>
      <c r="BA10" s="58">
        <f>利润表!BA8</f>
        <v>71325807.409999996</v>
      </c>
      <c r="BB10" s="58">
        <f>利润表!BB8</f>
        <v>53919101.100000001</v>
      </c>
      <c r="BC10" s="58">
        <f>利润表!BC8</f>
        <v>36750496.93</v>
      </c>
      <c r="BD10" s="58">
        <f>利润表!BD8</f>
        <v>20224518.170000002</v>
      </c>
      <c r="BE10" s="58">
        <f>利润表!BE8</f>
        <v>62230028.909999996</v>
      </c>
      <c r="BF10" s="58">
        <f>利润表!BF8</f>
        <v>51313792.130000003</v>
      </c>
      <c r="BG10" s="58">
        <f>利润表!BG8</f>
        <v>31944080.98</v>
      </c>
      <c r="BH10" s="58">
        <f>利润表!BH8</f>
        <v>16478870.1</v>
      </c>
      <c r="BI10" s="58">
        <f>利润表!BI8</f>
        <v>45496868.149999999</v>
      </c>
      <c r="BJ10" s="58">
        <f>利润表!BJ8</f>
        <v>25558883.579999998</v>
      </c>
      <c r="BK10" s="58">
        <f>利润表!BK8</f>
        <v>14473113.32</v>
      </c>
      <c r="BL10" s="58">
        <f>利润表!BL8</f>
        <v>7283411.1200000001</v>
      </c>
      <c r="BM10" s="58">
        <f>利润表!BM8</f>
        <v>32325991.07</v>
      </c>
      <c r="BN10" s="58">
        <f>利润表!BN8</f>
        <v>23584568.399999999</v>
      </c>
      <c r="BO10" s="58">
        <f>利润表!BO8</f>
        <v>13386234.01</v>
      </c>
      <c r="BP10" s="58">
        <f>利润表!BP8</f>
        <v>6782057.5899999999</v>
      </c>
      <c r="BQ10" s="58">
        <f>利润表!BQ8</f>
        <v>20799956.309999999</v>
      </c>
      <c r="BR10" s="58">
        <f>利润表!BR8</f>
        <v>0</v>
      </c>
      <c r="BS10" s="58">
        <f>利润表!BS8</f>
        <v>9768978.1500000004</v>
      </c>
      <c r="BT10" s="58">
        <f>利润表!BT8</f>
        <v>9684022.5099999998</v>
      </c>
      <c r="BU10" s="58">
        <f>利润表!BU8</f>
        <v>6853433.7699999996</v>
      </c>
      <c r="BV10" s="58">
        <f>利润表!BV8</f>
        <v>4024681.17</v>
      </c>
      <c r="BW10" s="58">
        <f>利润表!BW8</f>
        <v>3815283.33</v>
      </c>
      <c r="BX10" s="58">
        <f>利润表!BX8</f>
        <v>2622320.12</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494</v>
      </c>
      <c r="E11" s="58">
        <f>利润表!E9</f>
        <v>2034568276.1500001</v>
      </c>
      <c r="F11" s="58">
        <f>利润表!F9</f>
        <v>1413716412.74</v>
      </c>
      <c r="G11" s="58">
        <f>利润表!G9</f>
        <v>811531490.39999998</v>
      </c>
      <c r="H11" s="58">
        <f>利润表!H9</f>
        <v>393700215.00999999</v>
      </c>
      <c r="I11" s="58">
        <f>利润表!I9</f>
        <v>1423283407.77</v>
      </c>
      <c r="J11" s="58">
        <f>利润表!J9</f>
        <v>1071440217.97</v>
      </c>
      <c r="K11" s="58">
        <f>利润表!K9</f>
        <v>627040756.5</v>
      </c>
      <c r="L11" s="58">
        <f>利润表!L9</f>
        <v>274088818.70999998</v>
      </c>
      <c r="M11" s="58">
        <f>利润表!M9</f>
        <v>1281515644.4300001</v>
      </c>
      <c r="N11" s="58">
        <f>利润表!N9</f>
        <v>1035578756.38</v>
      </c>
      <c r="O11" s="58">
        <f>利润表!O9</f>
        <v>730369026.32000005</v>
      </c>
      <c r="P11" s="58">
        <f>利润表!P9</f>
        <v>300713066.91000003</v>
      </c>
      <c r="Q11" s="58">
        <f>利润表!Q9</f>
        <v>1358892533.97</v>
      </c>
      <c r="R11" s="58">
        <f>利润表!R9</f>
        <v>975322236.10000002</v>
      </c>
      <c r="S11" s="58">
        <f>利润表!S9</f>
        <v>638873818.64999998</v>
      </c>
      <c r="T11" s="58">
        <f>利润表!T9</f>
        <v>211292618.38</v>
      </c>
      <c r="U11" s="58">
        <f>利润表!U9</f>
        <v>1388192012.74</v>
      </c>
      <c r="V11" s="58">
        <f>利润表!V9</f>
        <v>1043147668.91</v>
      </c>
      <c r="W11" s="58">
        <f>利润表!W9</f>
        <v>658123589.13</v>
      </c>
      <c r="X11" s="58">
        <f>利润表!X9</f>
        <v>254200787.16999999</v>
      </c>
      <c r="Y11" s="58">
        <f>利润表!Y9</f>
        <v>1054199281.34</v>
      </c>
      <c r="Z11" s="58">
        <f>利润表!Z9</f>
        <v>740436544.39999998</v>
      </c>
      <c r="AA11" s="58">
        <f>利润表!AA9</f>
        <v>474545735.98000002</v>
      </c>
      <c r="AB11" s="58">
        <f>利润表!AB9</f>
        <v>204398170.28</v>
      </c>
      <c r="AC11" s="58">
        <f>利润表!AC9</f>
        <v>851728952.30999994</v>
      </c>
      <c r="AD11" s="58">
        <f>利润表!AD9</f>
        <v>687770387.03999996</v>
      </c>
      <c r="AE11" s="58">
        <f>利润表!AE9</f>
        <v>453609327.23000002</v>
      </c>
      <c r="AF11" s="58">
        <f>利润表!AF9</f>
        <v>211001819.52000001</v>
      </c>
      <c r="AG11" s="58">
        <f>利润表!AG9</f>
        <v>535734805.25999999</v>
      </c>
      <c r="AH11" s="58">
        <f>利润表!AH9</f>
        <v>349718849.01999998</v>
      </c>
      <c r="AI11" s="58">
        <f>利润表!AI9</f>
        <v>231579042.43000001</v>
      </c>
      <c r="AJ11" s="58">
        <f>利润表!AJ9</f>
        <v>93355014.730000004</v>
      </c>
      <c r="AK11" s="58">
        <f>利润表!AK9</f>
        <v>449667767.81999999</v>
      </c>
      <c r="AL11" s="58">
        <f>利润表!AL9</f>
        <v>327717791.43000001</v>
      </c>
      <c r="AM11" s="58">
        <f>利润表!AM9</f>
        <v>185985696.27000001</v>
      </c>
      <c r="AN11" s="58">
        <f>利润表!AN9</f>
        <v>86283274.980000004</v>
      </c>
      <c r="AO11" s="58">
        <f>利润表!AO9</f>
        <v>454186980.87</v>
      </c>
      <c r="AP11" s="58">
        <f>利润表!AP9</f>
        <v>342525356.25999999</v>
      </c>
      <c r="AQ11" s="58">
        <f>利润表!AQ9</f>
        <v>232675377.80000001</v>
      </c>
      <c r="AR11" s="58">
        <f>利润表!AR9</f>
        <v>123487610.18000001</v>
      </c>
      <c r="AS11" s="58">
        <f>利润表!AS9</f>
        <v>571193496.42999995</v>
      </c>
      <c r="AT11" s="58">
        <f>利润表!AT9</f>
        <v>355413740.13</v>
      </c>
      <c r="AU11" s="58">
        <f>利润表!AU9</f>
        <v>193897929.34999999</v>
      </c>
      <c r="AV11" s="58">
        <f>利润表!AV9</f>
        <v>92133047.010000005</v>
      </c>
      <c r="AW11" s="58">
        <f>利润表!AW9</f>
        <v>316788486.07999998</v>
      </c>
      <c r="AX11" s="58">
        <f>利润表!AX9</f>
        <v>223846039.24000001</v>
      </c>
      <c r="AY11" s="58">
        <f>利润表!AY9</f>
        <v>119736582.02</v>
      </c>
      <c r="AZ11" s="58">
        <f>利润表!AZ9</f>
        <v>62325603.270000003</v>
      </c>
      <c r="BA11" s="58">
        <f>利润表!BA9</f>
        <v>235623560.65000001</v>
      </c>
      <c r="BB11" s="58">
        <f>利润表!BB9</f>
        <v>177688539.74000001</v>
      </c>
      <c r="BC11" s="58">
        <f>利润表!BC9</f>
        <v>103933515.34999999</v>
      </c>
      <c r="BD11" s="58">
        <f>利润表!BD9</f>
        <v>63851770.979999997</v>
      </c>
      <c r="BE11" s="58">
        <f>利润表!BE9</f>
        <v>215272387.62</v>
      </c>
      <c r="BF11" s="58">
        <f>利润表!BF9</f>
        <v>160555181.15000001</v>
      </c>
      <c r="BG11" s="58">
        <f>利润表!BG9</f>
        <v>96407186.329999998</v>
      </c>
      <c r="BH11" s="58">
        <f>利润表!BH9</f>
        <v>47077206.840000004</v>
      </c>
      <c r="BI11" s="58">
        <f>利润表!BI9</f>
        <v>124971388.59</v>
      </c>
      <c r="BJ11" s="58">
        <f>利润表!BJ9</f>
        <v>85502720.159999996</v>
      </c>
      <c r="BK11" s="58">
        <f>利润表!BK9</f>
        <v>55261708.299999997</v>
      </c>
      <c r="BL11" s="58">
        <f>利润表!BL9</f>
        <v>34325551.969999999</v>
      </c>
      <c r="BM11" s="58">
        <f>利润表!BM9</f>
        <v>80369841.780000001</v>
      </c>
      <c r="BN11" s="58">
        <f>利润表!BN9</f>
        <v>59399179.420000002</v>
      </c>
      <c r="BO11" s="58">
        <f>利润表!BO9</f>
        <v>27287259.789999999</v>
      </c>
      <c r="BP11" s="58">
        <f>利润表!BP9</f>
        <v>16644550.83</v>
      </c>
      <c r="BQ11" s="58">
        <f>利润表!BQ9</f>
        <v>64562414.719999999</v>
      </c>
      <c r="BR11" s="58">
        <f>利润表!BR9</f>
        <v>0</v>
      </c>
      <c r="BS11" s="58">
        <f>利润表!BS9</f>
        <v>28483931.850000001</v>
      </c>
      <c r="BT11" s="58">
        <f>利润表!BT9</f>
        <v>32842193.23</v>
      </c>
      <c r="BU11" s="58">
        <f>利润表!BU9</f>
        <v>15643981.039999999</v>
      </c>
      <c r="BV11" s="58">
        <f>利润表!BV9</f>
        <v>9185742.0099999998</v>
      </c>
      <c r="BW11" s="58">
        <f>利润表!BW9</f>
        <v>6116144.1100000003</v>
      </c>
      <c r="BX11" s="58">
        <f>利润表!BX9</f>
        <v>5895552.0499999998</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495</v>
      </c>
      <c r="E12" s="58">
        <f>SUM(E8:E11)</f>
        <v>35960199739.310005</v>
      </c>
      <c r="F12" s="58">
        <f t="shared" ref="F12:BQ12" si="4">SUM(F8:F11)</f>
        <v>26519100814.750004</v>
      </c>
      <c r="G12" s="58">
        <f t="shared" si="4"/>
        <v>16597318379.129999</v>
      </c>
      <c r="H12" s="58">
        <f t="shared" si="4"/>
        <v>7452490780.7699995</v>
      </c>
      <c r="I12" s="58">
        <f t="shared" si="4"/>
        <v>23537837380.59</v>
      </c>
      <c r="J12" s="58">
        <f t="shared" si="4"/>
        <v>16575497168.849998</v>
      </c>
      <c r="K12" s="58">
        <f t="shared" si="4"/>
        <v>10043477772.030001</v>
      </c>
      <c r="L12" s="58">
        <f t="shared" si="4"/>
        <v>4399547010.4799995</v>
      </c>
      <c r="M12" s="58">
        <f t="shared" si="4"/>
        <v>15844400994.610001</v>
      </c>
      <c r="N12" s="58">
        <f t="shared" si="4"/>
        <v>11776342176.889999</v>
      </c>
      <c r="O12" s="58">
        <f t="shared" si="4"/>
        <v>7862505347.7799997</v>
      </c>
      <c r="P12" s="58">
        <f t="shared" si="4"/>
        <v>3632040076.4100003</v>
      </c>
      <c r="Q12" s="58">
        <f t="shared" si="4"/>
        <v>17436680369.189999</v>
      </c>
      <c r="R12" s="58">
        <f t="shared" si="4"/>
        <v>13973369325.449999</v>
      </c>
      <c r="S12" s="58">
        <f t="shared" si="4"/>
        <v>9135402671.4799995</v>
      </c>
      <c r="T12" s="58">
        <f t="shared" si="4"/>
        <v>3902175540.4899998</v>
      </c>
      <c r="U12" s="58">
        <f t="shared" si="4"/>
        <v>15691978279.810001</v>
      </c>
      <c r="V12" s="58">
        <f t="shared" si="4"/>
        <v>11646502895.709999</v>
      </c>
      <c r="W12" s="58">
        <f t="shared" si="4"/>
        <v>7481140797.7299995</v>
      </c>
      <c r="X12" s="58">
        <f t="shared" si="4"/>
        <v>3537718128.9099998</v>
      </c>
      <c r="Y12" s="58">
        <f t="shared" si="4"/>
        <v>12010688762.950001</v>
      </c>
      <c r="Z12" s="58">
        <f t="shared" si="4"/>
        <v>8686265930.6599998</v>
      </c>
      <c r="AA12" s="58">
        <f t="shared" si="4"/>
        <v>5521630087.2700005</v>
      </c>
      <c r="AB12" s="58">
        <f t="shared" si="4"/>
        <v>2520775356.8200002</v>
      </c>
      <c r="AC12" s="58">
        <f t="shared" si="4"/>
        <v>10787690349.279999</v>
      </c>
      <c r="AD12" s="58">
        <f t="shared" si="4"/>
        <v>8085500608.0599995</v>
      </c>
      <c r="AE12" s="58">
        <f t="shared" si="4"/>
        <v>5300688339.9500008</v>
      </c>
      <c r="AF12" s="58">
        <f t="shared" si="4"/>
        <v>2433320569.27</v>
      </c>
      <c r="AG12" s="58">
        <f t="shared" si="4"/>
        <v>7878148944.3700008</v>
      </c>
      <c r="AH12" s="58">
        <f t="shared" si="4"/>
        <v>5591283752.0300007</v>
      </c>
      <c r="AI12" s="58">
        <f t="shared" si="4"/>
        <v>3620691556.5699997</v>
      </c>
      <c r="AJ12" s="58">
        <f t="shared" si="4"/>
        <v>1716566495.4300003</v>
      </c>
      <c r="AK12" s="58">
        <f t="shared" si="4"/>
        <v>5319161992.29</v>
      </c>
      <c r="AL12" s="58">
        <f t="shared" si="4"/>
        <v>3769270966.0700002</v>
      </c>
      <c r="AM12" s="58">
        <f t="shared" si="4"/>
        <v>2268629173.04</v>
      </c>
      <c r="AN12" s="58">
        <f t="shared" si="4"/>
        <v>1069388656.4100001</v>
      </c>
      <c r="AO12" s="58">
        <f t="shared" si="4"/>
        <v>6004076223.8699999</v>
      </c>
      <c r="AP12" s="58">
        <f t="shared" si="4"/>
        <v>4590713292.9899998</v>
      </c>
      <c r="AQ12" s="58">
        <f t="shared" si="4"/>
        <v>2954839653.1600003</v>
      </c>
      <c r="AR12" s="58">
        <f t="shared" si="4"/>
        <v>1416793324.8700001</v>
      </c>
      <c r="AS12" s="58">
        <f t="shared" si="4"/>
        <v>5513066938.5500002</v>
      </c>
      <c r="AT12" s="58">
        <f t="shared" si="4"/>
        <v>4144913082.6900001</v>
      </c>
      <c r="AU12" s="58">
        <f t="shared" si="4"/>
        <v>2529284793.79</v>
      </c>
      <c r="AV12" s="58">
        <f t="shared" si="4"/>
        <v>1237558181.6100001</v>
      </c>
      <c r="AW12" s="58">
        <f t="shared" si="4"/>
        <v>3617800292.3099999</v>
      </c>
      <c r="AX12" s="58">
        <f t="shared" si="4"/>
        <v>2596338403.4400005</v>
      </c>
      <c r="AY12" s="58">
        <f t="shared" si="4"/>
        <v>1584857425.73</v>
      </c>
      <c r="AZ12" s="58">
        <f t="shared" si="4"/>
        <v>780669800.62</v>
      </c>
      <c r="BA12" s="58">
        <f t="shared" si="4"/>
        <v>2402580501.2200003</v>
      </c>
      <c r="BB12" s="58">
        <f t="shared" si="4"/>
        <v>1818467379.3800001</v>
      </c>
      <c r="BC12" s="58">
        <f t="shared" si="4"/>
        <v>1119053880.7499998</v>
      </c>
      <c r="BD12" s="58">
        <f t="shared" si="4"/>
        <v>558944952.65999997</v>
      </c>
      <c r="BE12" s="58">
        <f t="shared" si="4"/>
        <v>1543392798.0300002</v>
      </c>
      <c r="BF12" s="58">
        <f t="shared" si="4"/>
        <v>1197516483.1800001</v>
      </c>
      <c r="BG12" s="58">
        <f t="shared" si="4"/>
        <v>708619711.88</v>
      </c>
      <c r="BH12" s="58">
        <f t="shared" si="4"/>
        <v>357065186.13999999</v>
      </c>
      <c r="BI12" s="58">
        <f t="shared" si="4"/>
        <v>1041959188.11</v>
      </c>
      <c r="BJ12" s="58">
        <f t="shared" si="4"/>
        <v>740598621.88</v>
      </c>
      <c r="BK12" s="58">
        <f t="shared" si="4"/>
        <v>526856750.44999999</v>
      </c>
      <c r="BL12" s="58">
        <f t="shared" si="4"/>
        <v>278890535.60000002</v>
      </c>
      <c r="BM12" s="58">
        <f t="shared" si="4"/>
        <v>694009794.91000009</v>
      </c>
      <c r="BN12" s="58">
        <f t="shared" si="4"/>
        <v>574944098.65999997</v>
      </c>
      <c r="BO12" s="58">
        <f t="shared" si="4"/>
        <v>330692585.84999996</v>
      </c>
      <c r="BP12" s="58">
        <f t="shared" si="4"/>
        <v>168261497.75000003</v>
      </c>
      <c r="BQ12" s="58">
        <f t="shared" si="4"/>
        <v>452562010.48000002</v>
      </c>
      <c r="BR12" s="58">
        <f t="shared" ref="BR12:CL12" si="5">SUM(BR8:BR11)</f>
        <v>0</v>
      </c>
      <c r="BS12" s="58">
        <f t="shared" si="5"/>
        <v>216209183.59</v>
      </c>
      <c r="BT12" s="58">
        <f t="shared" si="5"/>
        <v>276310900.55000001</v>
      </c>
      <c r="BU12" s="58">
        <f t="shared" si="5"/>
        <v>118973891.88</v>
      </c>
      <c r="BV12" s="58">
        <f t="shared" si="5"/>
        <v>174316918.84999999</v>
      </c>
      <c r="BW12" s="58">
        <f t="shared" si="5"/>
        <v>153056311.01000002</v>
      </c>
      <c r="BX12" s="58">
        <f t="shared" si="5"/>
        <v>119811199.3</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1.0961668743941484</v>
      </c>
      <c r="F13" s="28">
        <f t="shared" ref="F13:BQ13" si="6">(F6/(1+F4)+F7)/F12</f>
        <v>1.0839964586617585</v>
      </c>
      <c r="G13" s="28">
        <f t="shared" si="6"/>
        <v>1.1189982806923391</v>
      </c>
      <c r="H13" s="28">
        <f t="shared" si="6"/>
        <v>1.2174292416033878</v>
      </c>
      <c r="I13" s="28">
        <f t="shared" si="6"/>
        <v>0.9558098998636112</v>
      </c>
      <c r="J13" s="28">
        <f t="shared" si="6"/>
        <v>0.95773872691816231</v>
      </c>
      <c r="K13" s="28">
        <f t="shared" si="6"/>
        <v>0.91960160968589888</v>
      </c>
      <c r="L13" s="28">
        <f t="shared" si="6"/>
        <v>0.79945379953457829</v>
      </c>
      <c r="M13" s="28">
        <f t="shared" si="6"/>
        <v>1.0248934433660541</v>
      </c>
      <c r="N13" s="28">
        <f t="shared" si="6"/>
        <v>0.90475426853357199</v>
      </c>
      <c r="O13" s="28">
        <f t="shared" si="6"/>
        <v>0.90307278537871183</v>
      </c>
      <c r="P13" s="28">
        <f t="shared" si="6"/>
        <v>0.76695261038054441</v>
      </c>
      <c r="Q13" s="28">
        <f t="shared" si="6"/>
        <v>1.1364864453811117</v>
      </c>
      <c r="R13" s="28">
        <f t="shared" si="6"/>
        <v>0.89381771280455835</v>
      </c>
      <c r="S13" s="28">
        <f t="shared" si="6"/>
        <v>0.89793161219145612</v>
      </c>
      <c r="T13" s="28">
        <f t="shared" si="6"/>
        <v>0.95008285631228773</v>
      </c>
      <c r="U13" s="28">
        <f t="shared" si="6"/>
        <v>1.0278888230336176</v>
      </c>
      <c r="V13" s="28">
        <f t="shared" si="6"/>
        <v>0.90522488391353884</v>
      </c>
      <c r="W13" s="28">
        <f t="shared" si="6"/>
        <v>0.8572296998049177</v>
      </c>
      <c r="X13" s="28">
        <f t="shared" si="6"/>
        <v>0.84056643410480802</v>
      </c>
      <c r="Y13" s="28">
        <f t="shared" si="6"/>
        <v>0.94880954744154267</v>
      </c>
      <c r="Z13" s="28">
        <f t="shared" si="6"/>
        <v>0.81736486929373453</v>
      </c>
      <c r="AA13" s="28">
        <f t="shared" si="6"/>
        <v>0.83527098227554908</v>
      </c>
      <c r="AB13" s="28">
        <f t="shared" si="6"/>
        <v>0.88936562262388386</v>
      </c>
      <c r="AC13" s="28">
        <f t="shared" si="6"/>
        <v>0.98901303857282052</v>
      </c>
      <c r="AD13" s="28">
        <f t="shared" si="6"/>
        <v>0.96350504917511526</v>
      </c>
      <c r="AE13" s="28">
        <f t="shared" si="6"/>
        <v>1.0154135846227219</v>
      </c>
      <c r="AF13" s="28">
        <f t="shared" si="6"/>
        <v>1.0815771390409381</v>
      </c>
      <c r="AG13" s="28">
        <f t="shared" si="6"/>
        <v>1.0047414362714973</v>
      </c>
      <c r="AH13" s="28">
        <f t="shared" si="6"/>
        <v>1.0242765562518397</v>
      </c>
      <c r="AI13" s="28">
        <f t="shared" si="6"/>
        <v>1.0369479258921588</v>
      </c>
      <c r="AJ13" s="28">
        <f t="shared" si="6"/>
        <v>0.92171802389875257</v>
      </c>
      <c r="AK13" s="28">
        <f t="shared" si="6"/>
        <v>0.95402369577932422</v>
      </c>
      <c r="AL13" s="28">
        <f t="shared" si="6"/>
        <v>0.92731531230006936</v>
      </c>
      <c r="AM13" s="28">
        <f t="shared" si="6"/>
        <v>0.85029722580456379</v>
      </c>
      <c r="AN13" s="28">
        <f t="shared" si="6"/>
        <v>0.77348312477398773</v>
      </c>
      <c r="AO13" s="28">
        <f t="shared" si="6"/>
        <v>0.95006633351396008</v>
      </c>
      <c r="AP13" s="28">
        <f t="shared" si="6"/>
        <v>0.88230453365429984</v>
      </c>
      <c r="AQ13" s="28">
        <f t="shared" si="6"/>
        <v>0.92758133210047322</v>
      </c>
      <c r="AR13" s="28">
        <f t="shared" si="6"/>
        <v>0.82396153526643923</v>
      </c>
      <c r="AS13" s="28">
        <f t="shared" si="6"/>
        <v>0.94299877137707522</v>
      </c>
      <c r="AT13" s="28">
        <f t="shared" si="6"/>
        <v>0.85194706211266269</v>
      </c>
      <c r="AU13" s="28">
        <f t="shared" si="6"/>
        <v>0.87946233172034582</v>
      </c>
      <c r="AV13" s="28">
        <f t="shared" si="6"/>
        <v>1.0467152926528895</v>
      </c>
      <c r="AW13" s="28">
        <f t="shared" si="6"/>
        <v>0.87391161850788734</v>
      </c>
      <c r="AX13" s="28">
        <f t="shared" si="6"/>
        <v>0.83102330040592165</v>
      </c>
      <c r="AY13" s="28">
        <f t="shared" si="6"/>
        <v>0.92604418731913729</v>
      </c>
      <c r="AZ13" s="28">
        <f t="shared" si="6"/>
        <v>1.0412109313178868</v>
      </c>
      <c r="BA13" s="28">
        <f t="shared" si="6"/>
        <v>0.90593037282759581</v>
      </c>
      <c r="BB13" s="28">
        <f t="shared" si="6"/>
        <v>0.93178601758324009</v>
      </c>
      <c r="BC13" s="28">
        <f t="shared" si="6"/>
        <v>1.0469219535330268</v>
      </c>
      <c r="BD13" s="28">
        <f t="shared" si="6"/>
        <v>0.84133297575412802</v>
      </c>
      <c r="BE13" s="28">
        <f t="shared" si="6"/>
        <v>0.98229006115788065</v>
      </c>
      <c r="BF13" s="28">
        <f t="shared" si="6"/>
        <v>0.9519344341619449</v>
      </c>
      <c r="BG13" s="28">
        <f t="shared" si="6"/>
        <v>0.88494184635352457</v>
      </c>
      <c r="BH13" s="28">
        <f t="shared" si="6"/>
        <v>0.78592532476369559</v>
      </c>
      <c r="BI13" s="28">
        <f t="shared" si="6"/>
        <v>0.87703257224833253</v>
      </c>
      <c r="BJ13" s="28">
        <f t="shared" si="6"/>
        <v>0.84384710778868866</v>
      </c>
      <c r="BK13" s="28">
        <f t="shared" si="6"/>
        <v>0.85884968054606692</v>
      </c>
      <c r="BL13" s="28">
        <f t="shared" si="6"/>
        <v>0.83155356793673063</v>
      </c>
      <c r="BM13" s="28">
        <f t="shared" si="6"/>
        <v>0.94838477556883072</v>
      </c>
      <c r="BN13" s="28">
        <f t="shared" si="6"/>
        <v>0.35498930351002561</v>
      </c>
      <c r="BO13" s="28">
        <f t="shared" si="6"/>
        <v>1.2482243478608754</v>
      </c>
      <c r="BP13" s="28">
        <f t="shared" si="6"/>
        <v>1.1983176248583514</v>
      </c>
      <c r="BQ13" s="28">
        <f t="shared" si="6"/>
        <v>0.60298611474422614</v>
      </c>
      <c r="BR13" s="28" t="e">
        <f t="shared" ref="BR13:CK13" si="7">(BR6/(1+BR4)+BR7)/BR12</f>
        <v>#DIV/0!</v>
      </c>
      <c r="BS13" s="28">
        <f t="shared" si="7"/>
        <v>0.58071997950097665</v>
      </c>
      <c r="BT13" s="28">
        <f t="shared" si="7"/>
        <v>0</v>
      </c>
      <c r="BU13" s="28">
        <f t="shared" si="7"/>
        <v>0</v>
      </c>
      <c r="BV13" s="28">
        <f t="shared" si="7"/>
        <v>0</v>
      </c>
      <c r="BW13" s="28">
        <f t="shared" si="7"/>
        <v>0</v>
      </c>
      <c r="BX13" s="28">
        <f t="shared" si="7"/>
        <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10212146595.4</v>
      </c>
      <c r="F14" s="26">
        <f>现金流量表!F13</f>
        <v>5631450899.3100004</v>
      </c>
      <c r="G14" s="26">
        <f>现金流量表!G13</f>
        <v>1448528030.7</v>
      </c>
      <c r="H14" s="26">
        <f>现金流量表!H13</f>
        <v>473064821.51999998</v>
      </c>
      <c r="I14" s="26">
        <f>现金流量表!I13</f>
        <v>7348843878.8299999</v>
      </c>
      <c r="J14" s="26">
        <f>现金流量表!J13</f>
        <v>5213297121.1899996</v>
      </c>
      <c r="K14" s="26">
        <f>现金流量表!K13</f>
        <v>3196955963.5300002</v>
      </c>
      <c r="L14" s="26">
        <f>现金流量表!L13</f>
        <v>1797738710.79</v>
      </c>
      <c r="M14" s="26">
        <f>现金流量表!M13</f>
        <v>4602393725.9200001</v>
      </c>
      <c r="N14" s="26">
        <f>现金流量表!N13</f>
        <v>3261934933.6900001</v>
      </c>
      <c r="O14" s="26">
        <f>现金流量表!O13</f>
        <v>1938355948.03</v>
      </c>
      <c r="P14" s="26">
        <f>现金流量表!P13</f>
        <v>744388968.48000002</v>
      </c>
      <c r="Q14" s="26">
        <f>现金流量表!Q13</f>
        <v>4020514862.8299999</v>
      </c>
      <c r="R14" s="26">
        <f>现金流量表!R13</f>
        <v>4001156726.0300002</v>
      </c>
      <c r="S14" s="26">
        <f>现金流量表!S13</f>
        <v>1817062217.95</v>
      </c>
      <c r="T14" s="26">
        <f>现金流量表!T13</f>
        <v>1041438665.5</v>
      </c>
      <c r="U14" s="26">
        <f>现金流量表!U13</f>
        <v>3869262970.0700002</v>
      </c>
      <c r="V14" s="26">
        <f>现金流量表!V13</f>
        <v>2431011526.1799998</v>
      </c>
      <c r="W14" s="26">
        <f>现金流量表!W13</f>
        <v>1784057088.8699999</v>
      </c>
      <c r="X14" s="26">
        <f>现金流量表!X13</f>
        <v>771350227.17999995</v>
      </c>
      <c r="Y14" s="26">
        <f>现金流量表!Y13</f>
        <v>3806178738.5300002</v>
      </c>
      <c r="Z14" s="26">
        <f>现金流量表!Z13</f>
        <v>2768175671.1700001</v>
      </c>
      <c r="AA14" s="26">
        <f>现金流量表!AA13</f>
        <v>1894122384.52</v>
      </c>
      <c r="AB14" s="26">
        <f>现金流量表!AB13</f>
        <v>941760962.99000001</v>
      </c>
      <c r="AC14" s="26">
        <f>现金流量表!AC13</f>
        <v>2012433377.9000001</v>
      </c>
      <c r="AD14" s="26">
        <f>现金流量表!AD13</f>
        <v>1030715391.98</v>
      </c>
      <c r="AE14" s="26">
        <f>现金流量表!AE13</f>
        <v>947645195.47000003</v>
      </c>
      <c r="AF14" s="26">
        <f>现金流量表!AF13</f>
        <v>245090015.16999999</v>
      </c>
      <c r="AG14" s="26">
        <f>现金流量表!AG13</f>
        <v>413358406.20999998</v>
      </c>
      <c r="AH14" s="26">
        <f>现金流量表!AH13</f>
        <v>217249909.44999999</v>
      </c>
      <c r="AI14" s="26">
        <f>现金流量表!AI13</f>
        <v>224549233.96000001</v>
      </c>
      <c r="AJ14" s="26">
        <f>现金流量表!AJ13</f>
        <v>221686829.78999999</v>
      </c>
      <c r="AK14" s="26">
        <f>现金流量表!AK13</f>
        <v>1454378028.8499999</v>
      </c>
      <c r="AL14" s="26">
        <f>现金流量表!AL13</f>
        <v>971572847.78999996</v>
      </c>
      <c r="AM14" s="26">
        <f>现金流量表!AM13</f>
        <v>1037731137.3200001</v>
      </c>
      <c r="AN14" s="26">
        <f>现金流量表!AN13</f>
        <v>500247022.56</v>
      </c>
      <c r="AO14" s="26">
        <f>现金流量表!AO13</f>
        <v>2000204491.3900001</v>
      </c>
      <c r="AP14" s="26">
        <f>现金流量表!AP13</f>
        <v>892259381.87</v>
      </c>
      <c r="AQ14" s="26">
        <f>现金流量表!AQ13</f>
        <v>477364493.25</v>
      </c>
      <c r="AR14" s="26">
        <f>现金流量表!AR13</f>
        <v>25279397.539999999</v>
      </c>
      <c r="AS14" s="26">
        <f>现金流量表!AS13</f>
        <v>1282377054.47</v>
      </c>
      <c r="AT14" s="26">
        <f>现金流量表!AT13</f>
        <v>1160994477.8499999</v>
      </c>
      <c r="AU14" s="26">
        <f>现金流量表!AU13</f>
        <v>569187150.11000001</v>
      </c>
      <c r="AV14" s="26">
        <f>现金流量表!AV13</f>
        <v>96061223.269999996</v>
      </c>
      <c r="AW14" s="26">
        <f>现金流量表!AW13</f>
        <v>932348065.53999996</v>
      </c>
      <c r="AX14" s="26">
        <f>现金流量表!AX13</f>
        <v>688901516.20000005</v>
      </c>
      <c r="AY14" s="26">
        <f>现金流量表!AY13</f>
        <v>374889372.88</v>
      </c>
      <c r="AZ14" s="26">
        <f>现金流量表!AZ13</f>
        <v>96915024.75</v>
      </c>
      <c r="BA14" s="26">
        <f>现金流量表!BA13</f>
        <v>827396286.11000001</v>
      </c>
      <c r="BB14" s="26">
        <f>现金流量表!BB13</f>
        <v>563138867.80999994</v>
      </c>
      <c r="BC14" s="26">
        <f>现金流量表!BC13</f>
        <v>307046407.83999997</v>
      </c>
      <c r="BD14" s="26">
        <f>现金流量表!BD13</f>
        <v>279545545.48000002</v>
      </c>
      <c r="BE14" s="26">
        <f>现金流量表!BE13</f>
        <v>203227700.44999999</v>
      </c>
      <c r="BF14" s="26">
        <f>现金流量表!BF13</f>
        <v>284809595.38999999</v>
      </c>
      <c r="BG14" s="26">
        <f>现金流量表!BG13</f>
        <v>289387069.45999998</v>
      </c>
      <c r="BH14" s="26">
        <f>现金流量表!BH13</f>
        <v>80152588.599999994</v>
      </c>
      <c r="BI14" s="26">
        <f>现金流量表!BI13</f>
        <v>374222722.25</v>
      </c>
      <c r="BJ14" s="26">
        <f>现金流量表!BJ13</f>
        <v>316474185.83999997</v>
      </c>
      <c r="BK14" s="26">
        <f>现金流量表!BK13</f>
        <v>126099964.81999999</v>
      </c>
      <c r="BL14" s="26">
        <f>现金流量表!BL13</f>
        <v>34925382.18</v>
      </c>
      <c r="BM14" s="26">
        <f>现金流量表!BM13</f>
        <v>123979697.90000001</v>
      </c>
      <c r="BN14" s="26">
        <f>现金流量表!BN13</f>
        <v>727757.03</v>
      </c>
      <c r="BO14" s="26">
        <f>现金流量表!BO13</f>
        <v>84766521.489999995</v>
      </c>
      <c r="BP14" s="26">
        <f>现金流量表!BP13</f>
        <v>32597122.539999999</v>
      </c>
      <c r="BQ14" s="26">
        <f>现金流量表!BQ13</f>
        <v>84086054.370000005</v>
      </c>
      <c r="BR14" s="26">
        <f>现金流量表!BR13</f>
        <v>-11879172.720000001</v>
      </c>
      <c r="BS14" s="26">
        <f>现金流量表!BS13</f>
        <v>54437569.759999998</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12976868489.444864</v>
      </c>
      <c r="F15" s="26">
        <f>股权价值增加表!F17</f>
        <v>9632101468.6763554</v>
      </c>
      <c r="G15" s="26">
        <f>股权价值增加表!G17</f>
        <v>6015253794.3666124</v>
      </c>
      <c r="H15" s="26">
        <f>股权价值增加表!H17</f>
        <v>2731529799.6172357</v>
      </c>
      <c r="I15" s="26">
        <f>股权价值增加表!I17</f>
        <v>5198846948.33745</v>
      </c>
      <c r="J15" s="26">
        <f>股权价值增加表!J17</f>
        <v>3473305059.7947035</v>
      </c>
      <c r="K15" s="26">
        <f>股权价值增加表!K17</f>
        <v>1954607702.1922765</v>
      </c>
      <c r="L15" s="26">
        <f>股权价值增加表!L17</f>
        <v>721000333.34214818</v>
      </c>
      <c r="M15" s="26">
        <f>股权价值增加表!M17</f>
        <v>2780084158.4731569</v>
      </c>
      <c r="N15" s="26">
        <f>股权价值增加表!N17</f>
        <v>2425905129.0165901</v>
      </c>
      <c r="O15" s="26">
        <f>股权价值增加表!O17</f>
        <v>1595368430.4082131</v>
      </c>
      <c r="P15" s="26">
        <f>股权价值增加表!P17</f>
        <v>679335239.70540893</v>
      </c>
      <c r="Q15" s="26">
        <f>股权价值增加表!Q17</f>
        <v>3502019156.6366949</v>
      </c>
      <c r="R15" s="26">
        <f>股权价值增加表!R17</f>
        <v>2966362444.4020944</v>
      </c>
      <c r="S15" s="26">
        <f>股权价值增加表!S17</f>
        <v>1971593633.1989527</v>
      </c>
      <c r="T15" s="26">
        <f>股权价值增加表!T17</f>
        <v>1005380525.758021</v>
      </c>
      <c r="U15" s="26">
        <f>股权价值增加表!U17</f>
        <v>3961465014.3701439</v>
      </c>
      <c r="V15" s="26">
        <f>股权价值增加表!V17</f>
        <v>3224710489.0601788</v>
      </c>
      <c r="W15" s="26">
        <f>股权价值增加表!W17</f>
        <v>2086961396.7269118</v>
      </c>
      <c r="X15" s="26">
        <f>股权价值增加表!X17</f>
        <v>1029771535.3962491</v>
      </c>
      <c r="Y15" s="26">
        <f>股权价值增加表!Y17</f>
        <v>3228903517.857789</v>
      </c>
      <c r="Z15" s="26">
        <f>股权价值增加表!Z17</f>
        <v>2320500788.4320965</v>
      </c>
      <c r="AA15" s="26">
        <f>股权价值增加表!AA17</f>
        <v>1396958503.3643105</v>
      </c>
      <c r="AB15" s="26">
        <f>股权价值增加表!AB17</f>
        <v>612826996.55925703</v>
      </c>
      <c r="AC15" s="26">
        <f>股权价值增加表!AC17</f>
        <v>2497148688.5564556</v>
      </c>
      <c r="AD15" s="26">
        <f>股权价值增加表!AD17</f>
        <v>2054796496.5119445</v>
      </c>
      <c r="AE15" s="26">
        <f>股权价值增加表!AE17</f>
        <v>1325651144.0420835</v>
      </c>
      <c r="AF15" s="26">
        <f>股权价值增加表!AF17</f>
        <v>616169979.182217</v>
      </c>
      <c r="AG15" s="26">
        <f>股权价值增加表!AG17</f>
        <v>1579703752.0022938</v>
      </c>
      <c r="AH15" s="26">
        <f>股权价值增加表!AH17</f>
        <v>1109662091.3399243</v>
      </c>
      <c r="AI15" s="26">
        <f>股权价值增加表!AI17</f>
        <v>725999847.28519285</v>
      </c>
      <c r="AJ15" s="26">
        <f>股权价值增加表!AJ17</f>
        <v>298466721.86496413</v>
      </c>
      <c r="AK15" s="26">
        <f>股权价值增加表!AK17</f>
        <v>1290981391.2196319</v>
      </c>
      <c r="AL15" s="26">
        <f>股权价值增加表!AL17</f>
        <v>1059499489.8109273</v>
      </c>
      <c r="AM15" s="26">
        <f>股权价值增加表!AM17</f>
        <v>614523337.51661706</v>
      </c>
      <c r="AN15" s="26">
        <f>股权价值增加表!AN17</f>
        <v>242347482.90481988</v>
      </c>
      <c r="AO15" s="26">
        <f>股权价值增加表!AO17</f>
        <v>1795727124.8941958</v>
      </c>
      <c r="AP15" s="26">
        <f>股权价值增加表!AP17</f>
        <v>1418415284.2236533</v>
      </c>
      <c r="AQ15" s="26">
        <f>股权价值增加表!AQ17</f>
        <v>1002718524.9564688</v>
      </c>
      <c r="AR15" s="26">
        <f>股权价值增加表!AR17</f>
        <v>417528706.48540634</v>
      </c>
      <c r="AS15" s="26">
        <f>股权价值增加表!AS17</f>
        <v>1656943109.3026452</v>
      </c>
      <c r="AT15" s="26">
        <f>股权价值增加表!AT17</f>
        <v>1240831837.8900557</v>
      </c>
      <c r="AU15" s="26">
        <f>股权价值增加表!AU17</f>
        <v>715986600.52951312</v>
      </c>
      <c r="AV15" s="26">
        <f>股权价值增加表!AV17</f>
        <v>372481444.04489732</v>
      </c>
      <c r="AW15" s="26">
        <f>股权价值增加表!AW17</f>
        <v>901293934.54950595</v>
      </c>
      <c r="AX15" s="26">
        <f>股权价值增加表!AX17</f>
        <v>637770011.06146145</v>
      </c>
      <c r="AY15" s="26">
        <f>股权价值增加表!AY17</f>
        <v>330516793.41538543</v>
      </c>
      <c r="AZ15" s="26">
        <f>股权价值增加表!AZ17</f>
        <v>182024470.8472316</v>
      </c>
      <c r="BA15" s="26">
        <f>股权价值增加表!BA17</f>
        <v>614842253.92293417</v>
      </c>
      <c r="BB15" s="26">
        <f>股权价值增加表!BB17</f>
        <v>491126519.55461949</v>
      </c>
      <c r="BC15" s="26">
        <f>股权价值增加表!BC17</f>
        <v>335027971.60200769</v>
      </c>
      <c r="BD15" s="26">
        <f>股权价值增加表!BD17</f>
        <v>158274240.51798815</v>
      </c>
      <c r="BE15" s="26">
        <f>股权价值增加表!BE17</f>
        <v>404717295.60229045</v>
      </c>
      <c r="BF15" s="26">
        <f>股权价值增加表!BF17</f>
        <v>317635246.67797565</v>
      </c>
      <c r="BG15" s="26">
        <f>股权价值增加表!BG17</f>
        <v>215229500.09370551</v>
      </c>
      <c r="BH15" s="26">
        <f>股权价值增加表!BH17</f>
        <v>96207531.906359017</v>
      </c>
      <c r="BI15" s="26">
        <f>股权价值增加表!BI17</f>
        <v>231411393.13307896</v>
      </c>
      <c r="BJ15" s="26">
        <f>股权价值增加表!BJ17</f>
        <v>186125459.34605753</v>
      </c>
      <c r="BK15" s="26">
        <f>股权价值增加表!BK17</f>
        <v>137365288.72577456</v>
      </c>
      <c r="BL15" s="26">
        <f>股权价值增加表!BL17</f>
        <v>58406257.035491951</v>
      </c>
      <c r="BM15" s="26">
        <f>股权价值增加表!BM17</f>
        <v>151861158.2411426</v>
      </c>
      <c r="BN15" s="26">
        <f>股权价值增加表!BN17</f>
        <v>121954644.70661359</v>
      </c>
      <c r="BO15" s="26">
        <f>股权价值增加表!BO17</f>
        <v>90617412.915097833</v>
      </c>
      <c r="BP15" s="26">
        <f>股权价值增加表!BP17</f>
        <v>34014032.465076312</v>
      </c>
      <c r="BQ15" s="26">
        <f>股权价值增加表!BQ17</f>
        <v>98689418.820438549</v>
      </c>
      <c r="BR15" s="26">
        <f>股权价值增加表!BR17</f>
        <v>452015666.9892509</v>
      </c>
      <c r="BS15" s="26">
        <f>股权价值增加表!BS17</f>
        <v>60254463.795434579</v>
      </c>
      <c r="BT15" s="26">
        <f>股权价值增加表!BT17</f>
        <v>51274074.184352919</v>
      </c>
      <c r="BU15" s="26">
        <f>股权价值增加表!BU17</f>
        <v>27829944.136092931</v>
      </c>
      <c r="BV15" s="26">
        <f>股权价值增加表!BV17</f>
        <v>21845886.112457793</v>
      </c>
      <c r="BW15" s="26">
        <f>股权价值增加表!BW17</f>
        <v>23281522.612663776</v>
      </c>
      <c r="BX15" s="26">
        <f>股权价值增加表!BX17</f>
        <v>15630176.787137341</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0.78694999519386077</v>
      </c>
      <c r="F16" s="28">
        <f t="shared" ref="F16:BQ16" si="8">F14/F15</f>
        <v>0.58465444094661045</v>
      </c>
      <c r="G16" s="28">
        <f t="shared" si="8"/>
        <v>0.24080912962584741</v>
      </c>
      <c r="H16" s="28">
        <f t="shared" si="8"/>
        <v>0.17318676940163336</v>
      </c>
      <c r="I16" s="28">
        <f t="shared" si="8"/>
        <v>1.4135526496274529</v>
      </c>
      <c r="J16" s="28">
        <f t="shared" si="8"/>
        <v>1.5009614852252977</v>
      </c>
      <c r="K16" s="28">
        <f t="shared" si="8"/>
        <v>1.6355997983351407</v>
      </c>
      <c r="L16" s="28">
        <f t="shared" si="8"/>
        <v>2.4933951173873998</v>
      </c>
      <c r="M16" s="28">
        <f t="shared" si="8"/>
        <v>1.6554871951961587</v>
      </c>
      <c r="N16" s="28">
        <f t="shared" si="8"/>
        <v>1.344625927318237</v>
      </c>
      <c r="O16" s="28">
        <f t="shared" si="8"/>
        <v>1.2149895353852684</v>
      </c>
      <c r="P16" s="28">
        <f t="shared" si="8"/>
        <v>1.095760862932418</v>
      </c>
      <c r="Q16" s="28">
        <f t="shared" si="8"/>
        <v>1.1480562164289425</v>
      </c>
      <c r="R16" s="28">
        <f t="shared" si="8"/>
        <v>1.3488428339499428</v>
      </c>
      <c r="S16" s="28">
        <f t="shared" si="8"/>
        <v>0.92162106194356996</v>
      </c>
      <c r="T16" s="28">
        <f t="shared" si="8"/>
        <v>1.0358651662909348</v>
      </c>
      <c r="U16" s="28">
        <f t="shared" si="8"/>
        <v>0.97672526604029508</v>
      </c>
      <c r="V16" s="28">
        <f t="shared" si="8"/>
        <v>0.75386969913336388</v>
      </c>
      <c r="W16" s="28">
        <f t="shared" si="8"/>
        <v>0.85485869152540517</v>
      </c>
      <c r="X16" s="28">
        <f t="shared" si="8"/>
        <v>0.74904986267967644</v>
      </c>
      <c r="Y16" s="28">
        <f t="shared" si="8"/>
        <v>1.1787836698989393</v>
      </c>
      <c r="Z16" s="28">
        <f t="shared" si="8"/>
        <v>1.1929216680164914</v>
      </c>
      <c r="AA16" s="28">
        <f t="shared" si="8"/>
        <v>1.3558902286348264</v>
      </c>
      <c r="AB16" s="28">
        <f t="shared" si="8"/>
        <v>1.5367484922785004</v>
      </c>
      <c r="AC16" s="28">
        <f t="shared" si="8"/>
        <v>0.80589249135314478</v>
      </c>
      <c r="AD16" s="28">
        <f t="shared" si="8"/>
        <v>0.50161434172661801</v>
      </c>
      <c r="AE16" s="28">
        <f t="shared" si="8"/>
        <v>0.71485262146759521</v>
      </c>
      <c r="AF16" s="28">
        <f t="shared" si="8"/>
        <v>0.39776364225872274</v>
      </c>
      <c r="AG16" s="28">
        <f t="shared" si="8"/>
        <v>0.26166830691264936</v>
      </c>
      <c r="AH16" s="28">
        <f t="shared" si="8"/>
        <v>0.19578023899840472</v>
      </c>
      <c r="AI16" s="28">
        <f t="shared" si="8"/>
        <v>0.30929653057046835</v>
      </c>
      <c r="AJ16" s="28">
        <f t="shared" si="8"/>
        <v>0.7427522519254196</v>
      </c>
      <c r="AK16" s="28">
        <f t="shared" si="8"/>
        <v>1.1265677714192317</v>
      </c>
      <c r="AL16" s="28">
        <f t="shared" si="8"/>
        <v>0.91701115208973039</v>
      </c>
      <c r="AM16" s="28">
        <f t="shared" si="8"/>
        <v>1.6886765301927027</v>
      </c>
      <c r="AN16" s="28">
        <f t="shared" si="8"/>
        <v>2.064172553244418</v>
      </c>
      <c r="AO16" s="28">
        <f t="shared" si="8"/>
        <v>1.1138688410177309</v>
      </c>
      <c r="AP16" s="28">
        <f t="shared" si="8"/>
        <v>0.62905369943074452</v>
      </c>
      <c r="AQ16" s="28">
        <f t="shared" si="8"/>
        <v>0.47607028430109427</v>
      </c>
      <c r="AR16" s="28">
        <f t="shared" si="8"/>
        <v>6.0545292209467701E-2</v>
      </c>
      <c r="AS16" s="28">
        <f t="shared" si="8"/>
        <v>0.77394151149203416</v>
      </c>
      <c r="AT16" s="28">
        <f t="shared" si="8"/>
        <v>0.93565819508966386</v>
      </c>
      <c r="AU16" s="28">
        <f t="shared" si="8"/>
        <v>0.79496899758885642</v>
      </c>
      <c r="AV16" s="28">
        <f t="shared" si="8"/>
        <v>0.25789532554115951</v>
      </c>
      <c r="AW16" s="28">
        <f t="shared" si="8"/>
        <v>1.0344550537844415</v>
      </c>
      <c r="AX16" s="28">
        <f t="shared" si="8"/>
        <v>1.0801723258411582</v>
      </c>
      <c r="AY16" s="28">
        <f t="shared" si="8"/>
        <v>1.1342521177398941</v>
      </c>
      <c r="AZ16" s="28">
        <f t="shared" si="8"/>
        <v>0.53242854819964436</v>
      </c>
      <c r="BA16" s="28">
        <f t="shared" si="8"/>
        <v>1.3457049850280913</v>
      </c>
      <c r="BB16" s="28">
        <f t="shared" si="8"/>
        <v>1.1466268779798028</v>
      </c>
      <c r="BC16" s="28">
        <f t="shared" si="8"/>
        <v>0.91647991769699733</v>
      </c>
      <c r="BD16" s="28">
        <f t="shared" si="8"/>
        <v>1.7662099945330596</v>
      </c>
      <c r="BE16" s="28">
        <f t="shared" si="8"/>
        <v>0.50214730790677342</v>
      </c>
      <c r="BF16" s="28">
        <f t="shared" si="8"/>
        <v>0.89665614370166258</v>
      </c>
      <c r="BG16" s="28">
        <f t="shared" si="8"/>
        <v>1.3445511388262674</v>
      </c>
      <c r="BH16" s="28">
        <f t="shared" si="8"/>
        <v>0.83312176304464747</v>
      </c>
      <c r="BI16" s="28">
        <f t="shared" si="8"/>
        <v>1.6171317979784763</v>
      </c>
      <c r="BJ16" s="28">
        <f t="shared" si="8"/>
        <v>1.7003272252593287</v>
      </c>
      <c r="BK16" s="28">
        <f t="shared" si="8"/>
        <v>0.91799002491623782</v>
      </c>
      <c r="BL16" s="28">
        <f t="shared" si="8"/>
        <v>0.59797329862752135</v>
      </c>
      <c r="BM16" s="28">
        <f t="shared" si="8"/>
        <v>0.81640163512470243</v>
      </c>
      <c r="BN16" s="28">
        <f t="shared" si="8"/>
        <v>5.9674400409329706E-3</v>
      </c>
      <c r="BO16" s="28">
        <f t="shared" si="8"/>
        <v>0.93543303392936505</v>
      </c>
      <c r="BP16" s="28">
        <f t="shared" si="8"/>
        <v>0.95834337117978829</v>
      </c>
      <c r="BQ16" s="28">
        <f t="shared" si="8"/>
        <v>0.85202704986024103</v>
      </c>
      <c r="BR16" s="28">
        <f t="shared" ref="BR16:CL16" si="9">BR14/BR15</f>
        <v>-2.6280444656097489E-2</v>
      </c>
      <c r="BS16" s="28">
        <f t="shared" si="9"/>
        <v>0.90346119326224394</v>
      </c>
      <c r="BT16" s="28">
        <f t="shared" si="9"/>
        <v>0</v>
      </c>
      <c r="BU16" s="28">
        <f t="shared" si="9"/>
        <v>0</v>
      </c>
      <c r="BV16" s="28">
        <f t="shared" si="9"/>
        <v>0</v>
      </c>
      <c r="BW16" s="28">
        <f t="shared" si="9"/>
        <v>0</v>
      </c>
      <c r="BX16" s="28">
        <f t="shared" si="9"/>
        <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12303101814.049995</v>
      </c>
      <c r="F17" s="26">
        <f>股权价值增加表!F42</f>
        <v>9134999474.1299973</v>
      </c>
      <c r="G17" s="26">
        <f>股权价值增加表!G42</f>
        <v>5709313366.1200008</v>
      </c>
      <c r="H17" s="26">
        <f>股权价值增加表!H42</f>
        <v>2593107851.6900005</v>
      </c>
      <c r="I17" s="26">
        <f>股权价值增加表!I42</f>
        <v>4591735069.6699982</v>
      </c>
      <c r="J17" s="26">
        <f>股权价值增加表!J42</f>
        <v>2974409242.7599998</v>
      </c>
      <c r="K17" s="26">
        <f>股权价值增加表!K42</f>
        <v>1634627468.269999</v>
      </c>
      <c r="L17" s="26">
        <f>股权价值增加表!L42</f>
        <v>542683973.74999964</v>
      </c>
      <c r="M17" s="26">
        <f>股权价值增加表!M42</f>
        <v>1952555535.3999977</v>
      </c>
      <c r="N17" s="26">
        <f>股权价值增加表!N42</f>
        <v>1945108921.9100003</v>
      </c>
      <c r="O17" s="26">
        <f>股权价值增加表!O42</f>
        <v>1390595891.72</v>
      </c>
      <c r="P17" s="26">
        <f>股权价值增加表!P42</f>
        <v>627695375.19000006</v>
      </c>
      <c r="Q17" s="26">
        <f>股权价值增加表!Q42</f>
        <v>3153603780.4100022</v>
      </c>
      <c r="R17" s="26">
        <f>股权价值增加表!R42</f>
        <v>2725108354.6000009</v>
      </c>
      <c r="S17" s="26">
        <f>股权价值增加表!S42</f>
        <v>1804770770.8499997</v>
      </c>
      <c r="T17" s="26">
        <f>股权价值增加表!T42</f>
        <v>925701911.9799999</v>
      </c>
      <c r="U17" s="26">
        <f>股权价值增加表!U42</f>
        <v>3817552032.8400011</v>
      </c>
      <c r="V17" s="26">
        <f>股权价值增加表!V42</f>
        <v>3022490271.8599997</v>
      </c>
      <c r="W17" s="26">
        <f>股权价值增加表!W42</f>
        <v>1969844119.789999</v>
      </c>
      <c r="X17" s="26">
        <f>股权价值增加表!X42</f>
        <v>956317095.16000021</v>
      </c>
      <c r="Y17" s="26">
        <f>股权价值增加表!Y42</f>
        <v>2986440909.0500011</v>
      </c>
      <c r="Z17" s="26">
        <f>股权价值增加表!Z42</f>
        <v>2086190335.3700018</v>
      </c>
      <c r="AA17" s="26">
        <f>股权价值增加表!AA42</f>
        <v>1248337673.259999</v>
      </c>
      <c r="AB17" s="26">
        <f>股权价值增加表!AB42</f>
        <v>565284004.75999999</v>
      </c>
      <c r="AC17" s="26">
        <f>股权价值增加表!AC42</f>
        <v>2395497793.6199989</v>
      </c>
      <c r="AD17" s="26">
        <f>股权价值增加表!AD42</f>
        <v>1938790053.7800007</v>
      </c>
      <c r="AE17" s="26">
        <f>股权价值增加表!AE42</f>
        <v>1262838364.2399998</v>
      </c>
      <c r="AF17" s="26">
        <f>股权价值增加表!AF42</f>
        <v>588953547.05000007</v>
      </c>
      <c r="AG17" s="26">
        <f>股权价值增加表!AG42</f>
        <v>1798302901.720001</v>
      </c>
      <c r="AH17" s="26">
        <f>股权价值增加表!AH42</f>
        <v>1138270078.2100005</v>
      </c>
      <c r="AI17" s="26">
        <f>股权价值增加表!AI42</f>
        <v>704208293.90000033</v>
      </c>
      <c r="AJ17" s="26">
        <f>股权价值增加表!AJ42</f>
        <v>318961371.8900001</v>
      </c>
      <c r="AK17" s="26">
        <f>股权价值增加表!AK42</f>
        <v>1269791213.3100007</v>
      </c>
      <c r="AL17" s="26">
        <f>股权价值增加表!AL42</f>
        <v>1031806446.5099999</v>
      </c>
      <c r="AM17" s="26">
        <f>股权价值增加表!AM42</f>
        <v>590092429.62</v>
      </c>
      <c r="AN17" s="26">
        <f>股权价值增加表!AN42</f>
        <v>219925513.31000009</v>
      </c>
      <c r="AO17" s="26">
        <f>股权价值增加表!AO42</f>
        <v>1815858422.1699996</v>
      </c>
      <c r="AP17" s="26">
        <f>股权价值增加表!AP42</f>
        <v>1396884229.2999997</v>
      </c>
      <c r="AQ17" s="26">
        <f>股权价值增加表!AQ42</f>
        <v>1010477055.5100005</v>
      </c>
      <c r="AR17" s="26">
        <f>股权价值增加表!AR42</f>
        <v>431409122.92999989</v>
      </c>
      <c r="AS17" s="26">
        <f>股权价值增加表!AS42</f>
        <v>1769086875.1000004</v>
      </c>
      <c r="AT17" s="26">
        <f>股权价值增加表!AT42</f>
        <v>1244026736.0400004</v>
      </c>
      <c r="AU17" s="26">
        <f>股权价值增加表!AU42</f>
        <v>702166245.66000056</v>
      </c>
      <c r="AV17" s="26">
        <f>股权价值增加表!AV42</f>
        <v>366875592.93000013</v>
      </c>
      <c r="AW17" s="26">
        <f>股权价值增加表!AW42</f>
        <v>924977423.69999945</v>
      </c>
      <c r="AX17" s="26">
        <f>股权价值增加表!AX42</f>
        <v>636793405.5</v>
      </c>
      <c r="AY17" s="26">
        <f>股权价值增加表!AY42</f>
        <v>331929105.13000005</v>
      </c>
      <c r="AZ17" s="26">
        <f>股权价值增加表!AZ42</f>
        <v>183081860.66999996</v>
      </c>
      <c r="BA17" s="26">
        <f>股权价值增加表!BA42</f>
        <v>613492642.35999978</v>
      </c>
      <c r="BB17" s="26">
        <f>股权价值增加表!BB42</f>
        <v>487630658.85999972</v>
      </c>
      <c r="BC17" s="26">
        <f>股权价值增加表!BC42</f>
        <v>332076941.68000007</v>
      </c>
      <c r="BD17" s="26">
        <f>股权价值增加表!BD42</f>
        <v>156632583.63000005</v>
      </c>
      <c r="BE17" s="26">
        <f>股权价值增加表!BE42</f>
        <v>400411640.56999987</v>
      </c>
      <c r="BF17" s="26">
        <f>股权价值增加表!BF42</f>
        <v>313383672.83999979</v>
      </c>
      <c r="BG17" s="26">
        <f>股权价值增加表!BG42</f>
        <v>213859664.64000002</v>
      </c>
      <c r="BH17" s="26">
        <f>股权价值增加表!BH42</f>
        <v>96187793.560000032</v>
      </c>
      <c r="BI17" s="26">
        <f>股权价值增加表!BI42</f>
        <v>232083552.96000001</v>
      </c>
      <c r="BJ17" s="26">
        <f>股权价值增加表!BJ42</f>
        <v>186533868.92000005</v>
      </c>
      <c r="BK17" s="26">
        <f>股权价值增加表!BK42</f>
        <v>138188827.16000006</v>
      </c>
      <c r="BL17" s="26">
        <f>股权价值增加表!BL42</f>
        <v>58935930.389999986</v>
      </c>
      <c r="BM17" s="26">
        <f>股权价值增加表!BM42</f>
        <v>154174823.98000008</v>
      </c>
      <c r="BN17" s="26">
        <f>股权价值增加表!BN42</f>
        <v>124131558.28999998</v>
      </c>
      <c r="BO17" s="26">
        <f>股权价值增加表!BO42</f>
        <v>92925723.220000029</v>
      </c>
      <c r="BP17" s="26">
        <f>股权价值增加表!BP42</f>
        <v>35590814.430000007</v>
      </c>
      <c r="BQ17" s="26">
        <f>股权价值增加表!BQ42</f>
        <v>100369310.87999998</v>
      </c>
      <c r="BR17" s="26">
        <f>股权价值增加表!BR42</f>
        <v>453263900</v>
      </c>
      <c r="BS17" s="26">
        <f>股权价值增加表!BS42</f>
        <v>62594563.900000013</v>
      </c>
      <c r="BT17" s="26">
        <f>股权价值增加表!BT42</f>
        <v>46417406.290000021</v>
      </c>
      <c r="BU17" s="26">
        <f>股权价值增加表!BU42</f>
        <v>26215376.410000011</v>
      </c>
      <c r="BV17" s="26">
        <f>股权价值增加表!BV42</f>
        <v>20141298.319999993</v>
      </c>
      <c r="BW17" s="26">
        <f>股权价值增加表!BW42</f>
        <v>19875895.800000008</v>
      </c>
      <c r="BX17" s="26">
        <f>股权价值增加表!BX42</f>
        <v>13019948.609999992</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0.83004649963457589</v>
      </c>
      <c r="F18" s="28">
        <f t="shared" ref="F18:BQ18" si="10">F14/F17</f>
        <v>0.61646975626633305</v>
      </c>
      <c r="G18" s="28">
        <f t="shared" si="10"/>
        <v>0.25371317666600718</v>
      </c>
      <c r="H18" s="28">
        <f t="shared" si="10"/>
        <v>0.18243160276256556</v>
      </c>
      <c r="I18" s="28">
        <f t="shared" si="10"/>
        <v>1.6004503237505276</v>
      </c>
      <c r="J18" s="28">
        <f t="shared" si="10"/>
        <v>1.7527168239809872</v>
      </c>
      <c r="K18" s="28">
        <f t="shared" si="10"/>
        <v>1.9557703670020208</v>
      </c>
      <c r="L18" s="28">
        <f t="shared" si="10"/>
        <v>3.3126806718972159</v>
      </c>
      <c r="M18" s="28">
        <f t="shared" si="10"/>
        <v>2.357112841339573</v>
      </c>
      <c r="N18" s="28">
        <f t="shared" si="10"/>
        <v>1.6769934562260616</v>
      </c>
      <c r="O18" s="28">
        <f t="shared" si="10"/>
        <v>1.3939031170532847</v>
      </c>
      <c r="P18" s="28">
        <f t="shared" si="10"/>
        <v>1.1859080023565212</v>
      </c>
      <c r="Q18" s="28">
        <f t="shared" si="10"/>
        <v>1.2748953713859672</v>
      </c>
      <c r="R18" s="28">
        <f t="shared" si="10"/>
        <v>1.4682560123805797</v>
      </c>
      <c r="S18" s="28">
        <f t="shared" si="10"/>
        <v>1.006810530898731</v>
      </c>
      <c r="T18" s="28">
        <f t="shared" si="10"/>
        <v>1.1250259419605699</v>
      </c>
      <c r="U18" s="28">
        <f t="shared" si="10"/>
        <v>1.0135455749614315</v>
      </c>
      <c r="V18" s="28">
        <f t="shared" si="10"/>
        <v>0.80430747745103182</v>
      </c>
      <c r="W18" s="28">
        <f t="shared" si="10"/>
        <v>0.90568439956568469</v>
      </c>
      <c r="X18" s="28">
        <f t="shared" si="10"/>
        <v>0.80658416657389809</v>
      </c>
      <c r="Y18" s="28">
        <f t="shared" si="10"/>
        <v>1.2744865391429294</v>
      </c>
      <c r="Z18" s="28">
        <f t="shared" si="10"/>
        <v>1.3269046568941385</v>
      </c>
      <c r="AA18" s="28">
        <f t="shared" si="10"/>
        <v>1.5173157272211069</v>
      </c>
      <c r="AB18" s="28">
        <f t="shared" si="10"/>
        <v>1.6659961277160833</v>
      </c>
      <c r="AC18" s="28">
        <f t="shared" si="10"/>
        <v>0.84008984823938238</v>
      </c>
      <c r="AD18" s="28">
        <f t="shared" si="10"/>
        <v>0.53162816157966419</v>
      </c>
      <c r="AE18" s="28">
        <f t="shared" si="10"/>
        <v>0.75040893775848427</v>
      </c>
      <c r="AF18" s="28">
        <f t="shared" si="10"/>
        <v>0.41614490038752194</v>
      </c>
      <c r="AG18" s="28">
        <f t="shared" si="10"/>
        <v>0.22986027871869644</v>
      </c>
      <c r="AH18" s="28">
        <f t="shared" si="10"/>
        <v>0.19085972091231529</v>
      </c>
      <c r="AI18" s="28">
        <f t="shared" si="10"/>
        <v>0.31886763604617052</v>
      </c>
      <c r="AJ18" s="28">
        <f t="shared" si="10"/>
        <v>0.69502720180941824</v>
      </c>
      <c r="AK18" s="28">
        <f t="shared" si="10"/>
        <v>1.1453678475682876</v>
      </c>
      <c r="AL18" s="28">
        <f t="shared" si="10"/>
        <v>0.94162316108439226</v>
      </c>
      <c r="AM18" s="28">
        <f t="shared" si="10"/>
        <v>1.758590832945043</v>
      </c>
      <c r="AN18" s="28">
        <f t="shared" si="10"/>
        <v>2.2746202340556438</v>
      </c>
      <c r="AO18" s="28">
        <f t="shared" si="10"/>
        <v>1.1015200672967125</v>
      </c>
      <c r="AP18" s="28">
        <f t="shared" si="10"/>
        <v>0.63874969962050832</v>
      </c>
      <c r="AQ18" s="28">
        <f t="shared" si="10"/>
        <v>0.47241497532971505</v>
      </c>
      <c r="AR18" s="28">
        <f t="shared" si="10"/>
        <v>5.8597271583665178E-2</v>
      </c>
      <c r="AS18" s="28">
        <f t="shared" si="10"/>
        <v>0.7248807690111384</v>
      </c>
      <c r="AT18" s="28">
        <f t="shared" si="10"/>
        <v>0.93325524622219158</v>
      </c>
      <c r="AU18" s="28">
        <f t="shared" si="10"/>
        <v>0.81061593835943091</v>
      </c>
      <c r="AV18" s="28">
        <f t="shared" si="10"/>
        <v>0.26183596053043651</v>
      </c>
      <c r="AW18" s="28">
        <f t="shared" si="10"/>
        <v>1.0079684559332456</v>
      </c>
      <c r="AX18" s="28">
        <f t="shared" si="10"/>
        <v>1.0818289106795722</v>
      </c>
      <c r="AY18" s="28">
        <f t="shared" si="10"/>
        <v>1.129426034312883</v>
      </c>
      <c r="AZ18" s="28">
        <f t="shared" si="10"/>
        <v>0.52935350555938843</v>
      </c>
      <c r="BA18" s="28">
        <f t="shared" si="10"/>
        <v>1.3486653775131678</v>
      </c>
      <c r="BB18" s="28">
        <f t="shared" si="10"/>
        <v>1.1548471318979943</v>
      </c>
      <c r="BC18" s="28">
        <f t="shared" si="10"/>
        <v>0.92462429425732207</v>
      </c>
      <c r="BD18" s="28">
        <f t="shared" si="10"/>
        <v>1.7847215375081018</v>
      </c>
      <c r="BE18" s="28">
        <f t="shared" si="10"/>
        <v>0.50754693385211858</v>
      </c>
      <c r="BF18" s="28">
        <f t="shared" si="10"/>
        <v>0.90882078446828174</v>
      </c>
      <c r="BG18" s="28">
        <f t="shared" si="10"/>
        <v>1.3531633931397899</v>
      </c>
      <c r="BH18" s="28">
        <f t="shared" si="10"/>
        <v>0.83329272492358819</v>
      </c>
      <c r="BI18" s="28">
        <f t="shared" si="10"/>
        <v>1.6124482647613463</v>
      </c>
      <c r="BJ18" s="28">
        <f t="shared" si="10"/>
        <v>1.6966044165187408</v>
      </c>
      <c r="BK18" s="28">
        <f t="shared" si="10"/>
        <v>0.91251924928776518</v>
      </c>
      <c r="BL18" s="28">
        <f t="shared" si="10"/>
        <v>0.59259914875164166</v>
      </c>
      <c r="BM18" s="28">
        <f t="shared" si="10"/>
        <v>0.80415008559427925</v>
      </c>
      <c r="BN18" s="28">
        <f t="shared" si="10"/>
        <v>5.8627881581877154E-3</v>
      </c>
      <c r="BO18" s="28">
        <f t="shared" si="10"/>
        <v>0.9121965216166974</v>
      </c>
      <c r="BP18" s="28">
        <f t="shared" si="10"/>
        <v>0.91588582790405093</v>
      </c>
      <c r="BQ18" s="28">
        <f t="shared" si="10"/>
        <v>0.83776658056895514</v>
      </c>
      <c r="BR18" s="28">
        <f t="shared" ref="BR18:CK18" si="11">BR14/BR17</f>
        <v>-2.620807154507562E-2</v>
      </c>
      <c r="BS18" s="28">
        <f t="shared" si="11"/>
        <v>0.86968526287631798</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303316067.55000001</v>
      </c>
      <c r="F19" s="26">
        <f>现金流量表!F48</f>
        <v>0</v>
      </c>
      <c r="G19" s="26">
        <f>现金流量表!G48</f>
        <v>160473460.19999999</v>
      </c>
      <c r="H19" s="26">
        <f>现金流量表!H48</f>
        <v>0</v>
      </c>
      <c r="I19" s="26">
        <f>现金流量表!I48</f>
        <v>74298764.329999998</v>
      </c>
      <c r="J19" s="26">
        <f>现金流量表!J48</f>
        <v>0</v>
      </c>
      <c r="K19" s="26">
        <f>现金流量表!K48</f>
        <v>56372451.719999999</v>
      </c>
      <c r="L19" s="26">
        <f>现金流量表!L48</f>
        <v>0</v>
      </c>
      <c r="M19" s="26">
        <f>现金流量表!M48</f>
        <v>-8353337.2699999996</v>
      </c>
      <c r="N19" s="26">
        <f>现金流量表!N48</f>
        <v>0</v>
      </c>
      <c r="O19" s="26">
        <f>现金流量表!O48</f>
        <v>12302685.4</v>
      </c>
      <c r="P19" s="26">
        <f>现金流量表!P48</f>
        <v>0</v>
      </c>
      <c r="Q19" s="26">
        <f>现金流量表!Q48</f>
        <v>74266280.049999997</v>
      </c>
      <c r="R19" s="26">
        <f>现金流量表!R48</f>
        <v>0</v>
      </c>
      <c r="S19" s="26">
        <f>现金流量表!S48</f>
        <v>50135872.240000002</v>
      </c>
      <c r="T19" s="26">
        <f>现金流量表!T48</f>
        <v>0</v>
      </c>
      <c r="U19" s="26">
        <f>现金流量表!U48</f>
        <v>26910586.48</v>
      </c>
      <c r="V19" s="26">
        <f>现金流量表!V48</f>
        <v>0</v>
      </c>
      <c r="W19" s="26">
        <f>现金流量表!W48</f>
        <v>38692589.719999999</v>
      </c>
      <c r="X19" s="26">
        <f>现金流量表!X48</f>
        <v>0</v>
      </c>
      <c r="Y19" s="26">
        <f>现金流量表!Y48</f>
        <v>35128514.390000001</v>
      </c>
      <c r="Z19" s="26">
        <f>现金流量表!Z48</f>
        <v>0</v>
      </c>
      <c r="AA19" s="26">
        <f>现金流量表!AA48</f>
        <v>23438151.510000002</v>
      </c>
      <c r="AB19" s="26">
        <f>现金流量表!AB48</f>
        <v>0</v>
      </c>
      <c r="AC19" s="26">
        <f>现金流量表!AC48</f>
        <v>-4942440.8600000003</v>
      </c>
      <c r="AD19" s="26">
        <f>现金流量表!AD48</f>
        <v>0</v>
      </c>
      <c r="AE19" s="26">
        <f>现金流量表!AE48</f>
        <v>24665000.32</v>
      </c>
      <c r="AF19" s="26">
        <f>现金流量表!AF48</f>
        <v>0</v>
      </c>
      <c r="AG19" s="26">
        <f>现金流量表!AG48</f>
        <v>32473493.739999998</v>
      </c>
      <c r="AH19" s="26">
        <f>现金流量表!AH48</f>
        <v>0</v>
      </c>
      <c r="AI19" s="26">
        <f>现金流量表!AI48</f>
        <v>19810756.25</v>
      </c>
      <c r="AJ19" s="26">
        <f>现金流量表!AJ48</f>
        <v>0</v>
      </c>
      <c r="AK19" s="26">
        <f>现金流量表!AK48</f>
        <v>9698789.8499999996</v>
      </c>
      <c r="AL19" s="26">
        <f>现金流量表!AL48</f>
        <v>0</v>
      </c>
      <c r="AM19" s="26">
        <f>现金流量表!AM48</f>
        <v>8787308.0199999996</v>
      </c>
      <c r="AN19" s="26">
        <f>现金流量表!AN48</f>
        <v>0</v>
      </c>
      <c r="AO19" s="26">
        <f>现金流量表!AO48</f>
        <v>253477.72</v>
      </c>
      <c r="AP19" s="26">
        <f>现金流量表!AP48</f>
        <v>0</v>
      </c>
      <c r="AQ19" s="26">
        <f>现金流量表!AQ48</f>
        <v>5659589.3600000003</v>
      </c>
      <c r="AR19" s="26">
        <f>现金流量表!AR48</f>
        <v>0</v>
      </c>
      <c r="AS19" s="26">
        <f>现金流量表!AS48</f>
        <v>19881064.43</v>
      </c>
      <c r="AT19" s="26">
        <f>现金流量表!AT48</f>
        <v>0</v>
      </c>
      <c r="AU19" s="26">
        <f>现金流量表!AU48</f>
        <v>7022059.2699999996</v>
      </c>
      <c r="AV19" s="26">
        <f>现金流量表!AV48</f>
        <v>0</v>
      </c>
      <c r="AW19" s="26">
        <f>现金流量表!AW48</f>
        <v>12004145.630000001</v>
      </c>
      <c r="AX19" s="26">
        <f>现金流量表!AX48</f>
        <v>16390136.52</v>
      </c>
      <c r="AY19" s="26">
        <f>现金流量表!AY48</f>
        <v>11182006.810000001</v>
      </c>
      <c r="AZ19" s="26">
        <f>现金流量表!AZ48</f>
        <v>11015810.23</v>
      </c>
      <c r="BA19" s="26">
        <f>现金流量表!BA48</f>
        <v>-11607305.189999999</v>
      </c>
      <c r="BB19" s="26">
        <f>现金流量表!BB48</f>
        <v>-7595759.6600000001</v>
      </c>
      <c r="BC19" s="26">
        <f>现金流量表!BC48</f>
        <v>-13364380.390000001</v>
      </c>
      <c r="BD19" s="26">
        <f>现金流量表!BD48</f>
        <v>1843247.12</v>
      </c>
      <c r="BE19" s="26">
        <f>现金流量表!BE48</f>
        <v>15048822.380000001</v>
      </c>
      <c r="BF19" s="26">
        <f>现金流量表!BF48</f>
        <v>1215801.17</v>
      </c>
      <c r="BG19" s="26">
        <f>现金流量表!BG48</f>
        <v>533460.5</v>
      </c>
      <c r="BH19" s="26">
        <f>现金流量表!BH48</f>
        <v>1511003.03</v>
      </c>
      <c r="BI19" s="26">
        <f>现金流量表!BI48</f>
        <v>235169.61</v>
      </c>
      <c r="BJ19" s="26">
        <f>现金流量表!BJ48</f>
        <v>2833170.68</v>
      </c>
      <c r="BK19" s="26">
        <f>现金流量表!BK48</f>
        <v>1689607.27</v>
      </c>
      <c r="BL19" s="26">
        <f>现金流量表!BL48</f>
        <v>2300000</v>
      </c>
      <c r="BM19" s="26">
        <f>现金流量表!BM48</f>
        <v>322210.21000000002</v>
      </c>
      <c r="BN19" s="26">
        <f>现金流量表!BN48</f>
        <v>2453619.0499999998</v>
      </c>
      <c r="BO19" s="26">
        <f>现金流量表!BO48</f>
        <v>3370537.15</v>
      </c>
      <c r="BP19" s="26">
        <f>现金流量表!BP48</f>
        <v>2020261.27</v>
      </c>
      <c r="BQ19" s="26">
        <f>现金流量表!BQ48</f>
        <v>873941</v>
      </c>
      <c r="BR19" s="26">
        <f>现金流量表!BR48</f>
        <v>2197726.71</v>
      </c>
      <c r="BS19" s="26">
        <f>现金流量表!BS48</f>
        <v>1323361.46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3033400427.5799999</v>
      </c>
      <c r="F20" s="26">
        <f>现金流量表!F49</f>
        <v>0</v>
      </c>
      <c r="G20" s="26">
        <f>现金流量表!G49</f>
        <v>1591537667.98</v>
      </c>
      <c r="H20" s="26">
        <f>现金流量表!H49</f>
        <v>0</v>
      </c>
      <c r="I20" s="26">
        <f>现金流量表!I49</f>
        <v>2629476704.1399999</v>
      </c>
      <c r="J20" s="26">
        <f>现金流量表!J49</f>
        <v>0</v>
      </c>
      <c r="K20" s="26">
        <f>现金流量表!K49</f>
        <v>1110969225.6199999</v>
      </c>
      <c r="L20" s="26">
        <f>现金流量表!L49</f>
        <v>0</v>
      </c>
      <c r="M20" s="26">
        <f>现金流量表!M49</f>
        <v>1472835738.3699999</v>
      </c>
      <c r="N20" s="26">
        <f>现金流量表!N49</f>
        <v>0</v>
      </c>
      <c r="O20" s="26">
        <f>现金流量表!O49</f>
        <v>708002707.07000005</v>
      </c>
      <c r="P20" s="26">
        <f>现金流量表!P49</f>
        <v>0</v>
      </c>
      <c r="Q20" s="26">
        <f>现金流量表!Q49</f>
        <v>934105052.57000005</v>
      </c>
      <c r="R20" s="26">
        <f>现金流量表!R49</f>
        <v>0</v>
      </c>
      <c r="S20" s="26">
        <f>现金流量表!S49</f>
        <v>458008143</v>
      </c>
      <c r="T20" s="26">
        <f>现金流量表!T49</f>
        <v>0</v>
      </c>
      <c r="U20" s="26">
        <f>现金流量表!U49</f>
        <v>846134654.05999994</v>
      </c>
      <c r="V20" s="26">
        <f>现金流量表!V49</f>
        <v>0</v>
      </c>
      <c r="W20" s="26">
        <f>现金流量表!W49</f>
        <v>415088335.75</v>
      </c>
      <c r="X20" s="26">
        <f>现金流量表!X49</f>
        <v>0</v>
      </c>
      <c r="Y20" s="26">
        <f>现金流量表!Y49</f>
        <v>731446804.15999997</v>
      </c>
      <c r="Z20" s="26">
        <f>现金流量表!Z49</f>
        <v>0</v>
      </c>
      <c r="AA20" s="26">
        <f>现金流量表!AA49</f>
        <v>359963368.70999998</v>
      </c>
      <c r="AB20" s="26">
        <f>现金流量表!AB49</f>
        <v>0</v>
      </c>
      <c r="AC20" s="26">
        <f>现金流量表!AC49</f>
        <v>662030069.63999999</v>
      </c>
      <c r="AD20" s="26">
        <f>现金流量表!AD49</f>
        <v>0</v>
      </c>
      <c r="AE20" s="26">
        <f>现金流量表!AE49</f>
        <v>323504000.81</v>
      </c>
      <c r="AF20" s="26">
        <f>现金流量表!AF49</f>
        <v>0</v>
      </c>
      <c r="AG20" s="26">
        <f>现金流量表!AG49</f>
        <v>313839149.94999999</v>
      </c>
      <c r="AH20" s="26">
        <f>现金流量表!AH49</f>
        <v>0</v>
      </c>
      <c r="AI20" s="26">
        <f>现金流量表!AI49</f>
        <v>146021728.18000001</v>
      </c>
      <c r="AJ20" s="26">
        <f>现金流量表!AJ49</f>
        <v>0</v>
      </c>
      <c r="AK20" s="26">
        <f>现金流量表!AK49</f>
        <v>283567330.56999999</v>
      </c>
      <c r="AL20" s="26">
        <f>现金流量表!AL49</f>
        <v>0</v>
      </c>
      <c r="AM20" s="26">
        <f>现金流量表!AM49</f>
        <v>137627549.5</v>
      </c>
      <c r="AN20" s="26">
        <f>现金流量表!AN49</f>
        <v>0</v>
      </c>
      <c r="AO20" s="26">
        <f>现金流量表!AO49</f>
        <v>253356206.83000001</v>
      </c>
      <c r="AP20" s="26">
        <f>现金流量表!AP49</f>
        <v>0</v>
      </c>
      <c r="AQ20" s="26">
        <f>现金流量表!AQ49</f>
        <v>126646106.28</v>
      </c>
      <c r="AR20" s="26">
        <f>现金流量表!AR49</f>
        <v>0</v>
      </c>
      <c r="AS20" s="26">
        <f>现金流量表!AS49</f>
        <v>231322064.62</v>
      </c>
      <c r="AT20" s="26">
        <f>现金流量表!AT49</f>
        <v>0</v>
      </c>
      <c r="AU20" s="26">
        <f>现金流量表!AU49</f>
        <v>112562604.33</v>
      </c>
      <c r="AV20" s="26">
        <f>现金流量表!AV49</f>
        <v>0</v>
      </c>
      <c r="AW20" s="26">
        <f>现金流量表!AW49</f>
        <v>204380088.05000001</v>
      </c>
      <c r="AX20" s="26">
        <f>现金流量表!AX49</f>
        <v>144359983.11000001</v>
      </c>
      <c r="AY20" s="26">
        <f>现金流量表!AY49</f>
        <v>92374534.040000007</v>
      </c>
      <c r="AZ20" s="26">
        <f>现金流量表!AZ49</f>
        <v>40259859.740000002</v>
      </c>
      <c r="BA20" s="26">
        <f>现金流量表!BA49</f>
        <v>56981907.670000002</v>
      </c>
      <c r="BB20" s="26">
        <f>现金流量表!BB49</f>
        <v>40670080.810000002</v>
      </c>
      <c r="BC20" s="26">
        <f>现金流量表!BC49</f>
        <v>26784355.449999999</v>
      </c>
      <c r="BD20" s="26">
        <f>现金流量表!BD49</f>
        <v>13375256.880000001</v>
      </c>
      <c r="BE20" s="26">
        <f>现金流量表!BE49</f>
        <v>53332726.270000003</v>
      </c>
      <c r="BF20" s="26">
        <f>现金流量表!BF49</f>
        <v>40436268.380000003</v>
      </c>
      <c r="BG20" s="26">
        <f>现金流量表!BG49</f>
        <v>27749680.379999999</v>
      </c>
      <c r="BH20" s="26">
        <f>现金流量表!BH49</f>
        <v>14268373.33</v>
      </c>
      <c r="BI20" s="26">
        <f>现金流量表!BI49</f>
        <v>52795125.68</v>
      </c>
      <c r="BJ20" s="26">
        <f>现金流量表!BJ49</f>
        <v>38902998.649999999</v>
      </c>
      <c r="BK20" s="26">
        <f>现金流量表!BK49</f>
        <v>25629020.780000001</v>
      </c>
      <c r="BL20" s="26">
        <f>现金流量表!BL49</f>
        <v>12750860.359999999</v>
      </c>
      <c r="BM20" s="26">
        <f>现金流量表!BM49</f>
        <v>40033982.590000004</v>
      </c>
      <c r="BN20" s="26">
        <f>现金流量表!BN49</f>
        <v>15010963.4</v>
      </c>
      <c r="BO20" s="26">
        <f>现金流量表!BO49</f>
        <v>29063705.300000001</v>
      </c>
      <c r="BP20" s="26">
        <f>现金流量表!BP49</f>
        <v>15081839.289999999</v>
      </c>
      <c r="BQ20" s="26">
        <f>现金流量表!BQ49</f>
        <v>26279195.079999998</v>
      </c>
      <c r="BR20" s="26">
        <f>现金流量表!BR49</f>
        <v>11651699.949999999</v>
      </c>
      <c r="BS20" s="26">
        <f>现金流量表!BS49</f>
        <v>25058312.66</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144455456.00999999</v>
      </c>
      <c r="F21" s="26">
        <f>现金流量表!F50</f>
        <v>0</v>
      </c>
      <c r="G21" s="26">
        <f>现金流量表!G50</f>
        <v>71344038.620000005</v>
      </c>
      <c r="H21" s="26">
        <f>现金流量表!H50</f>
        <v>0</v>
      </c>
      <c r="I21" s="26">
        <f>现金流量表!I50</f>
        <v>129481556.45</v>
      </c>
      <c r="J21" s="26">
        <f>现金流量表!J50</f>
        <v>0</v>
      </c>
      <c r="K21" s="26">
        <f>现金流量表!K50</f>
        <v>62716876.490000002</v>
      </c>
      <c r="L21" s="26">
        <f>现金流量表!L50</f>
        <v>0</v>
      </c>
      <c r="M21" s="26">
        <f>现金流量表!M50</f>
        <v>73177887.930000007</v>
      </c>
      <c r="N21" s="26">
        <f>现金流量表!N50</f>
        <v>0</v>
      </c>
      <c r="O21" s="26">
        <f>现金流量表!O50</f>
        <v>31768133.359999999</v>
      </c>
      <c r="P21" s="26">
        <f>现金流量表!P50</f>
        <v>0</v>
      </c>
      <c r="Q21" s="26">
        <f>现金流量表!Q50</f>
        <v>44525724.490000002</v>
      </c>
      <c r="R21" s="26">
        <f>现金流量表!R50</f>
        <v>0</v>
      </c>
      <c r="S21" s="26">
        <f>现金流量表!S50</f>
        <v>20666421.93</v>
      </c>
      <c r="T21" s="26">
        <f>现金流量表!T50</f>
        <v>0</v>
      </c>
      <c r="U21" s="26">
        <f>现金流量表!U50</f>
        <v>21047696.329999998</v>
      </c>
      <c r="V21" s="26">
        <f>现金流量表!V50</f>
        <v>0</v>
      </c>
      <c r="W21" s="26">
        <f>现金流量表!W50</f>
        <v>9541290.6699999999</v>
      </c>
      <c r="X21" s="26">
        <f>现金流量表!X50</f>
        <v>0</v>
      </c>
      <c r="Y21" s="26">
        <f>现金流量表!Y50</f>
        <v>11856701.32</v>
      </c>
      <c r="Z21" s="26">
        <f>现金流量表!Z50</f>
        <v>0</v>
      </c>
      <c r="AA21" s="26">
        <f>现金流量表!AA50</f>
        <v>5247777.24</v>
      </c>
      <c r="AB21" s="26">
        <f>现金流量表!AB50</f>
        <v>0</v>
      </c>
      <c r="AC21" s="26">
        <f>现金流量表!AC50</f>
        <v>9095737.5399999991</v>
      </c>
      <c r="AD21" s="26">
        <f>现金流量表!AD50</f>
        <v>0</v>
      </c>
      <c r="AE21" s="26">
        <f>现金流量表!AE50</f>
        <v>10299595.82</v>
      </c>
      <c r="AF21" s="26">
        <f>现金流量表!AF50</f>
        <v>0</v>
      </c>
      <c r="AG21" s="26">
        <f>现金流量表!AG50</f>
        <v>6777988.4100000001</v>
      </c>
      <c r="AH21" s="26">
        <f>现金流量表!AH50</f>
        <v>0</v>
      </c>
      <c r="AI21" s="26">
        <f>现金流量表!AI50</f>
        <v>3062577.81</v>
      </c>
      <c r="AJ21" s="26">
        <f>现金流量表!AJ50</f>
        <v>0</v>
      </c>
      <c r="AK21" s="26">
        <f>现金流量表!AK50</f>
        <v>5706797.6100000003</v>
      </c>
      <c r="AL21" s="26">
        <f>现金流量表!AL50</f>
        <v>0</v>
      </c>
      <c r="AM21" s="26">
        <f>现金流量表!AM50</f>
        <v>2973593.93</v>
      </c>
      <c r="AN21" s="26">
        <f>现金流量表!AN50</f>
        <v>0</v>
      </c>
      <c r="AO21" s="26">
        <f>现金流量表!AO50</f>
        <v>4231832.26</v>
      </c>
      <c r="AP21" s="26">
        <f>现金流量表!AP50</f>
        <v>0</v>
      </c>
      <c r="AQ21" s="26">
        <f>现金流量表!AQ50</f>
        <v>2044918.31</v>
      </c>
      <c r="AR21" s="26">
        <f>现金流量表!AR50</f>
        <v>0</v>
      </c>
      <c r="AS21" s="26">
        <f>现金流量表!AS50</f>
        <v>3246986.34</v>
      </c>
      <c r="AT21" s="26">
        <f>现金流量表!AT50</f>
        <v>0</v>
      </c>
      <c r="AU21" s="26">
        <f>现金流量表!AU50</f>
        <v>1534655.5</v>
      </c>
      <c r="AV21" s="26">
        <f>现金流量表!AV50</f>
        <v>0</v>
      </c>
      <c r="AW21" s="26">
        <f>现金流量表!AW50</f>
        <v>83416.679999999993</v>
      </c>
      <c r="AX21" s="26">
        <f>现金流量表!AX50</f>
        <v>55917.67</v>
      </c>
      <c r="AY21" s="26">
        <f>现金流量表!AY50</f>
        <v>8550</v>
      </c>
      <c r="AZ21" s="26">
        <f>现金流量表!AZ50</f>
        <v>3975</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7778750.04</v>
      </c>
      <c r="F22" s="26">
        <f>现金流量表!F51</f>
        <v>0</v>
      </c>
      <c r="G22" s="26">
        <f>现金流量表!G51</f>
        <v>3606036.42</v>
      </c>
      <c r="H22" s="26">
        <f>现金流量表!H51</f>
        <v>0</v>
      </c>
      <c r="I22" s="26">
        <f>现金流量表!I51</f>
        <v>3511454.08</v>
      </c>
      <c r="J22" s="26">
        <f>现金流量表!J51</f>
        <v>0</v>
      </c>
      <c r="K22" s="26">
        <f>现金流量表!K51</f>
        <v>0</v>
      </c>
      <c r="L22" s="26">
        <f>现金流量表!L51</f>
        <v>0</v>
      </c>
      <c r="M22" s="26">
        <f>现金流量表!M51</f>
        <v>0</v>
      </c>
      <c r="N22" s="26">
        <f>现金流量表!N51</f>
        <v>0</v>
      </c>
      <c r="O22" s="26">
        <f>现金流量表!O51</f>
        <v>9741775.0500000007</v>
      </c>
      <c r="P22" s="26">
        <f>现金流量表!P51</f>
        <v>0</v>
      </c>
      <c r="Q22" s="26">
        <f>现金流量表!Q51</f>
        <v>10132085.16</v>
      </c>
      <c r="R22" s="26">
        <f>现金流量表!R51</f>
        <v>0</v>
      </c>
      <c r="S22" s="26">
        <f>现金流量表!S51</f>
        <v>4607612.63</v>
      </c>
      <c r="T22" s="26">
        <f>现金流量表!T51</f>
        <v>0</v>
      </c>
      <c r="U22" s="26">
        <f>现金流量表!U51</f>
        <v>10018624.59</v>
      </c>
      <c r="V22" s="26">
        <f>现金流量表!V51</f>
        <v>0</v>
      </c>
      <c r="W22" s="26">
        <f>现金流量表!W51</f>
        <v>4506073.7</v>
      </c>
      <c r="X22" s="26">
        <f>现金流量表!X51</f>
        <v>0</v>
      </c>
      <c r="Y22" s="26">
        <f>现金流量表!Y51</f>
        <v>7665166.2300000004</v>
      </c>
      <c r="Z22" s="26">
        <f>现金流量表!Z51</f>
        <v>0</v>
      </c>
      <c r="AA22" s="26">
        <f>现金流量表!AA51</f>
        <v>3163278.78</v>
      </c>
      <c r="AB22" s="26">
        <f>现金流量表!AB51</f>
        <v>0</v>
      </c>
      <c r="AC22" s="26">
        <f>现金流量表!AC51</f>
        <v>4722874.75</v>
      </c>
      <c r="AD22" s="26">
        <f>现金流量表!AD51</f>
        <v>0</v>
      </c>
      <c r="AE22" s="26">
        <f>现金流量表!AE51</f>
        <v>2110244.34</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1292188.47</v>
      </c>
      <c r="AX22" s="26">
        <f>现金流量表!AX51</f>
        <v>1292188.47</v>
      </c>
      <c r="AY22" s="26">
        <f>现金流量表!AY51</f>
        <v>1292188.47</v>
      </c>
      <c r="AZ22" s="26">
        <f>现金流量表!AZ51</f>
        <v>1292188.47</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217695299.03999999</v>
      </c>
      <c r="F23" s="26">
        <f>现金流量表!F54</f>
        <v>0</v>
      </c>
      <c r="G23" s="26">
        <f>现金流量表!G54</f>
        <v>7012092.5800000001</v>
      </c>
      <c r="H23" s="26">
        <f>现金流量表!H54</f>
        <v>0</v>
      </c>
      <c r="I23" s="26">
        <f>现金流量表!I54</f>
        <v>85025534.540000007</v>
      </c>
      <c r="J23" s="26">
        <f>现金流量表!J54</f>
        <v>0</v>
      </c>
      <c r="K23" s="26">
        <f>现金流量表!K54</f>
        <v>7626238.3899999997</v>
      </c>
      <c r="L23" s="26">
        <f>现金流量表!L54</f>
        <v>0</v>
      </c>
      <c r="M23" s="26">
        <f>现金流量表!M54</f>
        <v>160020095.77000001</v>
      </c>
      <c r="N23" s="26">
        <f>现金流量表!N54</f>
        <v>0</v>
      </c>
      <c r="O23" s="26">
        <f>现金流量表!O54</f>
        <v>43234921.350000001</v>
      </c>
      <c r="P23" s="26">
        <f>现金流量表!P54</f>
        <v>0</v>
      </c>
      <c r="Q23" s="26">
        <f>现金流量表!Q54</f>
        <v>222802522.16</v>
      </c>
      <c r="R23" s="26">
        <f>现金流量表!R54</f>
        <v>0</v>
      </c>
      <c r="S23" s="26">
        <f>现金流量表!S54</f>
        <v>6636947.9699999997</v>
      </c>
      <c r="T23" s="26">
        <f>现金流量表!T54</f>
        <v>0</v>
      </c>
      <c r="U23" s="26">
        <f>现金流量表!U54</f>
        <v>29437420.260000002</v>
      </c>
      <c r="V23" s="26">
        <f>现金流量表!V54</f>
        <v>0</v>
      </c>
      <c r="W23" s="26">
        <f>现金流量表!W54</f>
        <v>11004224.07</v>
      </c>
      <c r="X23" s="26">
        <f>现金流量表!X54</f>
        <v>0</v>
      </c>
      <c r="Y23" s="26">
        <f>现金流量表!Y54</f>
        <v>169821788.24000001</v>
      </c>
      <c r="Z23" s="26">
        <f>现金流量表!Z54</f>
        <v>0</v>
      </c>
      <c r="AA23" s="26">
        <f>现金流量表!AA54</f>
        <v>3315410.2</v>
      </c>
      <c r="AB23" s="26">
        <f>现金流量表!AB54</f>
        <v>0</v>
      </c>
      <c r="AC23" s="26">
        <f>现金流量表!AC54</f>
        <v>13870045.960000001</v>
      </c>
      <c r="AD23" s="26">
        <f>现金流量表!AD54</f>
        <v>0</v>
      </c>
      <c r="AE23" s="26">
        <f>现金流量表!AE54</f>
        <v>-659460.93000000005</v>
      </c>
      <c r="AF23" s="26">
        <f>现金流量表!AF54</f>
        <v>0</v>
      </c>
      <c r="AG23" s="26">
        <f>现金流量表!AG54</f>
        <v>101329.63</v>
      </c>
      <c r="AH23" s="26">
        <f>现金流量表!AH54</f>
        <v>0</v>
      </c>
      <c r="AI23" s="26">
        <f>现金流量表!AI54</f>
        <v>-83554.84</v>
      </c>
      <c r="AJ23" s="26">
        <f>现金流量表!AJ54</f>
        <v>0</v>
      </c>
      <c r="AK23" s="26">
        <f>现金流量表!AK54</f>
        <v>5038032.1900000004</v>
      </c>
      <c r="AL23" s="26">
        <f>现金流量表!AL54</f>
        <v>0</v>
      </c>
      <c r="AM23" s="26">
        <f>现金流量表!AM54</f>
        <v>-532937.68999999994</v>
      </c>
      <c r="AN23" s="26">
        <f>现金流量表!AN54</f>
        <v>0</v>
      </c>
      <c r="AO23" s="26">
        <f>现金流量表!AO54</f>
        <v>10026659.689999999</v>
      </c>
      <c r="AP23" s="26">
        <f>现金流量表!AP54</f>
        <v>0</v>
      </c>
      <c r="AQ23" s="26">
        <f>现金流量表!AQ54</f>
        <v>347872.53</v>
      </c>
      <c r="AR23" s="26">
        <f>现金流量表!AR54</f>
        <v>0</v>
      </c>
      <c r="AS23" s="26">
        <f>现金流量表!AS54</f>
        <v>5731565.3700000001</v>
      </c>
      <c r="AT23" s="26">
        <f>现金流量表!AT54</f>
        <v>0</v>
      </c>
      <c r="AU23" s="26">
        <f>现金流量表!AU54</f>
        <v>879570.05</v>
      </c>
      <c r="AV23" s="26">
        <f>现金流量表!AV54</f>
        <v>0</v>
      </c>
      <c r="AW23" s="26">
        <f>现金流量表!AW54</f>
        <v>105935.61</v>
      </c>
      <c r="AX23" s="26">
        <f>现金流量表!AX54</f>
        <v>31527.4</v>
      </c>
      <c r="AY23" s="26">
        <f>现金流量表!AY54</f>
        <v>93261</v>
      </c>
      <c r="AZ23" s="26">
        <f>现金流量表!AZ54</f>
        <v>0</v>
      </c>
      <c r="BA23" s="26">
        <f>现金流量表!BA54</f>
        <v>-89497.4</v>
      </c>
      <c r="BB23" s="26">
        <f>现金流量表!BB54</f>
        <v>130232.2</v>
      </c>
      <c r="BC23" s="26">
        <f>现金流量表!BC54</f>
        <v>-3657.4</v>
      </c>
      <c r="BD23" s="26">
        <f>现金流量表!BD54</f>
        <v>0</v>
      </c>
      <c r="BE23" s="26">
        <f>现金流量表!BE54</f>
        <v>-690882.01</v>
      </c>
      <c r="BF23" s="26">
        <f>现金流量表!BF54</f>
        <v>-887841.4</v>
      </c>
      <c r="BG23" s="26">
        <f>现金流量表!BG54</f>
        <v>-521396</v>
      </c>
      <c r="BH23" s="26">
        <f>现金流量表!BH54</f>
        <v>-521396</v>
      </c>
      <c r="BI23" s="26">
        <f>现金流量表!BI54</f>
        <v>580461.34</v>
      </c>
      <c r="BJ23" s="26">
        <f>现金流量表!BJ54</f>
        <v>623606.48</v>
      </c>
      <c r="BK23" s="26">
        <f>现金流量表!BK54</f>
        <v>622822.48</v>
      </c>
      <c r="BL23" s="26">
        <f>现金流量表!BL54</f>
        <v>-186713.60000000001</v>
      </c>
      <c r="BM23" s="26">
        <f>现金流量表!BM54</f>
        <v>-493302.9</v>
      </c>
      <c r="BN23" s="26">
        <f>现金流量表!BN54</f>
        <v>-376234.6</v>
      </c>
      <c r="BO23" s="26">
        <f>现金流量表!BO54</f>
        <v>-71720</v>
      </c>
      <c r="BP23" s="26">
        <f>现金流量表!BP54</f>
        <v>2641.32</v>
      </c>
      <c r="BQ23" s="26">
        <f>现金流量表!BQ54</f>
        <v>0</v>
      </c>
      <c r="BR23" s="26">
        <f>现金流量表!BR54</f>
        <v>0</v>
      </c>
      <c r="BS23" s="26">
        <f>现金流量表!BS54</f>
        <v>2632395.2000000002</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123405.18</v>
      </c>
      <c r="AN24" s="26">
        <f>现金流量表!AN55</f>
        <v>0</v>
      </c>
      <c r="AO24" s="26">
        <f>现金流量表!AO55</f>
        <v>0</v>
      </c>
      <c r="AP24" s="26">
        <f>现金流量表!AP55</f>
        <v>0</v>
      </c>
      <c r="AQ24" s="26">
        <f>现金流量表!AQ55</f>
        <v>107395.47</v>
      </c>
      <c r="AR24" s="26">
        <f>现金流量表!AR55</f>
        <v>0</v>
      </c>
      <c r="AS24" s="26">
        <f>现金流量表!AS55</f>
        <v>0</v>
      </c>
      <c r="AT24" s="26">
        <f>现金流量表!AT55</f>
        <v>0</v>
      </c>
      <c r="AU24" s="26">
        <f>现金流量表!AU55</f>
        <v>0</v>
      </c>
      <c r="AV24" s="26">
        <f>现金流量表!AV55</f>
        <v>0</v>
      </c>
      <c r="AW24" s="26">
        <f>现金流量表!AW55</f>
        <v>0</v>
      </c>
      <c r="AX24" s="26">
        <f>现金流量表!AX55</f>
        <v>1028</v>
      </c>
      <c r="AY24" s="26">
        <f>现金流量表!AY55</f>
        <v>18303.43</v>
      </c>
      <c r="AZ24" s="26">
        <f>现金流量表!AZ55</f>
        <v>93289.43</v>
      </c>
      <c r="BA24" s="26">
        <f>现金流量表!BA55</f>
        <v>42947069.979999997</v>
      </c>
      <c r="BB24" s="26">
        <f>现金流量表!BB55</f>
        <v>5243.43</v>
      </c>
      <c r="BC24" s="26">
        <f>现金流量表!BC55</f>
        <v>5243.43</v>
      </c>
      <c r="BD24" s="26">
        <f>现金流量表!BD55</f>
        <v>0</v>
      </c>
      <c r="BE24" s="26">
        <f>现金流量表!BE55</f>
        <v>44229863.509999998</v>
      </c>
      <c r="BF24" s="26">
        <f>现金流量表!BF55</f>
        <v>23687135.710000001</v>
      </c>
      <c r="BG24" s="26">
        <f>现金流量表!BG55</f>
        <v>23687135.710000001</v>
      </c>
      <c r="BH24" s="26">
        <f>现金流量表!BH55</f>
        <v>0</v>
      </c>
      <c r="BI24" s="26">
        <f>现金流量表!BI55</f>
        <v>0</v>
      </c>
      <c r="BJ24" s="26">
        <f>现金流量表!BJ55</f>
        <v>0</v>
      </c>
      <c r="BK24" s="26">
        <f>现金流量表!BK55</f>
        <v>0</v>
      </c>
      <c r="BL24" s="26">
        <f>现金流量表!BL55</f>
        <v>0</v>
      </c>
      <c r="BM24" s="26">
        <f>现金流量表!BM55</f>
        <v>1148086.6100000001</v>
      </c>
      <c r="BN24" s="26">
        <f>现金流量表!BN55</f>
        <v>0</v>
      </c>
      <c r="BO24" s="26">
        <f>现金流量表!BO55</f>
        <v>6562457.6100000003</v>
      </c>
      <c r="BP24" s="26">
        <f>现金流量表!BP55</f>
        <v>0</v>
      </c>
      <c r="BQ24" s="26">
        <f>现金流量表!BQ55</f>
        <v>9345588.9199999999</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3706646000.2200003</v>
      </c>
      <c r="F25" s="28">
        <f t="shared" ref="F25:BQ25" si="12">SUM(F19:F24)</f>
        <v>0</v>
      </c>
      <c r="G25" s="28">
        <f t="shared" si="12"/>
        <v>1833973295.8000002</v>
      </c>
      <c r="H25" s="28">
        <f t="shared" si="12"/>
        <v>0</v>
      </c>
      <c r="I25" s="28">
        <f t="shared" si="12"/>
        <v>2921794013.5399995</v>
      </c>
      <c r="J25" s="28">
        <f t="shared" si="12"/>
        <v>0</v>
      </c>
      <c r="K25" s="28">
        <f t="shared" si="12"/>
        <v>1237684792.22</v>
      </c>
      <c r="L25" s="28">
        <f t="shared" si="12"/>
        <v>0</v>
      </c>
      <c r="M25" s="28">
        <f t="shared" si="12"/>
        <v>1697680384.8</v>
      </c>
      <c r="N25" s="28">
        <f t="shared" si="12"/>
        <v>0</v>
      </c>
      <c r="O25" s="28">
        <f t="shared" si="12"/>
        <v>805050222.23000002</v>
      </c>
      <c r="P25" s="28">
        <f t="shared" si="12"/>
        <v>0</v>
      </c>
      <c r="Q25" s="28">
        <f t="shared" si="12"/>
        <v>1285831664.4300001</v>
      </c>
      <c r="R25" s="28">
        <f t="shared" si="12"/>
        <v>0</v>
      </c>
      <c r="S25" s="28">
        <f t="shared" si="12"/>
        <v>540054997.76999998</v>
      </c>
      <c r="T25" s="28">
        <f t="shared" si="12"/>
        <v>0</v>
      </c>
      <c r="U25" s="28">
        <f t="shared" si="12"/>
        <v>933548981.72000003</v>
      </c>
      <c r="V25" s="28">
        <f t="shared" si="12"/>
        <v>0</v>
      </c>
      <c r="W25" s="28">
        <f t="shared" si="12"/>
        <v>478832513.91000003</v>
      </c>
      <c r="X25" s="28">
        <f t="shared" si="12"/>
        <v>0</v>
      </c>
      <c r="Y25" s="28">
        <f t="shared" si="12"/>
        <v>955918974.34000003</v>
      </c>
      <c r="Z25" s="28">
        <f t="shared" si="12"/>
        <v>0</v>
      </c>
      <c r="AA25" s="28">
        <f t="shared" si="12"/>
        <v>395127986.43999994</v>
      </c>
      <c r="AB25" s="28">
        <f t="shared" si="12"/>
        <v>0</v>
      </c>
      <c r="AC25" s="28">
        <f t="shared" si="12"/>
        <v>684776287.02999997</v>
      </c>
      <c r="AD25" s="28">
        <f t="shared" si="12"/>
        <v>0</v>
      </c>
      <c r="AE25" s="28">
        <f t="shared" si="12"/>
        <v>359919380.35999995</v>
      </c>
      <c r="AF25" s="28">
        <f t="shared" si="12"/>
        <v>0</v>
      </c>
      <c r="AG25" s="28">
        <f t="shared" si="12"/>
        <v>353191961.73000002</v>
      </c>
      <c r="AH25" s="28">
        <f t="shared" si="12"/>
        <v>0</v>
      </c>
      <c r="AI25" s="28">
        <f t="shared" si="12"/>
        <v>168811507.40000001</v>
      </c>
      <c r="AJ25" s="28">
        <f t="shared" si="12"/>
        <v>0</v>
      </c>
      <c r="AK25" s="28">
        <f t="shared" si="12"/>
        <v>304010950.22000003</v>
      </c>
      <c r="AL25" s="28">
        <f t="shared" si="12"/>
        <v>0</v>
      </c>
      <c r="AM25" s="28">
        <f t="shared" si="12"/>
        <v>148978918.94000003</v>
      </c>
      <c r="AN25" s="28">
        <f t="shared" si="12"/>
        <v>0</v>
      </c>
      <c r="AO25" s="28">
        <f t="shared" si="12"/>
        <v>267868176.5</v>
      </c>
      <c r="AP25" s="28">
        <f t="shared" si="12"/>
        <v>0</v>
      </c>
      <c r="AQ25" s="28">
        <f t="shared" si="12"/>
        <v>134805881.94999999</v>
      </c>
      <c r="AR25" s="28">
        <f t="shared" si="12"/>
        <v>0</v>
      </c>
      <c r="AS25" s="28">
        <f t="shared" si="12"/>
        <v>260181680.76000002</v>
      </c>
      <c r="AT25" s="28">
        <f t="shared" si="12"/>
        <v>0</v>
      </c>
      <c r="AU25" s="28">
        <f t="shared" si="12"/>
        <v>121998889.14999999</v>
      </c>
      <c r="AV25" s="28">
        <f t="shared" si="12"/>
        <v>0</v>
      </c>
      <c r="AW25" s="28">
        <f t="shared" si="12"/>
        <v>217865774.44000003</v>
      </c>
      <c r="AX25" s="28">
        <f t="shared" si="12"/>
        <v>162130781.17000002</v>
      </c>
      <c r="AY25" s="28">
        <f t="shared" si="12"/>
        <v>104968843.75000001</v>
      </c>
      <c r="AZ25" s="28">
        <f t="shared" si="12"/>
        <v>52665122.869999997</v>
      </c>
      <c r="BA25" s="28">
        <f t="shared" si="12"/>
        <v>88232175.060000002</v>
      </c>
      <c r="BB25" s="28">
        <f t="shared" si="12"/>
        <v>33209796.780000001</v>
      </c>
      <c r="BC25" s="28">
        <f t="shared" si="12"/>
        <v>13421561.089999998</v>
      </c>
      <c r="BD25" s="28">
        <f t="shared" si="12"/>
        <v>15218504</v>
      </c>
      <c r="BE25" s="28">
        <f t="shared" si="12"/>
        <v>111920530.15000001</v>
      </c>
      <c r="BF25" s="28">
        <f t="shared" si="12"/>
        <v>64451363.860000007</v>
      </c>
      <c r="BG25" s="28">
        <f t="shared" si="12"/>
        <v>51448880.590000004</v>
      </c>
      <c r="BH25" s="28">
        <f t="shared" si="12"/>
        <v>15257980.359999999</v>
      </c>
      <c r="BI25" s="28">
        <f t="shared" si="12"/>
        <v>53610756.630000003</v>
      </c>
      <c r="BJ25" s="28">
        <f t="shared" si="12"/>
        <v>42359775.809999995</v>
      </c>
      <c r="BK25" s="28">
        <f t="shared" si="12"/>
        <v>27941450.530000001</v>
      </c>
      <c r="BL25" s="28">
        <f t="shared" si="12"/>
        <v>14864146.76</v>
      </c>
      <c r="BM25" s="28">
        <f t="shared" si="12"/>
        <v>41010976.510000005</v>
      </c>
      <c r="BN25" s="28">
        <f t="shared" si="12"/>
        <v>17088347.849999998</v>
      </c>
      <c r="BO25" s="28">
        <f t="shared" si="12"/>
        <v>38924980.060000002</v>
      </c>
      <c r="BP25" s="28">
        <f t="shared" si="12"/>
        <v>17104741.879999999</v>
      </c>
      <c r="BQ25" s="28">
        <f t="shared" si="12"/>
        <v>36498725</v>
      </c>
      <c r="BR25" s="28">
        <f t="shared" ref="BR25:CK25" si="13">SUM(BR19:BR24)</f>
        <v>13849426.66</v>
      </c>
      <c r="BS25" s="28">
        <f t="shared" si="13"/>
        <v>29014069.32</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6505500595.1799994</v>
      </c>
      <c r="F26" s="28">
        <f t="shared" ref="F26:BQ26" si="14">F14-F25</f>
        <v>5631450899.3100004</v>
      </c>
      <c r="G26" s="28">
        <f t="shared" si="14"/>
        <v>-385445265.10000014</v>
      </c>
      <c r="H26" s="28">
        <f t="shared" si="14"/>
        <v>473064821.51999998</v>
      </c>
      <c r="I26" s="28">
        <f t="shared" si="14"/>
        <v>4427049865.2900009</v>
      </c>
      <c r="J26" s="28">
        <f t="shared" si="14"/>
        <v>5213297121.1899996</v>
      </c>
      <c r="K26" s="28">
        <f t="shared" si="14"/>
        <v>1959271171.3100002</v>
      </c>
      <c r="L26" s="28">
        <f t="shared" si="14"/>
        <v>1797738710.79</v>
      </c>
      <c r="M26" s="28">
        <f t="shared" si="14"/>
        <v>2904713341.1199999</v>
      </c>
      <c r="N26" s="28">
        <f t="shared" si="14"/>
        <v>3261934933.6900001</v>
      </c>
      <c r="O26" s="28">
        <f t="shared" si="14"/>
        <v>1133305725.8</v>
      </c>
      <c r="P26" s="28">
        <f t="shared" si="14"/>
        <v>744388968.48000002</v>
      </c>
      <c r="Q26" s="28">
        <f t="shared" si="14"/>
        <v>2734683198.3999996</v>
      </c>
      <c r="R26" s="28">
        <f t="shared" si="14"/>
        <v>4001156726.0300002</v>
      </c>
      <c r="S26" s="28">
        <f t="shared" si="14"/>
        <v>1277007220.1800001</v>
      </c>
      <c r="T26" s="28">
        <f t="shared" si="14"/>
        <v>1041438665.5</v>
      </c>
      <c r="U26" s="28">
        <f t="shared" si="14"/>
        <v>2935713988.3500004</v>
      </c>
      <c r="V26" s="28">
        <f t="shared" si="14"/>
        <v>2431011526.1799998</v>
      </c>
      <c r="W26" s="28">
        <f t="shared" si="14"/>
        <v>1305224574.9599998</v>
      </c>
      <c r="X26" s="28">
        <f t="shared" si="14"/>
        <v>771350227.17999995</v>
      </c>
      <c r="Y26" s="28">
        <f t="shared" si="14"/>
        <v>2850259764.1900001</v>
      </c>
      <c r="Z26" s="28">
        <f t="shared" si="14"/>
        <v>2768175671.1700001</v>
      </c>
      <c r="AA26" s="28">
        <f t="shared" si="14"/>
        <v>1498994398.0799999</v>
      </c>
      <c r="AB26" s="28">
        <f t="shared" si="14"/>
        <v>941760962.99000001</v>
      </c>
      <c r="AC26" s="28">
        <f t="shared" si="14"/>
        <v>1327657090.8700001</v>
      </c>
      <c r="AD26" s="28">
        <f t="shared" si="14"/>
        <v>1030715391.98</v>
      </c>
      <c r="AE26" s="28">
        <f t="shared" si="14"/>
        <v>587725815.11000013</v>
      </c>
      <c r="AF26" s="28">
        <f t="shared" si="14"/>
        <v>245090015.16999999</v>
      </c>
      <c r="AG26" s="28">
        <f t="shared" si="14"/>
        <v>60166444.479999959</v>
      </c>
      <c r="AH26" s="28">
        <f t="shared" si="14"/>
        <v>217249909.44999999</v>
      </c>
      <c r="AI26" s="28">
        <f t="shared" si="14"/>
        <v>55737726.560000002</v>
      </c>
      <c r="AJ26" s="28">
        <f t="shared" si="14"/>
        <v>221686829.78999999</v>
      </c>
      <c r="AK26" s="28">
        <f t="shared" si="14"/>
        <v>1150367078.6299999</v>
      </c>
      <c r="AL26" s="28">
        <f t="shared" si="14"/>
        <v>971572847.78999996</v>
      </c>
      <c r="AM26" s="28">
        <f t="shared" si="14"/>
        <v>888752218.38</v>
      </c>
      <c r="AN26" s="28">
        <f t="shared" si="14"/>
        <v>500247022.56</v>
      </c>
      <c r="AO26" s="28">
        <f t="shared" si="14"/>
        <v>1732336314.8900001</v>
      </c>
      <c r="AP26" s="28">
        <f t="shared" si="14"/>
        <v>892259381.87</v>
      </c>
      <c r="AQ26" s="28">
        <f t="shared" si="14"/>
        <v>342558611.30000001</v>
      </c>
      <c r="AR26" s="28">
        <f t="shared" si="14"/>
        <v>25279397.539999999</v>
      </c>
      <c r="AS26" s="28">
        <f t="shared" si="14"/>
        <v>1022195373.71</v>
      </c>
      <c r="AT26" s="28">
        <f t="shared" si="14"/>
        <v>1160994477.8499999</v>
      </c>
      <c r="AU26" s="28">
        <f t="shared" si="14"/>
        <v>447188260.96000004</v>
      </c>
      <c r="AV26" s="28">
        <f t="shared" si="14"/>
        <v>96061223.269999996</v>
      </c>
      <c r="AW26" s="28">
        <f t="shared" si="14"/>
        <v>714482291.0999999</v>
      </c>
      <c r="AX26" s="28">
        <f t="shared" si="14"/>
        <v>526770735.03000003</v>
      </c>
      <c r="AY26" s="28">
        <f t="shared" si="14"/>
        <v>269920529.13</v>
      </c>
      <c r="AZ26" s="28">
        <f t="shared" si="14"/>
        <v>44249901.880000003</v>
      </c>
      <c r="BA26" s="28">
        <f t="shared" si="14"/>
        <v>739164111.04999995</v>
      </c>
      <c r="BB26" s="28">
        <f t="shared" si="14"/>
        <v>529929071.02999997</v>
      </c>
      <c r="BC26" s="28">
        <f t="shared" si="14"/>
        <v>293624846.75</v>
      </c>
      <c r="BD26" s="28">
        <f t="shared" si="14"/>
        <v>264327041.48000002</v>
      </c>
      <c r="BE26" s="28">
        <f t="shared" si="14"/>
        <v>91307170.299999982</v>
      </c>
      <c r="BF26" s="28">
        <f t="shared" si="14"/>
        <v>220358231.52999997</v>
      </c>
      <c r="BG26" s="28">
        <f t="shared" si="14"/>
        <v>237938188.86999997</v>
      </c>
      <c r="BH26" s="28">
        <f t="shared" si="14"/>
        <v>64894608.239999995</v>
      </c>
      <c r="BI26" s="28">
        <f t="shared" si="14"/>
        <v>320611965.62</v>
      </c>
      <c r="BJ26" s="28">
        <f t="shared" si="14"/>
        <v>274114410.02999997</v>
      </c>
      <c r="BK26" s="28">
        <f t="shared" si="14"/>
        <v>98158514.289999992</v>
      </c>
      <c r="BL26" s="28">
        <f t="shared" si="14"/>
        <v>20061235.420000002</v>
      </c>
      <c r="BM26" s="28">
        <f t="shared" si="14"/>
        <v>82968721.390000001</v>
      </c>
      <c r="BN26" s="28">
        <f t="shared" si="14"/>
        <v>-16360590.819999998</v>
      </c>
      <c r="BO26" s="28">
        <f t="shared" si="14"/>
        <v>45841541.429999992</v>
      </c>
      <c r="BP26" s="28">
        <f t="shared" si="14"/>
        <v>15492380.66</v>
      </c>
      <c r="BQ26" s="28">
        <f t="shared" si="14"/>
        <v>47587329.370000005</v>
      </c>
      <c r="BR26" s="28">
        <f t="shared" ref="BR26:CK26" si="15">BR14-BR25</f>
        <v>-25728599.380000003</v>
      </c>
      <c r="BS26" s="28">
        <f t="shared" si="15"/>
        <v>25423500.439999998</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273" t="s">
        <v>749</v>
      </c>
      <c r="E27" s="26">
        <f>E26</f>
        <v>6505500595.1799994</v>
      </c>
      <c r="F27" s="198">
        <f t="shared" ref="F27:BQ27" si="16">F26</f>
        <v>5631450899.3100004</v>
      </c>
      <c r="G27" s="198">
        <f t="shared" si="16"/>
        <v>-385445265.10000014</v>
      </c>
      <c r="H27" s="198">
        <f t="shared" si="16"/>
        <v>473064821.51999998</v>
      </c>
      <c r="I27" s="198">
        <f t="shared" si="16"/>
        <v>4427049865.2900009</v>
      </c>
      <c r="J27" s="198">
        <f t="shared" si="16"/>
        <v>5213297121.1899996</v>
      </c>
      <c r="K27" s="198">
        <f t="shared" si="16"/>
        <v>1959271171.3100002</v>
      </c>
      <c r="L27" s="198">
        <f t="shared" si="16"/>
        <v>1797738710.79</v>
      </c>
      <c r="M27" s="198">
        <f t="shared" si="16"/>
        <v>2904713341.1199999</v>
      </c>
      <c r="N27" s="198">
        <f t="shared" si="16"/>
        <v>3261934933.6900001</v>
      </c>
      <c r="O27" s="198">
        <f t="shared" si="16"/>
        <v>1133305725.8</v>
      </c>
      <c r="P27" s="198">
        <f t="shared" si="16"/>
        <v>744388968.48000002</v>
      </c>
      <c r="Q27" s="198">
        <f t="shared" si="16"/>
        <v>2734683198.3999996</v>
      </c>
      <c r="R27" s="198">
        <f t="shared" si="16"/>
        <v>4001156726.0300002</v>
      </c>
      <c r="S27" s="198">
        <f t="shared" si="16"/>
        <v>1277007220.1800001</v>
      </c>
      <c r="T27" s="198">
        <f t="shared" si="16"/>
        <v>1041438665.5</v>
      </c>
      <c r="U27" s="198">
        <f t="shared" si="16"/>
        <v>2935713988.3500004</v>
      </c>
      <c r="V27" s="198">
        <f t="shared" si="16"/>
        <v>2431011526.1799998</v>
      </c>
      <c r="W27" s="198">
        <f t="shared" si="16"/>
        <v>1305224574.9599998</v>
      </c>
      <c r="X27" s="198">
        <f t="shared" si="16"/>
        <v>771350227.17999995</v>
      </c>
      <c r="Y27" s="198">
        <f t="shared" si="16"/>
        <v>2850259764.1900001</v>
      </c>
      <c r="Z27" s="198">
        <f t="shared" si="16"/>
        <v>2768175671.1700001</v>
      </c>
      <c r="AA27" s="198">
        <f t="shared" si="16"/>
        <v>1498994398.0799999</v>
      </c>
      <c r="AB27" s="198">
        <f t="shared" si="16"/>
        <v>941760962.99000001</v>
      </c>
      <c r="AC27" s="198">
        <f t="shared" si="16"/>
        <v>1327657090.8700001</v>
      </c>
      <c r="AD27" s="198">
        <f t="shared" si="16"/>
        <v>1030715391.98</v>
      </c>
      <c r="AE27" s="198">
        <f t="shared" si="16"/>
        <v>587725815.11000013</v>
      </c>
      <c r="AF27" s="198">
        <f t="shared" si="16"/>
        <v>245090015.16999999</v>
      </c>
      <c r="AG27" s="198">
        <f t="shared" si="16"/>
        <v>60166444.479999959</v>
      </c>
      <c r="AH27" s="198">
        <f t="shared" si="16"/>
        <v>217249909.44999999</v>
      </c>
      <c r="AI27" s="198">
        <f t="shared" si="16"/>
        <v>55737726.560000002</v>
      </c>
      <c r="AJ27" s="198">
        <f t="shared" si="16"/>
        <v>221686829.78999999</v>
      </c>
      <c r="AK27" s="198">
        <f t="shared" si="16"/>
        <v>1150367078.6299999</v>
      </c>
      <c r="AL27" s="198">
        <f t="shared" si="16"/>
        <v>971572847.78999996</v>
      </c>
      <c r="AM27" s="198">
        <f t="shared" si="16"/>
        <v>888752218.38</v>
      </c>
      <c r="AN27" s="198">
        <f t="shared" si="16"/>
        <v>500247022.56</v>
      </c>
      <c r="AO27" s="198">
        <f t="shared" si="16"/>
        <v>1732336314.8900001</v>
      </c>
      <c r="AP27" s="198">
        <f t="shared" si="16"/>
        <v>892259381.87</v>
      </c>
      <c r="AQ27" s="198">
        <f t="shared" si="16"/>
        <v>342558611.30000001</v>
      </c>
      <c r="AR27" s="198">
        <f t="shared" si="16"/>
        <v>25279397.539999999</v>
      </c>
      <c r="AS27" s="198">
        <f t="shared" si="16"/>
        <v>1022195373.71</v>
      </c>
      <c r="AT27" s="198">
        <f t="shared" si="16"/>
        <v>1160994477.8499999</v>
      </c>
      <c r="AU27" s="198">
        <f t="shared" si="16"/>
        <v>447188260.96000004</v>
      </c>
      <c r="AV27" s="198">
        <f t="shared" si="16"/>
        <v>96061223.269999996</v>
      </c>
      <c r="AW27" s="198">
        <f t="shared" si="16"/>
        <v>714482291.0999999</v>
      </c>
      <c r="AX27" s="198">
        <f t="shared" si="16"/>
        <v>526770735.03000003</v>
      </c>
      <c r="AY27" s="198">
        <f t="shared" si="16"/>
        <v>269920529.13</v>
      </c>
      <c r="AZ27" s="198">
        <f t="shared" si="16"/>
        <v>44249901.880000003</v>
      </c>
      <c r="BA27" s="198">
        <f t="shared" si="16"/>
        <v>739164111.04999995</v>
      </c>
      <c r="BB27" s="198">
        <f t="shared" si="16"/>
        <v>529929071.02999997</v>
      </c>
      <c r="BC27" s="198">
        <f t="shared" si="16"/>
        <v>293624846.75</v>
      </c>
      <c r="BD27" s="198">
        <f t="shared" si="16"/>
        <v>264327041.48000002</v>
      </c>
      <c r="BE27" s="198">
        <f t="shared" si="16"/>
        <v>91307170.299999982</v>
      </c>
      <c r="BF27" s="198">
        <f t="shared" si="16"/>
        <v>220358231.52999997</v>
      </c>
      <c r="BG27" s="198">
        <f t="shared" si="16"/>
        <v>237938188.86999997</v>
      </c>
      <c r="BH27" s="198">
        <f t="shared" si="16"/>
        <v>64894608.239999995</v>
      </c>
      <c r="BI27" s="198">
        <f t="shared" si="16"/>
        <v>320611965.62</v>
      </c>
      <c r="BJ27" s="198">
        <f t="shared" si="16"/>
        <v>274114410.02999997</v>
      </c>
      <c r="BK27" s="198">
        <f t="shared" si="16"/>
        <v>98158514.289999992</v>
      </c>
      <c r="BL27" s="198">
        <f t="shared" si="16"/>
        <v>20061235.420000002</v>
      </c>
      <c r="BM27" s="198">
        <f t="shared" si="16"/>
        <v>82968721.390000001</v>
      </c>
      <c r="BN27" s="198">
        <f t="shared" si="16"/>
        <v>-16360590.819999998</v>
      </c>
      <c r="BO27" s="198">
        <f t="shared" si="16"/>
        <v>45841541.429999992</v>
      </c>
      <c r="BP27" s="198">
        <f t="shared" si="16"/>
        <v>15492380.66</v>
      </c>
      <c r="BQ27" s="198">
        <f t="shared" si="16"/>
        <v>47587329.370000005</v>
      </c>
      <c r="BR27" s="198">
        <f t="shared" ref="BR27:CL27" si="17">BR26</f>
        <v>-25728599.380000003</v>
      </c>
      <c r="BS27" s="198">
        <f t="shared" si="17"/>
        <v>25423500.439999998</v>
      </c>
      <c r="BT27" s="198">
        <f t="shared" si="17"/>
        <v>0</v>
      </c>
      <c r="BU27" s="198">
        <f t="shared" si="17"/>
        <v>0</v>
      </c>
      <c r="BV27" s="198">
        <f t="shared" si="17"/>
        <v>0</v>
      </c>
      <c r="BW27" s="198">
        <f t="shared" si="17"/>
        <v>0</v>
      </c>
      <c r="BX27" s="198">
        <f t="shared" si="17"/>
        <v>0</v>
      </c>
      <c r="BY27" s="198">
        <f t="shared" si="17"/>
        <v>0</v>
      </c>
      <c r="BZ27" s="198">
        <f t="shared" si="17"/>
        <v>0</v>
      </c>
      <c r="CA27" s="198">
        <f t="shared" si="17"/>
        <v>0</v>
      </c>
      <c r="CB27" s="198">
        <f t="shared" si="17"/>
        <v>0</v>
      </c>
      <c r="CC27" s="198">
        <f t="shared" si="17"/>
        <v>0</v>
      </c>
      <c r="CD27" s="198">
        <f t="shared" si="17"/>
        <v>0</v>
      </c>
      <c r="CE27" s="198">
        <f t="shared" si="17"/>
        <v>0</v>
      </c>
      <c r="CF27" s="198">
        <f t="shared" si="17"/>
        <v>0</v>
      </c>
      <c r="CG27" s="198">
        <f t="shared" si="17"/>
        <v>0</v>
      </c>
      <c r="CH27" s="198">
        <f t="shared" si="17"/>
        <v>0</v>
      </c>
      <c r="CI27" s="198">
        <f t="shared" si="17"/>
        <v>0</v>
      </c>
      <c r="CJ27" s="198">
        <f t="shared" si="17"/>
        <v>0</v>
      </c>
      <c r="CK27" s="198">
        <f t="shared" si="17"/>
        <v>0</v>
      </c>
      <c r="CL27" s="198">
        <f t="shared" si="17"/>
        <v>0</v>
      </c>
    </row>
    <row r="28" spans="1:90" s="63" customFormat="1" x14ac:dyDescent="0.25">
      <c r="A28" s="17" t="s">
        <v>510</v>
      </c>
      <c r="E28" s="63">
        <f>POWER(E27/$Y$27,1/5)-1</f>
        <v>0.17944924241019677</v>
      </c>
      <c r="F28" s="63">
        <f t="shared" ref="F28:U28" si="18">POWER(F27/$Y$27,1/5)-1</f>
        <v>0.14590119398786539</v>
      </c>
      <c r="G28" s="63">
        <f t="shared" si="18"/>
        <v>-1.6702173319582658</v>
      </c>
      <c r="H28" s="63">
        <f t="shared" si="18"/>
        <v>-0.30175595202099048</v>
      </c>
      <c r="I28" s="63">
        <f>POWER(I27/$Y$27,1/4)-1</f>
        <v>0.11636829229298629</v>
      </c>
      <c r="J28" s="63">
        <f t="shared" si="18"/>
        <v>0.12835460858027736</v>
      </c>
      <c r="K28" s="63">
        <f t="shared" si="18"/>
        <v>-7.2226376871115994E-2</v>
      </c>
      <c r="L28" s="63">
        <f t="shared" si="18"/>
        <v>-8.8055463886162588E-2</v>
      </c>
      <c r="M28" s="63">
        <f>POWER(M27/$Y$27,1/3)-1</f>
        <v>6.328129279333794E-3</v>
      </c>
      <c r="N28" s="63">
        <f t="shared" si="18"/>
        <v>2.7349396974497564E-2</v>
      </c>
      <c r="O28" s="63">
        <f t="shared" si="18"/>
        <v>-0.16844203422140391</v>
      </c>
      <c r="P28" s="63">
        <f t="shared" si="18"/>
        <v>-0.2354901288743606</v>
      </c>
      <c r="Q28" s="63">
        <f>POWER(Q27/$Y$27,1/2)-1</f>
        <v>-2.0484550955297776E-2</v>
      </c>
      <c r="R28" s="63">
        <f t="shared" si="18"/>
        <v>7.0188362899017198E-2</v>
      </c>
      <c r="S28" s="63">
        <f t="shared" si="18"/>
        <v>-0.14834876187501411</v>
      </c>
      <c r="T28" s="63">
        <f t="shared" si="18"/>
        <v>-0.18238311611604818</v>
      </c>
      <c r="U28" s="63">
        <f>POWER(U27/$Y$27,1/1)-1</f>
        <v>2.9981205654876497E-2</v>
      </c>
      <c r="V28" s="63">
        <f t="shared" ref="J28:BU28" si="19">POWER($E$27/V27,1/1)-1</f>
        <v>1.6760467916836652</v>
      </c>
      <c r="W28" s="63">
        <f t="shared" si="19"/>
        <v>3.9842002058376567</v>
      </c>
      <c r="X28" s="63">
        <f t="shared" si="19"/>
        <v>7.4339128530027594</v>
      </c>
      <c r="Y28" s="63">
        <v>0</v>
      </c>
      <c r="Z28" s="63">
        <f t="shared" si="19"/>
        <v>1.3501039558050798</v>
      </c>
      <c r="AA28" s="63">
        <f t="shared" si="19"/>
        <v>3.3399098779239109</v>
      </c>
      <c r="AB28" s="63">
        <f t="shared" si="19"/>
        <v>5.9078044756980201</v>
      </c>
      <c r="AC28" s="63">
        <f t="shared" si="19"/>
        <v>3.8999855760322957</v>
      </c>
      <c r="AD28" s="63">
        <f t="shared" si="19"/>
        <v>5.311636214807038</v>
      </c>
      <c r="AE28" s="63">
        <f t="shared" si="19"/>
        <v>10.068937977417947</v>
      </c>
      <c r="AF28" s="63">
        <f t="shared" si="19"/>
        <v>25.543311406087419</v>
      </c>
      <c r="AG28" s="63">
        <f t="shared" si="19"/>
        <v>107.12506292178367</v>
      </c>
      <c r="AH28" s="63">
        <f t="shared" si="19"/>
        <v>28.94477931728316</v>
      </c>
      <c r="AI28" s="63">
        <f t="shared" si="19"/>
        <v>115.71628888876589</v>
      </c>
      <c r="AJ28" s="63">
        <f t="shared" si="19"/>
        <v>28.34545368050301</v>
      </c>
      <c r="AK28" s="63">
        <f t="shared" si="19"/>
        <v>4.655151921530611</v>
      </c>
      <c r="AL28" s="63">
        <f t="shared" si="19"/>
        <v>5.6958443826191889</v>
      </c>
      <c r="AM28" s="63">
        <f t="shared" si="19"/>
        <v>6.3198136225618624</v>
      </c>
      <c r="AN28" s="63">
        <f t="shared" si="19"/>
        <v>12.004576342880132</v>
      </c>
      <c r="AO28" s="63">
        <f t="shared" si="19"/>
        <v>2.7553334991959026</v>
      </c>
      <c r="AP28" s="63">
        <f t="shared" si="19"/>
        <v>6.2910419630956982</v>
      </c>
      <c r="AQ28" s="63">
        <f t="shared" si="19"/>
        <v>17.990912447046107</v>
      </c>
      <c r="AR28" s="63">
        <f t="shared" si="19"/>
        <v>256.34397288884122</v>
      </c>
      <c r="AS28" s="63">
        <f t="shared" si="19"/>
        <v>5.3642438251003375</v>
      </c>
      <c r="AT28" s="63">
        <f t="shared" si="19"/>
        <v>4.6033863375709423</v>
      </c>
      <c r="AU28" s="63">
        <f t="shared" si="19"/>
        <v>13.547565674497662</v>
      </c>
      <c r="AV28" s="63">
        <f t="shared" si="19"/>
        <v>66.722441727552649</v>
      </c>
      <c r="AW28" s="63">
        <f t="shared" si="19"/>
        <v>8.1051950149307217</v>
      </c>
      <c r="AX28" s="63">
        <f t="shared" si="19"/>
        <v>11.34977602696457</v>
      </c>
      <c r="AY28" s="63">
        <f t="shared" si="19"/>
        <v>23.101540613262504</v>
      </c>
      <c r="AZ28" s="63">
        <f t="shared" si="19"/>
        <v>146.01728859923969</v>
      </c>
      <c r="BA28" s="63">
        <f t="shared" si="19"/>
        <v>7.8011586303057694</v>
      </c>
      <c r="BB28" s="63">
        <f t="shared" si="19"/>
        <v>11.276172323468765</v>
      </c>
      <c r="BC28" s="63">
        <f t="shared" si="19"/>
        <v>21.155824574065953</v>
      </c>
      <c r="BD28" s="63">
        <f t="shared" si="19"/>
        <v>23.611559069987283</v>
      </c>
      <c r="BE28" s="63">
        <f t="shared" si="19"/>
        <v>70.248518312476946</v>
      </c>
      <c r="BF28" s="63">
        <f t="shared" si="19"/>
        <v>28.522385208897127</v>
      </c>
      <c r="BG28" s="63">
        <f t="shared" si="19"/>
        <v>26.341136898097293</v>
      </c>
      <c r="BH28" s="63">
        <f t="shared" si="19"/>
        <v>99.247166469064425</v>
      </c>
      <c r="BI28" s="63">
        <f t="shared" si="19"/>
        <v>19.290885221952493</v>
      </c>
      <c r="BJ28" s="63">
        <f t="shared" si="19"/>
        <v>22.732793159133866</v>
      </c>
      <c r="BK28" s="63">
        <f t="shared" si="19"/>
        <v>65.275459059619791</v>
      </c>
      <c r="BL28" s="63">
        <f t="shared" si="19"/>
        <v>323.28215206997447</v>
      </c>
      <c r="BM28" s="63">
        <f t="shared" si="19"/>
        <v>77.409073759259954</v>
      </c>
      <c r="BN28" s="63">
        <f t="shared" si="19"/>
        <v>-398.6323756735822</v>
      </c>
      <c r="BO28" s="63">
        <f t="shared" si="19"/>
        <v>140.91278024788707</v>
      </c>
      <c r="BP28" s="63">
        <f t="shared" si="19"/>
        <v>418.91613412757437</v>
      </c>
      <c r="BQ28" s="63">
        <f t="shared" si="19"/>
        <v>135.70657045278938</v>
      </c>
      <c r="BR28" s="63">
        <f t="shared" si="19"/>
        <v>-253.8509422179047</v>
      </c>
      <c r="BS28" s="63">
        <f t="shared" si="19"/>
        <v>254.8853219497889</v>
      </c>
      <c r="BT28" s="63" t="e">
        <f t="shared" si="19"/>
        <v>#DIV/0!</v>
      </c>
      <c r="BU28" s="63" t="e">
        <f t="shared" si="19"/>
        <v>#DIV/0!</v>
      </c>
      <c r="BV28" s="63" t="e">
        <f t="shared" ref="BV28:CK28" si="20">POWER($E$27/BV27,1/1)-1</f>
        <v>#DIV/0!</v>
      </c>
      <c r="BW28" s="63" t="e">
        <f t="shared" si="20"/>
        <v>#DIV/0!</v>
      </c>
      <c r="BX28" s="63" t="e">
        <f t="shared" si="20"/>
        <v>#DIV/0!</v>
      </c>
      <c r="BY28" s="63" t="e">
        <f t="shared" si="20"/>
        <v>#DIV/0!</v>
      </c>
      <c r="BZ28" s="63" t="e">
        <f t="shared" si="20"/>
        <v>#DIV/0!</v>
      </c>
      <c r="CA28" s="63" t="e">
        <f t="shared" si="20"/>
        <v>#DIV/0!</v>
      </c>
      <c r="CB28" s="63" t="e">
        <f t="shared" si="20"/>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row>
    <row r="29" spans="1:90" s="16" customFormat="1" ht="367.2" customHeight="1" x14ac:dyDescent="0.25">
      <c r="A29" s="278" t="s">
        <v>742</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2" t="s">
        <v>568</v>
      </c>
      <c r="B30" s="96"/>
      <c r="C30" s="96"/>
      <c r="D30" s="96"/>
      <c r="E30" s="96" t="s">
        <v>567</v>
      </c>
      <c r="F30" s="96"/>
      <c r="G30" s="96"/>
      <c r="H30" s="96"/>
      <c r="I30" s="96" t="s">
        <v>601</v>
      </c>
      <c r="M30" s="96" t="s">
        <v>569</v>
      </c>
      <c r="Q30" s="115" t="s">
        <v>607</v>
      </c>
      <c r="R30" s="115"/>
      <c r="S30" s="115"/>
      <c r="T30" s="115"/>
      <c r="U30" s="115" t="s">
        <v>604</v>
      </c>
      <c r="V30" s="115"/>
      <c r="W30" s="115"/>
      <c r="X30" s="115"/>
      <c r="Y30" s="115" t="s">
        <v>605</v>
      </c>
      <c r="Z30" s="115"/>
      <c r="AA30" s="115"/>
      <c r="AB30" s="115"/>
      <c r="AC30" s="115" t="s">
        <v>606</v>
      </c>
    </row>
    <row r="31" spans="1:90" s="63" customFormat="1" x14ac:dyDescent="0.25">
      <c r="A31" s="112" t="s">
        <v>570</v>
      </c>
      <c r="B31" s="113"/>
      <c r="C31" s="113"/>
      <c r="D31" s="113"/>
      <c r="E31" s="113">
        <f>POWER(E27/U27,1/5)-1</f>
        <v>0.17250146965080604</v>
      </c>
      <c r="F31" s="113"/>
      <c r="G31" s="113"/>
      <c r="H31" s="113"/>
      <c r="I31" s="113">
        <f>POWER(E27/Y27,1/6)-1</f>
        <v>0.14744720689635393</v>
      </c>
      <c r="M31" s="113">
        <f>POWER(E27/AC27,1/7)-1</f>
        <v>0.2548715041451417</v>
      </c>
      <c r="Q31" s="116" t="s">
        <v>603</v>
      </c>
      <c r="R31" s="116"/>
      <c r="S31" s="116"/>
      <c r="T31" s="116"/>
      <c r="U31" s="116">
        <f>POWER(E14/U14,1/5)-1</f>
        <v>0.21422105295851668</v>
      </c>
      <c r="V31" s="116"/>
      <c r="W31" s="116"/>
      <c r="X31" s="116"/>
      <c r="Y31" s="116">
        <f>POWER(E14/Y14,1/6)-1</f>
        <v>0.17879416360311629</v>
      </c>
      <c r="Z31" s="116"/>
      <c r="AA31" s="116"/>
      <c r="AB31" s="116"/>
      <c r="AC31" s="116">
        <f>POWER(E14/AC14,1/7)-1</f>
        <v>0.2611617480329127</v>
      </c>
    </row>
    <row r="32" spans="1:90" s="66" customFormat="1" x14ac:dyDescent="0.25">
      <c r="A32" s="46" t="s">
        <v>512</v>
      </c>
      <c r="E32" s="66">
        <v>0.17</v>
      </c>
    </row>
    <row r="39" spans="1:13" ht="43.2" x14ac:dyDescent="0.25">
      <c r="A39" s="67" t="s">
        <v>513</v>
      </c>
    </row>
    <row r="41" spans="1:13" ht="111" customHeight="1" x14ac:dyDescent="0.25">
      <c r="A41" s="278" t="s">
        <v>741</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B4" sqref="B4"/>
    </sheetView>
  </sheetViews>
  <sheetFormatPr defaultRowHeight="14.4" x14ac:dyDescent="0.25"/>
  <cols>
    <col min="1" max="1" width="43.5546875" style="17" bestFit="1" customWidth="1"/>
    <col min="2" max="2" width="23.88671875" style="26" bestFit="1" customWidth="1"/>
    <col min="3" max="3" width="38" bestFit="1" customWidth="1"/>
    <col min="4" max="4" width="27.44140625" customWidth="1"/>
    <col min="5" max="5" width="34.77734375" bestFit="1" customWidth="1"/>
    <col min="6" max="7" width="19.33203125" bestFit="1" customWidth="1"/>
    <col min="8" max="8" width="20.44140625" bestFit="1" customWidth="1"/>
    <col min="9" max="9" width="21.554687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514</v>
      </c>
      <c r="B1" s="69">
        <f>自由现金流分析表!E1</f>
        <v>43100</v>
      </c>
      <c r="C1" t="s">
        <v>747</v>
      </c>
      <c r="D1" s="271">
        <v>0.08</v>
      </c>
      <c r="E1" s="272" t="s">
        <v>748</v>
      </c>
      <c r="F1" s="63">
        <f>平均资本成本表!E13</f>
        <v>5.967539545465865E-2</v>
      </c>
    </row>
    <row r="2" spans="1:10" x14ac:dyDescent="0.25">
      <c r="A2" s="70" t="s">
        <v>515</v>
      </c>
      <c r="B2" s="71">
        <f>(自由现金流分析表!E27+自由现金流分析表!I27+自由现金流分析表!M27)/3</f>
        <v>4612421267.1966667</v>
      </c>
      <c r="C2" t="s">
        <v>548</v>
      </c>
      <c r="D2" s="63"/>
      <c r="E2" s="63"/>
      <c r="F2" s="56"/>
    </row>
    <row r="3" spans="1:10" s="63" customFormat="1" x14ac:dyDescent="0.25">
      <c r="A3" s="72" t="s">
        <v>516</v>
      </c>
      <c r="B3" s="98">
        <v>0.05</v>
      </c>
      <c r="D3" s="195"/>
      <c r="E3" s="195"/>
      <c r="F3" s="269"/>
    </row>
    <row r="4" spans="1:10" s="63" customFormat="1" x14ac:dyDescent="0.25">
      <c r="A4" s="72" t="s">
        <v>517</v>
      </c>
      <c r="B4" s="98">
        <v>0.08</v>
      </c>
      <c r="D4" s="195"/>
      <c r="E4" s="195"/>
      <c r="F4" s="270"/>
    </row>
    <row r="5" spans="1:10" x14ac:dyDescent="0.25">
      <c r="A5" s="70" t="s">
        <v>518</v>
      </c>
      <c r="B5" s="71">
        <f>B2*(1+B3)/(B4-B3)</f>
        <v>161434744351.88336</v>
      </c>
      <c r="D5" s="63"/>
      <c r="E5" s="63"/>
    </row>
    <row r="6" spans="1:10" x14ac:dyDescent="0.25">
      <c r="A6" s="70" t="s">
        <v>519</v>
      </c>
      <c r="B6" s="71">
        <f>资产资本表!E17</f>
        <v>3082974654.1799998</v>
      </c>
      <c r="D6" s="195"/>
      <c r="E6" s="195"/>
      <c r="F6" s="195"/>
      <c r="G6" s="195"/>
    </row>
    <row r="7" spans="1:10" x14ac:dyDescent="0.25">
      <c r="A7" s="70" t="s">
        <v>520</v>
      </c>
      <c r="B7" s="71">
        <f>资产资本表!E19</f>
        <v>525628774</v>
      </c>
      <c r="D7" s="195"/>
      <c r="E7" s="195"/>
      <c r="F7" s="195"/>
      <c r="G7" s="195"/>
    </row>
    <row r="8" spans="1:10" x14ac:dyDescent="0.25">
      <c r="A8" s="70" t="s">
        <v>521</v>
      </c>
      <c r="B8" s="71">
        <f>资产资本表!E89</f>
        <v>21740055496.650002</v>
      </c>
      <c r="D8" s="63"/>
      <c r="E8" s="63"/>
      <c r="F8" s="195"/>
      <c r="G8" s="195"/>
    </row>
    <row r="9" spans="1:10" x14ac:dyDescent="0.25">
      <c r="A9" s="70" t="s">
        <v>522</v>
      </c>
      <c r="B9" s="71">
        <f>B5+B6+B7-B8</f>
        <v>143303292283.41336</v>
      </c>
      <c r="D9" s="195"/>
      <c r="E9" s="195"/>
      <c r="F9" s="195"/>
      <c r="G9" s="195"/>
    </row>
    <row r="10" spans="1:10" x14ac:dyDescent="0.25">
      <c r="A10" s="70" t="s">
        <v>523</v>
      </c>
      <c r="B10" s="73">
        <f>资产资本表!E103/资产资本表!E107</f>
        <v>0.11297952665263912</v>
      </c>
      <c r="D10" s="195"/>
      <c r="E10" s="195"/>
      <c r="F10" s="195"/>
      <c r="G10" s="195"/>
    </row>
    <row r="11" spans="1:10" x14ac:dyDescent="0.25">
      <c r="A11" s="70" t="s">
        <v>549</v>
      </c>
      <c r="B11" s="71">
        <f>B9*(1-B10)</f>
        <v>127112954153.46854</v>
      </c>
      <c r="D11" s="63"/>
      <c r="E11" s="63"/>
      <c r="F11" s="195"/>
      <c r="G11" s="195"/>
    </row>
    <row r="12" spans="1:10" x14ac:dyDescent="0.25">
      <c r="A12" s="70" t="s">
        <v>524</v>
      </c>
      <c r="B12" s="102">
        <f>B55</f>
        <v>2734012800</v>
      </c>
      <c r="D12" s="195"/>
      <c r="E12" s="195"/>
      <c r="F12" s="195"/>
      <c r="G12" s="195"/>
    </row>
    <row r="13" spans="1:10" ht="15" thickBot="1" x14ac:dyDescent="0.3">
      <c r="A13" s="74" t="s">
        <v>525</v>
      </c>
      <c r="B13" s="75">
        <f>B11/B12</f>
        <v>46.4931817998323</v>
      </c>
      <c r="D13" s="195"/>
      <c r="E13" s="195"/>
    </row>
    <row r="14" spans="1:10" s="16" customFormat="1" ht="53.25" customHeight="1" x14ac:dyDescent="0.25">
      <c r="A14" s="278" t="s">
        <v>743</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0.08</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4612421267.1966667</v>
      </c>
      <c r="D19" s="89">
        <f>C19*(1+$D$17)</f>
        <v>4981414968.5724001</v>
      </c>
      <c r="E19" s="89">
        <f>D19*(1+$D$17)</f>
        <v>5379928166.0581923</v>
      </c>
      <c r="F19" s="89">
        <f>E19*(1+$D$17)</f>
        <v>5810322419.3428478</v>
      </c>
      <c r="G19" s="89">
        <f>F19*(1+$D$17)</f>
        <v>6275148212.890276</v>
      </c>
      <c r="H19" s="89">
        <f>G19*(1+$D$17)</f>
        <v>6777160069.9214983</v>
      </c>
      <c r="I19" s="89">
        <f>H19*(1+I17)</f>
        <v>7048246472.718358</v>
      </c>
      <c r="J19" s="76"/>
    </row>
    <row r="20" spans="1:10" s="26" customFormat="1" x14ac:dyDescent="0.25">
      <c r="A20" s="99" t="s">
        <v>528</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529</v>
      </c>
      <c r="B21" s="300"/>
      <c r="C21" s="89"/>
      <c r="D21" s="89">
        <f>D19/D20</f>
        <v>4612421267.1966667</v>
      </c>
      <c r="E21" s="89">
        <f>E19/E20</f>
        <v>4612421267.1966667</v>
      </c>
      <c r="F21" s="89">
        <f>F19/F20</f>
        <v>4612421267.1966667</v>
      </c>
      <c r="G21" s="89">
        <f>G19/G20</f>
        <v>4612421267.1966658</v>
      </c>
      <c r="H21" s="89">
        <f>H19/H20</f>
        <v>4612421267.1966667</v>
      </c>
      <c r="I21" s="89">
        <f>I19/((B20-I17)*I20)</f>
        <v>111039771247.32713</v>
      </c>
      <c r="J21" s="76"/>
    </row>
    <row r="22" spans="1:10" s="26" customFormat="1" x14ac:dyDescent="0.25">
      <c r="A22" s="300" t="s">
        <v>547</v>
      </c>
      <c r="B22" s="300"/>
      <c r="C22" s="89"/>
      <c r="D22" s="296">
        <f>SUM(D21:H21)</f>
        <v>23062106335.983334</v>
      </c>
      <c r="E22" s="297"/>
      <c r="F22" s="297"/>
      <c r="G22" s="297"/>
      <c r="H22" s="298"/>
      <c r="I22" s="89">
        <f>I21</f>
        <v>111039771247.32713</v>
      </c>
      <c r="J22" s="76"/>
    </row>
    <row r="23" spans="1:10" x14ac:dyDescent="0.25">
      <c r="A23" s="92" t="s">
        <v>530</v>
      </c>
      <c r="B23" s="76">
        <f>D22+I22</f>
        <v>134101877583.31047</v>
      </c>
      <c r="C23" s="77"/>
      <c r="D23" s="77"/>
      <c r="E23" s="77"/>
      <c r="F23" s="77"/>
      <c r="G23" s="77"/>
      <c r="H23" s="77"/>
      <c r="I23" s="79"/>
      <c r="J23" s="77"/>
    </row>
    <row r="24" spans="1:10" x14ac:dyDescent="0.25">
      <c r="A24" s="92" t="s">
        <v>531</v>
      </c>
      <c r="B24" s="76">
        <f>B23</f>
        <v>134101877583.31047</v>
      </c>
      <c r="C24" s="77"/>
      <c r="D24" s="77"/>
      <c r="E24" s="77"/>
      <c r="F24" s="77"/>
      <c r="G24" s="77"/>
      <c r="H24" s="77"/>
      <c r="I24" s="79"/>
      <c r="J24" s="77"/>
    </row>
    <row r="25" spans="1:10" x14ac:dyDescent="0.25">
      <c r="A25" s="70" t="s">
        <v>532</v>
      </c>
      <c r="B25" s="71">
        <f>资产资本表!E17</f>
        <v>3082974654.1799998</v>
      </c>
      <c r="C25" s="77"/>
      <c r="D25" s="77"/>
      <c r="E25" s="77"/>
      <c r="F25" s="77"/>
      <c r="G25" s="77"/>
      <c r="H25" s="77"/>
      <c r="I25" s="79"/>
      <c r="J25" s="77"/>
    </row>
    <row r="26" spans="1:10" x14ac:dyDescent="0.25">
      <c r="A26" s="70" t="s">
        <v>533</v>
      </c>
      <c r="B26" s="71">
        <f>资产资本表!E19</f>
        <v>525628774</v>
      </c>
      <c r="C26" s="77"/>
      <c r="D26" s="77"/>
      <c r="E26" s="77"/>
      <c r="F26" s="77"/>
      <c r="G26" s="77"/>
      <c r="H26" s="77"/>
      <c r="I26" s="79"/>
      <c r="J26" s="77"/>
    </row>
    <row r="27" spans="1:10" x14ac:dyDescent="0.25">
      <c r="A27" s="70" t="s">
        <v>534</v>
      </c>
      <c r="B27" s="71">
        <f>资产资本表!E89</f>
        <v>21740055496.650002</v>
      </c>
      <c r="C27" s="77"/>
      <c r="D27" s="77"/>
      <c r="E27" s="77"/>
      <c r="F27" s="77"/>
      <c r="G27" s="77"/>
      <c r="H27" s="77"/>
      <c r="I27" s="79"/>
      <c r="J27" s="77"/>
    </row>
    <row r="28" spans="1:10" s="2" customFormat="1" x14ac:dyDescent="0.25">
      <c r="A28" s="82" t="s">
        <v>535</v>
      </c>
      <c r="B28" s="83">
        <f>B24+B25+B26-B27</f>
        <v>115970425514.84048</v>
      </c>
      <c r="C28" s="80"/>
      <c r="D28" s="80"/>
      <c r="E28" s="80"/>
      <c r="F28" s="80"/>
      <c r="G28" s="80"/>
      <c r="H28" s="80"/>
      <c r="I28" s="81"/>
      <c r="J28" s="80"/>
    </row>
    <row r="29" spans="1:10" x14ac:dyDescent="0.25">
      <c r="A29" s="70" t="s">
        <v>536</v>
      </c>
      <c r="B29" s="78">
        <f>资产资本表!E103/资产资本表!E107</f>
        <v>0.11297952665263912</v>
      </c>
      <c r="C29" s="301" t="s">
        <v>543</v>
      </c>
      <c r="D29" s="301"/>
      <c r="E29" s="301"/>
      <c r="F29" s="77"/>
      <c r="G29" s="77"/>
      <c r="H29" s="77"/>
      <c r="I29" s="79"/>
      <c r="J29" s="77"/>
    </row>
    <row r="30" spans="1:10" s="2" customFormat="1" x14ac:dyDescent="0.25">
      <c r="A30" s="82" t="s">
        <v>537</v>
      </c>
      <c r="B30" s="83">
        <f>B28*(1-B29)</f>
        <v>102868141734.46866</v>
      </c>
      <c r="C30" s="91">
        <v>0.4</v>
      </c>
      <c r="D30" s="91">
        <v>0.3</v>
      </c>
      <c r="E30" s="91">
        <v>0.2</v>
      </c>
      <c r="F30" s="80"/>
      <c r="G30" s="80"/>
      <c r="H30" s="80"/>
      <c r="I30" s="81"/>
      <c r="J30" s="80"/>
    </row>
    <row r="31" spans="1:10" x14ac:dyDescent="0.25">
      <c r="A31" s="70" t="s">
        <v>539</v>
      </c>
      <c r="B31" s="101">
        <f>B55</f>
        <v>2734012800</v>
      </c>
      <c r="C31" s="64">
        <f>$B$32*(1-C30)</f>
        <v>22.575199735963633</v>
      </c>
      <c r="D31" s="64">
        <f>$B$32*(1-D30)</f>
        <v>26.337733025290902</v>
      </c>
      <c r="E31" s="64">
        <f>$B$32*(1-E30)</f>
        <v>30.100266314618178</v>
      </c>
      <c r="F31" s="77"/>
      <c r="G31" s="77"/>
      <c r="H31" s="77"/>
      <c r="I31" s="79"/>
      <c r="J31" s="77"/>
    </row>
    <row r="32" spans="1:10" s="2" customFormat="1" ht="15" thickBot="1" x14ac:dyDescent="0.3">
      <c r="A32" s="84" t="s">
        <v>538</v>
      </c>
      <c r="B32" s="85">
        <f>B30/B31</f>
        <v>37.62533289327272</v>
      </c>
      <c r="C32" s="86"/>
      <c r="D32" s="86"/>
      <c r="E32" s="86"/>
      <c r="F32" s="86"/>
      <c r="G32" s="86"/>
      <c r="H32" s="86"/>
      <c r="I32" s="87"/>
      <c r="J32" s="80"/>
    </row>
    <row r="33" spans="1:19" ht="63" customHeight="1" x14ac:dyDescent="0.25">
      <c r="A33" s="302" t="s">
        <v>744</v>
      </c>
      <c r="B33" s="303"/>
      <c r="C33" s="303"/>
      <c r="D33" s="303"/>
      <c r="E33" s="303"/>
      <c r="F33" s="303"/>
      <c r="G33" s="303"/>
      <c r="H33" s="303"/>
      <c r="I33" s="303"/>
    </row>
    <row r="37" spans="1:19" s="63" customFormat="1" x14ac:dyDescent="0.25">
      <c r="A37" s="209"/>
      <c r="B37" s="209"/>
      <c r="C37" s="220" t="s">
        <v>541</v>
      </c>
      <c r="D37" s="220">
        <v>0.15</v>
      </c>
      <c r="E37" s="220"/>
      <c r="F37" s="220"/>
      <c r="G37" s="220"/>
      <c r="H37" s="220" t="s">
        <v>636</v>
      </c>
      <c r="I37" s="220">
        <v>0.09</v>
      </c>
      <c r="J37" s="220"/>
      <c r="K37" s="220"/>
      <c r="L37" s="220"/>
      <c r="M37" s="220"/>
      <c r="N37" s="220"/>
      <c r="O37" s="220"/>
      <c r="P37" s="220"/>
      <c r="Q37" s="220"/>
      <c r="R37" s="220" t="s">
        <v>546</v>
      </c>
      <c r="S37" s="220">
        <v>0.02</v>
      </c>
    </row>
    <row r="38" spans="1:19" s="24" customFormat="1" x14ac:dyDescent="0.25">
      <c r="A38" s="310" t="s">
        <v>544</v>
      </c>
      <c r="B38" s="311"/>
      <c r="C38" s="222" t="s">
        <v>540</v>
      </c>
      <c r="D38" s="223">
        <v>1</v>
      </c>
      <c r="E38" s="223">
        <v>2</v>
      </c>
      <c r="F38" s="223">
        <v>3</v>
      </c>
      <c r="G38" s="223">
        <v>4</v>
      </c>
      <c r="H38" s="223">
        <v>5</v>
      </c>
      <c r="I38" s="224">
        <v>6</v>
      </c>
      <c r="J38" s="224">
        <v>7</v>
      </c>
      <c r="K38" s="224">
        <v>8</v>
      </c>
      <c r="L38" s="224">
        <v>9</v>
      </c>
      <c r="M38" s="224">
        <v>10</v>
      </c>
      <c r="N38" s="224">
        <v>11</v>
      </c>
      <c r="O38" s="224">
        <v>12</v>
      </c>
      <c r="P38" s="224">
        <v>13</v>
      </c>
      <c r="Q38" s="224">
        <v>14</v>
      </c>
      <c r="R38" s="224">
        <v>15</v>
      </c>
      <c r="S38" s="225">
        <v>16</v>
      </c>
    </row>
    <row r="39" spans="1:19" s="23" customFormat="1" x14ac:dyDescent="0.25">
      <c r="A39" s="215" t="s">
        <v>527</v>
      </c>
      <c r="B39" s="216"/>
      <c r="C39" s="221">
        <f>B2</f>
        <v>4612421267.1966667</v>
      </c>
      <c r="D39" s="221">
        <f>$C$39*(1+$D$37)^D38</f>
        <v>5304284457.276166</v>
      </c>
      <c r="E39" s="221">
        <f>$C$39*(1+$D$37)^E38</f>
        <v>6099927125.8675909</v>
      </c>
      <c r="F39" s="221">
        <f>$C$39*(1+$D$37)^F38</f>
        <v>7014916194.7477283</v>
      </c>
      <c r="G39" s="221">
        <f>$C$39*(1+$D$37)^G38</f>
        <v>8067153623.9598875</v>
      </c>
      <c r="H39" s="221">
        <f>$C$39*(1+$D$37)^H38</f>
        <v>9277226667.5538712</v>
      </c>
      <c r="I39" s="221">
        <f>H39*(1+$I$37)</f>
        <v>10112177067.63372</v>
      </c>
      <c r="J39" s="221">
        <f t="shared" ref="J39:N39" si="1">I39*(1+$I$37)</f>
        <v>11022273003.720757</v>
      </c>
      <c r="K39" s="221">
        <f t="shared" si="1"/>
        <v>12014277574.055626</v>
      </c>
      <c r="L39" s="221">
        <f t="shared" si="1"/>
        <v>13095562555.720633</v>
      </c>
      <c r="M39" s="221">
        <f t="shared" si="1"/>
        <v>14274163185.735491</v>
      </c>
      <c r="N39" s="221">
        <f t="shared" si="1"/>
        <v>15558837872.451687</v>
      </c>
      <c r="O39" s="221">
        <f t="shared" ref="O39" si="2">N39*(1+$I$37)</f>
        <v>16959133280.97234</v>
      </c>
      <c r="P39" s="221">
        <f t="shared" ref="P39" si="3">O39*(1+$I$37)</f>
        <v>18485455276.259853</v>
      </c>
      <c r="Q39" s="221">
        <f t="shared" ref="Q39" si="4">P39*(1+$I$37)</f>
        <v>20149146251.123241</v>
      </c>
      <c r="R39" s="221">
        <f t="shared" ref="R39" si="5">Q39*(1+$I$37)</f>
        <v>21962569413.724335</v>
      </c>
      <c r="S39" s="221">
        <f>R39*(1+S37)</f>
        <v>22401820801.998821</v>
      </c>
    </row>
    <row r="40" spans="1:19" s="23" customFormat="1" x14ac:dyDescent="0.25">
      <c r="A40" s="215" t="s">
        <v>528</v>
      </c>
      <c r="B40" s="214">
        <f>B4</f>
        <v>0.08</v>
      </c>
      <c r="C40" s="221"/>
      <c r="D40" s="221">
        <f>(1+$B$40)^D38</f>
        <v>1.08</v>
      </c>
      <c r="E40" s="221">
        <f t="shared" ref="E40:R40" si="6">(1+$B$40)^E38</f>
        <v>1.1664000000000001</v>
      </c>
      <c r="F40" s="221">
        <f t="shared" si="6"/>
        <v>1.2597120000000002</v>
      </c>
      <c r="G40" s="221">
        <f t="shared" si="6"/>
        <v>1.3604889600000003</v>
      </c>
      <c r="H40" s="221">
        <f t="shared" si="6"/>
        <v>1.4693280768000003</v>
      </c>
      <c r="I40" s="221">
        <f t="shared" si="6"/>
        <v>1.5868743229440005</v>
      </c>
      <c r="J40" s="221">
        <f t="shared" si="6"/>
        <v>1.7138242687795207</v>
      </c>
      <c r="K40" s="221">
        <f t="shared" si="6"/>
        <v>1.8509302102818823</v>
      </c>
      <c r="L40" s="221">
        <f t="shared" si="6"/>
        <v>1.9990046271044331</v>
      </c>
      <c r="M40" s="221">
        <f t="shared" si="6"/>
        <v>2.1589249972727877</v>
      </c>
      <c r="N40" s="221">
        <f t="shared" si="6"/>
        <v>2.3316389970546108</v>
      </c>
      <c r="O40" s="221">
        <f t="shared" si="6"/>
        <v>2.5181701168189798</v>
      </c>
      <c r="P40" s="221">
        <f t="shared" si="6"/>
        <v>2.7196237261644982</v>
      </c>
      <c r="Q40" s="221">
        <f t="shared" si="6"/>
        <v>2.9371936242576586</v>
      </c>
      <c r="R40" s="221">
        <f t="shared" si="6"/>
        <v>3.1721691141982715</v>
      </c>
      <c r="S40" s="188">
        <f>(1+$B$40)^S38</f>
        <v>3.4259426433341331</v>
      </c>
    </row>
    <row r="41" spans="1:19" s="23" customFormat="1" x14ac:dyDescent="0.25">
      <c r="A41" s="312" t="s">
        <v>529</v>
      </c>
      <c r="B41" s="313"/>
      <c r="C41" s="221"/>
      <c r="D41" s="221">
        <f t="shared" ref="D41:R41" si="7">D39/D40</f>
        <v>4911374497.477931</v>
      </c>
      <c r="E41" s="221">
        <f t="shared" si="7"/>
        <v>5229704326.0181675</v>
      </c>
      <c r="F41" s="221">
        <f t="shared" si="7"/>
        <v>5568666643.4452696</v>
      </c>
      <c r="G41" s="221">
        <f t="shared" si="7"/>
        <v>5929598740.7056103</v>
      </c>
      <c r="H41" s="221">
        <f t="shared" si="7"/>
        <v>6313924585.0106039</v>
      </c>
      <c r="I41" s="221">
        <f t="shared" si="7"/>
        <v>6372386849.6866283</v>
      </c>
      <c r="J41" s="221">
        <f t="shared" si="7"/>
        <v>6431390431.628171</v>
      </c>
      <c r="K41" s="221">
        <f t="shared" si="7"/>
        <v>6490940343.0321369</v>
      </c>
      <c r="L41" s="221">
        <f t="shared" si="7"/>
        <v>6551041642.5046558</v>
      </c>
      <c r="M41" s="221">
        <f t="shared" si="7"/>
        <v>6611699435.4908104</v>
      </c>
      <c r="N41" s="221">
        <f t="shared" si="7"/>
        <v>6672918874.7083187</v>
      </c>
      <c r="O41" s="221">
        <f t="shared" si="7"/>
        <v>6734705160.585248</v>
      </c>
      <c r="P41" s="221">
        <f t="shared" si="7"/>
        <v>6797063541.7017794</v>
      </c>
      <c r="Q41" s="221">
        <f t="shared" si="7"/>
        <v>6859999315.2360535</v>
      </c>
      <c r="R41" s="221">
        <f t="shared" si="7"/>
        <v>6923517827.4141655</v>
      </c>
      <c r="S41" s="221">
        <f>S39/((B40-S37)*S40)</f>
        <v>108981299135.22298</v>
      </c>
    </row>
    <row r="42" spans="1:19" s="23" customFormat="1" x14ac:dyDescent="0.25">
      <c r="A42" s="312" t="s">
        <v>547</v>
      </c>
      <c r="B42" s="313"/>
      <c r="C42" s="221"/>
      <c r="D42" s="307">
        <f>SUM(D41:H41)</f>
        <v>27953268792.657585</v>
      </c>
      <c r="E42" s="308"/>
      <c r="F42" s="308"/>
      <c r="G42" s="308"/>
      <c r="H42" s="309"/>
      <c r="I42" s="307">
        <f>SUM(I41:R41)</f>
        <v>66445663421.987976</v>
      </c>
      <c r="J42" s="308"/>
      <c r="K42" s="308"/>
      <c r="L42" s="308"/>
      <c r="M42" s="308"/>
      <c r="N42" s="308"/>
      <c r="O42" s="308"/>
      <c r="P42" s="308"/>
      <c r="Q42" s="308"/>
      <c r="R42" s="309"/>
      <c r="S42" s="221">
        <f>S41</f>
        <v>108981299135.22298</v>
      </c>
    </row>
    <row r="43" spans="1:19" x14ac:dyDescent="0.25">
      <c r="A43" s="211" t="s">
        <v>545</v>
      </c>
      <c r="B43" s="202">
        <f>D42+I42+S42</f>
        <v>203380231349.86853</v>
      </c>
      <c r="C43" s="203"/>
      <c r="D43" s="203"/>
      <c r="E43" s="203"/>
      <c r="F43" s="203"/>
      <c r="G43" s="203"/>
      <c r="H43" s="203"/>
      <c r="I43" s="203"/>
      <c r="J43" s="203"/>
      <c r="K43" s="203"/>
      <c r="L43" s="203"/>
      <c r="M43" s="203"/>
      <c r="N43" s="203"/>
      <c r="O43" s="203"/>
      <c r="P43" s="203"/>
      <c r="Q43" s="203"/>
      <c r="R43" s="203"/>
      <c r="S43" s="205"/>
    </row>
    <row r="44" spans="1:19" x14ac:dyDescent="0.25">
      <c r="A44" s="211" t="s">
        <v>531</v>
      </c>
      <c r="B44" s="202">
        <f>B43</f>
        <v>203380231349.86853</v>
      </c>
      <c r="C44" s="203"/>
      <c r="D44" s="203"/>
      <c r="E44" s="203"/>
      <c r="F44" s="203"/>
      <c r="G44" s="203"/>
      <c r="H44" s="203"/>
      <c r="I44" s="203"/>
      <c r="J44" s="203"/>
      <c r="K44" s="203"/>
      <c r="L44" s="203"/>
      <c r="M44" s="203"/>
      <c r="N44" s="203"/>
      <c r="O44" s="203"/>
      <c r="P44" s="203"/>
      <c r="Q44" s="203"/>
      <c r="R44" s="203"/>
      <c r="S44" s="205"/>
    </row>
    <row r="45" spans="1:19" x14ac:dyDescent="0.25">
      <c r="A45" s="201" t="s">
        <v>532</v>
      </c>
      <c r="B45" s="202">
        <f>资产资本表!E17</f>
        <v>3082974654.1799998</v>
      </c>
      <c r="C45" s="203"/>
      <c r="D45" s="203"/>
      <c r="E45" s="203"/>
      <c r="F45" s="203"/>
      <c r="G45" s="203"/>
      <c r="H45" s="203"/>
      <c r="I45" s="203"/>
      <c r="J45" s="203"/>
      <c r="K45" s="203"/>
      <c r="L45" s="203"/>
      <c r="M45" s="203"/>
      <c r="N45" s="203"/>
      <c r="O45" s="203"/>
      <c r="P45" s="203"/>
      <c r="Q45" s="203"/>
      <c r="R45" s="203"/>
      <c r="S45" s="205"/>
    </row>
    <row r="46" spans="1:19" x14ac:dyDescent="0.25">
      <c r="A46" s="201" t="s">
        <v>533</v>
      </c>
      <c r="B46" s="202">
        <f>资产资本表!E19</f>
        <v>525628774</v>
      </c>
      <c r="C46" s="203"/>
      <c r="D46" s="203"/>
      <c r="E46" s="203"/>
      <c r="F46" s="203"/>
      <c r="G46" s="203"/>
      <c r="H46" s="203"/>
      <c r="I46" s="203"/>
      <c r="J46" s="203"/>
      <c r="K46" s="203"/>
      <c r="L46" s="203"/>
      <c r="M46" s="203"/>
      <c r="N46" s="203"/>
      <c r="O46" s="203"/>
      <c r="P46" s="203"/>
      <c r="Q46" s="203"/>
      <c r="R46" s="203"/>
      <c r="S46" s="205"/>
    </row>
    <row r="47" spans="1:19" x14ac:dyDescent="0.25">
      <c r="A47" s="201" t="s">
        <v>534</v>
      </c>
      <c r="B47" s="202">
        <f>资产资本表!E89</f>
        <v>21740055496.650002</v>
      </c>
      <c r="C47" s="203"/>
      <c r="D47" s="203"/>
      <c r="E47" s="203"/>
      <c r="F47" s="203"/>
      <c r="G47" s="203"/>
      <c r="H47" s="203"/>
      <c r="I47" s="203"/>
      <c r="J47" s="203"/>
      <c r="K47" s="203"/>
      <c r="L47" s="203"/>
      <c r="M47" s="203"/>
      <c r="N47" s="203"/>
      <c r="O47" s="203"/>
      <c r="P47" s="203"/>
      <c r="Q47" s="203"/>
      <c r="R47" s="203"/>
      <c r="S47" s="205"/>
    </row>
    <row r="48" spans="1:19" x14ac:dyDescent="0.25">
      <c r="A48" s="206" t="s">
        <v>535</v>
      </c>
      <c r="B48" s="202">
        <f>B44+B45+B46-B47</f>
        <v>185248779281.39853</v>
      </c>
      <c r="C48" s="203"/>
      <c r="D48" s="203"/>
      <c r="E48" s="203"/>
      <c r="F48" s="203"/>
      <c r="G48" s="203"/>
      <c r="H48" s="203"/>
      <c r="I48" s="203"/>
      <c r="J48" s="203"/>
      <c r="K48" s="203"/>
      <c r="L48" s="203"/>
      <c r="M48" s="203"/>
      <c r="N48" s="203"/>
      <c r="O48" s="203"/>
      <c r="P48" s="203"/>
      <c r="Q48" s="203"/>
      <c r="R48" s="203"/>
      <c r="S48" s="205"/>
    </row>
    <row r="49" spans="1:74" x14ac:dyDescent="0.25">
      <c r="A49" s="201" t="s">
        <v>536</v>
      </c>
      <c r="B49" s="204">
        <f>资产资本表!E103/资产资本表!E107</f>
        <v>0.11297952665263912</v>
      </c>
      <c r="C49" s="203"/>
      <c r="D49" s="203"/>
      <c r="E49" s="203"/>
      <c r="F49" s="203"/>
      <c r="G49" s="203"/>
      <c r="H49" s="203"/>
      <c r="I49" s="203"/>
      <c r="J49" s="203"/>
      <c r="K49" s="203"/>
      <c r="L49" s="203"/>
      <c r="M49" s="203"/>
      <c r="N49" s="203"/>
      <c r="O49" s="203"/>
      <c r="P49" s="203"/>
      <c r="Q49" s="203"/>
      <c r="R49" s="203"/>
      <c r="S49" s="205"/>
      <c r="T49" s="195"/>
      <c r="U49" s="195"/>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195"/>
      <c r="AT49" s="195"/>
      <c r="AU49" s="195"/>
      <c r="AV49" s="195"/>
      <c r="AW49" s="195"/>
      <c r="AX49" s="195"/>
      <c r="AY49" s="195"/>
      <c r="AZ49" s="195"/>
      <c r="BA49" s="195"/>
      <c r="BB49" s="195"/>
      <c r="BC49" s="195"/>
      <c r="BD49" s="195"/>
      <c r="BE49" s="195"/>
      <c r="BF49" s="195"/>
      <c r="BG49" s="195"/>
      <c r="BH49" s="195"/>
      <c r="BI49" s="195"/>
      <c r="BJ49" s="195"/>
      <c r="BK49" s="195"/>
      <c r="BL49" s="195"/>
      <c r="BM49" s="195"/>
      <c r="BN49" s="195"/>
      <c r="BO49" s="195"/>
      <c r="BP49" s="195"/>
      <c r="BQ49" s="195"/>
      <c r="BR49" s="195"/>
      <c r="BS49" s="195"/>
      <c r="BT49" s="195"/>
      <c r="BU49" s="195"/>
      <c r="BV49" s="195"/>
    </row>
    <row r="50" spans="1:74" x14ac:dyDescent="0.25">
      <c r="A50" s="206" t="s">
        <v>537</v>
      </c>
      <c r="B50" s="202">
        <f>B48*(1-B49)</f>
        <v>164319459885.20691</v>
      </c>
      <c r="C50" s="304" t="s">
        <v>543</v>
      </c>
      <c r="D50" s="305"/>
      <c r="E50" s="306"/>
      <c r="F50" s="203"/>
      <c r="G50" s="203"/>
      <c r="H50" s="203"/>
      <c r="I50" s="203"/>
      <c r="J50" s="203"/>
      <c r="K50" s="203"/>
      <c r="L50" s="203"/>
      <c r="M50" s="203"/>
      <c r="N50" s="203"/>
      <c r="O50" s="203"/>
      <c r="P50" s="203"/>
      <c r="Q50" s="203"/>
      <c r="R50" s="203"/>
      <c r="S50" s="205"/>
      <c r="T50" s="195"/>
      <c r="U50" s="195"/>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195"/>
      <c r="AT50" s="195"/>
      <c r="AU50" s="195"/>
      <c r="AV50" s="195"/>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row>
    <row r="51" spans="1:74" x14ac:dyDescent="0.25">
      <c r="A51" s="201" t="s">
        <v>539</v>
      </c>
      <c r="B51" s="217">
        <f>B55</f>
        <v>2734012800</v>
      </c>
      <c r="C51" s="210">
        <v>0.4</v>
      </c>
      <c r="D51" s="210">
        <v>0.3</v>
      </c>
      <c r="E51" s="210">
        <v>0.2</v>
      </c>
      <c r="F51" s="203"/>
      <c r="G51" s="203"/>
      <c r="H51" s="203"/>
      <c r="I51" s="203"/>
      <c r="J51" s="203"/>
      <c r="K51" s="203"/>
      <c r="L51" s="203"/>
      <c r="M51" s="203"/>
      <c r="N51" s="203"/>
      <c r="O51" s="203"/>
      <c r="P51" s="203"/>
      <c r="Q51" s="203"/>
      <c r="R51" s="203"/>
      <c r="S51" s="205"/>
      <c r="T51" s="195"/>
      <c r="U51" s="195"/>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195"/>
      <c r="AT51" s="195"/>
      <c r="AU51" s="195"/>
      <c r="AV51" s="195"/>
      <c r="AW51" s="195"/>
      <c r="AX51" s="195"/>
      <c r="AY51" s="195"/>
      <c r="AZ51" s="195"/>
      <c r="BA51" s="195"/>
      <c r="BB51" s="195"/>
      <c r="BC51" s="195"/>
      <c r="BD51" s="195"/>
      <c r="BE51" s="195"/>
      <c r="BF51" s="195"/>
      <c r="BG51" s="195"/>
      <c r="BH51" s="195"/>
      <c r="BI51" s="195"/>
      <c r="BJ51" s="195"/>
      <c r="BK51" s="195"/>
      <c r="BL51" s="195"/>
      <c r="BM51" s="195"/>
      <c r="BN51" s="195"/>
      <c r="BO51" s="195"/>
      <c r="BP51" s="195"/>
      <c r="BQ51" s="195"/>
      <c r="BR51" s="195"/>
      <c r="BS51" s="195"/>
      <c r="BT51" s="195"/>
      <c r="BU51" s="195"/>
      <c r="BV51" s="195"/>
    </row>
    <row r="52" spans="1:74" ht="15" thickBot="1" x14ac:dyDescent="0.3">
      <c r="A52" s="207" t="s">
        <v>538</v>
      </c>
      <c r="B52" s="212">
        <f>B50/B51</f>
        <v>60.101935106231728</v>
      </c>
      <c r="C52" s="213">
        <f>$B$52*(1-C51)</f>
        <v>36.061161063739036</v>
      </c>
      <c r="D52" s="213">
        <f>$B$52*(1-D51)</f>
        <v>42.071354574362211</v>
      </c>
      <c r="E52" s="213">
        <f>$B$52*(1-E51)</f>
        <v>48.081548084985386</v>
      </c>
      <c r="F52" s="199"/>
      <c r="G52" s="199"/>
      <c r="H52" s="199"/>
      <c r="I52" s="199"/>
      <c r="J52" s="199"/>
      <c r="K52" s="199"/>
      <c r="L52" s="199"/>
      <c r="M52" s="199"/>
      <c r="N52" s="199"/>
      <c r="O52" s="199"/>
      <c r="P52" s="199"/>
      <c r="Q52" s="199"/>
      <c r="R52" s="199"/>
      <c r="S52" s="208"/>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row>
    <row r="53" spans="1:74" ht="12.75" customHeight="1" thickBot="1" x14ac:dyDescent="0.3">
      <c r="A53" s="197"/>
      <c r="B53" s="198"/>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row>
    <row r="54" spans="1:74" s="104" customFormat="1" x14ac:dyDescent="0.25">
      <c r="A54" s="200">
        <v>600309</v>
      </c>
      <c r="B54" s="185">
        <f>自由现金流分析表!E1</f>
        <v>43100</v>
      </c>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row>
    <row r="55" spans="1:74" s="103" customFormat="1" x14ac:dyDescent="0.25">
      <c r="A55" s="218" t="s">
        <v>550</v>
      </c>
      <c r="B55" s="100">
        <v>2734012800</v>
      </c>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row>
    <row r="56" spans="1:74" s="62" customFormat="1" ht="15" thickBot="1" x14ac:dyDescent="0.3">
      <c r="A56" s="74"/>
      <c r="B56" s="93"/>
    </row>
    <row r="57" spans="1:74" ht="52.8" customHeight="1" x14ac:dyDescent="0.25">
      <c r="A57" s="294" t="s">
        <v>745</v>
      </c>
      <c r="B57" s="295"/>
      <c r="C57" s="295"/>
      <c r="D57" s="295"/>
      <c r="E57" s="295"/>
      <c r="F57" s="295"/>
      <c r="G57" s="295"/>
      <c r="H57" s="295"/>
      <c r="I57" s="295"/>
    </row>
    <row r="60" spans="1:74" s="157" customFormat="1" ht="51" customHeight="1" x14ac:dyDescent="0.25">
      <c r="A60" s="292" t="s">
        <v>608</v>
      </c>
      <c r="B60" s="293"/>
      <c r="C60" s="293"/>
      <c r="D60" s="293"/>
      <c r="E60" s="293"/>
      <c r="F60" s="293"/>
      <c r="G60" s="293"/>
      <c r="H60" s="293"/>
      <c r="I60" s="293"/>
    </row>
    <row r="63" spans="1:74" s="4" customFormat="1" x14ac:dyDescent="0.25">
      <c r="A63" s="183" t="s">
        <v>610</v>
      </c>
      <c r="B63" s="182"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84">
        <f>股权价值增加表!M1</f>
        <v>42369</v>
      </c>
      <c r="B64" s="170">
        <v>42356</v>
      </c>
      <c r="C64" s="169">
        <v>143.44</v>
      </c>
      <c r="D64" s="169">
        <v>0.53</v>
      </c>
      <c r="E64" s="171">
        <f>股权价值增加表!M42/100000000</f>
        <v>19.525555353999977</v>
      </c>
      <c r="F64" s="171">
        <v>0</v>
      </c>
      <c r="G64" s="169">
        <v>112.9</v>
      </c>
      <c r="H64" s="171">
        <f>G64*D64</f>
        <v>59.837000000000003</v>
      </c>
      <c r="I64" s="171">
        <f>C64*D64</f>
        <v>76.023200000000003</v>
      </c>
      <c r="J64" s="171">
        <f>H64/E64</f>
        <v>3.0645479175956898</v>
      </c>
      <c r="K64" s="171">
        <f>I64/E64</f>
        <v>3.8935230584581557</v>
      </c>
      <c r="L64" s="171">
        <v>0</v>
      </c>
    </row>
    <row r="65" spans="1:12" s="26" customFormat="1" x14ac:dyDescent="0.25">
      <c r="A65" s="184">
        <f>股权价值增加表!I1</f>
        <v>42735</v>
      </c>
      <c r="B65" s="170">
        <v>42473</v>
      </c>
      <c r="C65" s="169">
        <v>57.31</v>
      </c>
      <c r="D65" s="169">
        <v>1.07</v>
      </c>
      <c r="E65" s="171">
        <f>股权价值增加表!I42/100000000</f>
        <v>45.917350696699984</v>
      </c>
      <c r="F65" s="171">
        <f>(E65-E64)/E64*100</f>
        <v>135.16540177328901</v>
      </c>
      <c r="G65" s="169">
        <v>43.97</v>
      </c>
      <c r="H65" s="171">
        <f t="shared" ref="H65:H66" si="8">G65*D65</f>
        <v>47.047899999999998</v>
      </c>
      <c r="I65" s="171">
        <f t="shared" ref="I65:I66" si="9">C65*D65</f>
        <v>61.321700000000007</v>
      </c>
      <c r="J65" s="171">
        <f t="shared" ref="J65:J66" si="10">H65/E65</f>
        <v>1.0246213966212399</v>
      </c>
      <c r="K65" s="171">
        <f t="shared" ref="K65:K66" si="11">I65/E65</f>
        <v>1.3354799235925237</v>
      </c>
      <c r="L65" s="171">
        <f>K65/F65</f>
        <v>9.8803385043201002E-3</v>
      </c>
    </row>
    <row r="66" spans="1:12" s="26" customFormat="1" x14ac:dyDescent="0.25">
      <c r="A66" s="184">
        <f>股权价值增加表!E1</f>
        <v>43100</v>
      </c>
      <c r="B66" s="170">
        <v>42740</v>
      </c>
      <c r="C66" s="169">
        <v>44.52</v>
      </c>
      <c r="D66" s="169">
        <v>1.07</v>
      </c>
      <c r="E66" s="171">
        <f>股权价值增加表!E42/100000000</f>
        <v>123.03101814049995</v>
      </c>
      <c r="F66" s="171">
        <f t="shared" ref="F66" si="12">(E66-E65)/E65*100</f>
        <v>167.94014958128241</v>
      </c>
      <c r="G66" s="169">
        <v>38.700000000000003</v>
      </c>
      <c r="H66" s="171">
        <f t="shared" si="8"/>
        <v>41.409000000000006</v>
      </c>
      <c r="I66" s="171">
        <f t="shared" si="9"/>
        <v>47.636400000000009</v>
      </c>
      <c r="J66" s="171">
        <f t="shared" si="10"/>
        <v>0.33657365943856066</v>
      </c>
      <c r="K66" s="171">
        <f t="shared" si="11"/>
        <v>0.38719016326110389</v>
      </c>
      <c r="L66" s="171">
        <f t="shared" ref="L66" si="13">K66/F66</f>
        <v>2.3055247016658472E-3</v>
      </c>
    </row>
    <row r="67" spans="1:12" s="26" customFormat="1" x14ac:dyDescent="0.25">
      <c r="A67" s="163"/>
      <c r="B67" s="164"/>
      <c r="C67" s="83"/>
      <c r="D67" s="83"/>
      <c r="E67" s="83"/>
      <c r="F67" s="167"/>
      <c r="G67" s="83"/>
      <c r="H67" s="167"/>
      <c r="I67" s="167"/>
      <c r="J67" s="167"/>
      <c r="K67" s="167"/>
      <c r="L67" s="168"/>
    </row>
    <row r="68" spans="1:12" s="158" customFormat="1" ht="15" thickBot="1" x14ac:dyDescent="0.3">
      <c r="A68" s="165" t="s">
        <v>622</v>
      </c>
      <c r="B68" s="44" t="s">
        <v>611</v>
      </c>
      <c r="C68" s="44" t="s">
        <v>612</v>
      </c>
      <c r="D68" s="44" t="s">
        <v>613</v>
      </c>
      <c r="E68" s="44" t="s">
        <v>621</v>
      </c>
      <c r="F68" s="44" t="s">
        <v>614</v>
      </c>
      <c r="G68" s="44" t="s">
        <v>615</v>
      </c>
      <c r="H68" s="44" t="s">
        <v>616</v>
      </c>
      <c r="I68" s="44" t="s">
        <v>617</v>
      </c>
      <c r="J68" s="44" t="s">
        <v>618</v>
      </c>
      <c r="K68" s="44" t="s">
        <v>619</v>
      </c>
      <c r="L68" s="166" t="s">
        <v>620</v>
      </c>
    </row>
    <row r="69" spans="1:12" s="26" customFormat="1" x14ac:dyDescent="0.25">
      <c r="A69" s="172" t="s">
        <v>627</v>
      </c>
      <c r="B69" s="173">
        <v>43305</v>
      </c>
      <c r="C69" s="174">
        <v>51.65</v>
      </c>
      <c r="D69" s="174">
        <v>1.07</v>
      </c>
      <c r="E69" s="174">
        <v>1.85</v>
      </c>
      <c r="F69" s="175">
        <f>(E69-E66)/E66*100</f>
        <v>-98.496314158851135</v>
      </c>
      <c r="G69" s="174">
        <v>46.05</v>
      </c>
      <c r="H69" s="175">
        <f>G69*D69</f>
        <v>49.273499999999999</v>
      </c>
      <c r="I69" s="175">
        <f>C69*D69</f>
        <v>55.265500000000003</v>
      </c>
      <c r="J69" s="175">
        <f>H69/E69</f>
        <v>26.634324324324322</v>
      </c>
      <c r="K69" s="175">
        <f>I69/E69</f>
        <v>29.873243243243245</v>
      </c>
      <c r="L69" s="176">
        <f>K69/F69</f>
        <v>-0.30329300642727408</v>
      </c>
    </row>
    <row r="70" spans="1:12" s="26" customFormat="1" ht="15" thickBot="1" x14ac:dyDescent="0.3">
      <c r="A70" s="177" t="s">
        <v>626</v>
      </c>
      <c r="B70" s="178">
        <v>43305</v>
      </c>
      <c r="C70" s="179">
        <v>51.65</v>
      </c>
      <c r="D70" s="179">
        <v>1.07</v>
      </c>
      <c r="E70" s="179">
        <v>1.4</v>
      </c>
      <c r="F70" s="180">
        <f>(E70-E66)/E66*100</f>
        <v>-98.862075579671114</v>
      </c>
      <c r="G70" s="179">
        <v>46.05</v>
      </c>
      <c r="H70" s="180">
        <f t="shared" ref="H70" si="14">G70*D70</f>
        <v>49.273499999999999</v>
      </c>
      <c r="I70" s="180">
        <f t="shared" ref="I70" si="15">C70*D70</f>
        <v>55.265500000000003</v>
      </c>
      <c r="J70" s="180">
        <f t="shared" ref="J70" si="16">H70/E70</f>
        <v>35.195357142857141</v>
      </c>
      <c r="K70" s="180">
        <f t="shared" ref="K70" si="17">I70/E70</f>
        <v>39.475357142857149</v>
      </c>
      <c r="L70" s="181">
        <f t="shared" ref="L70" si="18">K70/F70</f>
        <v>-0.39929727260323084</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2019-02-15T15:13:46Z</dcterms:modified>
</cp:coreProperties>
</file>