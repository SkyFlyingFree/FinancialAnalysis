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7.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8.xml" ContentType="application/vnd.openxmlformats-officedocument.drawing+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firstSheet="4" activeTab="1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CL27" i="12" l="1"/>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E9" i="8"/>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C84" i="11"/>
  <c r="CC100" i="11" s="1"/>
  <c r="CC101" i="11" s="1"/>
  <c r="CD84" i="11"/>
  <c r="CE84" i="11"/>
  <c r="CE100" i="11" s="1"/>
  <c r="CE101" i="11" s="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B100" i="11" l="1"/>
  <c r="CB101" i="11" s="1"/>
  <c r="BW100" i="11"/>
  <c r="BW101" i="11" s="1"/>
  <c r="BO100" i="11"/>
  <c r="BO101" i="11" s="1"/>
  <c r="BG100" i="11"/>
  <c r="BG101" i="11" s="1"/>
  <c r="CK87" i="11"/>
  <c r="BM87" i="11"/>
  <c r="BU87" i="11"/>
  <c r="CC87" i="11"/>
  <c r="BE87" i="1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BZ6" i="10" s="1"/>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F24" i="6" s="1"/>
  <c r="CE67" i="6"/>
  <c r="CE24" i="6" s="1"/>
  <c r="CD67" i="6"/>
  <c r="CD24" i="6" s="1"/>
  <c r="CC67" i="6"/>
  <c r="CC24" i="6" s="1"/>
  <c r="CB67" i="6"/>
  <c r="CA67" i="6"/>
  <c r="CA24" i="6" s="1"/>
  <c r="BZ67" i="6"/>
  <c r="BZ24" i="6" s="1"/>
  <c r="BY67" i="6"/>
  <c r="BY24" i="6" s="1"/>
  <c r="BX67" i="6"/>
  <c r="BX24" i="6" s="1"/>
  <c r="BW67" i="6"/>
  <c r="BW24" i="6" s="1"/>
  <c r="BV67" i="6"/>
  <c r="BV24" i="6" s="1"/>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X24" i="6" s="1"/>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B24" i="6"/>
  <c r="BT24" i="6"/>
  <c r="BL24" i="6"/>
  <c r="BD24" i="6"/>
  <c r="AV24" i="6"/>
  <c r="AN24" i="6"/>
  <c r="AF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E27" i="6" l="1"/>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H13" i="12" s="1"/>
  <c r="AP12" i="12"/>
  <c r="AX12" i="12"/>
  <c r="AX13" i="12" s="1"/>
  <c r="BF12" i="12"/>
  <c r="BF13" i="12" s="1"/>
  <c r="BN12" i="12"/>
  <c r="BN13" i="12" s="1"/>
  <c r="BV12" i="12"/>
  <c r="CD12" i="12"/>
  <c r="AS27" i="6"/>
  <c r="AS32" i="10" s="1"/>
  <c r="L57" i="11"/>
  <c r="AJ57" i="11"/>
  <c r="AR65" i="11"/>
  <c r="AR66" i="11" s="1"/>
  <c r="AZ65" i="11"/>
  <c r="AZ66" i="11" s="1"/>
  <c r="BH57" i="11"/>
  <c r="BP65" i="11"/>
  <c r="BP66" i="11" s="1"/>
  <c r="BX65" i="11"/>
  <c r="BX66" i="11" s="1"/>
  <c r="CF65" i="11"/>
  <c r="CF66" i="11" s="1"/>
  <c r="K12" i="12"/>
  <c r="K13" i="12" s="1"/>
  <c r="S12" i="12"/>
  <c r="AA12" i="12"/>
  <c r="AA13" i="12" s="1"/>
  <c r="AI12" i="12"/>
  <c r="AI13" i="12" s="1"/>
  <c r="AQ12" i="12"/>
  <c r="AQ13" i="12" s="1"/>
  <c r="AY12" i="12"/>
  <c r="BG12" i="12"/>
  <c r="BG13" i="12" s="1"/>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8" i="10" s="1"/>
  <c r="BC7" i="6"/>
  <c r="BK7" i="10"/>
  <c r="BK7" i="6"/>
  <c r="BS7" i="10"/>
  <c r="BS7" i="6"/>
  <c r="CA7" i="10"/>
  <c r="CA9" i="10" s="1"/>
  <c r="CA7" i="6"/>
  <c r="CI7" i="10"/>
  <c r="CI8"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8" i="10" s="1"/>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L32" i="10" s="1"/>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I25" i="12"/>
  <c r="I26" i="12" s="1"/>
  <c r="I27" i="12" s="1"/>
  <c r="Q25" i="12"/>
  <c r="Q26" i="12" s="1"/>
  <c r="Q27" i="12" s="1"/>
  <c r="Y25" i="12"/>
  <c r="Y26" i="12" s="1"/>
  <c r="Y27" i="12" s="1"/>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L13" i="12" s="1"/>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K8" i="10"/>
  <c r="BK9" i="10"/>
  <c r="BS8" i="10"/>
  <c r="CA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34" i="9" s="1"/>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1" i="13" s="1"/>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53" i="11" s="1"/>
  <c r="BR7" i="9"/>
  <c r="BZ52" i="11"/>
  <c r="BZ53" i="11" s="1"/>
  <c r="BZ7" i="9"/>
  <c r="CH52" i="1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53" i="11" s="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J5" i="12"/>
  <c r="R5" i="12"/>
  <c r="Z5" i="12"/>
  <c r="AH5" i="12"/>
  <c r="AP5" i="12"/>
  <c r="AX5" i="12"/>
  <c r="BF5" i="12"/>
  <c r="BN5" i="12"/>
  <c r="BV5" i="12"/>
  <c r="CD5" i="12"/>
  <c r="CC25" i="12"/>
  <c r="CC26" i="12" s="1"/>
  <c r="CC27" i="12" s="1"/>
  <c r="CK25" i="12"/>
  <c r="CK26"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Y13" i="12"/>
  <c r="BO13" i="12"/>
  <c r="CE13" i="12"/>
  <c r="AZ13" i="12"/>
  <c r="AC26" i="12"/>
  <c r="AC27" i="12" s="1"/>
  <c r="BA26" i="12"/>
  <c r="BA27" i="12" s="1"/>
  <c r="AC13" i="12"/>
  <c r="BA13" i="12"/>
  <c r="CK18" i="12"/>
  <c r="AE13" i="12"/>
  <c r="CA13" i="12"/>
  <c r="X13" i="12"/>
  <c r="CJ13" i="12"/>
  <c r="J13" i="12"/>
  <c r="R13" i="12"/>
  <c r="Z13" i="12"/>
  <c r="AP13" i="12"/>
  <c r="BV13" i="12"/>
  <c r="CD13" i="12"/>
  <c r="G57" i="11"/>
  <c r="BS57" i="11"/>
  <c r="BT55"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AU32" i="9" l="1"/>
  <c r="CD74" i="11"/>
  <c r="CJ27" i="12"/>
  <c r="CJ28" i="12" s="1"/>
  <c r="CH27" i="12"/>
  <c r="CH28" i="12" s="1"/>
  <c r="CI27" i="12"/>
  <c r="CI28" i="12" s="1"/>
  <c r="CK27" i="12"/>
  <c r="CK28" i="12" s="1"/>
  <c r="BJ9" i="10"/>
  <c r="AC8" i="10"/>
  <c r="AJ74" i="11"/>
  <c r="AJ75" i="11" s="1"/>
  <c r="BV9" i="10"/>
  <c r="CE9" i="10"/>
  <c r="BR9" i="10"/>
  <c r="CI9" i="10"/>
  <c r="BX32" i="9"/>
  <c r="BZ32" i="9"/>
  <c r="BQ32" i="9"/>
  <c r="CD32" i="9"/>
  <c r="BR74" i="11"/>
  <c r="CG74" i="11"/>
  <c r="CG75" i="11" s="1"/>
  <c r="V23" i="7"/>
  <c r="CH28" i="10"/>
  <c r="BS9" i="10"/>
  <c r="BQ9" i="10"/>
  <c r="AY9" i="10"/>
  <c r="BK32" i="9"/>
  <c r="BV32" i="9"/>
  <c r="BR32" i="9"/>
  <c r="BP32" i="9"/>
  <c r="CA32" i="9"/>
  <c r="BV25" i="9"/>
  <c r="BR25" i="9"/>
  <c r="CK16" i="9"/>
  <c r="AB32" i="9"/>
  <c r="B2" i="13"/>
  <c r="C39" i="13" s="1"/>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E5" i="8" l="1"/>
  <c r="BQ5" i="8"/>
  <c r="BH5" i="8"/>
  <c r="BP5" i="8"/>
  <c r="CA29" i="9"/>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E46" i="11" l="1"/>
  <c r="E10" i="8"/>
  <c r="BJ31" i="10"/>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AZ11" i="11" l="1"/>
  <c r="BU11" i="11"/>
  <c r="CH11" i="11"/>
  <c r="BJ16" i="6"/>
  <c r="BJ17" i="6" s="1"/>
  <c r="BJ18" i="6" s="1"/>
  <c r="BJ36" i="6"/>
  <c r="BJ37" i="6" s="1"/>
  <c r="BR17" i="12"/>
  <c r="BR18" i="12" s="1"/>
  <c r="CH2" i="1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8"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AP49" i="10" l="1"/>
  <c r="BY49" i="10"/>
  <c r="BJ50" i="10"/>
  <c r="V33" i="6"/>
  <c r="V34" i="6" s="1"/>
  <c r="BJ33" i="6"/>
  <c r="BJ34" i="6" s="1"/>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B4" i="13"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<sst xmlns="http://schemas.openxmlformats.org/spreadsheetml/2006/main" count="1031" uniqueCount="750">
  <si>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</si>
  <si>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</si>
  <si>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</si>
  <si>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</si>
  <si>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</si>
  <si>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</si>
  <si>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</si>
  <si>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</si>
  <si>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</si>
  <si>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</si>
  <si>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</si>
  <si>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</si>
  <si>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</si>
  <si>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</si>
  <si>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</si>
  <si>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</si>
  <si>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</si>
  <si>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</si>
  <si>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</si>
  <si>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</si>
  <si>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</si>
  <si>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</si>
  <si>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</si>
  <si>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</si>
  <si>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</si>
  <si>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</si>
  <si>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</si>
  <si>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</si>
  <si>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</si>
  <si>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</si>
  <si>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</si>
  <si>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</si>
  <si>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</si>
  <si>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</si>
  <si>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</si>
  <si>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</si>
  <si>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</si>
  <si>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</si>
  <si>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</si>
  <si>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</si>
  <si>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</si>
  <si>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</si>
  <si>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</si>
  <si>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</si>
  <si>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</si>
  <si>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</si>
  <si>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</si>
  <si>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</si>
  <si>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</si>
  <si>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</si>
  <si>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</si>
  <si>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</si>
  <si>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</si>
  <si>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</si>
  <si>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</si>
  <si>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</si>
  <si>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</si>
  <si>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</si>
  <si>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</si>
  <si>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</si>
  <si>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</si>
  <si>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</si>
  <si>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</si>
  <si>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</si>
  <si>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</si>
  <si>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</si>
  <si>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</si>
  <si>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</si>
  <si>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</si>
  <si>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</si>
  <si>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</si>
  <si>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</si>
  <si>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</si>
  <si>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</si>
  <si>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</si>
  <si>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</si>
  <si>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</si>
  <si>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</si>
  <si>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</si>
  <si>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</si>
  <si>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</si>
  <si>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</si>
  <si>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</si>
  <si>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</si>
  <si>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</si>
  <si>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</si>
  <si>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</si>
  <si>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</si>
  <si>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</si>
  <si>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</si>
  <si>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</si>
  <si>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</si>
  <si>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</si>
  <si>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</si>
  <si>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</si>
  <si>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</si>
  <si>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</si>
  <si>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</si>
  <si>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</si>
  <si>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</si>
  <si>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</si>
  <si>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</si>
  <si>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</si>
  <si>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</si>
  <si>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</si>
  <si>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</si>
  <si>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</si>
  <si>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</si>
  <si>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</si>
  <si>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</si>
  <si>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</si>
  <si>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</si>
  <si>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</si>
  <si>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</si>
  <si>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</si>
  <si>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</si>
  <si>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</si>
  <si>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</si>
  <si>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</si>
  <si>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</si>
  <si>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</si>
  <si>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</si>
  <si>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</si>
  <si>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</si>
  <si>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</si>
  <si>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</si>
  <si>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</si>
  <si>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</si>
  <si>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</si>
  <si>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</si>
  <si>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</si>
  <si>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</si>
  <si>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</si>
  <si>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</si>
  <si>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</si>
  <si>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</si>
  <si>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</si>
  <si>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</si>
  <si>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</si>
  <si>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</si>
  <si>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</si>
  <si>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</si>
  <si>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</si>
  <si>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</si>
  <si>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</si>
  <si>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</si>
  <si>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</si>
  <si>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</si>
  <si>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</si>
  <si>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</si>
  <si>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</si>
  <si>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</si>
  <si>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</si>
  <si>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</si>
  <si>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</si>
  <si>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</si>
  <si>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</si>
  <si>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</si>
  <si>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</si>
  <si>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</si>
  <si>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</si>
  <si>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</si>
  <si>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</si>
  <si>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</si>
  <si>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</si>
  <si>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</si>
  <si>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</si>
  <si>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</si>
  <si>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</si>
  <si>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</si>
  <si>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</si>
  <si>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</si>
  <si>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</si>
  <si>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</si>
  <si>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</si>
  <si>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</si>
  <si>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</si>
  <si>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</si>
  <si>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</si>
  <si>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</si>
  <si>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</si>
  <si>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</si>
  <si>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</si>
  <si>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</si>
  <si>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</si>
  <si>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</si>
  <si>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</si>
  <si>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</si>
  <si>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</si>
  <si>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</si>
  <si>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</si>
  <si>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</si>
  <si>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</si>
  <si>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</si>
  <si>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</si>
  <si>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</si>
  <si>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</si>
  <si>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</si>
  <si>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</si>
  <si>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</si>
  <si>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</si>
  <si>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</si>
  <si>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</si>
  <si>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</si>
  <si>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</si>
  <si>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</si>
  <si>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</si>
  <si>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</si>
  <si>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</si>
  <si>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</si>
  <si>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</si>
  <si>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</si>
  <si>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</si>
  <si>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</si>
  <si>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</si>
  <si>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</si>
  <si>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</si>
  <si>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</si>
  <si>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</si>
  <si>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</si>
  <si>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</si>
  <si>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</si>
  <si>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</si>
  <si>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</si>
  <si>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</si>
  <si>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</si>
  <si>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</si>
  <si>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</si>
  <si>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</si>
  <si>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</si>
  <si>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</si>
  <si>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</si>
  <si>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</si>
  <si>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</si>
  <si>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</si>
  <si>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</si>
  <si>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</si>
  <si>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</si>
  <si>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</si>
  <si>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</si>
  <si>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</si>
  <si>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</si>
  <si>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</si>
  <si>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</si>
  <si>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</si>
  <si>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</si>
  <si>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</si>
  <si>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</si>
  <si>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</si>
  <si>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</si>
  <si>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</si>
  <si>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</si>
  <si>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</si>
  <si>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</si>
  <si>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</si>
  <si>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</si>
  <si>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</si>
  <si>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</si>
  <si>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</si>
  <si>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</si>
  <si>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</si>
  <si>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</si>
  <si>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</si>
  <si>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</si>
  <si>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</si>
  <si>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</si>
  <si>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</si>
  <si>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</si>
  <si>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</si>
  <si>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</si>
  <si>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</si>
  <si>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</si>
  <si>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</si>
  <si>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</si>
  <si>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</si>
  <si>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</si>
  <si>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</si>
  <si>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</si>
  <si>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</si>
  <si>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</si>
  <si>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</si>
  <si>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</si>
  <si>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</si>
  <si>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</si>
  <si>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</si>
  <si>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</si>
  <si>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</si>
  <si>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</si>
  <si>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</si>
  <si>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</si>
  <si>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</si>
  <si>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</si>
  <si>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</si>
  <si>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</si>
  <si>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</si>
  <si>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</si>
  <si>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</si>
  <si>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</si>
  <si>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</si>
  <si>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</si>
  <si>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</si>
  <si>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</si>
  <si>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</si>
  <si>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</si>
  <si>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</si>
  <si>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</si>
  <si>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</si>
  <si>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</si>
  <si>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</si>
  <si>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</si>
  <si>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</si>
  <si>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</si>
  <si>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</si>
  <si>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</si>
  <si>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</si>
  <si>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</si>
  <si>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</si>
  <si>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</si>
  <si>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</si>
  <si>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</si>
  <si>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</si>
  <si>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</si>
  <si>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</si>
  <si>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</si>
  <si>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</si>
  <si>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</si>
  <si>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</si>
  <si>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</si>
  <si>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</si>
  <si>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</si>
  <si>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</si>
  <si>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</si>
  <si>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</si>
  <si>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</si>
  <si>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</si>
  <si>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</si>
  <si>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</si>
  <si>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</si>
  <si>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</si>
  <si>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</si>
  <si>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</si>
  <si>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</si>
  <si>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</si>
  <si>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</si>
  <si>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</si>
  <si>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</si>
  <si>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</si>
  <si>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</si>
  <si>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</si>
  <si>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</si>
  <si>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</si>
  <si>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</si>
  <si>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</si>
  <si>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</si>
  <si>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</si>
  <si>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</si>
  <si>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</si>
  <si>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</si>
  <si>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</si>
  <si>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</si>
  <si>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</si>
  <si>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</si>
  <si>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</si>
  <si>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</si>
  <si>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</si>
  <si>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</si>
  <si>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</si>
  <si>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</si>
  <si>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</si>
  <si>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</si>
  <si>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</si>
  <si>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</si>
  <si>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</si>
  <si>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</si>
  <si>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</si>
  <si>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</si>
  <si>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</si>
  <si>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</si>
  <si>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</si>
  <si>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</si>
  <si>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</si>
  <si>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</si>
  <si>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</si>
  <si>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</si>
  <si>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</si>
  <si>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</si>
  <si>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</si>
  <si>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</si>
  <si>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</si>
  <si>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</si>
  <si>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</si>
  <si>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</si>
  <si>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</si>
  <si>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</si>
  <si>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</si>
  <si>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</si>
  <si>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</si>
  <si>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</si>
  <si>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</si>
  <si>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</si>
  <si>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</si>
  <si>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</si>
  <si>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</si>
  <si>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</si>
  <si>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</si>
  <si>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</si>
  <si>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</si>
  <si>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</si>
  <si>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</si>
  <si>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</si>
  <si>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</si>
  <si>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</si>
  <si>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</si>
  <si>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</si>
  <si>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</si>
  <si>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</si>
  <si>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</si>
  <si>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</si>
  <si>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</si>
  <si>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</si>
  <si>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</si>
  <si>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</si>
  <si>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</si>
  <si>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</si>
  <si>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</si>
  <si>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</si>
  <si>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</si>
  <si>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</si>
  <si>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</si>
  <si>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</si>
  <si>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</si>
  <si>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</si>
  <si>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</si>
  <si>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</si>
  <si>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</si>
  <si>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</si>
  <si>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</si>
  <si>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</si>
  <si>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</si>
  <si>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</si>
  <si>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</si>
  <si>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</si>
  <si>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</si>
  <si>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</si>
  <si>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</si>
  <si>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</si>
  <si>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</si>
  <si>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</si>
  <si>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</si>
  <si>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</si>
  <si>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</si>
  <si>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</si>
  <si>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</si>
  <si>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</si>
  <si>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</si>
  <si>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</si>
  <si>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</si>
  <si>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</si>
  <si>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</si>
  <si>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</si>
  <si>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</si>
  <si>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</si>
  <si>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</si>
  <si>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</si>
  <si>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</si>
  <si>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</si>
  <si>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</si>
  <si>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</si>
  <si>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</si>
  <si>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</si>
  <si>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</si>
  <si>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</si>
  <si>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</si>
  <si>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</si>
  <si>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</si>
  <si>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</si>
  <si>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</si>
  <si>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</si>
  <si>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</si>
  <si>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</si>
  <si>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</si>
  <si>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</si>
  <si>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</si>
  <si>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</si>
  <si>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</si>
  <si>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</si>
  <si>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</si>
  <si>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</si>
  <si>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</si>
  <si>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</si>
  <si>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</si>
  <si>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</si>
  <si>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</si>
  <si>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</si>
  <si>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</si>
  <si>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</si>
  <si>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</si>
  <si>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</si>
  <si>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</si>
  <si>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</si>
  <si>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</si>
  <si>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</si>
  <si>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</si>
  <si>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</si>
  <si>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</si>
  <si>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</si>
  <si>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</si>
  <si>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</si>
  <si>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</si>
  <si>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</si>
  <si>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</si>
  <si>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</si>
  <si>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</si>
  <si>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</si>
  <si>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</si>
  <si>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</si>
  <si>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</si>
  <si>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</si>
  <si>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</si>
  <si>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</si>
  <si>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</si>
  <si>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</si>
  <si>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</si>
  <si>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</si>
  <si>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</si>
  <si>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</si>
  <si>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</si>
  <si>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</si>
  <si>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</si>
  <si>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</si>
  <si>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</si>
  <si>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</si>
  <si>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</si>
  <si>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</si>
  <si>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</si>
  <si>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</si>
  <si>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</si>
  <si>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</si>
  <si>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</si>
  <si>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</si>
  <si>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</si>
  <si>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</si>
  <si>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</si>
  <si>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</si>
  <si>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</si>
  <si>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</si>
  <si>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</si>
  <si>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</si>
  <si>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</si>
  <si>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</si>
  <si>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</si>
  <si>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</si>
  <si>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</si>
  <si>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</si>
  <si>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</si>
  <si>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</si>
  <si>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</si>
  <si>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</si>
  <si>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</si>
  <si>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</si>
  <si>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</si>
  <si>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</si>
  <si>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</si>
  <si>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</si>
  <si>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</si>
  <si>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</si>
  <si>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</si>
  <si>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</si>
  <si>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</si>
  <si>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</si>
  <si>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</si>
  <si>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</si>
  <si>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</si>
  <si>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</si>
  <si>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</si>
  <si>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</si>
  <si>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</si>
  <si>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</si>
  <si>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</si>
  <si>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</si>
  <si>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</si>
  <si>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</si>
  <si>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</si>
  <si>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</si>
  <si>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</si>
  <si>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</si>
  <si>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</si>
  <si>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</si>
  <si>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</si>
  <si>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</si>
  <si>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</si>
  <si>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</si>
  <si>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</si>
  <si>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</si>
  <si>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</si>
  <si>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</si>
  <si>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</si>
  <si>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</si>
  <si>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</si>
  <si>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</si>
  <si>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</si>
  <si>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</si>
  <si>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</si>
  <si>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</si>
  <si>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</si>
  <si>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</si>
  <si>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</si>
  <si>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</si>
  <si>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</si>
  <si>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</si>
  <si>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</si>
  <si>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</si>
  <si>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</si>
  <si>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</si>
  <si>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</si>
  <si>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</si>
  <si>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</si>
  <si>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</si>
  <si>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</si>
  <si>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</si>
  <si>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</si>
  <si>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</si>
  <si>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</si>
  <si>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</si>
  <si>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</si>
  <si>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</si>
  <si>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</si>
  <si>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</si>
  <si>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</si>
  <si>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</si>
  <si>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</si>
  <si>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</si>
  <si>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</si>
  <si>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</si>
  <si>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</si>
  <si>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</si>
  <si>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</si>
  <si>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</si>
  <si>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</si>
  <si>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</si>
  <si>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</si>
  <si>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</si>
  <si>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</si>
  <si>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</si>
  <si>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</si>
  <si>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</si>
  <si>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</si>
  <si>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</si>
  <si>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</si>
  <si>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</si>
  <si>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</si>
  <si>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</si>
  <si>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</si>
  <si>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</si>
  <si>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</si>
  <si>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</si>
  <si>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</si>
  <si>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</si>
  <si>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</si>
  <si>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</si>
  <si>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</si>
  <si>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</si>
  <si>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</si>
  <si>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</si>
  <si>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</si>
  <si>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</si>
  <si>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</si>
  <si>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</si>
  <si>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</si>
  <si>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</si>
  <si>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</si>
  <si>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</si>
  <si>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</si>
  <si>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</si>
  <si>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</si>
  <si>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</si>
  <si>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</si>
  <si>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</si>
  <si>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</si>
  <si>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</si>
  <si>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</si>
  <si>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</si>
  <si>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</si>
  <si>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</si>
  <si>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</si>
  <si>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</si>
  <si>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</si>
  <si>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</si>
  <si>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</si>
  <si>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</si>
  <si>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</si>
  <si>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</si>
  <si>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</si>
  <si>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</si>
  <si>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</si>
  <si>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</si>
  <si>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</si>
  <si>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</si>
  <si>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</si>
  <si>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</si>
  <si>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</si>
  <si>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</si>
  <si>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</si>
  <si>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</si>
  <si>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</si>
  <si>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</si>
  <si>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</si>
  <si>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</si>
  <si>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</si>
  <si>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</si>
  <si>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</si>
  <si>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</si>
  <si>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</si>
  <si>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</si>
  <si>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</si>
  <si>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</si>
  <si>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</si>
  <si>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</si>
  <si>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</si>
  <si>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</si>
  <si>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</si>
  <si>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</si>
  <si>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</si>
  <si>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</si>
  <si>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</si>
  <si>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</si>
  <si>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</si>
  <si>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</si>
  <si>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</si>
  <si>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</si>
  <si>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</si>
  <si>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</si>
  <si>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</si>
  <si>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</si>
  <si>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</si>
  <si>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</si>
  <si>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</si>
  <si>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</si>
  <si>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</si>
  <si>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</si>
  <si>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</si>
  <si>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</si>
  <si>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</si>
  <si>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</si>
  <si>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</si>
  <si>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</si>
  <si>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</si>
  <si>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WACC</t>
    <phoneticPr fontId="1" type="noConversion"/>
  </si>
  <si>
    <t>股权资本成本</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</si>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</sst>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0000000000_ "/>
  </numFmts>
  <fonts count="3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5">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10" fontId="5" fillId="0" borderId="36" xfId="0" applyNumberFormat="1" applyFont="1" applyBorder="1" applyAlignment="1">
      <alignment horizontal="center" vertical="center" wrapText="1"/>
    </xf>
    <xf numFmtId="49" fontId="26" fillId="6" borderId="0" xfId="0" applyNumberFormat="1" applyFont="1" applyFill="1" applyAlignment="1">
      <alignment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34.920850869989479</c:v>
                </c:pt>
                <c:pt idx="1">
                  <c:v>0.3412548404856246</c:v>
                </c:pt>
                <c:pt idx="2">
                  <c:v>0.24747864603074077</c:v>
                </c:pt>
                <c:pt idx="3">
                  <c:v>0.24672613189684461</c:v>
                </c:pt>
                <c:pt idx="4">
                  <c:v>0.23502139186728929</c:v>
                </c:pt>
                <c:pt idx="5">
                  <c:v>0.21594574412898457</c:v>
                </c:pt>
              </c:numCache>
            </c:numRef>
          </c:val>
          <c:smooth val="0"/>
          <c:extLst xmlns:c16r2="http://schemas.microsoft.com/office/drawing/2015/06/char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0322304"/>
        <c:axId val="211999488"/>
      </c:lineChart>
      <c:catAx>
        <c:axId val="220322304"/>
        <c:scaling>
          <c:orientation val="minMax"/>
        </c:scaling>
        <c:delete val="0"/>
        <c:axPos val="b"/>
        <c:majorTickMark val="out"/>
        <c:minorTickMark val="none"/>
        <c:tickLblPos val="nextTo"/>
        <c:crossAx val="211999488"/>
        <c:crosses val="autoZero"/>
        <c:auto val="1"/>
        <c:lblAlgn val="ctr"/>
        <c:lblOffset val="100"/>
        <c:noMultiLvlLbl val="0"/>
      </c:catAx>
      <c:valAx>
        <c:axId val="211999488"/>
        <c:scaling>
          <c:orientation val="minMax"/>
        </c:scaling>
        <c:delete val="0"/>
        <c:axPos val="l"/>
        <c:majorGridlines/>
        <c:numFmt formatCode="0.00%" sourceLinked="1"/>
        <c:majorTickMark val="out"/>
        <c:minorTickMark val="none"/>
        <c:tickLblPos val="nextTo"/>
        <c:crossAx val="2203223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14.015453785477375</c:v>
                </c:pt>
                <c:pt idx="1">
                  <c:v>0.1422016920720775</c:v>
                </c:pt>
                <c:pt idx="2">
                  <c:v>7.1583204170072079E-2</c:v>
                </c:pt>
                <c:pt idx="3">
                  <c:v>7.9263450733748603E-2</c:v>
                </c:pt>
                <c:pt idx="4">
                  <c:v>8.083686524971033E-2</c:v>
                </c:pt>
                <c:pt idx="5">
                  <c:v>7.3460580347958659E-2</c:v>
                </c:pt>
              </c:numCache>
            </c:numRef>
          </c:val>
          <c:smooth val="0"/>
          <c:extLst xmlns:c16r2="http://schemas.microsoft.com/office/drawing/2015/06/char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1473280"/>
        <c:axId val="219161152"/>
      </c:lineChart>
      <c:catAx>
        <c:axId val="221473280"/>
        <c:scaling>
          <c:orientation val="minMax"/>
        </c:scaling>
        <c:delete val="0"/>
        <c:axPos val="b"/>
        <c:majorTickMark val="out"/>
        <c:minorTickMark val="none"/>
        <c:tickLblPos val="nextTo"/>
        <c:crossAx val="219161152"/>
        <c:crosses val="autoZero"/>
        <c:auto val="1"/>
        <c:lblAlgn val="ctr"/>
        <c:lblOffset val="100"/>
        <c:noMultiLvlLbl val="0"/>
      </c:catAx>
      <c:valAx>
        <c:axId val="219161152"/>
        <c:scaling>
          <c:orientation val="minMax"/>
        </c:scaling>
        <c:delete val="0"/>
        <c:axPos val="l"/>
        <c:majorGridlines/>
        <c:numFmt formatCode="0.00%" sourceLinked="1"/>
        <c:majorTickMark val="out"/>
        <c:minorTickMark val="none"/>
        <c:tickLblPos val="nextTo"/>
        <c:crossAx val="22147328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151.555506029649</c:v>
                </c:pt>
                <c:pt idx="1">
                  <c:v>0.19613562783344651</c:v>
                </c:pt>
                <c:pt idx="2">
                  <c:v>9.8989710077852427E-2</c:v>
                </c:pt>
                <c:pt idx="3">
                  <c:v>0.10690227856988124</c:v>
                </c:pt>
                <c:pt idx="4">
                  <c:v>0.11191994260517053</c:v>
                </c:pt>
                <c:pt idx="5">
                  <c:v>9.3112005405201495E-2</c:v>
                </c:pt>
              </c:numCache>
            </c:numRef>
          </c:val>
          <c:smooth val="0"/>
          <c:extLst xmlns:c16r2="http://schemas.microsoft.com/office/drawing/2015/06/char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117.90607981541692</c:v>
                </c:pt>
                <c:pt idx="1">
                  <c:v>0.14221853057518377</c:v>
                </c:pt>
                <c:pt idx="2">
                  <c:v>7.1583204170072079E-2</c:v>
                </c:pt>
                <c:pt idx="3">
                  <c:v>7.9900881522727785E-2</c:v>
                </c:pt>
                <c:pt idx="4">
                  <c:v>8.3813731468695446E-2</c:v>
                </c:pt>
                <c:pt idx="5">
                  <c:v>7.3807512879729018E-2</c:v>
                </c:pt>
              </c:numCache>
            </c:numRef>
          </c:val>
          <c:smooth val="0"/>
          <c:extLst xmlns:c16r2="http://schemas.microsoft.com/office/drawing/2015/06/char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147.40312676705503</c:v>
                </c:pt>
                <c:pt idx="1">
                  <c:v>0.1438509933114438</c:v>
                </c:pt>
                <c:pt idx="2">
                  <c:v>8.411232653869502E-2</c:v>
                </c:pt>
                <c:pt idx="3">
                  <c:v>0.10086462167160333</c:v>
                </c:pt>
                <c:pt idx="4">
                  <c:v>0.11422322170403562</c:v>
                </c:pt>
                <c:pt idx="5">
                  <c:v>9.7535524975357751E-2</c:v>
                </c:pt>
              </c:numCache>
            </c:numRef>
          </c:val>
          <c:smooth val="0"/>
          <c:extLst xmlns:c16r2="http://schemas.microsoft.com/office/drawing/2015/06/char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114.67564118876943</c:v>
                </c:pt>
                <c:pt idx="1">
                  <c:v>0.10430678564889183</c:v>
                </c:pt>
                <c:pt idx="2">
                  <c:v>6.0824805316671997E-2</c:v>
                </c:pt>
                <c:pt idx="3">
                  <c:v>7.5388217106610284E-2</c:v>
                </c:pt>
                <c:pt idx="4">
                  <c:v>8.5538593109938083E-2</c:v>
                </c:pt>
                <c:pt idx="5">
                  <c:v>7.7313924069427262E-2</c:v>
                </c:pt>
              </c:numCache>
            </c:numRef>
          </c:val>
          <c:smooth val="0"/>
          <c:extLst xmlns:c16r2="http://schemas.microsoft.com/office/drawing/2015/06/char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1474304"/>
        <c:axId val="219162880"/>
      </c:lineChart>
      <c:catAx>
        <c:axId val="221474304"/>
        <c:scaling>
          <c:orientation val="minMax"/>
        </c:scaling>
        <c:delete val="0"/>
        <c:axPos val="b"/>
        <c:majorTickMark val="out"/>
        <c:minorTickMark val="none"/>
        <c:tickLblPos val="nextTo"/>
        <c:crossAx val="219162880"/>
        <c:crosses val="autoZero"/>
        <c:auto val="1"/>
        <c:lblAlgn val="ctr"/>
        <c:lblOffset val="100"/>
        <c:noMultiLvlLbl val="0"/>
      </c:catAx>
      <c:valAx>
        <c:axId val="219162880"/>
        <c:scaling>
          <c:orientation val="minMax"/>
        </c:scaling>
        <c:delete val="0"/>
        <c:axPos val="l"/>
        <c:majorGridlines/>
        <c:numFmt formatCode="0.00%" sourceLinked="1"/>
        <c:majorTickMark val="out"/>
        <c:minorTickMark val="none"/>
        <c:tickLblPos val="nextTo"/>
        <c:crossAx val="221474304"/>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Cache>
                <c:formatCode>General</c:formatCode>
                <c:ptCount val="1"/>
                <c:pt idx="0">
                  <c:v>2036689776.8</c:v>
                </c:pt>
              </c:numCache>
            </c:numRef>
          </c:val>
          <c:extLst xmlns:c16r2="http://schemas.microsoft.com/office/drawing/2015/06/char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xmlns:c16r2="http://schemas.microsoft.com/office/drawing/2015/06/char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xmlns:c16r2="http://schemas.microsoft.com/office/drawing/2015/06/char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Ref>
          </c:val>
          <c:extLst xmlns:c16r2="http://schemas.microsoft.com/office/drawing/2015/06/char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Cache>
                <c:formatCode>General</c:formatCode>
                <c:ptCount val="1"/>
                <c:pt idx="0">
                  <c:v>197477853.40000001</c:v>
                </c:pt>
              </c:numCache>
            </c:numRef>
          </c:val>
          <c:extLst xmlns:c16r2="http://schemas.microsoft.com/office/drawing/2015/06/char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xmlns:c16r2="http://schemas.microsoft.com/office/drawing/2015/06/char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xmlns:c16r2="http://schemas.microsoft.com/office/drawing/2015/06/char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Ref>
          </c:val>
          <c:extLst xmlns:c16r2="http://schemas.microsoft.com/office/drawing/2015/06/char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Cache>
                <c:formatCode>General</c:formatCode>
                <c:ptCount val="1"/>
                <c:pt idx="0">
                  <c:v>86344319.370000005</c:v>
                </c:pt>
              </c:numCache>
            </c:numRef>
          </c:val>
          <c:extLst xmlns:c16r2="http://schemas.microsoft.com/office/drawing/2015/06/char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xmlns:c16r2="http://schemas.microsoft.com/office/drawing/2015/06/char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xmlns:c16r2="http://schemas.microsoft.com/office/drawing/2015/06/char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Ref>
          </c:val>
          <c:extLst xmlns:c16r2="http://schemas.microsoft.com/office/drawing/2015/06/char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Cache>
                <c:formatCode>General</c:formatCode>
                <c:ptCount val="1"/>
                <c:pt idx="0">
                  <c:v>113035469.48999999</c:v>
                </c:pt>
              </c:numCache>
            </c:numRef>
          </c:val>
          <c:extLst xmlns:c16r2="http://schemas.microsoft.com/office/drawing/2015/06/char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xmlns:c16r2="http://schemas.microsoft.com/office/drawing/2015/06/char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xmlns:c16r2="http://schemas.microsoft.com/office/drawing/2015/06/char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Ref>
          </c:val>
          <c:extLst xmlns:c16r2="http://schemas.microsoft.com/office/drawing/2015/06/char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Cache>
                <c:formatCode>General</c:formatCode>
                <c:ptCount val="1"/>
                <c:pt idx="0">
                  <c:v>138764372.81999999</c:v>
                </c:pt>
              </c:numCache>
            </c:numRef>
          </c:val>
          <c:extLst xmlns:c16r2="http://schemas.microsoft.com/office/drawing/2015/06/char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xmlns:c16r2="http://schemas.microsoft.com/office/drawing/2015/06/char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xmlns:c16r2="http://schemas.microsoft.com/office/drawing/2015/06/char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Ref>
          </c:val>
          <c:extLst xmlns:c16r2="http://schemas.microsoft.com/office/drawing/2015/06/char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Cache>
                <c:formatCode>General</c:formatCode>
                <c:ptCount val="1"/>
                <c:pt idx="0">
                  <c:v>139281266.87</c:v>
                </c:pt>
              </c:numCache>
            </c:numRef>
          </c:val>
          <c:extLst xmlns:c16r2="http://schemas.microsoft.com/office/drawing/2015/06/char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xmlns:c16r2="http://schemas.microsoft.com/office/drawing/2015/06/char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xmlns:c16r2="http://schemas.microsoft.com/office/drawing/2015/06/char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Ref>
          </c:val>
          <c:extLst xmlns:c16r2="http://schemas.microsoft.com/office/drawing/2015/06/char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2127616"/>
        <c:axId val="219165184"/>
      </c:barChart>
      <c:catAx>
        <c:axId val="222127616"/>
        <c:scaling>
          <c:orientation val="minMax"/>
        </c:scaling>
        <c:delete val="0"/>
        <c:axPos val="b"/>
        <c:numFmt formatCode="General" sourceLinked="1"/>
        <c:majorTickMark val="out"/>
        <c:minorTickMark val="none"/>
        <c:tickLblPos val="nextTo"/>
        <c:crossAx val="219165184"/>
        <c:crosses val="autoZero"/>
        <c:auto val="1"/>
        <c:lblAlgn val="ctr"/>
        <c:lblOffset val="100"/>
        <c:noMultiLvlLbl val="0"/>
      </c:catAx>
      <c:valAx>
        <c:axId val="219165184"/>
        <c:scaling>
          <c:orientation val="minMax"/>
        </c:scaling>
        <c:delete val="0"/>
        <c:axPos val="l"/>
        <c:majorGridlines/>
        <c:numFmt formatCode="General" sourceLinked="1"/>
        <c:majorTickMark val="out"/>
        <c:minorTickMark val="none"/>
        <c:tickLblPos val="nextTo"/>
        <c:crossAx val="2221276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1343383418.7404003</c:v>
                </c:pt>
                <c:pt idx="1">
                  <c:v>-4086999.0120002031</c:v>
                </c:pt>
                <c:pt idx="2">
                  <c:v>-37037867.870800085</c:v>
                </c:pt>
                <c:pt idx="3">
                  <c:v>-9996654.1791998744</c:v>
                </c:pt>
                <c:pt idx="4">
                  <c:v>16193970.317599937</c:v>
                </c:pt>
                <c:pt idx="5">
                  <c:v>28044302.518399969</c:v>
                </c:pt>
              </c:numCache>
            </c:numRef>
          </c:val>
          <c:extLst xmlns:c16r2="http://schemas.microsoft.com/office/drawing/2015/06/char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2129664"/>
        <c:axId val="222322688"/>
      </c:barChart>
      <c:catAx>
        <c:axId val="222129664"/>
        <c:scaling>
          <c:orientation val="minMax"/>
        </c:scaling>
        <c:delete val="0"/>
        <c:axPos val="b"/>
        <c:majorTickMark val="out"/>
        <c:minorTickMark val="none"/>
        <c:tickLblPos val="nextTo"/>
        <c:crossAx val="222322688"/>
        <c:crosses val="autoZero"/>
        <c:auto val="1"/>
        <c:lblAlgn val="ctr"/>
        <c:lblOffset val="100"/>
        <c:noMultiLvlLbl val="0"/>
      </c:catAx>
      <c:valAx>
        <c:axId val="222322688"/>
        <c:scaling>
          <c:orientation val="minMax"/>
        </c:scaling>
        <c:delete val="0"/>
        <c:axPos val="l"/>
        <c:majorGridlines/>
        <c:numFmt formatCode="#,##0.00_ " sourceLinked="1"/>
        <c:majorTickMark val="out"/>
        <c:minorTickMark val="none"/>
        <c:tickLblPos val="nextTo"/>
        <c:crossAx val="2221296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Cache>
                <c:formatCode>General</c:formatCode>
                <c:ptCount val="1"/>
                <c:pt idx="0">
                  <c:v>3025280205.8699999</c:v>
                </c:pt>
              </c:numCache>
            </c:numRef>
          </c:val>
          <c:extLst xmlns:c16r2="http://schemas.microsoft.com/office/drawing/2015/06/char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xmlns:c16r2="http://schemas.microsoft.com/office/drawing/2015/06/char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xmlns:c16r2="http://schemas.microsoft.com/office/drawing/2015/06/char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Ref>
          </c:val>
          <c:extLst xmlns:c16r2="http://schemas.microsoft.com/office/drawing/2015/06/char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Cache>
                <c:formatCode>General</c:formatCode>
                <c:ptCount val="1"/>
                <c:pt idx="0">
                  <c:v>1832599943.4000001</c:v>
                </c:pt>
              </c:numCache>
            </c:numRef>
          </c:val>
          <c:extLst xmlns:c16r2="http://schemas.microsoft.com/office/drawing/2015/06/char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xmlns:c16r2="http://schemas.microsoft.com/office/drawing/2015/06/char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xmlns:c16r2="http://schemas.microsoft.com/office/drawing/2015/06/char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Ref>
          </c:val>
          <c:extLst xmlns:c16r2="http://schemas.microsoft.com/office/drawing/2015/06/char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Cache>
                <c:formatCode>General</c:formatCode>
                <c:ptCount val="1"/>
                <c:pt idx="0">
                  <c:v>1243458895.51</c:v>
                </c:pt>
              </c:numCache>
            </c:numRef>
          </c:val>
          <c:extLst xmlns:c16r2="http://schemas.microsoft.com/office/drawing/2015/06/char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xmlns:c16r2="http://schemas.microsoft.com/office/drawing/2015/06/char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xmlns:c16r2="http://schemas.microsoft.com/office/drawing/2015/06/char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Ref>
          </c:val>
          <c:extLst xmlns:c16r2="http://schemas.microsoft.com/office/drawing/2015/06/char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Cache>
                <c:formatCode>General</c:formatCode>
                <c:ptCount val="1"/>
                <c:pt idx="0">
                  <c:v>1181020051.74</c:v>
                </c:pt>
              </c:numCache>
            </c:numRef>
          </c:val>
          <c:extLst xmlns:c16r2="http://schemas.microsoft.com/office/drawing/2015/06/char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xmlns:c16r2="http://schemas.microsoft.com/office/drawing/2015/06/char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xmlns:c16r2="http://schemas.microsoft.com/office/drawing/2015/06/char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Ref>
          </c:val>
          <c:extLst xmlns:c16r2="http://schemas.microsoft.com/office/drawing/2015/06/char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Cache>
                <c:formatCode>General</c:formatCode>
                <c:ptCount val="1"/>
                <c:pt idx="0">
                  <c:v>1096535101.78</c:v>
                </c:pt>
              </c:numCache>
            </c:numRef>
          </c:val>
          <c:extLst xmlns:c16r2="http://schemas.microsoft.com/office/drawing/2015/06/char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xmlns:c16r2="http://schemas.microsoft.com/office/drawing/2015/06/char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xmlns:c16r2="http://schemas.microsoft.com/office/drawing/2015/06/char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Ref>
          </c:val>
          <c:extLst xmlns:c16r2="http://schemas.microsoft.com/office/drawing/2015/06/char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Cache>
                <c:formatCode>General</c:formatCode>
                <c:ptCount val="1"/>
                <c:pt idx="0">
                  <c:v>1029505086.02</c:v>
                </c:pt>
              </c:numCache>
            </c:numRef>
          </c:val>
          <c:extLst xmlns:c16r2="http://schemas.microsoft.com/office/drawing/2015/06/char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xmlns:c16r2="http://schemas.microsoft.com/office/drawing/2015/06/char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xmlns:c16r2="http://schemas.microsoft.com/office/drawing/2015/06/char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Ref>
          </c:val>
          <c:extLst xmlns:c16r2="http://schemas.microsoft.com/office/drawing/2015/06/char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2409216"/>
        <c:axId val="222324416"/>
      </c:barChart>
      <c:catAx>
        <c:axId val="222409216"/>
        <c:scaling>
          <c:orientation val="minMax"/>
        </c:scaling>
        <c:delete val="0"/>
        <c:axPos val="b"/>
        <c:numFmt formatCode="General" sourceLinked="0"/>
        <c:majorTickMark val="out"/>
        <c:minorTickMark val="none"/>
        <c:tickLblPos val="nextTo"/>
        <c:crossAx val="222324416"/>
        <c:crosses val="autoZero"/>
        <c:auto val="1"/>
        <c:lblAlgn val="ctr"/>
        <c:lblOffset val="100"/>
        <c:noMultiLvlLbl val="0"/>
      </c:catAx>
      <c:valAx>
        <c:axId val="222324416"/>
        <c:scaling>
          <c:orientation val="minMax"/>
        </c:scaling>
        <c:delete val="0"/>
        <c:axPos val="l"/>
        <c:majorGridlines/>
        <c:numFmt formatCode="General" sourceLinked="1"/>
        <c:majorTickMark val="out"/>
        <c:minorTickMark val="none"/>
        <c:tickLblPos val="nextTo"/>
        <c:crossAx val="2224092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1"/>
                <c:pt idx="0">
                  <c:v>(10)期初长期资产净值 704,025,408.17  716,694,386.06  725,753,217.44  736,345,981.13  744,159,166.98  746,611,113.21  744,509,895.53  753,832,683.77  762,829,581.35  774,435,286.66  779,414,170.62  870,238,614.17  875,183,125.91  886,233,622.49  898,158,771.94  88</c:v>
                </c:pt>
              </c:strCache>
            </c:strRef>
          </c:tx>
          <c:invertIfNegative val="0"/>
          <c:cat>
            <c:numRef>
              <c:f>投资和筹资活动现金流表!$E$12</c:f>
            </c:numRef>
          </c:cat>
          <c:val>
            <c:numRef>
              <c:f>投资和筹资活动现金流表!$E$12:$U$12</c:f>
              <c:numCache>
                <c:formatCode>#,##0.00_ </c:formatCode>
                <c:ptCount val="4"/>
                <c:pt idx="0">
                  <c:v>716694386.05999994</c:v>
                </c:pt>
                <c:pt idx="1">
                  <c:v>746611113.21000004</c:v>
                </c:pt>
                <c:pt idx="2">
                  <c:v>774435286.65999997</c:v>
                </c:pt>
                <c:pt idx="3">
                  <c:v>886233622.49000001</c:v>
                </c:pt>
              </c:numCache>
            </c:numRef>
          </c:val>
          <c:extLst xmlns:c16r2="http://schemas.microsoft.com/office/drawing/2015/06/char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222412288"/>
        <c:axId val="22232787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1">
                  <c:v>-0.14250324584159618</c:v>
                </c:pt>
                <c:pt idx="2">
                  <c:v>-2.9353798921870192E-2</c:v>
                </c:pt>
                <c:pt idx="3">
                  <c:v>-4.431354376684879E-2</c:v>
                </c:pt>
                <c:pt idx="4">
                  <c:v>-3.1668980670293508E-2</c:v>
                </c:pt>
              </c:numCache>
            </c:numRef>
          </c:val>
          <c:smooth val="0"/>
          <c:extLst xmlns:c16r2="http://schemas.microsoft.com/office/drawing/2015/06/char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222749696"/>
        <c:axId val="222328448"/>
      </c:lineChart>
      <c:valAx>
        <c:axId val="222327872"/>
        <c:scaling>
          <c:orientation val="minMax"/>
        </c:scaling>
        <c:delete val="0"/>
        <c:axPos val="r"/>
        <c:numFmt formatCode="#,##0.00_ " sourceLinked="1"/>
        <c:majorTickMark val="out"/>
        <c:minorTickMark val="none"/>
        <c:tickLblPos val="nextTo"/>
        <c:crossAx val="222412288"/>
        <c:crosses val="max"/>
        <c:crossBetween val="between"/>
      </c:valAx>
      <c:catAx>
        <c:axId val="222412288"/>
        <c:scaling>
          <c:orientation val="minMax"/>
        </c:scaling>
        <c:delete val="1"/>
        <c:axPos val="b"/>
        <c:numFmt formatCode="#,##0.00_ " sourceLinked="1"/>
        <c:majorTickMark val="out"/>
        <c:minorTickMark val="none"/>
        <c:tickLblPos val="nextTo"/>
        <c:crossAx val="222327872"/>
        <c:crosses val="autoZero"/>
        <c:auto val="1"/>
        <c:lblAlgn val="ctr"/>
        <c:lblOffset val="100"/>
        <c:noMultiLvlLbl val="0"/>
      </c:catAx>
      <c:valAx>
        <c:axId val="222328448"/>
        <c:scaling>
          <c:orientation val="minMax"/>
        </c:scaling>
        <c:delete val="0"/>
        <c:axPos val="l"/>
        <c:numFmt formatCode="0.00%" sourceLinked="1"/>
        <c:majorTickMark val="out"/>
        <c:minorTickMark val="none"/>
        <c:tickLblPos val="nextTo"/>
        <c:crossAx val="222749696"/>
        <c:crosses val="autoZero"/>
        <c:crossBetween val="between"/>
      </c:valAx>
      <c:catAx>
        <c:axId val="222749696"/>
        <c:scaling>
          <c:orientation val="minMax"/>
        </c:scaling>
        <c:delete val="1"/>
        <c:axPos val="b"/>
        <c:majorTickMark val="out"/>
        <c:minorTickMark val="none"/>
        <c:tickLblPos val="nextTo"/>
        <c:crossAx val="222328448"/>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3801957434922271"/>
          <c:y val="3.8858672420549592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1">
                  <c:v>0.5544019885977759</c:v>
                </c:pt>
                <c:pt idx="2">
                  <c:v>0.88056605419799672</c:v>
                </c:pt>
                <c:pt idx="3">
                  <c:v>-3.7622815917370733</c:v>
                </c:pt>
                <c:pt idx="4">
                  <c:v>-3.4306535131188722</c:v>
                </c:pt>
                <c:pt idx="5">
                  <c:v>1.5006334661483207</c:v>
                </c:pt>
              </c:numCache>
            </c:numRef>
          </c:val>
          <c:smooth val="0"/>
          <c:extLst xmlns:c16r2="http://schemas.microsoft.com/office/drawing/2015/06/char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17677824"/>
        <c:axId val="222329024"/>
      </c:lineChart>
      <c:catAx>
        <c:axId val="217677824"/>
        <c:scaling>
          <c:orientation val="minMax"/>
        </c:scaling>
        <c:delete val="0"/>
        <c:axPos val="b"/>
        <c:majorTickMark val="out"/>
        <c:minorTickMark val="none"/>
        <c:tickLblPos val="nextTo"/>
        <c:crossAx val="222329024"/>
        <c:crosses val="autoZero"/>
        <c:auto val="1"/>
        <c:lblAlgn val="ctr"/>
        <c:lblOffset val="100"/>
        <c:noMultiLvlLbl val="0"/>
      </c:catAx>
      <c:valAx>
        <c:axId val="222329024"/>
        <c:scaling>
          <c:orientation val="minMax"/>
        </c:scaling>
        <c:delete val="0"/>
        <c:axPos val="l"/>
        <c:majorGridlines/>
        <c:numFmt formatCode="#,##0.00_ " sourceLinked="1"/>
        <c:majorTickMark val="out"/>
        <c:minorTickMark val="none"/>
        <c:tickLblPos val="nextTo"/>
        <c:crossAx val="217677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1">
                  <c:v>57873578.109999999</c:v>
                </c:pt>
                <c:pt idx="2">
                  <c:v>40655187.579999998</c:v>
                </c:pt>
                <c:pt idx="3">
                  <c:v>34909520.009999998</c:v>
                </c:pt>
                <c:pt idx="4">
                  <c:v>35231458</c:v>
                </c:pt>
                <c:pt idx="5">
                  <c:v>24825549.149999999</c:v>
                </c:pt>
              </c:numCache>
            </c:numRef>
          </c:val>
          <c:extLst xmlns:c16r2="http://schemas.microsoft.com/office/drawing/2015/06/char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1">
                  <c:v>389560200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128104428.97</c:v>
                </c:pt>
                <c:pt idx="1">
                  <c:v>248058176.34999999</c:v>
                </c:pt>
                <c:pt idx="2">
                  <c:v>35799578.109999999</c:v>
                </c:pt>
                <c:pt idx="3">
                  <c:v>-131339444.51000001</c:v>
                </c:pt>
                <c:pt idx="4">
                  <c:v>-120866925.16</c:v>
                </c:pt>
                <c:pt idx="5">
                  <c:v>37254049.869999997</c:v>
                </c:pt>
              </c:numCache>
            </c:numRef>
          </c:val>
          <c:extLst xmlns:c16r2="http://schemas.microsoft.com/office/drawing/2015/06/char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-864720586.38999999</c:v>
                </c:pt>
                <c:pt idx="1">
                  <c:v>175461165.5</c:v>
                </c:pt>
                <c:pt idx="2">
                  <c:v>14421013.01</c:v>
                </c:pt>
                <c:pt idx="3">
                  <c:v>134636974.58000001</c:v>
                </c:pt>
                <c:pt idx="4">
                  <c:v>161034032.97</c:v>
                </c:pt>
                <c:pt idx="5">
                  <c:v>-94751892.939999998</c:v>
                </c:pt>
              </c:numCache>
            </c:numRef>
          </c:val>
          <c:extLst xmlns:c16r2="http://schemas.microsoft.com/office/drawing/2015/06/char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2752256"/>
        <c:axId val="220464832"/>
      </c:barChart>
      <c:catAx>
        <c:axId val="222752256"/>
        <c:scaling>
          <c:orientation val="minMax"/>
        </c:scaling>
        <c:delete val="0"/>
        <c:axPos val="b"/>
        <c:majorTickMark val="none"/>
        <c:minorTickMark val="none"/>
        <c:tickLblPos val="nextTo"/>
        <c:crossAx val="220464832"/>
        <c:crosses val="autoZero"/>
        <c:auto val="1"/>
        <c:lblAlgn val="ctr"/>
        <c:lblOffset val="100"/>
        <c:noMultiLvlLbl val="0"/>
      </c:catAx>
      <c:valAx>
        <c:axId val="220464832"/>
        <c:scaling>
          <c:orientation val="minMax"/>
        </c:scaling>
        <c:delete val="0"/>
        <c:axPos val="l"/>
        <c:majorGridlines/>
        <c:numFmt formatCode="#,##0.00_ " sourceLinked="1"/>
        <c:majorTickMark val="none"/>
        <c:minorTickMark val="none"/>
        <c:tickLblPos val="nextTo"/>
        <c:crossAx val="222752256"/>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1">
                  <c:v>395435396.73000002</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1">
                  <c:v>-119102208.91000003</c:v>
                </c:pt>
                <c:pt idx="2">
                  <c:v>32753446.870000005</c:v>
                </c:pt>
                <c:pt idx="3">
                  <c:v>148590846.38999999</c:v>
                </c:pt>
                <c:pt idx="4">
                  <c:v>202544146.67000002</c:v>
                </c:pt>
                <c:pt idx="5">
                  <c:v>-50000000</c:v>
                </c:pt>
              </c:numCache>
            </c:numRef>
          </c:val>
          <c:extLst xmlns:c16r2="http://schemas.microsoft.com/office/drawing/2015/06/char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3393280"/>
        <c:axId val="220467136"/>
      </c:barChart>
      <c:catAx>
        <c:axId val="223393280"/>
        <c:scaling>
          <c:orientation val="minMax"/>
        </c:scaling>
        <c:delete val="0"/>
        <c:axPos val="b"/>
        <c:majorTickMark val="out"/>
        <c:minorTickMark val="none"/>
        <c:tickLblPos val="nextTo"/>
        <c:crossAx val="220467136"/>
        <c:crosses val="autoZero"/>
        <c:auto val="1"/>
        <c:lblAlgn val="ctr"/>
        <c:lblOffset val="100"/>
        <c:noMultiLvlLbl val="0"/>
      </c:catAx>
      <c:valAx>
        <c:axId val="220467136"/>
        <c:scaling>
          <c:orientation val="minMax"/>
        </c:scaling>
        <c:delete val="0"/>
        <c:axPos val="l"/>
        <c:majorGridlines/>
        <c:numFmt formatCode="#,##0.00_ " sourceLinked="1"/>
        <c:majorTickMark val="out"/>
        <c:minorTickMark val="none"/>
        <c:tickLblPos val="nextTo"/>
        <c:crossAx val="223393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470000000</c:v>
                </c:pt>
                <c:pt idx="1">
                  <c:v>350000000</c:v>
                </c:pt>
                <c:pt idx="2">
                  <c:v>385000000</c:v>
                </c:pt>
                <c:pt idx="3">
                  <c:v>351007700</c:v>
                </c:pt>
                <c:pt idx="4">
                  <c:v>302707480</c:v>
                </c:pt>
                <c:pt idx="5">
                  <c:v>0</c:v>
                </c:pt>
              </c:numCache>
            </c:numRef>
          </c:val>
          <c:extLst xmlns:c16r2="http://schemas.microsoft.com/office/drawing/2015/06/char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3394304"/>
        <c:axId val="220468864"/>
      </c:barChart>
      <c:catAx>
        <c:axId val="223394304"/>
        <c:scaling>
          <c:orientation val="minMax"/>
        </c:scaling>
        <c:delete val="0"/>
        <c:axPos val="b"/>
        <c:majorTickMark val="out"/>
        <c:minorTickMark val="none"/>
        <c:tickLblPos val="nextTo"/>
        <c:crossAx val="220468864"/>
        <c:crosses val="autoZero"/>
        <c:auto val="1"/>
        <c:lblAlgn val="ctr"/>
        <c:lblOffset val="100"/>
        <c:noMultiLvlLbl val="0"/>
      </c:catAx>
      <c:valAx>
        <c:axId val="220468864"/>
        <c:scaling>
          <c:orientation val="minMax"/>
        </c:scaling>
        <c:delete val="0"/>
        <c:axPos val="l"/>
        <c:majorGridlines/>
        <c:numFmt formatCode="General" sourceLinked="1"/>
        <c:majorTickMark val="out"/>
        <c:minorTickMark val="none"/>
        <c:tickLblPos val="nextTo"/>
        <c:crossAx val="223394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1">
                  <c:v>0</c:v>
                </c:pt>
                <c:pt idx="2">
                  <c:v>0</c:v>
                </c:pt>
                <c:pt idx="3">
                  <c:v>29542520</c:v>
                </c:pt>
                <c:pt idx="4">
                  <c:v>0</c:v>
                </c:pt>
                <c:pt idx="5">
                  <c:v>27039600</c:v>
                </c:pt>
              </c:numCache>
            </c:numRef>
          </c:val>
          <c:extLst xmlns:c16r2="http://schemas.microsoft.com/office/drawing/2015/06/char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3219712"/>
        <c:axId val="220470592"/>
      </c:barChart>
      <c:catAx>
        <c:axId val="223219712"/>
        <c:scaling>
          <c:orientation val="minMax"/>
        </c:scaling>
        <c:delete val="0"/>
        <c:axPos val="b"/>
        <c:majorTickMark val="out"/>
        <c:minorTickMark val="none"/>
        <c:tickLblPos val="nextTo"/>
        <c:crossAx val="220470592"/>
        <c:crosses val="autoZero"/>
        <c:auto val="1"/>
        <c:lblAlgn val="ctr"/>
        <c:lblOffset val="100"/>
        <c:noMultiLvlLbl val="0"/>
      </c:catAx>
      <c:valAx>
        <c:axId val="220470592"/>
        <c:scaling>
          <c:orientation val="minMax"/>
        </c:scaling>
        <c:delete val="0"/>
        <c:axPos val="l"/>
        <c:majorGridlines/>
        <c:numFmt formatCode="#,##0.00_ " sourceLinked="1"/>
        <c:majorTickMark val="out"/>
        <c:minorTickMark val="none"/>
        <c:tickLblPos val="nextTo"/>
        <c:crossAx val="223219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1">
                  <c:v>1482732208.9099998</c:v>
                </c:pt>
                <c:pt idx="2">
                  <c:v>385551753.13</c:v>
                </c:pt>
                <c:pt idx="3">
                  <c:v>352091273.61000001</c:v>
                </c:pt>
                <c:pt idx="4">
                  <c:v>202870813.33000001</c:v>
                </c:pt>
                <c:pt idx="5">
                  <c:v>0</c:v>
                </c:pt>
              </c:numCache>
            </c:numRef>
          </c:val>
          <c:extLst xmlns:c16r2="http://schemas.microsoft.com/office/drawing/2015/06/char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1">
                  <c:v>1832599943.4000001</c:v>
                </c:pt>
                <c:pt idx="2">
                  <c:v>1243458895.51</c:v>
                </c:pt>
                <c:pt idx="3">
                  <c:v>1181020051.74</c:v>
                </c:pt>
                <c:pt idx="4">
                  <c:v>1096535101.78</c:v>
                </c:pt>
                <c:pt idx="5">
                  <c:v>1029505086.02</c:v>
                </c:pt>
              </c:numCache>
            </c:numRef>
          </c:val>
          <c:extLst xmlns:c16r2="http://schemas.microsoft.com/office/drawing/2015/06/char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1">
                  <c:v>3315645746.4499998</c:v>
                </c:pt>
                <c:pt idx="2">
                  <c:v>1629280441.6800001</c:v>
                </c:pt>
                <c:pt idx="3">
                  <c:v>1533381118.3900001</c:v>
                </c:pt>
                <c:pt idx="4">
                  <c:v>1299675708.1500001</c:v>
                </c:pt>
                <c:pt idx="5">
                  <c:v>1029707975.0599999</c:v>
                </c:pt>
              </c:numCache>
            </c:numRef>
          </c:val>
          <c:extLst xmlns:c16r2="http://schemas.microsoft.com/office/drawing/2015/06/char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2867456"/>
        <c:axId val="223134848"/>
      </c:barChart>
      <c:catAx>
        <c:axId val="222867456"/>
        <c:scaling>
          <c:orientation val="minMax"/>
        </c:scaling>
        <c:delete val="0"/>
        <c:axPos val="b"/>
        <c:majorTickMark val="out"/>
        <c:minorTickMark val="none"/>
        <c:tickLblPos val="nextTo"/>
        <c:crossAx val="223134848"/>
        <c:crosses val="autoZero"/>
        <c:auto val="1"/>
        <c:lblAlgn val="ctr"/>
        <c:lblOffset val="100"/>
        <c:noMultiLvlLbl val="0"/>
      </c:catAx>
      <c:valAx>
        <c:axId val="223134848"/>
        <c:scaling>
          <c:orientation val="minMax"/>
        </c:scaling>
        <c:delete val="0"/>
        <c:axPos val="l"/>
        <c:majorGridlines/>
        <c:numFmt formatCode="#,##0.00_ " sourceLinked="1"/>
        <c:majorTickMark val="out"/>
        <c:minorTickMark val="none"/>
        <c:tickLblPos val="nextTo"/>
        <c:crossAx val="222867456"/>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1">
                  <c:v>4.4217026390400864E-2</c:v>
                </c:pt>
                <c:pt idx="2">
                  <c:v>6.1055610253460464E-2</c:v>
                </c:pt>
                <c:pt idx="3">
                  <c:v>6.1616517254629168E-2</c:v>
                </c:pt>
                <c:pt idx="4">
                  <c:v>6.749592039945676E-2</c:v>
                </c:pt>
                <c:pt idx="5">
                  <c:v>7.9984237158890553E-2</c:v>
                </c:pt>
                <c:pt idx="6">
                  <c:v>7.2358935829635609E-2</c:v>
                </c:pt>
                <c:pt idx="7">
                  <c:v>7.138157593618169E-2</c:v>
                </c:pt>
                <c:pt idx="8">
                  <c:v>6.2899858699001068E-2</c:v>
                </c:pt>
                <c:pt idx="9">
                  <c:v>5.6102596223706683E-2</c:v>
                </c:pt>
                <c:pt idx="10">
                  <c:v>4.7060513494762327E-2</c:v>
                </c:pt>
                <c:pt idx="11">
                  <c:v>4.5275433328099773E-2</c:v>
                </c:pt>
                <c:pt idx="12">
                  <c:v>4.1261179235750747E-2</c:v>
                </c:pt>
                <c:pt idx="13">
                  <c:v>3.5646164687682218E-2</c:v>
                </c:pt>
                <c:pt idx="14">
                  <c:v>4.8665699084242238E-2</c:v>
                </c:pt>
                <c:pt idx="15">
                  <c:v>2.9258811766657594E-2</c:v>
                </c:pt>
                <c:pt idx="16">
                  <c:v>2.6700805630423919E-2</c:v>
                </c:pt>
                <c:pt idx="17">
                  <c:v>3.0720672871308596E-2</c:v>
                </c:pt>
                <c:pt idx="18">
                  <c:v>2.6132081887555239E-2</c:v>
                </c:pt>
                <c:pt idx="19">
                  <c:v>3.1650134461880308E-2</c:v>
                </c:pt>
                <c:pt idx="20">
                  <c:v>-3.4972222269096355E-3</c:v>
                </c:pt>
              </c:numCache>
            </c:numRef>
          </c:val>
          <c:smooth val="0"/>
          <c:extLst xmlns:c16r2="http://schemas.microsoft.com/office/drawing/2015/06/char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222868992"/>
        <c:axId val="223137152"/>
      </c:lineChart>
      <c:catAx>
        <c:axId val="2228689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223137152"/>
        <c:crosses val="autoZero"/>
        <c:auto val="1"/>
        <c:lblAlgn val="ctr"/>
        <c:lblOffset val="100"/>
        <c:noMultiLvlLbl val="0"/>
      </c:catAx>
      <c:valAx>
        <c:axId val="22313715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222868992"/>
        <c:crosses val="autoZero"/>
        <c:crossBetween val="between"/>
      </c:valAx>
      <c:spPr>
        <a:noFill/>
        <a:ln>
          <a:noFill/>
        </a:ln>
        <a:effectLst/>
      </c:spPr>
    </c:plotArea>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1">
                  <c:v>2.1065649978610899</c:v>
                </c:pt>
                <c:pt idx="2">
                  <c:v>-2.013076908141093E-2</c:v>
                </c:pt>
                <c:pt idx="3">
                  <c:v>-3.5449147589702856E-2</c:v>
                </c:pt>
                <c:pt idx="4">
                  <c:v>8.6800795759153102E-2</c:v>
                </c:pt>
                <c:pt idx="5">
                  <c:v>0.98460602568001931</c:v>
                </c:pt>
              </c:numCache>
            </c:numRef>
          </c:val>
          <c:smooth val="0"/>
          <c:extLst xmlns:c16r2="http://schemas.microsoft.com/office/drawing/2015/06/char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1">
                  <c:v>0</c:v>
                </c:pt>
                <c:pt idx="2">
                  <c:v>0</c:v>
                </c:pt>
                <c:pt idx="3">
                  <c:v>0</c:v>
                </c:pt>
                <c:pt idx="4">
                  <c:v>-1</c:v>
                </c:pt>
                <c:pt idx="5">
                  <c:v>0.45406549118387907</c:v>
                </c:pt>
              </c:numCache>
            </c:numRef>
          </c:val>
          <c:smooth val="0"/>
          <c:extLst xmlns:c16r2="http://schemas.microsoft.com/office/drawing/2015/06/char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1">
                  <c:v>-1.7527316938919095</c:v>
                </c:pt>
                <c:pt idx="2">
                  <c:v>0.78411062055236913</c:v>
                </c:pt>
                <c:pt idx="3">
                  <c:v>-2.2559587592499923</c:v>
                </c:pt>
                <c:pt idx="4">
                  <c:v>-0.68218284774969229</c:v>
                </c:pt>
                <c:pt idx="5">
                  <c:v>-7.4446628232449588E-2</c:v>
                </c:pt>
              </c:numCache>
            </c:numRef>
          </c:val>
          <c:smooth val="0"/>
          <c:extLst xmlns:c16r2="http://schemas.microsoft.com/office/drawing/2015/06/char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1">
                  <c:v>0.37573968739991825</c:v>
                </c:pt>
                <c:pt idx="2">
                  <c:v>0.63275580551349753</c:v>
                </c:pt>
                <c:pt idx="3">
                  <c:v>0.43857796465424947</c:v>
                </c:pt>
                <c:pt idx="4">
                  <c:v>0.39386862023008817</c:v>
                </c:pt>
                <c:pt idx="5">
                  <c:v>0.25890551377803306</c:v>
                </c:pt>
              </c:numCache>
            </c:numRef>
          </c:val>
          <c:smooth val="0"/>
          <c:extLst xmlns:c16r2="http://schemas.microsoft.com/office/drawing/2015/06/char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1">
                  <c:v>1.1675245367439231</c:v>
                </c:pt>
                <c:pt idx="2">
                  <c:v>0.58280513906530107</c:v>
                </c:pt>
                <c:pt idx="3">
                  <c:v>-0.1577577311487372</c:v>
                </c:pt>
                <c:pt idx="4">
                  <c:v>-0.20319016869981704</c:v>
                </c:pt>
                <c:pt idx="5">
                  <c:v>4.9226451762483692E-2</c:v>
                </c:pt>
              </c:numCache>
            </c:numRef>
          </c:val>
          <c:smooth val="0"/>
          <c:extLst xmlns:c16r2="http://schemas.microsoft.com/office/drawing/2015/06/char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1">
                  <c:v>0.21125470654223097</c:v>
                </c:pt>
                <c:pt idx="2">
                  <c:v>-3.0646410714075568E-2</c:v>
                </c:pt>
                <c:pt idx="3">
                  <c:v>-5.4269371812571618E-2</c:v>
                </c:pt>
                <c:pt idx="4">
                  <c:v>-1.5355351586759306E-2</c:v>
                </c:pt>
                <c:pt idx="5">
                  <c:v>-0.10354967340329384</c:v>
                </c:pt>
              </c:numCache>
            </c:numRef>
          </c:val>
          <c:smooth val="0"/>
          <c:extLst xmlns:c16r2="http://schemas.microsoft.com/office/drawing/2015/06/char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1">
                  <c:v>0.48102480841253376</c:v>
                </c:pt>
                <c:pt idx="2">
                  <c:v>-0.20290057105797868</c:v>
                </c:pt>
                <c:pt idx="3">
                  <c:v>0.73554425020848313</c:v>
                </c:pt>
                <c:pt idx="4">
                  <c:v>0</c:v>
                </c:pt>
                <c:pt idx="5">
                  <c:v>-1</c:v>
                </c:pt>
              </c:numCache>
            </c:numRef>
          </c:val>
          <c:smooth val="0"/>
          <c:extLst xmlns:c16r2="http://schemas.microsoft.com/office/drawing/2015/06/char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1">
                  <c:v>9.1723546234509055</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3875584"/>
        <c:axId val="223138880"/>
      </c:lineChart>
      <c:catAx>
        <c:axId val="223875584"/>
        <c:scaling>
          <c:orientation val="minMax"/>
        </c:scaling>
        <c:delete val="0"/>
        <c:axPos val="b"/>
        <c:majorTickMark val="out"/>
        <c:minorTickMark val="none"/>
        <c:tickLblPos val="nextTo"/>
        <c:crossAx val="223138880"/>
        <c:crosses val="autoZero"/>
        <c:auto val="1"/>
        <c:lblAlgn val="ctr"/>
        <c:lblOffset val="100"/>
        <c:noMultiLvlLbl val="0"/>
      </c:catAx>
      <c:valAx>
        <c:axId val="223138880"/>
        <c:scaling>
          <c:orientation val="minMax"/>
        </c:scaling>
        <c:delete val="0"/>
        <c:axPos val="l"/>
        <c:majorGridlines/>
        <c:numFmt formatCode="0.00%" sourceLinked="1"/>
        <c:majorTickMark val="out"/>
        <c:minorTickMark val="none"/>
        <c:tickLblPos val="nextTo"/>
        <c:crossAx val="22387558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1">
                  <c:v>0.94429319872373008</c:v>
                </c:pt>
                <c:pt idx="2">
                  <c:v>0.61858401898618443</c:v>
                </c:pt>
                <c:pt idx="3">
                  <c:v>0.67077413571516153</c:v>
                </c:pt>
                <c:pt idx="4">
                  <c:v>0.82047676839931238</c:v>
                </c:pt>
                <c:pt idx="5">
                  <c:v>0.95287792579525032</c:v>
                </c:pt>
              </c:numCache>
            </c:numRef>
          </c:val>
          <c:smooth val="0"/>
          <c:extLst xmlns:c16r2="http://schemas.microsoft.com/office/drawing/2015/06/char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1">
                  <c:v>0</c:v>
                </c:pt>
                <c:pt idx="2">
                  <c:v>0</c:v>
                </c:pt>
                <c:pt idx="3">
                  <c:v>0</c:v>
                </c:pt>
                <c:pt idx="4">
                  <c:v>0</c:v>
                </c:pt>
                <c:pt idx="5">
                  <c:v>8.4091414359449362E-2</c:v>
                </c:pt>
              </c:numCache>
            </c:numRef>
          </c:val>
          <c:smooth val="0"/>
          <c:extLst xmlns:c16r2="http://schemas.microsoft.com/office/drawing/2015/06/char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1">
                  <c:v>0.12136513451439926</c:v>
                </c:pt>
                <c:pt idx="2">
                  <c:v>0.20390634633006294</c:v>
                </c:pt>
                <c:pt idx="3">
                  <c:v>0.22350860764468578</c:v>
                </c:pt>
                <c:pt idx="4">
                  <c:v>0.27883154702940349</c:v>
                </c:pt>
                <c:pt idx="5">
                  <c:v>0.35742366923841162</c:v>
                </c:pt>
              </c:numCache>
            </c:numRef>
          </c:val>
          <c:smooth val="0"/>
          <c:extLst xmlns:c16r2="http://schemas.microsoft.com/office/drawing/2015/06/char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1">
                  <c:v>0.28032857613281237</c:v>
                </c:pt>
                <c:pt idx="2">
                  <c:v>0.72792238876260562</c:v>
                </c:pt>
                <c:pt idx="3">
                  <c:v>1</c:v>
                </c:pt>
                <c:pt idx="4">
                  <c:v>1</c:v>
                </c:pt>
                <c:pt idx="5">
                  <c:v>0</c:v>
                </c:pt>
              </c:numCache>
            </c:numRef>
          </c:val>
          <c:smooth val="0"/>
          <c:extLst xmlns:c16r2="http://schemas.microsoft.com/office/drawing/2015/06/char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1">
                  <c:v>0.71967142386718774</c:v>
                </c:pt>
                <c:pt idx="2">
                  <c:v>0.27207761123739438</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3877120"/>
        <c:axId val="223141184"/>
      </c:lineChart>
      <c:catAx>
        <c:axId val="223877120"/>
        <c:scaling>
          <c:orientation val="minMax"/>
        </c:scaling>
        <c:delete val="0"/>
        <c:axPos val="b"/>
        <c:majorTickMark val="out"/>
        <c:minorTickMark val="none"/>
        <c:tickLblPos val="nextTo"/>
        <c:crossAx val="223141184"/>
        <c:crosses val="autoZero"/>
        <c:auto val="1"/>
        <c:lblAlgn val="ctr"/>
        <c:lblOffset val="100"/>
        <c:noMultiLvlLbl val="0"/>
      </c:catAx>
      <c:valAx>
        <c:axId val="223141184"/>
        <c:scaling>
          <c:orientation val="minMax"/>
        </c:scaling>
        <c:delete val="0"/>
        <c:axPos val="l"/>
        <c:majorGridlines/>
        <c:numFmt formatCode="0.00%" sourceLinked="1"/>
        <c:majorTickMark val="out"/>
        <c:minorTickMark val="none"/>
        <c:tickLblPos val="nextTo"/>
        <c:crossAx val="22387712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1">
                  <c:v>-11.472633652441866</c:v>
                </c:pt>
                <c:pt idx="2">
                  <c:v>3.5143930282713187</c:v>
                </c:pt>
                <c:pt idx="3">
                  <c:v>5.1729852052351877</c:v>
                </c:pt>
                <c:pt idx="4">
                  <c:v>-5.6901080278645635</c:v>
                </c:pt>
                <c:pt idx="5">
                  <c:v>-1.4160619055128059</c:v>
                </c:pt>
              </c:numCache>
            </c:numRef>
          </c:val>
          <c:smooth val="0"/>
          <c:extLst xmlns:c16r2="http://schemas.microsoft.com/office/drawing/2015/06/char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3878656"/>
        <c:axId val="223504064"/>
      </c:lineChart>
      <c:catAx>
        <c:axId val="223878656"/>
        <c:scaling>
          <c:orientation val="minMax"/>
        </c:scaling>
        <c:delete val="0"/>
        <c:axPos val="b"/>
        <c:majorTickMark val="out"/>
        <c:minorTickMark val="none"/>
        <c:tickLblPos val="nextTo"/>
        <c:crossAx val="223504064"/>
        <c:crosses val="autoZero"/>
        <c:auto val="1"/>
        <c:lblAlgn val="ctr"/>
        <c:lblOffset val="100"/>
        <c:noMultiLvlLbl val="0"/>
      </c:catAx>
      <c:valAx>
        <c:axId val="223504064"/>
        <c:scaling>
          <c:orientation val="minMax"/>
        </c:scaling>
        <c:delete val="0"/>
        <c:axPos val="l"/>
        <c:majorGridlines/>
        <c:numFmt formatCode="0.00%" sourceLinked="1"/>
        <c:majorTickMark val="out"/>
        <c:minorTickMark val="none"/>
        <c:tickLblPos val="nextTo"/>
        <c:crossAx val="223878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1">
                  <c:v>3130941727.75</c:v>
                </c:pt>
                <c:pt idx="2">
                  <c:v>1007846843.6700001</c:v>
                </c:pt>
                <c:pt idx="3">
                  <c:v>1028552394.4100001</c:v>
                </c:pt>
                <c:pt idx="4">
                  <c:v>1066353724.99</c:v>
                </c:pt>
                <c:pt idx="5">
                  <c:v>981185999.45000005</c:v>
                </c:pt>
              </c:numCache>
            </c:numRef>
          </c:val>
          <c:extLst xmlns:c16r2="http://schemas.microsoft.com/office/drawing/2015/06/char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1">
                  <c:v>0</c:v>
                </c:pt>
                <c:pt idx="2">
                  <c:v>0</c:v>
                </c:pt>
                <c:pt idx="3">
                  <c:v>0</c:v>
                </c:pt>
                <c:pt idx="4">
                  <c:v>0</c:v>
                </c:pt>
                <c:pt idx="5">
                  <c:v>86589600</c:v>
                </c:pt>
              </c:numCache>
            </c:numRef>
          </c:val>
          <c:extLst xmlns:c16r2="http://schemas.microsoft.com/office/drawing/2015/06/char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1">
                  <c:v>402403792.01999998</c:v>
                </c:pt>
                <c:pt idx="2">
                  <c:v>332220622.00999999</c:v>
                </c:pt>
                <c:pt idx="3">
                  <c:v>342723878.75999999</c:v>
                </c:pt>
                <c:pt idx="4">
                  <c:v>362390588.34000003</c:v>
                </c:pt>
                <c:pt idx="5">
                  <c:v>368042002.69</c:v>
                </c:pt>
              </c:numCache>
            </c:numRef>
          </c:val>
          <c:extLst xmlns:c16r2="http://schemas.microsoft.com/office/drawing/2015/06/char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1">
                  <c:v>3315645746.4499998</c:v>
                </c:pt>
                <c:pt idx="2">
                  <c:v>1629280441.6800001</c:v>
                </c:pt>
                <c:pt idx="3">
                  <c:v>1533381118.3900001</c:v>
                </c:pt>
                <c:pt idx="4">
                  <c:v>1299675708.1500001</c:v>
                </c:pt>
                <c:pt idx="5">
                  <c:v>1029707975.0599999</c:v>
                </c:pt>
              </c:numCache>
            </c:numRef>
          </c:val>
          <c:extLst xmlns:c16r2="http://schemas.microsoft.com/office/drawing/2015/06/char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4502272"/>
        <c:axId val="223505792"/>
      </c:barChart>
      <c:catAx>
        <c:axId val="224502272"/>
        <c:scaling>
          <c:orientation val="minMax"/>
        </c:scaling>
        <c:delete val="0"/>
        <c:axPos val="b"/>
        <c:majorTickMark val="out"/>
        <c:minorTickMark val="none"/>
        <c:tickLblPos val="nextTo"/>
        <c:crossAx val="223505792"/>
        <c:crosses val="autoZero"/>
        <c:auto val="1"/>
        <c:lblAlgn val="ctr"/>
        <c:lblOffset val="100"/>
        <c:noMultiLvlLbl val="0"/>
      </c:catAx>
      <c:valAx>
        <c:axId val="223505792"/>
        <c:scaling>
          <c:orientation val="minMax"/>
        </c:scaling>
        <c:delete val="0"/>
        <c:axPos val="l"/>
        <c:majorGridlines/>
        <c:numFmt formatCode="#,##0.00_ " sourceLinked="1"/>
        <c:majorTickMark val="out"/>
        <c:minorTickMark val="none"/>
        <c:tickLblPos val="nextTo"/>
        <c:crossAx val="224502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1">
                  <c:v>415652208.90999997</c:v>
                </c:pt>
                <c:pt idx="2">
                  <c:v>280651753.13</c:v>
                </c:pt>
                <c:pt idx="3">
                  <c:v>352091273.61000001</c:v>
                </c:pt>
                <c:pt idx="4">
                  <c:v>202870813.33000001</c:v>
                </c:pt>
                <c:pt idx="5">
                  <c:v>0</c:v>
                </c:pt>
              </c:numCache>
            </c:numRef>
          </c:val>
          <c:extLst xmlns:c16r2="http://schemas.microsoft.com/office/drawing/2015/06/char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1">
                  <c:v>1067080000</c:v>
                </c:pt>
                <c:pt idx="2">
                  <c:v>104900000</c:v>
                </c:pt>
                <c:pt idx="3">
                  <c:v>0</c:v>
                </c:pt>
                <c:pt idx="4">
                  <c:v>0</c:v>
                </c:pt>
                <c:pt idx="5">
                  <c:v>0</c:v>
                </c:pt>
              </c:numCache>
            </c:numRef>
          </c:val>
          <c:extLst xmlns:c16r2="http://schemas.microsoft.com/office/drawing/2015/06/char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4503808"/>
        <c:axId val="223508096"/>
      </c:barChart>
      <c:catAx>
        <c:axId val="224503808"/>
        <c:scaling>
          <c:orientation val="minMax"/>
        </c:scaling>
        <c:delete val="0"/>
        <c:axPos val="b"/>
        <c:majorTickMark val="out"/>
        <c:minorTickMark val="none"/>
        <c:tickLblPos val="nextTo"/>
        <c:crossAx val="223508096"/>
        <c:crosses val="autoZero"/>
        <c:auto val="1"/>
        <c:lblAlgn val="ctr"/>
        <c:lblOffset val="100"/>
        <c:noMultiLvlLbl val="0"/>
      </c:catAx>
      <c:valAx>
        <c:axId val="223508096"/>
        <c:scaling>
          <c:orientation val="minMax"/>
        </c:scaling>
        <c:delete val="0"/>
        <c:axPos val="l"/>
        <c:majorGridlines/>
        <c:numFmt formatCode="#,##0.00_ " sourceLinked="1"/>
        <c:majorTickMark val="out"/>
        <c:minorTickMark val="none"/>
        <c:tickLblPos val="nextTo"/>
        <c:crossAx val="224503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1">
                  <c:v>2715289518.8400002</c:v>
                </c:pt>
                <c:pt idx="2">
                  <c:v>727195090.5400002</c:v>
                </c:pt>
                <c:pt idx="3">
                  <c:v>676461120.80000019</c:v>
                </c:pt>
                <c:pt idx="4">
                  <c:v>863482911.66000021</c:v>
                </c:pt>
                <c:pt idx="5">
                  <c:v>981185999.44999981</c:v>
                </c:pt>
              </c:numCache>
            </c:numRef>
          </c:val>
          <c:extLst xmlns:c16r2="http://schemas.microsoft.com/office/drawing/2015/06/char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1">
                  <c:v>-2715289518.8400002</c:v>
                </c:pt>
                <c:pt idx="2">
                  <c:v>-727195090.54000008</c:v>
                </c:pt>
                <c:pt idx="3">
                  <c:v>-676461120.80000007</c:v>
                </c:pt>
                <c:pt idx="4">
                  <c:v>-863482911.65999997</c:v>
                </c:pt>
                <c:pt idx="5">
                  <c:v>-981185999.45000005</c:v>
                </c:pt>
              </c:numCache>
            </c:numRef>
          </c:val>
          <c:extLst xmlns:c16r2="http://schemas.microsoft.com/office/drawing/2015/06/char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4382976"/>
        <c:axId val="223509824"/>
      </c:barChart>
      <c:catAx>
        <c:axId val="224382976"/>
        <c:scaling>
          <c:orientation val="minMax"/>
        </c:scaling>
        <c:delete val="0"/>
        <c:axPos val="b"/>
        <c:majorTickMark val="out"/>
        <c:minorTickMark val="none"/>
        <c:tickLblPos val="nextTo"/>
        <c:crossAx val="223509824"/>
        <c:crosses val="autoZero"/>
        <c:auto val="1"/>
        <c:lblAlgn val="ctr"/>
        <c:lblOffset val="100"/>
        <c:noMultiLvlLbl val="0"/>
      </c:catAx>
      <c:valAx>
        <c:axId val="223509824"/>
        <c:scaling>
          <c:orientation val="minMax"/>
        </c:scaling>
        <c:delete val="0"/>
        <c:axPos val="l"/>
        <c:majorGridlines/>
        <c:numFmt formatCode="#,##0.00_ " sourceLinked="1"/>
        <c:majorTickMark val="out"/>
        <c:minorTickMark val="none"/>
        <c:tickLblPos val="nextTo"/>
        <c:crossAx val="224382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1">
                  <c:v>0.6587451595143754</c:v>
                </c:pt>
                <c:pt idx="2">
                  <c:v>0.75252135396925923</c:v>
                </c:pt>
                <c:pt idx="3">
                  <c:v>0.75327386810315533</c:v>
                </c:pt>
                <c:pt idx="4">
                  <c:v>0.76497860813271068</c:v>
                </c:pt>
                <c:pt idx="5">
                  <c:v>0.7840542558710154</c:v>
                </c:pt>
              </c:numCache>
            </c:numRef>
          </c:val>
          <c:smooth val="0"/>
          <c:extLst xmlns:c16r2="http://schemas.microsoft.com/office/drawing/2015/06/char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1">
                  <c:v>0.3412548404856246</c:v>
                </c:pt>
                <c:pt idx="2">
                  <c:v>0.24747864603074077</c:v>
                </c:pt>
                <c:pt idx="3">
                  <c:v>0.24672613189684461</c:v>
                </c:pt>
                <c:pt idx="4">
                  <c:v>0.23502139186728929</c:v>
                </c:pt>
                <c:pt idx="5">
                  <c:v>0.21594574412898457</c:v>
                </c:pt>
              </c:numCache>
            </c:numRef>
          </c:val>
          <c:smooth val="0"/>
          <c:extLst xmlns:c16r2="http://schemas.microsoft.com/office/drawing/2015/06/char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1">
                  <c:v>3.1053572707955567E-2</c:v>
                </c:pt>
                <c:pt idx="2">
                  <c:v>2.2672841048397414E-2</c:v>
                </c:pt>
                <c:pt idx="3">
                  <c:v>2.1139514463541398E-2</c:v>
                </c:pt>
                <c:pt idx="4">
                  <c:v>1.9780563653650746E-2</c:v>
                </c:pt>
                <c:pt idx="5">
                  <c:v>2.0154271935926171E-2</c:v>
                </c:pt>
              </c:numCache>
            </c:numRef>
          </c:val>
          <c:smooth val="0"/>
          <c:extLst xmlns:c16r2="http://schemas.microsoft.com/office/drawing/2015/06/char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1">
                  <c:v>4.8461141557357354E-2</c:v>
                </c:pt>
                <c:pt idx="2">
                  <c:v>6.0670964309924774E-2</c:v>
                </c:pt>
                <c:pt idx="3">
                  <c:v>6.2127613088976047E-2</c:v>
                </c:pt>
                <c:pt idx="4">
                  <c:v>5.3330084988628623E-2</c:v>
                </c:pt>
                <c:pt idx="5">
                  <c:v>4.469037884088118E-2</c:v>
                </c:pt>
              </c:numCache>
            </c:numRef>
          </c:val>
          <c:smooth val="0"/>
          <c:extLst xmlns:c16r2="http://schemas.microsoft.com/office/drawing/2015/06/char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1">
                  <c:v>6.1758178716566949E-2</c:v>
                </c:pt>
                <c:pt idx="2">
                  <c:v>6.278598876923891E-2</c:v>
                </c:pt>
                <c:pt idx="3">
                  <c:v>5.4832883387834944E-2</c:v>
                </c:pt>
                <c:pt idx="4">
                  <c:v>5.2470321945776409E-2</c:v>
                </c:pt>
                <c:pt idx="5">
                  <c:v>5.8088766715176175E-2</c:v>
                </c:pt>
              </c:numCache>
            </c:numRef>
          </c:val>
          <c:smooth val="0"/>
          <c:extLst xmlns:c16r2="http://schemas.microsoft.com/office/drawing/2015/06/char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1">
                  <c:v>5.5069612733405296E-4</c:v>
                </c:pt>
                <c:pt idx="2">
                  <c:v>1.7445397006069106E-3</c:v>
                </c:pt>
                <c:pt idx="3">
                  <c:v>1.4754433690012656E-3</c:v>
                </c:pt>
                <c:pt idx="4">
                  <c:v>6.5100297663092752E-4</c:v>
                </c:pt>
                <c:pt idx="5">
                  <c:v>-1.2830272642543867E-6</c:v>
                </c:pt>
              </c:numCache>
            </c:numRef>
          </c:val>
          <c:smooth val="0"/>
          <c:extLst xmlns:c16r2="http://schemas.microsoft.com/office/drawing/2015/06/char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1">
                  <c:v>8.8117100666295701E-7</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1">
                  <c:v>-3.3179645945832334E-3</c:v>
                </c:pt>
                <c:pt idx="2">
                  <c:v>-6.1460212472034246E-4</c:v>
                </c:pt>
                <c:pt idx="3">
                  <c:v>-1.101240719401051E-3</c:v>
                </c:pt>
                <c:pt idx="4">
                  <c:v>-8.4460829842504417E-4</c:v>
                </c:pt>
                <c:pt idx="5">
                  <c:v>-3.3927764098739643E-4</c:v>
                </c:pt>
              </c:numCache>
            </c:numRef>
          </c:val>
          <c:smooth val="0"/>
          <c:extLst xmlns:c16r2="http://schemas.microsoft.com/office/drawing/2015/06/char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1">
                  <c:v>0.13850650568563735</c:v>
                </c:pt>
                <c:pt idx="2">
                  <c:v>0.14725973170344769</c:v>
                </c:pt>
                <c:pt idx="3">
                  <c:v>0.13847421358995263</c:v>
                </c:pt>
                <c:pt idx="4">
                  <c:v>0.12538736526626168</c:v>
                </c:pt>
                <c:pt idx="5">
                  <c:v>0.12259285682373187</c:v>
                </c:pt>
              </c:numCache>
            </c:numRef>
          </c:val>
          <c:smooth val="0"/>
          <c:extLst xmlns:c16r2="http://schemas.microsoft.com/office/drawing/2015/06/char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1">
                  <c:v>0.1422016920720775</c:v>
                </c:pt>
                <c:pt idx="2">
                  <c:v>7.1583204170072079E-2</c:v>
                </c:pt>
                <c:pt idx="3">
                  <c:v>7.9263450733748603E-2</c:v>
                </c:pt>
                <c:pt idx="4">
                  <c:v>8.083686524971033E-2</c:v>
                </c:pt>
                <c:pt idx="5">
                  <c:v>7.3460580347958659E-2</c:v>
                </c:pt>
              </c:numCache>
            </c:numRef>
          </c:val>
          <c:smooth val="0"/>
          <c:extLst xmlns:c16r2="http://schemas.microsoft.com/office/drawing/2015/06/char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4385536"/>
        <c:axId val="224527488"/>
      </c:lineChart>
      <c:catAx>
        <c:axId val="224385536"/>
        <c:scaling>
          <c:orientation val="minMax"/>
        </c:scaling>
        <c:delete val="0"/>
        <c:axPos val="b"/>
        <c:majorTickMark val="out"/>
        <c:minorTickMark val="none"/>
        <c:tickLblPos val="nextTo"/>
        <c:crossAx val="224527488"/>
        <c:crosses val="autoZero"/>
        <c:auto val="1"/>
        <c:lblAlgn val="ctr"/>
        <c:lblOffset val="100"/>
        <c:noMultiLvlLbl val="0"/>
      </c:catAx>
      <c:valAx>
        <c:axId val="224527488"/>
        <c:scaling>
          <c:orientation val="minMax"/>
        </c:scaling>
        <c:delete val="0"/>
        <c:axPos val="l"/>
        <c:majorGridlines/>
        <c:numFmt formatCode="0.00%" sourceLinked="1"/>
        <c:majorTickMark val="out"/>
        <c:minorTickMark val="none"/>
        <c:tickLblPos val="nextTo"/>
        <c:crossAx val="224385536"/>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1">
                  <c:v>0.10430678564889183</c:v>
                </c:pt>
                <c:pt idx="2">
                  <c:v>6.0824805316671997E-2</c:v>
                </c:pt>
                <c:pt idx="3">
                  <c:v>7.5388217106610284E-2</c:v>
                </c:pt>
                <c:pt idx="4">
                  <c:v>8.5538593109938083E-2</c:v>
                </c:pt>
                <c:pt idx="5">
                  <c:v>7.7313924069427262E-2</c:v>
                </c:pt>
                <c:pt idx="6">
                  <c:v>4.5218006181897696E-2</c:v>
                </c:pt>
              </c:numCache>
            </c:numRef>
          </c:val>
          <c:smooth val="0"/>
          <c:extLst xmlns:c16r2="http://schemas.microsoft.com/office/drawing/2015/06/char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3625216"/>
        <c:axId val="224529792"/>
      </c:lineChart>
      <c:catAx>
        <c:axId val="223625216"/>
        <c:scaling>
          <c:orientation val="minMax"/>
        </c:scaling>
        <c:delete val="0"/>
        <c:axPos val="b"/>
        <c:majorTickMark val="out"/>
        <c:minorTickMark val="none"/>
        <c:tickLblPos val="nextTo"/>
        <c:crossAx val="224529792"/>
        <c:crosses val="autoZero"/>
        <c:auto val="1"/>
        <c:lblAlgn val="ctr"/>
        <c:lblOffset val="100"/>
        <c:noMultiLvlLbl val="0"/>
      </c:catAx>
      <c:valAx>
        <c:axId val="224529792"/>
        <c:scaling>
          <c:orientation val="minMax"/>
        </c:scaling>
        <c:delete val="0"/>
        <c:axPos val="l"/>
        <c:majorGridlines/>
        <c:numFmt formatCode="0.00%" sourceLinked="1"/>
        <c:majorTickMark val="out"/>
        <c:minorTickMark val="none"/>
        <c:tickLblPos val="nextTo"/>
        <c:crossAx val="2236252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1">
                  <c:v>0.99988160120176905</c:v>
                </c:pt>
                <c:pt idx="2">
                  <c:v>1</c:v>
                </c:pt>
                <c:pt idx="3">
                  <c:v>0.99202223083361274</c:v>
                </c:pt>
                <c:pt idx="4">
                  <c:v>0.96448235668761551</c:v>
                </c:pt>
                <c:pt idx="5">
                  <c:v>0.99529949569855181</c:v>
                </c:pt>
              </c:numCache>
            </c:numRef>
          </c:val>
          <c:smooth val="0"/>
          <c:extLst xmlns:c16r2="http://schemas.microsoft.com/office/drawing/2015/06/char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1">
                  <c:v>0</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1">
                  <c:v>1.1839879823098851E-4</c:v>
                </c:pt>
                <c:pt idx="2">
                  <c:v>0</c:v>
                </c:pt>
                <c:pt idx="3">
                  <c:v>7.977769166387266E-3</c:v>
                </c:pt>
                <c:pt idx="4">
                  <c:v>3.5517643312384578E-2</c:v>
                </c:pt>
                <c:pt idx="5">
                  <c:v>4.7005043014481827E-3</c:v>
                </c:pt>
              </c:numCache>
            </c:numRef>
          </c:val>
          <c:smooth val="0"/>
          <c:extLst xmlns:c16r2="http://schemas.microsoft.com/office/drawing/2015/06/char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23626752"/>
        <c:axId val="224531520"/>
      </c:lineChart>
      <c:catAx>
        <c:axId val="223626752"/>
        <c:scaling>
          <c:orientation val="minMax"/>
        </c:scaling>
        <c:delete val="0"/>
        <c:axPos val="b"/>
        <c:majorTickMark val="out"/>
        <c:minorTickMark val="none"/>
        <c:tickLblPos val="nextTo"/>
        <c:crossAx val="224531520"/>
        <c:crosses val="autoZero"/>
        <c:auto val="1"/>
        <c:lblAlgn val="ctr"/>
        <c:lblOffset val="100"/>
        <c:noMultiLvlLbl val="0"/>
      </c:catAx>
      <c:valAx>
        <c:axId val="224531520"/>
        <c:scaling>
          <c:orientation val="minMax"/>
        </c:scaling>
        <c:delete val="0"/>
        <c:axPos val="l"/>
        <c:majorGridlines/>
        <c:numFmt formatCode="0.00%" sourceLinked="1"/>
        <c:majorTickMark val="out"/>
        <c:minorTickMark val="none"/>
        <c:tickLblPos val="nextTo"/>
        <c:crossAx val="223626752"/>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1">
                  <c:v>0.26657387594262838</c:v>
                </c:pt>
                <c:pt idx="2">
                  <c:v>0.1502922225699701</c:v>
                </c:pt>
                <c:pt idx="3">
                  <c:v>5.6478280716263152E-2</c:v>
                </c:pt>
                <c:pt idx="4">
                  <c:v>-2.0579702287648161E-2</c:v>
                </c:pt>
                <c:pt idx="5">
                  <c:v>-4.7507510453739465E-2</c:v>
                </c:pt>
              </c:numCache>
            </c:numRef>
          </c:val>
          <c:smooth val="0"/>
          <c:extLst xmlns:c16r2="http://schemas.microsoft.com/office/drawing/2015/06/char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23627776"/>
        <c:axId val="224533824"/>
      </c:lineChart>
      <c:catAx>
        <c:axId val="223627776"/>
        <c:scaling>
          <c:orientation val="minMax"/>
        </c:scaling>
        <c:delete val="0"/>
        <c:axPos val="b"/>
        <c:majorTickMark val="out"/>
        <c:minorTickMark val="none"/>
        <c:tickLblPos val="nextTo"/>
        <c:crossAx val="224533824"/>
        <c:crosses val="autoZero"/>
        <c:auto val="1"/>
        <c:lblAlgn val="ctr"/>
        <c:lblOffset val="100"/>
        <c:noMultiLvlLbl val="0"/>
      </c:catAx>
      <c:valAx>
        <c:axId val="224533824"/>
        <c:scaling>
          <c:orientation val="minMax"/>
        </c:scaling>
        <c:delete val="0"/>
        <c:axPos val="l"/>
        <c:majorGridlines/>
        <c:numFmt formatCode="0.00%" sourceLinked="1"/>
        <c:majorTickMark val="out"/>
        <c:minorTickMark val="none"/>
        <c:tickLblPos val="nextTo"/>
        <c:crossAx val="2236277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1">
                  <c:v>1366363612.6199999</c:v>
                </c:pt>
                <c:pt idx="2">
                  <c:v>1026535858.9299999</c:v>
                </c:pt>
                <c:pt idx="3">
                  <c:v>1120665180.8800001</c:v>
                </c:pt>
                <c:pt idx="4">
                  <c:v>1214852555.8099999</c:v>
                </c:pt>
                <c:pt idx="5">
                  <c:v>1428005507.79</c:v>
                </c:pt>
              </c:numCache>
            </c:numRef>
          </c:val>
          <c:extLst xmlns:c16r2="http://schemas.microsoft.com/office/drawing/2015/06/char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1">
                  <c:v>900085415.95000005</c:v>
                </c:pt>
                <c:pt idx="2">
                  <c:v>772490154.46000004</c:v>
                </c:pt>
                <c:pt idx="3">
                  <c:v>844167795.64999998</c:v>
                </c:pt>
                <c:pt idx="4">
                  <c:v>929336217.23000002</c:v>
                </c:pt>
                <c:pt idx="5">
                  <c:v>1119633795.79</c:v>
                </c:pt>
              </c:numCache>
            </c:numRef>
          </c:val>
          <c:extLst xmlns:c16r2="http://schemas.microsoft.com/office/drawing/2015/06/char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1">
                  <c:v>466278196.66999984</c:v>
                </c:pt>
                <c:pt idx="2">
                  <c:v>254045704.46999991</c:v>
                </c:pt>
                <c:pt idx="3">
                  <c:v>276497385.23000014</c:v>
                </c:pt>
                <c:pt idx="4">
                  <c:v>285516338.57999992</c:v>
                </c:pt>
                <c:pt idx="5">
                  <c:v>308371712</c:v>
                </c:pt>
              </c:numCache>
            </c:numRef>
          </c:val>
          <c:extLst xmlns:c16r2="http://schemas.microsoft.com/office/drawing/2015/06/char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23628800"/>
        <c:axId val="225076352"/>
      </c:barChart>
      <c:catAx>
        <c:axId val="223628800"/>
        <c:scaling>
          <c:orientation val="minMax"/>
        </c:scaling>
        <c:delete val="0"/>
        <c:axPos val="b"/>
        <c:majorTickMark val="out"/>
        <c:minorTickMark val="none"/>
        <c:tickLblPos val="nextTo"/>
        <c:crossAx val="225076352"/>
        <c:crosses val="autoZero"/>
        <c:auto val="1"/>
        <c:lblAlgn val="ctr"/>
        <c:lblOffset val="100"/>
        <c:noMultiLvlLbl val="0"/>
      </c:catAx>
      <c:valAx>
        <c:axId val="225076352"/>
        <c:scaling>
          <c:orientation val="minMax"/>
        </c:scaling>
        <c:delete val="0"/>
        <c:axPos val="l"/>
        <c:majorGridlines/>
        <c:numFmt formatCode="#,##0.00_ " sourceLinked="1"/>
        <c:majorTickMark val="out"/>
        <c:minorTickMark val="none"/>
        <c:tickLblPos val="nextTo"/>
        <c:crossAx val="2236288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1">
                  <c:v>0</c:v>
                </c:pt>
                <c:pt idx="2">
                  <c:v>0</c:v>
                </c:pt>
                <c:pt idx="3">
                  <c:v>0</c:v>
                </c:pt>
                <c:pt idx="4">
                  <c:v>0</c:v>
                </c:pt>
                <c:pt idx="5">
                  <c:v>0</c:v>
                </c:pt>
              </c:numCache>
            </c:numRef>
          </c:val>
          <c:smooth val="0"/>
          <c:extLst xmlns:c16r2="http://schemas.microsoft.com/office/drawing/2015/06/char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5142784"/>
        <c:axId val="225078656"/>
      </c:lineChart>
      <c:catAx>
        <c:axId val="225142784"/>
        <c:scaling>
          <c:orientation val="minMax"/>
        </c:scaling>
        <c:delete val="0"/>
        <c:axPos val="b"/>
        <c:majorTickMark val="out"/>
        <c:minorTickMark val="none"/>
        <c:tickLblPos val="nextTo"/>
        <c:crossAx val="225078656"/>
        <c:crosses val="autoZero"/>
        <c:auto val="1"/>
        <c:lblAlgn val="ctr"/>
        <c:lblOffset val="100"/>
        <c:noMultiLvlLbl val="0"/>
      </c:catAx>
      <c:valAx>
        <c:axId val="225078656"/>
        <c:scaling>
          <c:orientation val="minMax"/>
        </c:scaling>
        <c:delete val="0"/>
        <c:axPos val="l"/>
        <c:majorGridlines/>
        <c:numFmt formatCode="0.00%" sourceLinked="1"/>
        <c:majorTickMark val="out"/>
        <c:minorTickMark val="none"/>
        <c:tickLblPos val="nextTo"/>
        <c:crossAx val="22514278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1">
                  <c:v>7.3484337736116986E-6</c:v>
                </c:pt>
                <c:pt idx="2">
                  <c:v>0</c:v>
                </c:pt>
                <c:pt idx="3">
                  <c:v>6.9451638468995844E-4</c:v>
                </c:pt>
                <c:pt idx="4">
                  <c:v>3.3914201729566074E-3</c:v>
                </c:pt>
                <c:pt idx="5">
                  <c:v>5.049211530508054E-4</c:v>
                </c:pt>
              </c:numCache>
            </c:numRef>
          </c:val>
          <c:smooth val="0"/>
          <c:extLst xmlns:c16r2="http://schemas.microsoft.com/office/drawing/2015/06/char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4808960"/>
        <c:axId val="225080384"/>
      </c:lineChart>
      <c:catAx>
        <c:axId val="224808960"/>
        <c:scaling>
          <c:orientation val="minMax"/>
        </c:scaling>
        <c:delete val="0"/>
        <c:axPos val="b"/>
        <c:majorTickMark val="out"/>
        <c:minorTickMark val="none"/>
        <c:tickLblPos val="nextTo"/>
        <c:crossAx val="225080384"/>
        <c:crosses val="autoZero"/>
        <c:auto val="1"/>
        <c:lblAlgn val="ctr"/>
        <c:lblOffset val="100"/>
        <c:noMultiLvlLbl val="0"/>
      </c:catAx>
      <c:valAx>
        <c:axId val="225080384"/>
        <c:scaling>
          <c:orientation val="minMax"/>
        </c:scaling>
        <c:delete val="0"/>
        <c:axPos val="l"/>
        <c:majorGridlines/>
        <c:numFmt formatCode="0.00%" sourceLinked="1"/>
        <c:majorTickMark val="out"/>
        <c:minorTickMark val="none"/>
        <c:tickLblPos val="nextTo"/>
        <c:crossAx val="22480896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1">
                  <c:v>-6.2763667218502865</c:v>
                </c:pt>
                <c:pt idx="2">
                  <c:v>3.5494114860531014</c:v>
                </c:pt>
                <c:pt idx="3">
                  <c:v>6.9132121211990505</c:v>
                </c:pt>
                <c:pt idx="4">
                  <c:v>-9.4124559114569895</c:v>
                </c:pt>
                <c:pt idx="5">
                  <c:v>-3.5163054814967372</c:v>
                </c:pt>
              </c:numCache>
            </c:numRef>
          </c:val>
          <c:smooth val="0"/>
          <c:extLst xmlns:c16r2="http://schemas.microsoft.com/office/drawing/2015/06/char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1">
                  <c:v>3.3955038190894826</c:v>
                </c:pt>
                <c:pt idx="2">
                  <c:v>3.0899221508865296</c:v>
                </c:pt>
                <c:pt idx="3">
                  <c:v>3.2698777363708902</c:v>
                </c:pt>
                <c:pt idx="4">
                  <c:v>3.3523292130043068</c:v>
                </c:pt>
                <c:pt idx="5">
                  <c:v>3.8800068941935471</c:v>
                </c:pt>
              </c:numCache>
            </c:numRef>
          </c:val>
          <c:smooth val="0"/>
          <c:extLst xmlns:c16r2="http://schemas.microsoft.com/office/drawing/2015/06/char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1">
                  <c:v>0.43640659310574736</c:v>
                </c:pt>
                <c:pt idx="2">
                  <c:v>1.0185435072574571</c:v>
                </c:pt>
                <c:pt idx="3">
                  <c:v>1.0895557552251267</c:v>
                </c:pt>
                <c:pt idx="4">
                  <c:v>1.1392585099483687</c:v>
                </c:pt>
                <c:pt idx="5">
                  <c:v>1.4553871626689159</c:v>
                </c:pt>
              </c:numCache>
            </c:numRef>
          </c:val>
          <c:smooth val="0"/>
          <c:extLst xmlns:c16r2="http://schemas.microsoft.com/office/drawing/2015/06/char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1">
                  <c:v>0</c:v>
                </c:pt>
                <c:pt idx="2">
                  <c:v>0</c:v>
                </c:pt>
                <c:pt idx="3">
                  <c:v>0</c:v>
                </c:pt>
                <c:pt idx="4">
                  <c:v>0</c:v>
                </c:pt>
                <c:pt idx="5">
                  <c:v>16.491651512306326</c:v>
                </c:pt>
              </c:numCache>
            </c:numRef>
          </c:val>
          <c:smooth val="0"/>
          <c:extLst xmlns:c16r2="http://schemas.microsoft.com/office/drawing/2015/06/char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4809984"/>
        <c:axId val="225082112"/>
      </c:lineChart>
      <c:catAx>
        <c:axId val="224809984"/>
        <c:scaling>
          <c:orientation val="minMax"/>
        </c:scaling>
        <c:delete val="0"/>
        <c:axPos val="b"/>
        <c:majorTickMark val="out"/>
        <c:minorTickMark val="none"/>
        <c:tickLblPos val="nextTo"/>
        <c:crossAx val="225082112"/>
        <c:crosses val="autoZero"/>
        <c:auto val="1"/>
        <c:lblAlgn val="ctr"/>
        <c:lblOffset val="100"/>
        <c:noMultiLvlLbl val="0"/>
      </c:catAx>
      <c:valAx>
        <c:axId val="225082112"/>
        <c:scaling>
          <c:orientation val="minMax"/>
        </c:scaling>
        <c:delete val="0"/>
        <c:axPos val="l"/>
        <c:majorGridlines/>
        <c:numFmt formatCode="#,##0.00_ " sourceLinked="1"/>
        <c:majorTickMark val="out"/>
        <c:minorTickMark val="none"/>
        <c:tickLblPos val="nextTo"/>
        <c:crossAx val="22480998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1">
                  <c:v>0.48063635290478718</c:v>
                </c:pt>
                <c:pt idx="2">
                  <c:v>1.4323202175104812</c:v>
                </c:pt>
                <c:pt idx="3">
                  <c:v>1.5010025447676258</c:v>
                </c:pt>
                <c:pt idx="4">
                  <c:v>1.5686947337452046</c:v>
                </c:pt>
                <c:pt idx="5">
                  <c:v>1.611319489073112</c:v>
                </c:pt>
              </c:numCache>
            </c:numRef>
          </c:val>
          <c:smooth val="0"/>
          <c:extLst xmlns:c16r2="http://schemas.microsoft.com/office/drawing/2015/06/char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1">
                  <c:v>3.8593905414889398</c:v>
                </c:pt>
                <c:pt idx="2">
                  <c:v>3.1392186636887747</c:v>
                </c:pt>
                <c:pt idx="3">
                  <c:v>3.4101304348549455</c:v>
                </c:pt>
                <c:pt idx="4">
                  <c:v>3.6100360625405119</c:v>
                </c:pt>
                <c:pt idx="5">
                  <c:v>4.043557888846939</c:v>
                </c:pt>
              </c:numCache>
            </c:numRef>
          </c:val>
          <c:smooth val="0"/>
          <c:extLst xmlns:c16r2="http://schemas.microsoft.com/office/drawing/2015/06/char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1">
                  <c:v>322.21567734539883</c:v>
                </c:pt>
                <c:pt idx="2">
                  <c:v>0</c:v>
                </c:pt>
                <c:pt idx="3">
                  <c:v>127.54549395089786</c:v>
                </c:pt>
                <c:pt idx="4">
                  <c:v>156.69871045171686</c:v>
                </c:pt>
                <c:pt idx="5">
                  <c:v>465.90718035562804</c:v>
                </c:pt>
              </c:numCache>
            </c:numRef>
          </c:val>
          <c:smooth val="0"/>
          <c:extLst xmlns:c16r2="http://schemas.microsoft.com/office/drawing/2015/06/char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1">
                  <c:v>1843.2788062984127</c:v>
                </c:pt>
                <c:pt idx="2">
                  <c:v>1169.32294822117</c:v>
                </c:pt>
                <c:pt idx="3">
                  <c:v>1360.9440765154379</c:v>
                </c:pt>
                <c:pt idx="4">
                  <c:v>1128.7118729879837</c:v>
                </c:pt>
                <c:pt idx="5">
                  <c:v>1243.6906742371254</c:v>
                </c:pt>
              </c:numCache>
            </c:numRef>
          </c:val>
          <c:smooth val="0"/>
          <c:extLst xmlns:c16r2="http://schemas.microsoft.com/office/drawing/2015/06/char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4811008"/>
        <c:axId val="225240192"/>
      </c:lineChart>
      <c:catAx>
        <c:axId val="224811008"/>
        <c:scaling>
          <c:orientation val="minMax"/>
        </c:scaling>
        <c:delete val="0"/>
        <c:axPos val="b"/>
        <c:majorTickMark val="out"/>
        <c:minorTickMark val="none"/>
        <c:tickLblPos val="nextTo"/>
        <c:crossAx val="225240192"/>
        <c:crosses val="autoZero"/>
        <c:auto val="1"/>
        <c:lblAlgn val="ctr"/>
        <c:lblOffset val="100"/>
        <c:noMultiLvlLbl val="0"/>
      </c:catAx>
      <c:valAx>
        <c:axId val="225240192"/>
        <c:scaling>
          <c:orientation val="minMax"/>
        </c:scaling>
        <c:delete val="0"/>
        <c:axPos val="l"/>
        <c:majorGridlines/>
        <c:numFmt formatCode="#,##0.00_ " sourceLinked="1"/>
        <c:majorTickMark val="out"/>
        <c:minorTickMark val="none"/>
        <c:tickLblPos val="nextTo"/>
        <c:crossAx val="224811008"/>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1">
                  <c:v>-2.2512422942001122</c:v>
                </c:pt>
                <c:pt idx="2">
                  <c:v>-2.9212676287723753</c:v>
                </c:pt>
                <c:pt idx="3">
                  <c:v>-3.7086771089035921</c:v>
                </c:pt>
                <c:pt idx="4">
                  <c:v>-2.9637751082959292</c:v>
                </c:pt>
                <c:pt idx="5">
                  <c:v>-2.8878117582714409</c:v>
                </c:pt>
              </c:numCache>
            </c:numRef>
          </c:val>
          <c:smooth val="0"/>
          <c:extLst xmlns:c16r2="http://schemas.microsoft.com/office/drawing/2015/06/char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1">
                  <c:v>0.73807946670555857</c:v>
                </c:pt>
                <c:pt idx="2">
                  <c:v>0.94076608600412959</c:v>
                </c:pt>
                <c:pt idx="3">
                  <c:v>1.6338272514957148</c:v>
                </c:pt>
                <c:pt idx="4">
                  <c:v>2.6877284169710167</c:v>
                </c:pt>
                <c:pt idx="5">
                  <c:v>4.4811098537601968</c:v>
                </c:pt>
              </c:numCache>
            </c:numRef>
          </c:val>
          <c:smooth val="0"/>
          <c:extLst xmlns:c16r2="http://schemas.microsoft.com/office/drawing/2015/06/char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1">
                  <c:v>4.5045637657029989</c:v>
                </c:pt>
                <c:pt idx="2">
                  <c:v>5.2772933715229788</c:v>
                </c:pt>
                <c:pt idx="3">
                  <c:v>8.9437789043396414</c:v>
                </c:pt>
                <c:pt idx="4">
                  <c:v>10.037949688911116</c:v>
                </c:pt>
                <c:pt idx="5">
                  <c:v>11.606337200796375</c:v>
                </c:pt>
              </c:numCache>
            </c:numRef>
          </c:val>
          <c:smooth val="0"/>
          <c:extLst xmlns:c16r2="http://schemas.microsoft.com/office/drawing/2015/06/char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4812544"/>
        <c:axId val="225242496"/>
      </c:lineChart>
      <c:catAx>
        <c:axId val="224812544"/>
        <c:scaling>
          <c:orientation val="minMax"/>
        </c:scaling>
        <c:delete val="0"/>
        <c:axPos val="b"/>
        <c:majorTickMark val="out"/>
        <c:minorTickMark val="none"/>
        <c:tickLblPos val="nextTo"/>
        <c:crossAx val="225242496"/>
        <c:crosses val="autoZero"/>
        <c:auto val="1"/>
        <c:lblAlgn val="ctr"/>
        <c:lblOffset val="100"/>
        <c:noMultiLvlLbl val="0"/>
      </c:catAx>
      <c:valAx>
        <c:axId val="225242496"/>
        <c:scaling>
          <c:orientation val="minMax"/>
        </c:scaling>
        <c:delete val="0"/>
        <c:axPos val="l"/>
        <c:majorGridlines/>
        <c:numFmt formatCode="#,##0.00_ " sourceLinked="1"/>
        <c:majorTickMark val="out"/>
        <c:minorTickMark val="none"/>
        <c:tickLblPos val="nextTo"/>
        <c:crossAx val="22481254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1">
                  <c:v>1.4507581204566398</c:v>
                </c:pt>
                <c:pt idx="2">
                  <c:v>0.16351946110638954</c:v>
                </c:pt>
                <c:pt idx="3">
                  <c:v>0.23541828288421338</c:v>
                </c:pt>
                <c:pt idx="4">
                  <c:v>0.56204317546055249</c:v>
                </c:pt>
                <c:pt idx="5">
                  <c:v>-3.4764306594021175</c:v>
                </c:pt>
              </c:numCache>
            </c:numRef>
          </c:val>
          <c:smooth val="0"/>
          <c:extLst xmlns:c16r2="http://schemas.microsoft.com/office/drawing/2015/06/char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0998528"/>
        <c:axId val="225244800"/>
      </c:lineChart>
      <c:catAx>
        <c:axId val="230998528"/>
        <c:scaling>
          <c:orientation val="minMax"/>
        </c:scaling>
        <c:delete val="0"/>
        <c:axPos val="b"/>
        <c:majorTickMark val="out"/>
        <c:minorTickMark val="none"/>
        <c:tickLblPos val="nextTo"/>
        <c:crossAx val="225244800"/>
        <c:crosses val="autoZero"/>
        <c:auto val="1"/>
        <c:lblAlgn val="ctr"/>
        <c:lblOffset val="100"/>
        <c:noMultiLvlLbl val="0"/>
      </c:catAx>
      <c:valAx>
        <c:axId val="225244800"/>
        <c:scaling>
          <c:orientation val="minMax"/>
        </c:scaling>
        <c:delete val="0"/>
        <c:axPos val="l"/>
        <c:majorGridlines/>
        <c:numFmt formatCode="0.00%" sourceLinked="1"/>
        <c:majorTickMark val="out"/>
        <c:minorTickMark val="none"/>
        <c:tickLblPos val="nextTo"/>
        <c:crossAx val="230998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1">
                  <c:v>0.19611240561082074</c:v>
                </c:pt>
                <c:pt idx="2">
                  <c:v>9.8989710077852427E-2</c:v>
                </c:pt>
                <c:pt idx="3">
                  <c:v>0.1060494368680899</c:v>
                </c:pt>
                <c:pt idx="4">
                  <c:v>0.10794481000417755</c:v>
                </c:pt>
                <c:pt idx="5">
                  <c:v>9.2674332023277878E-2</c:v>
                </c:pt>
              </c:numCache>
            </c:numRef>
          </c:val>
          <c:smooth val="0"/>
          <c:extLst xmlns:c16r2="http://schemas.microsoft.com/office/drawing/2015/06/char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0999552"/>
        <c:axId val="225246528"/>
      </c:lineChart>
      <c:catAx>
        <c:axId val="230999552"/>
        <c:scaling>
          <c:orientation val="minMax"/>
        </c:scaling>
        <c:delete val="0"/>
        <c:axPos val="b"/>
        <c:majorTickMark val="out"/>
        <c:minorTickMark val="none"/>
        <c:tickLblPos val="nextTo"/>
        <c:crossAx val="225246528"/>
        <c:crosses val="autoZero"/>
        <c:auto val="1"/>
        <c:lblAlgn val="ctr"/>
        <c:lblOffset val="100"/>
        <c:noMultiLvlLbl val="0"/>
      </c:catAx>
      <c:valAx>
        <c:axId val="225246528"/>
        <c:scaling>
          <c:orientation val="minMax"/>
        </c:scaling>
        <c:delete val="0"/>
        <c:axPos val="l"/>
        <c:majorGridlines/>
        <c:numFmt formatCode="0.00%" sourceLinked="1"/>
        <c:majorTickMark val="out"/>
        <c:minorTickMark val="none"/>
        <c:tickLblPos val="nextTo"/>
        <c:crossAx val="2309995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1">
                  <c:v>142520996.4599998</c:v>
                </c:pt>
                <c:pt idx="2">
                  <c:v>62438843.769999914</c:v>
                </c:pt>
                <c:pt idx="3">
                  <c:v>84484949.960000128</c:v>
                </c:pt>
                <c:pt idx="4">
                  <c:v>103916778.45999993</c:v>
                </c:pt>
                <c:pt idx="5">
                  <c:v>110404709.39999998</c:v>
                </c:pt>
              </c:numCache>
            </c:numRef>
          </c:val>
          <c:extLst xmlns:c16r2="http://schemas.microsoft.com/office/drawing/2015/06/char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1">
                  <c:v>1832599943.4000001</c:v>
                </c:pt>
                <c:pt idx="2">
                  <c:v>1243458895.51</c:v>
                </c:pt>
                <c:pt idx="3">
                  <c:v>1181020051.74</c:v>
                </c:pt>
                <c:pt idx="4">
                  <c:v>1096535101.78</c:v>
                </c:pt>
                <c:pt idx="5">
                  <c:v>1029505086.02</c:v>
                </c:pt>
              </c:numCache>
            </c:numRef>
          </c:val>
          <c:extLst xmlns:c16r2="http://schemas.microsoft.com/office/drawing/2015/06/char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0789120"/>
        <c:axId val="230687872"/>
      </c:barChart>
      <c:catAx>
        <c:axId val="230789120"/>
        <c:scaling>
          <c:orientation val="minMax"/>
        </c:scaling>
        <c:delete val="0"/>
        <c:axPos val="b"/>
        <c:majorTickMark val="out"/>
        <c:minorTickMark val="none"/>
        <c:tickLblPos val="nextTo"/>
        <c:crossAx val="230687872"/>
        <c:crosses val="autoZero"/>
        <c:auto val="1"/>
        <c:lblAlgn val="ctr"/>
        <c:lblOffset val="100"/>
        <c:noMultiLvlLbl val="0"/>
      </c:catAx>
      <c:valAx>
        <c:axId val="230687872"/>
        <c:scaling>
          <c:orientation val="minMax"/>
        </c:scaling>
        <c:delete val="0"/>
        <c:axPos val="l"/>
        <c:majorGridlines/>
        <c:numFmt formatCode="#,##0.00_ " sourceLinked="1"/>
        <c:majorTickMark val="out"/>
        <c:minorTickMark val="none"/>
        <c:tickLblPos val="nextTo"/>
        <c:crossAx val="23078912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43373</c:v>
                </c:pt>
                <c:pt idx="1">
                  <c:v>1366363612.6199999</c:v>
                </c:pt>
                <c:pt idx="2">
                  <c:v>1026535858.9299999</c:v>
                </c:pt>
                <c:pt idx="3">
                  <c:v>1120665180.8800001</c:v>
                </c:pt>
                <c:pt idx="4">
                  <c:v>1214852555.8099999</c:v>
                </c:pt>
                <c:pt idx="5">
                  <c:v>1428005507.79</c:v>
                </c:pt>
              </c:numCache>
            </c:numRef>
          </c:val>
          <c:extLst xmlns:c16r2="http://schemas.microsoft.com/office/drawing/2015/06/char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1">
                  <c:v>267960855.00999978</c:v>
                </c:pt>
                <c:pt idx="2">
                  <c:v>101616487.05999991</c:v>
                </c:pt>
                <c:pt idx="3">
                  <c:v>118845911.35000013</c:v>
                </c:pt>
                <c:pt idx="4">
                  <c:v>131137028.31999995</c:v>
                </c:pt>
                <c:pt idx="5">
                  <c:v>132339456.55999999</c:v>
                </c:pt>
              </c:numCache>
            </c:numRef>
          </c:val>
          <c:extLst xmlns:c16r2="http://schemas.microsoft.com/office/drawing/2015/06/char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0790656"/>
        <c:axId val="230690752"/>
      </c:barChart>
      <c:catAx>
        <c:axId val="230790656"/>
        <c:scaling>
          <c:orientation val="minMax"/>
        </c:scaling>
        <c:delete val="0"/>
        <c:axPos val="b"/>
        <c:majorTickMark val="out"/>
        <c:minorTickMark val="none"/>
        <c:tickLblPos val="nextTo"/>
        <c:crossAx val="230690752"/>
        <c:crosses val="autoZero"/>
        <c:auto val="1"/>
        <c:lblAlgn val="ctr"/>
        <c:lblOffset val="100"/>
        <c:noMultiLvlLbl val="0"/>
      </c:catAx>
      <c:valAx>
        <c:axId val="230690752"/>
        <c:scaling>
          <c:orientation val="minMax"/>
        </c:scaling>
        <c:delete val="0"/>
        <c:axPos val="l"/>
        <c:majorGridlines/>
        <c:numFmt formatCode="#,##0.00_ " sourceLinked="1"/>
        <c:majorTickMark val="out"/>
        <c:minorTickMark val="none"/>
        <c:tickLblPos val="nextTo"/>
        <c:crossAx val="2307906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1">
                  <c:v>0</c:v>
                </c:pt>
                <c:pt idx="2">
                  <c:v>0</c:v>
                </c:pt>
                <c:pt idx="3">
                  <c:v>0</c:v>
                </c:pt>
                <c:pt idx="4">
                  <c:v>0</c:v>
                </c:pt>
                <c:pt idx="5">
                  <c:v>86589600</c:v>
                </c:pt>
              </c:numCache>
            </c:numRef>
          </c:val>
          <c:extLst xmlns:c16r2="http://schemas.microsoft.com/office/drawing/2015/06/char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0791680"/>
        <c:axId val="230692480"/>
      </c:barChart>
      <c:catAx>
        <c:axId val="230791680"/>
        <c:scaling>
          <c:orientation val="minMax"/>
        </c:scaling>
        <c:delete val="0"/>
        <c:axPos val="b"/>
        <c:majorTickMark val="out"/>
        <c:minorTickMark val="none"/>
        <c:tickLblPos val="nextTo"/>
        <c:crossAx val="230692480"/>
        <c:crosses val="autoZero"/>
        <c:auto val="1"/>
        <c:lblAlgn val="ctr"/>
        <c:lblOffset val="100"/>
        <c:noMultiLvlLbl val="0"/>
      </c:catAx>
      <c:valAx>
        <c:axId val="230692480"/>
        <c:scaling>
          <c:orientation val="minMax"/>
        </c:scaling>
        <c:delete val="0"/>
        <c:axPos val="l"/>
        <c:majorGridlines/>
        <c:numFmt formatCode="#,##0.00_ " sourceLinked="1"/>
        <c:majorTickMark val="out"/>
        <c:minorTickMark val="none"/>
        <c:tickLblPos val="nextTo"/>
        <c:crossAx val="230791680"/>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1">
                  <c:v>1.1601667608449457</c:v>
                </c:pt>
                <c:pt idx="2">
                  <c:v>1.1260001462294533</c:v>
                </c:pt>
                <c:pt idx="3">
                  <c:v>0.906032206378658</c:v>
                </c:pt>
                <c:pt idx="4">
                  <c:v>0.89335486597163449</c:v>
                </c:pt>
                <c:pt idx="5">
                  <c:v>0.927676275370519</c:v>
                </c:pt>
              </c:numCache>
            </c:numRef>
          </c:val>
          <c:smooth val="0"/>
          <c:extLst xmlns:c16r2="http://schemas.microsoft.com/office/drawing/2015/06/char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1">
                  <c:v>1.0868401287126688</c:v>
                </c:pt>
                <c:pt idx="2">
                  <c:v>1.1406484155780166</c:v>
                </c:pt>
                <c:pt idx="3">
                  <c:v>1.0491152788594142</c:v>
                </c:pt>
                <c:pt idx="4">
                  <c:v>0.99979725830146748</c:v>
                </c:pt>
                <c:pt idx="5">
                  <c:v>0.91355568346001659</c:v>
                </c:pt>
              </c:numCache>
            </c:numRef>
          </c:val>
          <c:smooth val="0"/>
          <c:extLst xmlns:c16r2="http://schemas.microsoft.com/office/drawing/2015/06/char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1">
                  <c:v>1.276681292318151</c:v>
                </c:pt>
                <c:pt idx="2">
                  <c:v>0.48718358816561558</c:v>
                </c:pt>
                <c:pt idx="3">
                  <c:v>-1.4785850854287348</c:v>
                </c:pt>
                <c:pt idx="4">
                  <c:v>-1.2307630188289214</c:v>
                </c:pt>
                <c:pt idx="5">
                  <c:v>0.35513154771654704</c:v>
                </c:pt>
              </c:numCache>
            </c:numRef>
          </c:val>
          <c:smooth val="0"/>
          <c:extLst xmlns:c16r2="http://schemas.microsoft.com/office/drawing/2015/06/char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1">
                  <c:v>1.7405026803866086</c:v>
                </c:pt>
                <c:pt idx="2">
                  <c:v>0.57335427673631389</c:v>
                </c:pt>
                <c:pt idx="3">
                  <c:v>-1.5545898360854022</c:v>
                </c:pt>
                <c:pt idx="4">
                  <c:v>-1.1631127037538465</c:v>
                </c:pt>
                <c:pt idx="5">
                  <c:v>0.33743170986508664</c:v>
                </c:pt>
              </c:numCache>
            </c:numRef>
          </c:val>
          <c:smooth val="0"/>
          <c:extLst xmlns:c16r2="http://schemas.microsoft.com/office/drawing/2015/06/char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1446016"/>
        <c:axId val="230694208"/>
      </c:lineChart>
      <c:catAx>
        <c:axId val="231446016"/>
        <c:scaling>
          <c:orientation val="minMax"/>
        </c:scaling>
        <c:delete val="0"/>
        <c:axPos val="b"/>
        <c:majorTickMark val="out"/>
        <c:minorTickMark val="none"/>
        <c:tickLblPos val="nextTo"/>
        <c:crossAx val="230694208"/>
        <c:crosses val="autoZero"/>
        <c:auto val="1"/>
        <c:lblAlgn val="ctr"/>
        <c:lblOffset val="100"/>
        <c:noMultiLvlLbl val="0"/>
      </c:catAx>
      <c:valAx>
        <c:axId val="230694208"/>
        <c:scaling>
          <c:orientation val="minMax"/>
        </c:scaling>
        <c:delete val="0"/>
        <c:axPos val="l"/>
        <c:majorGridlines/>
        <c:numFmt formatCode="#,##0.00_ " sourceLinked="1"/>
        <c:majorTickMark val="out"/>
        <c:minorTickMark val="none"/>
        <c:tickLblPos val="nextTo"/>
        <c:crossAx val="23144601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1">
                  <c:v>248058176.34999999</c:v>
                </c:pt>
                <c:pt idx="2">
                  <c:v>35799578.109999999</c:v>
                </c:pt>
                <c:pt idx="3">
                  <c:v>-131339444.51000001</c:v>
                </c:pt>
                <c:pt idx="4">
                  <c:v>-120866925.16</c:v>
                </c:pt>
                <c:pt idx="5">
                  <c:v>37254049.869999997</c:v>
                </c:pt>
              </c:numCache>
            </c:numRef>
          </c:val>
          <c:smooth val="0"/>
          <c:extLst xmlns:c16r2="http://schemas.microsoft.com/office/drawing/2015/06/char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1">
                  <c:v>194299217.70028061</c:v>
                </c:pt>
                <c:pt idx="2">
                  <c:v>73482725.977686495</c:v>
                </c:pt>
                <c:pt idx="3">
                  <c:v>88827789.353709355</c:v>
                </c:pt>
                <c:pt idx="4">
                  <c:v>98204872.352279171</c:v>
                </c:pt>
                <c:pt idx="5">
                  <c:v>104902113.34233481</c:v>
                </c:pt>
              </c:numCache>
            </c:numRef>
          </c:val>
          <c:smooth val="0"/>
          <c:extLst xmlns:c16r2="http://schemas.microsoft.com/office/drawing/2015/06/char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1">
                  <c:v>142520996.4599998</c:v>
                </c:pt>
                <c:pt idx="2">
                  <c:v>62438843.769999914</c:v>
                </c:pt>
                <c:pt idx="3">
                  <c:v>84484949.960000128</c:v>
                </c:pt>
                <c:pt idx="4">
                  <c:v>103916778.45999993</c:v>
                </c:pt>
                <c:pt idx="5">
                  <c:v>110404709.39999998</c:v>
                </c:pt>
              </c:numCache>
            </c:numRef>
          </c:val>
          <c:smooth val="0"/>
          <c:extLst xmlns:c16r2="http://schemas.microsoft.com/office/drawing/2015/06/char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220422144"/>
        <c:axId val="231376576"/>
      </c:lineChart>
      <c:catAx>
        <c:axId val="220422144"/>
        <c:scaling>
          <c:orientation val="minMax"/>
        </c:scaling>
        <c:delete val="0"/>
        <c:axPos val="b"/>
        <c:majorTickMark val="out"/>
        <c:minorTickMark val="none"/>
        <c:tickLblPos val="nextTo"/>
        <c:crossAx val="231376576"/>
        <c:crosses val="autoZero"/>
        <c:auto val="1"/>
        <c:lblAlgn val="ctr"/>
        <c:lblOffset val="100"/>
        <c:noMultiLvlLbl val="0"/>
      </c:catAx>
      <c:valAx>
        <c:axId val="231376576"/>
        <c:scaling>
          <c:orientation val="minMax"/>
        </c:scaling>
        <c:delete val="0"/>
        <c:axPos val="l"/>
        <c:majorGridlines/>
        <c:numFmt formatCode="#,##0.00_ " sourceLinked="1"/>
        <c:majorTickMark val="out"/>
        <c:minorTickMark val="none"/>
        <c:tickLblPos val="nextTo"/>
        <c:crossAx val="22042214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strRef>
              <c:f>自由现金流分析表!$A$27</c:f>
              <c:strCache>
                <c:ptCount val="1"/>
                <c:pt idx="0">
                  <c:v>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c:v>
                </c:pt>
              </c:strCache>
            </c:strRef>
          </c:tx>
          <c:spPr>
            <a:ln w="28575" cap="rnd">
              <a:solidFill>
                <a:schemeClr val="accent1"/>
              </a:solidFill>
              <a:round/>
            </a:ln>
            <a:effectLst/>
          </c:spPr>
          <c:marker>
            <c:symbol val="circle"/>
            <c:size val="5"/>
            <c:spPr>
              <a:solidFill>
                <a:schemeClr val="accent1"/>
              </a:solidFill>
              <a:ln w="9525">
                <a:solidFill>
                  <a:schemeClr val="lt1"/>
                </a:solidFill>
              </a:ln>
              <a:effectLst/>
            </c:spPr>
          </c:marker>
          <c:val>
            <c:numRef>
              <c:f>自由现金流分析表!$B$27:$CL$27</c:f>
              <c:numCache>
                <c:formatCode>#,##0.00_ </c:formatCode>
                <c:ptCount val="36"/>
                <c:pt idx="1">
                  <c:v>87300870.800000012</c:v>
                </c:pt>
                <c:pt idx="2">
                  <c:v>-28562314.520000003</c:v>
                </c:pt>
                <c:pt idx="3">
                  <c:v>-202220414.5</c:v>
                </c:pt>
                <c:pt idx="4">
                  <c:v>-184955371.25</c:v>
                </c:pt>
                <c:pt idx="5">
                  <c:v>-34947070.57</c:v>
                </c:pt>
                <c:pt idx="6">
                  <c:v>87710377.849999994</c:v>
                </c:pt>
                <c:pt idx="7">
                  <c:v>146196118.72999999</c:v>
                </c:pt>
                <c:pt idx="8">
                  <c:v>130383912.22999999</c:v>
                </c:pt>
                <c:pt idx="9">
                  <c:v>128264207.75999999</c:v>
                </c:pt>
                <c:pt idx="10">
                  <c:v>91399975.950000018</c:v>
                </c:pt>
                <c:pt idx="11">
                  <c:v>66617480.280000001</c:v>
                </c:pt>
                <c:pt idx="12">
                  <c:v>32585963.690000005</c:v>
                </c:pt>
                <c:pt idx="13">
                  <c:v>72982422.829999998</c:v>
                </c:pt>
                <c:pt idx="14">
                  <c:v>48259736.750000007</c:v>
                </c:pt>
                <c:pt idx="15">
                  <c:v>27919087.669999994</c:v>
                </c:pt>
                <c:pt idx="16">
                  <c:v>-24980770.019999996</c:v>
                </c:pt>
                <c:pt idx="17">
                  <c:v>-38401065.809999995</c:v>
                </c:pt>
                <c:pt idx="18">
                  <c:v>57725153.080000006</c:v>
                </c:pt>
                <c:pt idx="19">
                  <c:v>15055046.609999999</c:v>
                </c:pt>
                <c:pt idx="20">
                  <c:v>55050182.569999993</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smooth val="0"/>
          <c:extLst xmlns:c16r2="http://schemas.microsoft.com/office/drawing/2015/06/chart">
            <c:ext xmlns:c16="http://schemas.microsoft.com/office/drawing/2014/chart" uri="{C3380CC4-5D6E-409C-BE32-E72D297353CC}">
              <c16:uniqueId val="{00000000-BC8C-444C-B4FF-D609C6B347B6}"/>
            </c:ext>
          </c:extLst>
        </c:ser>
        <c:dLbls>
          <c:showLegendKey val="0"/>
          <c:showVal val="0"/>
          <c:showCatName val="0"/>
          <c:showSerName val="0"/>
          <c:showPercent val="0"/>
          <c:showBubbleSize val="0"/>
        </c:dLbls>
        <c:marker val="1"/>
        <c:smooth val="0"/>
        <c:axId val="220423168"/>
        <c:axId val="231378880"/>
      </c:lineChart>
      <c:catAx>
        <c:axId val="2204231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zh-CN"/>
          </a:p>
        </c:txPr>
        <c:crossAx val="231378880"/>
        <c:crosses val="autoZero"/>
        <c:auto val="1"/>
        <c:lblAlgn val="ctr"/>
        <c:lblOffset val="100"/>
        <c:noMultiLvlLbl val="0"/>
      </c:catAx>
      <c:valAx>
        <c:axId val="231378880"/>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zh-CN"/>
          </a:p>
        </c:txPr>
        <c:crossAx val="220423168"/>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3.xml"/><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10" Type="http://schemas.openxmlformats.org/officeDocument/2006/relationships/chart" Target="../charts/chart35.xml"/><Relationship Id="rId4" Type="http://schemas.openxmlformats.org/officeDocument/2006/relationships/chart" Target="../charts/chart29.xml"/><Relationship Id="rId9" Type="http://schemas.openxmlformats.org/officeDocument/2006/relationships/chart" Target="../charts/chart3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image" Target="../media/image1.png"/><Relationship Id="rId4" Type="http://schemas.openxmlformats.org/officeDocument/2006/relationships/chart" Target="../charts/chart38.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xmlns=""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xmlns=""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289560</xdr:colOff>
      <xdr:row>56</xdr:row>
      <xdr:rowOff>31432</xdr:rowOff>
    </xdr:from>
    <xdr:to>
      <xdr:col>32</xdr:col>
      <xdr:colOff>289560</xdr:colOff>
      <xdr:row>62</xdr:row>
      <xdr:rowOff>36195</xdr:rowOff>
    </xdr:to>
    <xdr:graphicFrame macro="">
      <xdr:nvGraphicFramePr>
        <xdr:cNvPr id="15" name="图表 14">
          <a:extLst>
            <a:ext uri="{FF2B5EF4-FFF2-40B4-BE49-F238E27FC236}">
              <a16:creationId xmlns:a16="http://schemas.microsoft.com/office/drawing/2014/main" xmlns=""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xmlns=""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xmlns=""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1403684</xdr:colOff>
      <xdr:row>0</xdr:row>
      <xdr:rowOff>0</xdr:rowOff>
    </xdr:from>
    <xdr:to>
      <xdr:col>32</xdr:col>
      <xdr:colOff>861462</xdr:colOff>
      <xdr:row>10</xdr:row>
      <xdr:rowOff>45721</xdr:rowOff>
    </xdr:to>
    <xdr:graphicFrame macro="">
      <xdr:nvGraphicFramePr>
        <xdr:cNvPr id="3" name="图表 2">
          <a:extLst>
            <a:ext uri="{FF2B5EF4-FFF2-40B4-BE49-F238E27FC236}">
              <a16:creationId xmlns:a16="http://schemas.microsoft.com/office/drawing/2014/main" xmlns=""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1443789</xdr:colOff>
      <xdr:row>10</xdr:row>
      <xdr:rowOff>107430</xdr:rowOff>
    </xdr:from>
    <xdr:to>
      <xdr:col>28</xdr:col>
      <xdr:colOff>1284472</xdr:colOff>
      <xdr:row>23</xdr:row>
      <xdr:rowOff>13434</xdr:rowOff>
    </xdr:to>
    <xdr:graphicFrame macro="">
      <xdr:nvGraphicFramePr>
        <xdr:cNvPr id="2" name="图表 1">
          <a:extLst>
            <a:ext uri="{FF2B5EF4-FFF2-40B4-BE49-F238E27FC236}">
              <a16:creationId xmlns:a16="http://schemas.microsoft.com/office/drawing/2014/main" xmlns=""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1419726</xdr:colOff>
      <xdr:row>23</xdr:row>
      <xdr:rowOff>99210</xdr:rowOff>
    </xdr:from>
    <xdr:to>
      <xdr:col>32</xdr:col>
      <xdr:colOff>448478</xdr:colOff>
      <xdr:row>24</xdr:row>
      <xdr:rowOff>1687230</xdr:rowOff>
    </xdr:to>
    <xdr:graphicFrame macro="">
      <xdr:nvGraphicFramePr>
        <xdr:cNvPr id="5" name="图表 4">
          <a:extLst>
            <a:ext uri="{FF2B5EF4-FFF2-40B4-BE49-F238E27FC236}">
              <a16:creationId xmlns:a16="http://schemas.microsoft.com/office/drawing/2014/main" xmlns=""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xmlns=""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xmlns=""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29578</xdr:colOff>
      <xdr:row>25</xdr:row>
      <xdr:rowOff>66924</xdr:rowOff>
    </xdr:from>
    <xdr:to>
      <xdr:col>32</xdr:col>
      <xdr:colOff>534403</xdr:colOff>
      <xdr:row>35</xdr:row>
      <xdr:rowOff>159318</xdr:rowOff>
    </xdr:to>
    <xdr:graphicFrame macro="">
      <xdr:nvGraphicFramePr>
        <xdr:cNvPr id="4" name="图表 3">
          <a:extLst>
            <a:ext uri="{FF2B5EF4-FFF2-40B4-BE49-F238E27FC236}">
              <a16:creationId xmlns:a16="http://schemas.microsoft.com/office/drawing/2014/main" xmlns=""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xmlns=""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xmlns=""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xmlns=""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xmlns=""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xmlns=""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xmlns=""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xmlns=""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xmlns=""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xmlns=""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36</xdr:col>
      <xdr:colOff>1127760</xdr:colOff>
      <xdr:row>15</xdr:row>
      <xdr:rowOff>28575</xdr:rowOff>
    </xdr:to>
    <xdr:graphicFrame macro="">
      <xdr:nvGraphicFramePr>
        <xdr:cNvPr id="3" name="图表 2">
          <a:extLst>
            <a:ext uri="{FF2B5EF4-FFF2-40B4-BE49-F238E27FC236}">
              <a16:creationId xmlns:a16="http://schemas.microsoft.com/office/drawing/2014/main" xmlns=""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xmlns=""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xmlns=""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xmlns=""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510540</xdr:colOff>
      <xdr:row>15</xdr:row>
      <xdr:rowOff>174307</xdr:rowOff>
    </xdr:from>
    <xdr:to>
      <xdr:col>36</xdr:col>
      <xdr:colOff>1242060</xdr:colOff>
      <xdr:row>24</xdr:row>
      <xdr:rowOff>1015365</xdr:rowOff>
    </xdr:to>
    <xdr:graphicFrame macro="">
      <xdr:nvGraphicFramePr>
        <xdr:cNvPr id="9" name="图表 8">
          <a:extLst>
            <a:ext uri="{FF2B5EF4-FFF2-40B4-BE49-F238E27FC236}">
              <a16:creationId xmlns:a16="http://schemas.microsoft.com/office/drawing/2014/main" xmlns=""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xmlns=""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xmlns=""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xmlns=""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xmlns=""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xmlns=""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xmlns=""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xmlns=""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xmlns=""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xmlns=""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xmlns=""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1</xdr:col>
      <xdr:colOff>222248</xdr:colOff>
      <xdr:row>37</xdr:row>
      <xdr:rowOff>9439</xdr:rowOff>
    </xdr:to>
    <xdr:pic>
      <xdr:nvPicPr>
        <xdr:cNvPr id="2" name="图片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20</xdr:col>
      <xdr:colOff>699135</xdr:colOff>
      <xdr:row>0</xdr:row>
      <xdr:rowOff>44767</xdr:rowOff>
    </xdr:from>
    <xdr:to>
      <xdr:col>32</xdr:col>
      <xdr:colOff>99060</xdr:colOff>
      <xdr:row>13</xdr:row>
      <xdr:rowOff>175260</xdr:rowOff>
    </xdr:to>
    <xdr:graphicFrame macro="">
      <xdr:nvGraphicFramePr>
        <xdr:cNvPr id="4" name="图表 3">
          <a:extLst>
            <a:ext uri="{FF2B5EF4-FFF2-40B4-BE49-F238E27FC236}">
              <a16:creationId xmlns:a16="http://schemas.microsoft.com/office/drawing/2014/main" xmlns=""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xmlns=""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91440</xdr:colOff>
      <xdr:row>14</xdr:row>
      <xdr:rowOff>91440</xdr:rowOff>
    </xdr:from>
    <xdr:to>
      <xdr:col>28</xdr:col>
      <xdr:colOff>1363980</xdr:colOff>
      <xdr:row>26</xdr:row>
      <xdr:rowOff>167640</xdr:rowOff>
    </xdr:to>
    <xdr:graphicFrame macro="">
      <xdr:nvGraphicFramePr>
        <xdr:cNvPr id="6" name="图表 5">
          <a:extLst>
            <a:ext uri="{FF2B5EF4-FFF2-40B4-BE49-F238E27FC236}">
              <a16:creationId xmlns:a16="http://schemas.microsoft.com/office/drawing/2014/main" xmlns="" id="{5556103B-8CF2-432E-A5EA-E065E5160D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363366</xdr:colOff>
      <xdr:row>27</xdr:row>
      <xdr:rowOff>38002</xdr:rowOff>
    </xdr:to>
    <xdr:pic>
      <xdr:nvPicPr>
        <xdr:cNvPr id="2" name="图片 1">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1010960</xdr:colOff>
      <xdr:row>47</xdr:row>
      <xdr:rowOff>38016</xdr:rowOff>
    </xdr:to>
    <xdr:pic>
      <xdr:nvPicPr>
        <xdr:cNvPr id="4" name="图片 3">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180" tableBorderDxfId="179" headerRowCellStyle="好" dataCellStyle="好">
  <tableColumns count="89">
    <tableColumn id="1" name="列1" headerRowDxfId="178" dataDxfId="177" headerRowCellStyle="好" dataCellStyle="好"/>
    <tableColumn id="2" name="列2" headerRowDxfId="176" headerRowCellStyle="好" dataCellStyle="好"/>
    <tableColumn id="3" name="列3" headerRowDxfId="175" headerRowCellStyle="好" dataCellStyle="好"/>
    <tableColumn id="4" name="列4" headerRowDxfId="174" headerRowCellStyle="好" dataCellStyle="好"/>
    <tableColumn id="5" name="列5" headerRowDxfId="173" headerRowCellStyle="好" dataCellStyle="好"/>
    <tableColumn id="6" name="列6" headerRowDxfId="172" headerRowCellStyle="好" dataCellStyle="好"/>
    <tableColumn id="7" name="列7" headerRowDxfId="171" headerRowCellStyle="好" dataCellStyle="好"/>
    <tableColumn id="8" name="列8" headerRowDxfId="170" headerRowCellStyle="好" dataCellStyle="好"/>
    <tableColumn id="9" name="列9" headerRowDxfId="169" headerRowCellStyle="好" dataCellStyle="好"/>
    <tableColumn id="10" name="列10" headerRowDxfId="168" headerRowCellStyle="好" dataCellStyle="好"/>
    <tableColumn id="11" name="列11" headerRowDxfId="167" headerRowCellStyle="好" dataCellStyle="好"/>
    <tableColumn id="12" name="列12" headerRowDxfId="166" headerRowCellStyle="好" dataCellStyle="好"/>
    <tableColumn id="13" name="列13" headerRowDxfId="165" headerRowCellStyle="好" dataCellStyle="好"/>
    <tableColumn id="14" name="列14" headerRowDxfId="164" headerRowCellStyle="好" dataCellStyle="好"/>
    <tableColumn id="15" name="列15" headerRowDxfId="163" headerRowCellStyle="好" dataCellStyle="好"/>
    <tableColumn id="16" name="列16" headerRowDxfId="162" headerRowCellStyle="好" dataCellStyle="好"/>
    <tableColumn id="17" name="列17" headerRowDxfId="161" headerRowCellStyle="好" dataCellStyle="好"/>
    <tableColumn id="18" name="列18" headerRowDxfId="160" headerRowCellStyle="好" dataCellStyle="好"/>
    <tableColumn id="19" name="列19" headerRowDxfId="159" headerRowCellStyle="好" dataCellStyle="好"/>
    <tableColumn id="20" name="列20" headerRowDxfId="158" headerRowCellStyle="好" dataCellStyle="好"/>
    <tableColumn id="21" name="列21" headerRowDxfId="157" headerRowCellStyle="好" dataCellStyle="好"/>
    <tableColumn id="22" name="列22" headerRowDxfId="156" headerRowCellStyle="好" dataCellStyle="好"/>
    <tableColumn id="23" name="列23" headerRowDxfId="155" headerRowCellStyle="好" dataCellStyle="好"/>
    <tableColumn id="24" name="列24" headerRowDxfId="154" headerRowCellStyle="好" dataCellStyle="好"/>
    <tableColumn id="25" name="列25" headerRowDxfId="153" headerRowCellStyle="好" dataCellStyle="好"/>
    <tableColumn id="26" name="列26" headerRowDxfId="152" headerRowCellStyle="好" dataCellStyle="好"/>
    <tableColumn id="27" name="列27" headerRowDxfId="151" headerRowCellStyle="好" dataCellStyle="好"/>
    <tableColumn id="28" name="列28" headerRowDxfId="150" headerRowCellStyle="好" dataCellStyle="好"/>
    <tableColumn id="29" name="列29" headerRowDxfId="149" headerRowCellStyle="好" dataCellStyle="好"/>
    <tableColumn id="30" name="列30" headerRowDxfId="148" headerRowCellStyle="好" dataCellStyle="好"/>
    <tableColumn id="31" name="列31" headerRowDxfId="147" headerRowCellStyle="好" dataCellStyle="好"/>
    <tableColumn id="32" name="列32" headerRowDxfId="146" headerRowCellStyle="好" dataCellStyle="好"/>
    <tableColumn id="33" name="列33" headerRowDxfId="145" headerRowCellStyle="好" dataCellStyle="好"/>
    <tableColumn id="34" name="列34" headerRowDxfId="144" headerRowCellStyle="好" dataCellStyle="好"/>
    <tableColumn id="35" name="列35" headerRowDxfId="143" headerRowCellStyle="好" dataCellStyle="好"/>
    <tableColumn id="36" name="列36" headerRowDxfId="142" headerRowCellStyle="好" dataCellStyle="好"/>
    <tableColumn id="37" name="列37" headerRowDxfId="141" headerRowCellStyle="好" dataCellStyle="好"/>
    <tableColumn id="38" name="列38" headerRowDxfId="140" headerRowCellStyle="好" dataCellStyle="好"/>
    <tableColumn id="39" name="列39" headerRowDxfId="139" headerRowCellStyle="好" dataCellStyle="好"/>
    <tableColumn id="40" name="列40" headerRowDxfId="138" headerRowCellStyle="好" dataCellStyle="好"/>
    <tableColumn id="41" name="列41" headerRowDxfId="137" headerRowCellStyle="好" dataCellStyle="好"/>
    <tableColumn id="42" name="列42" headerRowDxfId="136" headerRowCellStyle="好" dataCellStyle="好"/>
    <tableColumn id="43" name="列43" headerRowDxfId="135" headerRowCellStyle="好" dataCellStyle="好"/>
    <tableColumn id="44" name="列44" headerRowDxfId="134" headerRowCellStyle="好" dataCellStyle="好"/>
    <tableColumn id="45" name="列45" headerRowDxfId="133" headerRowCellStyle="好" dataCellStyle="好"/>
    <tableColumn id="46" name="列46" headerRowDxfId="132" headerRowCellStyle="好" dataCellStyle="好"/>
    <tableColumn id="47" name="列47" headerRowDxfId="131" headerRowCellStyle="好" dataCellStyle="好"/>
    <tableColumn id="48" name="列48" headerRowDxfId="130" headerRowCellStyle="好" dataCellStyle="好"/>
    <tableColumn id="49" name="列49" headerRowDxfId="129" headerRowCellStyle="好" dataCellStyle="好"/>
    <tableColumn id="50" name="列50" headerRowDxfId="128" headerRowCellStyle="好" dataCellStyle="好"/>
    <tableColumn id="51" name="列51" headerRowDxfId="127" headerRowCellStyle="好" dataCellStyle="好"/>
    <tableColumn id="52" name="列52" headerRowDxfId="126" headerRowCellStyle="好" dataCellStyle="好"/>
    <tableColumn id="53" name="列53" headerRowDxfId="125" headerRowCellStyle="好" dataCellStyle="好"/>
    <tableColumn id="54" name="列54" headerRowDxfId="124" headerRowCellStyle="好" dataCellStyle="好"/>
    <tableColumn id="55" name="列55" headerRowDxfId="123" headerRowCellStyle="好" dataCellStyle="好"/>
    <tableColumn id="56" name="列56" headerRowDxfId="122" headerRowCellStyle="好" dataCellStyle="好"/>
    <tableColumn id="57" name="列57" headerRowDxfId="121" headerRowCellStyle="好" dataCellStyle="好"/>
    <tableColumn id="58" name="列58" headerRowDxfId="120" headerRowCellStyle="好" dataCellStyle="好"/>
    <tableColumn id="59" name="列59" headerRowDxfId="119" headerRowCellStyle="好" dataCellStyle="好"/>
    <tableColumn id="60" name="列60" headerRowDxfId="118" headerRowCellStyle="好" dataCellStyle="好"/>
    <tableColumn id="61" name="列61" headerRowDxfId="117" headerRowCellStyle="好" dataCellStyle="好"/>
    <tableColumn id="62" name="列62" headerRowDxfId="116" headerRowCellStyle="好" dataCellStyle="好"/>
    <tableColumn id="63" name="列63" headerRowDxfId="115" headerRowCellStyle="好" dataCellStyle="好"/>
    <tableColumn id="64" name="列64" headerRowDxfId="114" headerRowCellStyle="好" dataCellStyle="好"/>
    <tableColumn id="65" name="列65" headerRowDxfId="113" headerRowCellStyle="好" dataCellStyle="好"/>
    <tableColumn id="66" name="列66" headerRowDxfId="112" headerRowCellStyle="好" dataCellStyle="好"/>
    <tableColumn id="67" name="列67" headerRowDxfId="111" headerRowCellStyle="好" dataCellStyle="好"/>
    <tableColumn id="68" name="列68" headerRowDxfId="110" headerRowCellStyle="好" dataCellStyle="好"/>
    <tableColumn id="69" name="列69" headerRowDxfId="109" headerRowCellStyle="好" dataCellStyle="好"/>
    <tableColumn id="70" name="列70" headerRowDxfId="108" headerRowCellStyle="好" dataCellStyle="好"/>
    <tableColumn id="71" name="列71" headerRowDxfId="107" headerRowCellStyle="好" dataCellStyle="好"/>
    <tableColumn id="72" name="列72" headerRowDxfId="106" headerRowCellStyle="好" dataCellStyle="好"/>
    <tableColumn id="73" name="列73" headerRowDxfId="105" headerRowCellStyle="好" dataCellStyle="好"/>
    <tableColumn id="74" name="列74" headerRowDxfId="104" headerRowCellStyle="好" dataCellStyle="好"/>
    <tableColumn id="75" name="列75" headerRowDxfId="103" headerRowCellStyle="好" dataCellStyle="好"/>
    <tableColumn id="76" name="列76" headerRowDxfId="102" headerRowCellStyle="好" dataCellStyle="好"/>
    <tableColumn id="77" name="列77" headerRowDxfId="101" headerRowCellStyle="好" dataCellStyle="好"/>
    <tableColumn id="78" name="列78" headerRowDxfId="100" headerRowCellStyle="好" dataCellStyle="好"/>
    <tableColumn id="79" name="列79" headerRowDxfId="99" headerRowCellStyle="好" dataCellStyle="好"/>
    <tableColumn id="80" name="列80" headerRowDxfId="98" headerRowCellStyle="好" dataCellStyle="好"/>
    <tableColumn id="81" name="列81" headerRowDxfId="97" headerRowCellStyle="好" dataCellStyle="好"/>
    <tableColumn id="82" name="列82" headerRowDxfId="96" headerRowCellStyle="好" dataCellStyle="好"/>
    <tableColumn id="83" name="列83" headerRowDxfId="95" headerRowCellStyle="好" dataCellStyle="好"/>
    <tableColumn id="84" name="列84" headerRowDxfId="94" headerRowCellStyle="好" dataCellStyle="好"/>
    <tableColumn id="85" name="列85" headerRowDxfId="93" headerRowCellStyle="好" dataCellStyle="好"/>
    <tableColumn id="86" name="列86" headerRowDxfId="92" headerRowCellStyle="好" dataCellStyle="好"/>
    <tableColumn id="87" name="列87" headerRowDxfId="91" headerRowCellStyle="好" dataCellStyle="好"/>
    <tableColumn id="88" name="列88" headerRowDxfId="90" headerRowCellStyle="好" dataCellStyle="好"/>
    <tableColumn id="89"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88" dataDxfId="87" dataCellStyle="好"/>
    <tableColumn id="2" name="列2" dataCellStyle="好"/>
    <tableColumn id="3" name="列3" dataCellStyle="好"/>
    <tableColumn id="4" name="列4" dataCellStyle="好"/>
    <tableColumn id="5" name="列5" dataDxfId="86" dataCellStyle="好"/>
    <tableColumn id="6" name="列6" dataDxfId="85" dataCellStyle="好"/>
    <tableColumn id="7" name="列7" dataDxfId="84" dataCellStyle="好"/>
    <tableColumn id="8" name="列8" dataDxfId="83" dataCellStyle="好"/>
    <tableColumn id="9" name="列9" dataDxfId="82" dataCellStyle="好"/>
    <tableColumn id="10" name="列10" dataDxfId="81" dataCellStyle="好"/>
    <tableColumn id="11" name="列11" dataDxfId="80" dataCellStyle="好"/>
    <tableColumn id="12" name="列12" dataDxfId="79" dataCellStyle="好"/>
    <tableColumn id="13" name="列13" dataDxfId="78" dataCellStyle="好"/>
    <tableColumn id="14" name="列14" dataDxfId="77" dataCellStyle="好"/>
    <tableColumn id="15" name="列15" dataDxfId="76" dataCellStyle="好"/>
    <tableColumn id="16" name="列16" dataDxfId="75" dataCellStyle="好"/>
    <tableColumn id="17" name="列17" dataDxfId="74" dataCellStyle="好"/>
    <tableColumn id="18" name="列18" dataDxfId="73" dataCellStyle="好"/>
    <tableColumn id="19" name="列19" dataDxfId="72" dataCellStyle="好"/>
    <tableColumn id="20" name="列20" dataDxfId="71" dataCellStyle="好"/>
    <tableColumn id="21" name="列21" dataDxfId="70" dataCellStyle="好"/>
    <tableColumn id="22" name="列22" dataDxfId="69" dataCellStyle="好"/>
    <tableColumn id="23" name="列23" dataDxfId="68" dataCellStyle="好"/>
    <tableColumn id="24" name="列24" dataDxfId="67" dataCellStyle="好"/>
    <tableColumn id="25" name="列25" dataDxfId="66" dataCellStyle="好"/>
    <tableColumn id="26" name="列26" dataDxfId="65" dataCellStyle="好"/>
    <tableColumn id="27" name="列27" dataDxfId="64" dataCellStyle="好"/>
    <tableColumn id="28" name="列28" dataDxfId="63" dataCellStyle="好"/>
    <tableColumn id="29" name="列29" dataDxfId="62" dataCellStyle="好"/>
    <tableColumn id="30" name="列30" dataDxfId="61" dataCellStyle="好"/>
    <tableColumn id="31" name="列31" dataDxfId="60" dataCellStyle="好"/>
    <tableColumn id="32" name="列32" dataDxfId="59" dataCellStyle="好"/>
    <tableColumn id="33" name="列33" dataDxfId="58" dataCellStyle="好"/>
    <tableColumn id="34" name="列34" dataDxfId="57" dataCellStyle="好"/>
    <tableColumn id="35" name="列35" dataDxfId="56" dataCellStyle="好"/>
    <tableColumn id="36" name="列36" dataDxfId="55" dataCellStyle="好"/>
    <tableColumn id="37" name="列37" dataDxfId="54" dataCellStyle="好"/>
    <tableColumn id="38" name="列38" dataDxfId="53" dataCellStyle="好"/>
    <tableColumn id="39" name="列39" dataDxfId="52" dataCellStyle="好"/>
    <tableColumn id="40" name="列40" dataDxfId="51" dataCellStyle="好"/>
    <tableColumn id="41" name="列41" dataDxfId="50" dataCellStyle="好"/>
    <tableColumn id="42" name="列42" dataDxfId="49" dataCellStyle="好"/>
    <tableColumn id="43" name="列43" dataDxfId="48" dataCellStyle="好"/>
    <tableColumn id="44" name="列44" dataDxfId="47" dataCellStyle="好"/>
    <tableColumn id="45" name="列45" dataDxfId="46" dataCellStyle="好"/>
    <tableColumn id="46" name="列46" dataDxfId="45" dataCellStyle="好"/>
    <tableColumn id="47" name="列47" dataDxfId="44" dataCellStyle="好"/>
    <tableColumn id="48" name="列48" dataDxfId="43" dataCellStyle="好"/>
    <tableColumn id="49" name="列49" dataDxfId="42" dataCellStyle="好"/>
    <tableColumn id="50" name="列50" dataDxfId="41" dataCellStyle="好"/>
    <tableColumn id="51" name="列51" dataDxfId="40" dataCellStyle="好"/>
    <tableColumn id="52" name="列52" dataDxfId="39" dataCellStyle="好"/>
    <tableColumn id="53" name="列53" dataDxfId="38" dataCellStyle="好"/>
    <tableColumn id="54" name="列54" dataDxfId="37" dataCellStyle="好"/>
    <tableColumn id="55" name="列55" dataDxfId="36" dataCellStyle="好"/>
    <tableColumn id="56" name="列56" dataDxfId="35" dataCellStyle="好"/>
    <tableColumn id="57" name="列57" dataDxfId="34" dataCellStyle="好"/>
    <tableColumn id="58" name="列58" dataDxfId="33" dataCellStyle="好"/>
    <tableColumn id="59" name="列59" dataDxfId="32" dataCellStyle="好"/>
    <tableColumn id="60" name="列60" dataDxfId="31" dataCellStyle="好"/>
    <tableColumn id="61" name="列61" dataDxfId="30" dataCellStyle="好"/>
    <tableColumn id="62" name="列62" dataDxfId="29" dataCellStyle="好"/>
    <tableColumn id="63" name="列63" dataDxfId="28" dataCellStyle="好"/>
    <tableColumn id="64" name="列64" dataDxfId="27" dataCellStyle="好"/>
    <tableColumn id="65" name="列65" dataDxfId="26" dataCellStyle="好"/>
    <tableColumn id="66" name="列66" dataDxfId="25" dataCellStyle="好"/>
    <tableColumn id="67" name="列67" dataDxfId="24" dataCellStyle="好"/>
    <tableColumn id="68" name="列68" dataDxfId="23" dataCellStyle="好"/>
    <tableColumn id="69" name="列69" dataDxfId="22" dataCellStyle="好"/>
    <tableColumn id="70" name="列70" dataDxfId="21" dataCellStyle="好"/>
    <tableColumn id="71" name="列71" dataDxfId="20" dataCellStyle="好"/>
    <tableColumn id="72" name="列72" dataDxfId="19" dataCellStyle="好"/>
    <tableColumn id="73" name="列73" dataDxfId="18" dataCellStyle="好"/>
    <tableColumn id="74" name="列74" dataDxfId="17" dataCellStyle="好"/>
    <tableColumn id="75" name="列75" dataDxfId="16" dataCellStyle="好"/>
    <tableColumn id="76" name="列76" dataDxfId="15" dataCellStyle="好"/>
    <tableColumn id="77" name="列77" dataDxfId="14" dataCellStyle="好"/>
    <tableColumn id="78" name="列78" dataDxfId="13" dataCellStyle="好"/>
    <tableColumn id="79" name="列79" dataDxfId="12" dataCellStyle="好"/>
    <tableColumn id="80" name="列80" dataDxfId="11" dataCellStyle="好"/>
    <tableColumn id="81" name="列81" dataDxfId="10" dataCellStyle="好"/>
    <tableColumn id="82" name="列82" dataDxfId="9" dataCellStyle="好"/>
    <tableColumn id="83" name="列83" dataDxfId="8" dataCellStyle="好"/>
    <tableColumn id="84" name="列84" dataDxfId="7" dataCellStyle="好"/>
    <tableColumn id="85" name="列85" dataDxfId="6" dataCellStyle="好"/>
    <tableColumn id="86" name="列86" dataDxfId="5" dataCellStyle="好"/>
    <tableColumn id="87" name="列87" dataDxfId="4" dataCellStyle="好"/>
    <tableColumn id="88" name="列88" dataDxfId="3" dataCellStyle="好"/>
    <tableColumn id="89"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CE85"/>
  <sheetViews>
    <sheetView workbookViewId="0">
      <selection activeCell="Y25" sqref="Y25"/>
    </sheetView>
  </sheetViews>
  <sheetFormatPr defaultRowHeight="13.5"/>
  <cols>
    <col min="1" max="1" width="34" style="189" bestFit="1" customWidth="1"/>
    <col min="2" max="2" width="12.75" style="189" bestFit="1" customWidth="1"/>
    <col min="3" max="5" width="12.75" style="189" hidden="1" customWidth="1"/>
    <col min="6" max="6" width="12.75" style="189" bestFit="1" customWidth="1"/>
    <col min="7" max="9" width="12.75" style="189" hidden="1" customWidth="1"/>
    <col min="10" max="10" width="12.75" style="189" bestFit="1" customWidth="1"/>
    <col min="11" max="13" width="12.75" style="189" hidden="1" customWidth="1"/>
    <col min="14" max="14" width="12.75" style="189" bestFit="1" customWidth="1"/>
    <col min="15" max="17" width="12.75" style="189" hidden="1" customWidth="1"/>
    <col min="18" max="18" width="12.75" style="189" bestFit="1" customWidth="1"/>
    <col min="19" max="21" width="12.75" style="189" hidden="1" customWidth="1"/>
    <col min="22" max="22" width="12.75" style="189" bestFit="1" customWidth="1"/>
    <col min="23" max="25" width="12.75" style="189" hidden="1" customWidth="1"/>
    <col min="26" max="26" width="12.75" style="189" bestFit="1" customWidth="1"/>
    <col min="27" max="29" width="12.75" style="189" hidden="1" customWidth="1"/>
    <col min="30" max="30" width="12.75" style="189" bestFit="1" customWidth="1"/>
    <col min="31" max="33" width="12.75" style="189" hidden="1" customWidth="1"/>
    <col min="34" max="34" width="12.75" style="189" bestFit="1" customWidth="1"/>
    <col min="35" max="37" width="12.75" style="189" hidden="1" customWidth="1"/>
    <col min="38" max="38" width="12.75" style="189" bestFit="1" customWidth="1"/>
    <col min="39" max="41" width="12.75" style="189" hidden="1" customWidth="1"/>
    <col min="42" max="42" width="13.875" style="189" bestFit="1" customWidth="1"/>
    <col min="43" max="45" width="13.875" style="189" hidden="1" customWidth="1"/>
    <col min="46" max="46" width="13.875" style="189" bestFit="1" customWidth="1"/>
    <col min="47" max="49" width="13.875" style="189" hidden="1" customWidth="1"/>
    <col min="50" max="50" width="12.75" style="189" bestFit="1" customWidth="1"/>
    <col min="51" max="53" width="13.875" style="189" hidden="1" customWidth="1"/>
    <col min="54" max="54" width="13.875" style="189" bestFit="1" customWidth="1"/>
    <col min="55" max="57" width="13.875" style="189" hidden="1" customWidth="1"/>
    <col min="58" max="58" width="13.875" style="189" bestFit="1" customWidth="1"/>
    <col min="59" max="60" width="12.75" style="189" hidden="1" customWidth="1"/>
    <col min="61" max="61" width="13.875" style="189" hidden="1" customWidth="1"/>
    <col min="62" max="62" width="13.875" style="189" bestFit="1" customWidth="1"/>
    <col min="63" max="65" width="13.875" style="189" hidden="1" customWidth="1"/>
    <col min="66" max="66" width="13.875" style="189" bestFit="1" customWidth="1"/>
    <col min="67" max="67" width="12.75" style="189" hidden="1" customWidth="1"/>
    <col min="68" max="69" width="13.875" style="189" hidden="1" customWidth="1"/>
    <col min="70" max="70" width="13.875" style="189" bestFit="1" customWidth="1"/>
    <col min="71" max="71" width="12.75" style="189" hidden="1" customWidth="1"/>
    <col min="72" max="72" width="12.75" style="189" bestFit="1" customWidth="1"/>
    <col min="73" max="73" width="12.75" style="189" hidden="1" customWidth="1"/>
    <col min="74" max="74" width="12.75" style="189" bestFit="1" customWidth="1"/>
    <col min="75" max="75" width="12.75" style="189" hidden="1" customWidth="1"/>
    <col min="76" max="76" width="12.75" style="189" bestFit="1" customWidth="1"/>
    <col min="77" max="77" width="12.75" style="189" hidden="1" customWidth="1"/>
    <col min="78" max="78" width="12.75" style="189" bestFit="1" customWidth="1"/>
    <col min="79" max="79" width="12.75" style="189" hidden="1" customWidth="1"/>
    <col min="80" max="80" width="12.75" style="189" bestFit="1" customWidth="1"/>
    <col min="81" max="81" width="12.75" style="189" hidden="1" customWidth="1"/>
    <col min="82" max="82" width="12.75" style="189" bestFit="1" customWidth="1"/>
    <col min="83" max="83" width="9.5" style="189" hidden="1" customWidth="1"/>
    <col min="84" max="16384" width="9" style="189"/>
  </cols>
  <sheetData>
    <row r="1" spans="1:83">
      <c r="A1" s="189">
        <v>600738</v>
      </c>
      <c r="B1" s="189">
        <v>20181231</v>
      </c>
      <c r="C1" s="189">
        <v>20180930</v>
      </c>
      <c r="D1" s="189">
        <v>20180630</v>
      </c>
      <c r="E1" s="189">
        <v>20180331</v>
      </c>
      <c r="F1" s="189">
        <v>20171231</v>
      </c>
      <c r="G1" s="189">
        <v>20170930</v>
      </c>
      <c r="H1" s="189">
        <v>20170630</v>
      </c>
      <c r="I1" s="189">
        <v>20170331</v>
      </c>
      <c r="J1" s="189">
        <v>20161231</v>
      </c>
      <c r="K1" s="189">
        <v>20160930</v>
      </c>
      <c r="L1" s="189">
        <v>20160630</v>
      </c>
      <c r="M1" s="189">
        <v>20160331</v>
      </c>
      <c r="N1" s="189">
        <v>20151231</v>
      </c>
      <c r="O1" s="189">
        <v>20150930</v>
      </c>
      <c r="P1" s="189">
        <v>20150630</v>
      </c>
      <c r="Q1" s="189">
        <v>20150331</v>
      </c>
      <c r="R1" s="189">
        <v>20141231</v>
      </c>
      <c r="S1" s="189">
        <v>20140930</v>
      </c>
      <c r="T1" s="189">
        <v>20140630</v>
      </c>
      <c r="U1" s="189">
        <v>20140331</v>
      </c>
      <c r="V1" s="189">
        <v>20131231</v>
      </c>
      <c r="W1" s="189">
        <v>20130930</v>
      </c>
      <c r="X1" s="189">
        <v>20130630</v>
      </c>
      <c r="Y1" s="189">
        <v>20130331</v>
      </c>
      <c r="Z1" s="189">
        <v>20121231</v>
      </c>
      <c r="AA1" s="189">
        <v>20120930</v>
      </c>
      <c r="AB1" s="189">
        <v>20120630</v>
      </c>
      <c r="AC1" s="189">
        <v>20120331</v>
      </c>
      <c r="AD1" s="189">
        <v>20111231</v>
      </c>
      <c r="AE1" s="189">
        <v>20110930</v>
      </c>
      <c r="AF1" s="189">
        <v>20110630</v>
      </c>
      <c r="AG1" s="189">
        <v>20110331</v>
      </c>
      <c r="AH1" s="189">
        <v>20101231</v>
      </c>
      <c r="AI1" s="189">
        <v>20100930</v>
      </c>
      <c r="AJ1" s="189">
        <v>20100630</v>
      </c>
      <c r="AK1" s="189">
        <v>20100331</v>
      </c>
      <c r="AL1" s="189">
        <v>20091231</v>
      </c>
      <c r="AM1" s="189">
        <v>20090930</v>
      </c>
      <c r="AN1" s="189">
        <v>20090630</v>
      </c>
      <c r="AO1" s="189">
        <v>20090331</v>
      </c>
      <c r="AP1" s="189">
        <v>20081231</v>
      </c>
      <c r="AQ1" s="189">
        <v>20080930</v>
      </c>
      <c r="AR1" s="189">
        <v>20080630</v>
      </c>
      <c r="AS1" s="189">
        <v>20080331</v>
      </c>
      <c r="AT1" s="189">
        <v>20071231</v>
      </c>
      <c r="AU1" s="189">
        <v>20070930</v>
      </c>
      <c r="AV1" s="189">
        <v>20070630</v>
      </c>
      <c r="AW1" s="189">
        <v>20070331</v>
      </c>
      <c r="AX1" s="189">
        <v>20061231</v>
      </c>
      <c r="AY1" s="189">
        <v>20060930</v>
      </c>
      <c r="AZ1" s="189">
        <v>20060630</v>
      </c>
      <c r="BA1" s="189">
        <v>20060331</v>
      </c>
      <c r="BB1" s="189">
        <v>20051231</v>
      </c>
      <c r="BC1" s="189">
        <v>20050930</v>
      </c>
      <c r="BD1" s="189">
        <v>20050630</v>
      </c>
      <c r="BE1" s="189">
        <v>20050331</v>
      </c>
      <c r="BF1" s="189">
        <v>20041231</v>
      </c>
      <c r="BG1" s="189">
        <v>20040930</v>
      </c>
      <c r="BH1" s="189">
        <v>20040630</v>
      </c>
      <c r="BI1" s="189">
        <v>20040331</v>
      </c>
      <c r="BJ1" s="189">
        <v>20031231</v>
      </c>
      <c r="BK1" s="189">
        <v>20030930</v>
      </c>
      <c r="BL1" s="189">
        <v>20030630</v>
      </c>
      <c r="BM1" s="189">
        <v>20030331</v>
      </c>
      <c r="BN1" s="189">
        <v>20021231</v>
      </c>
      <c r="BO1" s="189">
        <v>20020930</v>
      </c>
      <c r="BP1" s="189">
        <v>20020630</v>
      </c>
      <c r="BQ1" s="189">
        <v>20020331</v>
      </c>
      <c r="BR1" s="189">
        <v>20011231</v>
      </c>
      <c r="BS1" s="189">
        <v>20010630</v>
      </c>
      <c r="BT1" s="189">
        <v>20001231</v>
      </c>
      <c r="BU1" s="189">
        <v>20000630</v>
      </c>
      <c r="BV1" s="189">
        <v>19991231</v>
      </c>
      <c r="BW1" s="189">
        <v>19990630</v>
      </c>
      <c r="BX1" s="189">
        <v>19981231</v>
      </c>
      <c r="BY1" s="189">
        <v>19980630</v>
      </c>
      <c r="BZ1" s="189">
        <v>19971231</v>
      </c>
      <c r="CA1" s="189">
        <v>19970630</v>
      </c>
      <c r="CB1" s="189">
        <v>19961231</v>
      </c>
      <c r="CC1" s="189">
        <v>19960630</v>
      </c>
      <c r="CD1" s="189">
        <v>19951231</v>
      </c>
      <c r="CE1" s="189">
        <v>19700101</v>
      </c>
    </row>
    <row r="2" spans="1:83">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c r="CD2" s="189" t="s">
        <v>106</v>
      </c>
    </row>
    <row r="3" spans="1:83">
      <c r="A3" s="189" t="s">
        <v>107</v>
      </c>
    </row>
    <row r="4" spans="1:83">
      <c r="A4" s="189" t="s">
        <v>108</v>
      </c>
      <c r="B4" s="189">
        <v>2155521223.9499998</v>
      </c>
      <c r="C4" s="189">
        <v>2039684712.1300001</v>
      </c>
      <c r="D4" s="189">
        <v>556653696.96000004</v>
      </c>
      <c r="E4" s="189">
        <v>557236465.25</v>
      </c>
      <c r="F4" s="189">
        <v>574391369.42999995</v>
      </c>
      <c r="G4" s="189">
        <v>558981924.89999998</v>
      </c>
      <c r="H4" s="189">
        <v>1016788142.54</v>
      </c>
      <c r="I4" s="189">
        <v>395965208.88999999</v>
      </c>
      <c r="J4" s="189">
        <v>507240959.62</v>
      </c>
      <c r="K4" s="189">
        <v>311445664.36000001</v>
      </c>
      <c r="L4" s="189">
        <v>367671425.25999999</v>
      </c>
      <c r="M4" s="189">
        <v>430090948.51999998</v>
      </c>
      <c r="N4" s="189">
        <v>508533039.95999998</v>
      </c>
      <c r="O4" s="189">
        <v>524972994.91000003</v>
      </c>
      <c r="P4" s="189">
        <v>638821418.08000004</v>
      </c>
      <c r="Q4" s="189">
        <v>477002427.45999998</v>
      </c>
      <c r="R4" s="189">
        <v>567719426.66999996</v>
      </c>
      <c r="S4" s="189">
        <v>578861752.69000006</v>
      </c>
      <c r="T4" s="189">
        <v>501808367.13</v>
      </c>
      <c r="U4" s="189">
        <v>479868369.63</v>
      </c>
      <c r="V4" s="189">
        <v>549583979.64999998</v>
      </c>
      <c r="W4" s="189">
        <v>513744210.26999998</v>
      </c>
      <c r="X4" s="189">
        <v>513765908.52999997</v>
      </c>
      <c r="Y4" s="189">
        <v>658660647.01999998</v>
      </c>
      <c r="Z4" s="189">
        <v>494398377.69</v>
      </c>
      <c r="AA4" s="189">
        <v>404503143.63</v>
      </c>
      <c r="AB4" s="189">
        <v>356480597</v>
      </c>
      <c r="AC4" s="189">
        <v>403303556.31999999</v>
      </c>
      <c r="AD4" s="189">
        <v>379875420.54000002</v>
      </c>
      <c r="AE4" s="189">
        <v>277455824.85000002</v>
      </c>
      <c r="AF4" s="189">
        <v>222222532.72999999</v>
      </c>
      <c r="AG4" s="189">
        <v>219605497.69999999</v>
      </c>
      <c r="AH4" s="189">
        <v>241093108.11000001</v>
      </c>
      <c r="AI4" s="189">
        <v>157189312.25999999</v>
      </c>
      <c r="AJ4" s="189">
        <v>159798398.13</v>
      </c>
      <c r="AK4" s="189">
        <v>162409462.49000001</v>
      </c>
      <c r="AL4" s="189">
        <v>193835336.80000001</v>
      </c>
      <c r="AM4" s="189">
        <v>193710662.37</v>
      </c>
      <c r="AN4" s="189">
        <v>103592052.12</v>
      </c>
      <c r="AO4" s="189">
        <v>189282508.38</v>
      </c>
      <c r="AP4" s="189">
        <v>151439325.88</v>
      </c>
      <c r="AQ4" s="189">
        <v>89182571.659999996</v>
      </c>
      <c r="AR4" s="189">
        <v>99274764.560000002</v>
      </c>
      <c r="AS4" s="189">
        <v>255930045.44</v>
      </c>
      <c r="AT4" s="189">
        <v>182258867.08000001</v>
      </c>
      <c r="AU4" s="189">
        <v>168443373.06</v>
      </c>
      <c r="AV4" s="189">
        <v>154196295</v>
      </c>
      <c r="AW4" s="189">
        <v>153596864</v>
      </c>
      <c r="AX4" s="189">
        <v>137857048.25999999</v>
      </c>
      <c r="AY4" s="189">
        <v>104083187.73</v>
      </c>
      <c r="AZ4" s="189">
        <v>114679741.56999999</v>
      </c>
      <c r="BA4" s="189">
        <v>133739106.03</v>
      </c>
      <c r="BB4" s="189">
        <v>117198447.73</v>
      </c>
      <c r="BC4" s="189">
        <v>56070627.079999998</v>
      </c>
      <c r="BD4" s="189">
        <v>32622918.09</v>
      </c>
      <c r="BE4" s="189">
        <v>94584897.620000005</v>
      </c>
      <c r="BF4" s="189">
        <v>61454766.240000002</v>
      </c>
      <c r="BG4" s="189">
        <v>62006752.829999998</v>
      </c>
      <c r="BH4" s="189">
        <v>32628408.469999999</v>
      </c>
      <c r="BI4" s="189">
        <v>44781047.859999999</v>
      </c>
      <c r="BJ4" s="189">
        <v>41074854.469999999</v>
      </c>
      <c r="BK4" s="189">
        <v>62130508.920000002</v>
      </c>
      <c r="BL4" s="189">
        <v>34604648.25</v>
      </c>
      <c r="BM4" s="189">
        <v>43668661.299999997</v>
      </c>
      <c r="BN4" s="189">
        <v>30210315.129999999</v>
      </c>
      <c r="BO4" s="189">
        <v>28000868.899999999</v>
      </c>
      <c r="BP4" s="189">
        <v>38136868.890000001</v>
      </c>
      <c r="BQ4" s="189">
        <v>60436242.700000003</v>
      </c>
      <c r="BR4" s="189">
        <v>53415243.950000003</v>
      </c>
      <c r="BS4" s="189">
        <v>109618024.69</v>
      </c>
      <c r="BT4" s="189">
        <v>114411096.45999999</v>
      </c>
      <c r="BU4" s="189">
        <v>35424336.950000003</v>
      </c>
      <c r="BV4" s="189">
        <v>37575646.979999997</v>
      </c>
      <c r="BW4" s="189">
        <v>37029480.700000003</v>
      </c>
      <c r="BX4" s="189">
        <v>19469405.809999999</v>
      </c>
      <c r="BY4" s="189">
        <v>15652043.439999999</v>
      </c>
      <c r="BZ4" s="189">
        <v>12445769.810000001</v>
      </c>
      <c r="CA4" s="189">
        <v>0</v>
      </c>
      <c r="CB4" s="189">
        <v>31841340.420000002</v>
      </c>
      <c r="CC4" s="189">
        <v>22436951.84</v>
      </c>
      <c r="CD4" s="189">
        <v>16158482.800000001</v>
      </c>
      <c r="CE4" s="189">
        <v>0</v>
      </c>
    </row>
    <row r="5" spans="1:83">
      <c r="A5" s="189" t="s">
        <v>109</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0</v>
      </c>
      <c r="AD5" s="189">
        <v>0</v>
      </c>
      <c r="AE5" s="189">
        <v>0</v>
      </c>
      <c r="AF5" s="189">
        <v>0</v>
      </c>
      <c r="AG5" s="189">
        <v>0</v>
      </c>
      <c r="AH5" s="189">
        <v>0</v>
      </c>
      <c r="AI5" s="189">
        <v>0</v>
      </c>
      <c r="AJ5" s="189">
        <v>0</v>
      </c>
      <c r="AK5" s="189">
        <v>0</v>
      </c>
      <c r="AL5" s="189">
        <v>0</v>
      </c>
      <c r="AM5" s="189">
        <v>0</v>
      </c>
      <c r="AN5" s="189">
        <v>0</v>
      </c>
      <c r="AO5" s="189">
        <v>0</v>
      </c>
      <c r="AP5" s="189">
        <v>0</v>
      </c>
      <c r="AQ5" s="189">
        <v>0</v>
      </c>
      <c r="AR5" s="189">
        <v>0</v>
      </c>
      <c r="AS5" s="189">
        <v>0</v>
      </c>
      <c r="AT5" s="189">
        <v>0</v>
      </c>
      <c r="AU5" s="189">
        <v>0</v>
      </c>
      <c r="AV5" s="189">
        <v>0</v>
      </c>
      <c r="AW5" s="189">
        <v>1500000</v>
      </c>
      <c r="AX5" s="189">
        <v>0</v>
      </c>
      <c r="AY5" s="189">
        <v>0</v>
      </c>
      <c r="AZ5" s="189">
        <v>0</v>
      </c>
      <c r="BA5" s="189">
        <v>0</v>
      </c>
      <c r="BB5" s="189">
        <v>0</v>
      </c>
      <c r="BC5" s="189">
        <v>0</v>
      </c>
      <c r="BD5" s="189">
        <v>0</v>
      </c>
      <c r="BE5" s="189">
        <v>0</v>
      </c>
      <c r="BF5" s="189">
        <v>0</v>
      </c>
      <c r="BG5" s="189">
        <v>0</v>
      </c>
      <c r="BH5" s="189">
        <v>0</v>
      </c>
      <c r="BI5" s="189">
        <v>0</v>
      </c>
      <c r="BJ5" s="189">
        <v>0</v>
      </c>
      <c r="BK5" s="189">
        <v>0</v>
      </c>
      <c r="BL5" s="189">
        <v>0</v>
      </c>
      <c r="BM5" s="189">
        <v>12266102.84</v>
      </c>
      <c r="BN5" s="189">
        <v>12103902.33</v>
      </c>
      <c r="BO5" s="189">
        <v>15786806.16</v>
      </c>
      <c r="BP5" s="189">
        <v>20052509</v>
      </c>
      <c r="BQ5" s="189">
        <v>9589551.6899999995</v>
      </c>
      <c r="BR5" s="189">
        <v>9589551.6899999995</v>
      </c>
      <c r="BS5" s="189">
        <v>0</v>
      </c>
      <c r="BT5" s="189">
        <v>0</v>
      </c>
      <c r="BU5" s="189">
        <v>30000000</v>
      </c>
      <c r="BV5" s="189">
        <v>30000000</v>
      </c>
      <c r="BW5" s="189">
        <v>0</v>
      </c>
      <c r="BX5" s="189">
        <v>0</v>
      </c>
      <c r="BY5" s="189">
        <v>0</v>
      </c>
      <c r="BZ5" s="189">
        <v>0</v>
      </c>
      <c r="CA5" s="189">
        <v>0</v>
      </c>
      <c r="CB5" s="189">
        <v>380000</v>
      </c>
      <c r="CC5" s="189">
        <v>0</v>
      </c>
      <c r="CD5" s="189">
        <v>0</v>
      </c>
      <c r="CE5" s="189">
        <v>0</v>
      </c>
    </row>
    <row r="6" spans="1:83">
      <c r="A6" s="189" t="s">
        <v>110</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v>0</v>
      </c>
    </row>
    <row r="7" spans="1:83">
      <c r="A7" s="189" t="s">
        <v>111</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300000</v>
      </c>
      <c r="BN7" s="189">
        <v>0</v>
      </c>
      <c r="BO7" s="189">
        <v>50000</v>
      </c>
      <c r="BP7" s="189">
        <v>230000</v>
      </c>
      <c r="BQ7" s="189">
        <v>485000</v>
      </c>
      <c r="BR7" s="189">
        <v>455000</v>
      </c>
      <c r="BS7" s="189">
        <v>0</v>
      </c>
      <c r="BT7" s="189">
        <v>0</v>
      </c>
      <c r="BU7" s="189">
        <v>0</v>
      </c>
      <c r="BV7" s="189">
        <v>0</v>
      </c>
      <c r="BW7" s="189">
        <v>0</v>
      </c>
      <c r="BX7" s="189">
        <v>0</v>
      </c>
      <c r="BY7" s="189">
        <v>0</v>
      </c>
      <c r="BZ7" s="189">
        <v>0</v>
      </c>
      <c r="CA7" s="189">
        <v>0</v>
      </c>
      <c r="CB7" s="189">
        <v>0</v>
      </c>
      <c r="CC7" s="189">
        <v>0</v>
      </c>
      <c r="CD7" s="189">
        <v>0</v>
      </c>
      <c r="CE7" s="189">
        <v>0</v>
      </c>
    </row>
    <row r="8" spans="1:83">
      <c r="A8" s="189" t="s">
        <v>112</v>
      </c>
      <c r="B8" s="189">
        <v>2582404.09</v>
      </c>
      <c r="C8" s="189">
        <v>1773582.95</v>
      </c>
      <c r="D8" s="189">
        <v>1540240</v>
      </c>
      <c r="E8" s="189">
        <v>1860270.64</v>
      </c>
      <c r="F8" s="189">
        <v>2403014.08</v>
      </c>
      <c r="G8" s="189">
        <v>2968482.15</v>
      </c>
      <c r="H8" s="189">
        <v>929259.08</v>
      </c>
      <c r="I8" s="189">
        <v>1139708.1100000001</v>
      </c>
      <c r="J8" s="189">
        <v>1728994.47</v>
      </c>
      <c r="K8" s="189">
        <v>1114043.3999999999</v>
      </c>
      <c r="L8" s="189">
        <v>1631487.86</v>
      </c>
      <c r="M8" s="189">
        <v>1542733.16</v>
      </c>
      <c r="N8" s="189">
        <v>4025299.42</v>
      </c>
      <c r="O8" s="189">
        <v>918948</v>
      </c>
      <c r="P8" s="189">
        <v>221240</v>
      </c>
      <c r="Q8" s="189">
        <v>131650.5</v>
      </c>
      <c r="R8" s="189">
        <v>3964</v>
      </c>
      <c r="S8" s="189">
        <v>48942</v>
      </c>
      <c r="T8" s="189">
        <v>118193.4</v>
      </c>
      <c r="U8" s="189">
        <v>4091</v>
      </c>
      <c r="V8" s="189">
        <v>38228</v>
      </c>
      <c r="W8" s="189">
        <v>2364</v>
      </c>
      <c r="X8" s="189">
        <v>4132.2</v>
      </c>
      <c r="Y8" s="189">
        <v>0</v>
      </c>
      <c r="Z8" s="189">
        <v>70550</v>
      </c>
      <c r="AA8" s="189">
        <v>0</v>
      </c>
      <c r="AB8" s="189">
        <v>98128.5</v>
      </c>
      <c r="AC8" s="189">
        <v>905100</v>
      </c>
      <c r="AD8" s="189">
        <v>857374</v>
      </c>
      <c r="AE8" s="189">
        <v>0</v>
      </c>
      <c r="AF8" s="189">
        <v>0</v>
      </c>
      <c r="AG8" s="189">
        <v>0</v>
      </c>
      <c r="AH8" s="189">
        <v>1880549.98</v>
      </c>
      <c r="AI8" s="189">
        <v>0</v>
      </c>
      <c r="AJ8" s="189">
        <v>0</v>
      </c>
      <c r="AK8" s="189">
        <v>0</v>
      </c>
      <c r="AL8" s="189">
        <v>1292292.5</v>
      </c>
      <c r="AM8" s="189">
        <v>0</v>
      </c>
      <c r="AN8" s="189">
        <v>0</v>
      </c>
      <c r="AO8" s="189">
        <v>0</v>
      </c>
      <c r="AP8" s="189">
        <v>1454327.12</v>
      </c>
      <c r="AQ8" s="189">
        <v>0</v>
      </c>
      <c r="AR8" s="189">
        <v>0</v>
      </c>
      <c r="AS8" s="189">
        <v>0</v>
      </c>
      <c r="AT8" s="189">
        <v>295800</v>
      </c>
      <c r="AU8" s="189">
        <v>0</v>
      </c>
      <c r="AV8" s="189">
        <v>0</v>
      </c>
      <c r="AW8" s="189">
        <v>0</v>
      </c>
      <c r="AX8" s="189">
        <v>405608.45</v>
      </c>
      <c r="AY8" s="189">
        <v>81121.39</v>
      </c>
      <c r="AZ8" s="189">
        <v>40560.69</v>
      </c>
      <c r="BA8" s="189">
        <v>81121.39</v>
      </c>
      <c r="BB8" s="189">
        <v>380094.29</v>
      </c>
      <c r="BC8" s="189">
        <v>56560.69</v>
      </c>
      <c r="BD8" s="189">
        <v>56560.69</v>
      </c>
      <c r="BE8" s="189">
        <v>147180.26</v>
      </c>
      <c r="BF8" s="189">
        <v>122619.56</v>
      </c>
      <c r="BG8" s="189">
        <v>11985702.390000001</v>
      </c>
      <c r="BH8" s="189">
        <v>10383738.619999999</v>
      </c>
      <c r="BI8" s="189">
        <v>13736904.359999999</v>
      </c>
      <c r="BJ8" s="189">
        <v>9328200.9499999993</v>
      </c>
      <c r="BK8" s="189">
        <v>16147329.810000001</v>
      </c>
      <c r="BL8" s="189">
        <v>11589841.859999999</v>
      </c>
      <c r="BM8" s="189">
        <v>2448197.9</v>
      </c>
      <c r="BN8" s="189">
        <v>6936945.0099999998</v>
      </c>
      <c r="BO8" s="189">
        <v>1099929.74</v>
      </c>
      <c r="BP8" s="189">
        <v>1711695.16</v>
      </c>
      <c r="BQ8" s="189">
        <v>6789741.0800000001</v>
      </c>
      <c r="BR8" s="189">
        <v>6225938.3600000003</v>
      </c>
      <c r="BS8" s="189">
        <v>15365727.73</v>
      </c>
      <c r="BT8" s="189">
        <v>8577656.3800000008</v>
      </c>
      <c r="BU8" s="189">
        <v>6355291.96</v>
      </c>
      <c r="BV8" s="189">
        <v>4509445.41</v>
      </c>
      <c r="BW8" s="189">
        <v>4769462.33</v>
      </c>
      <c r="BX8" s="189">
        <v>23441982.440000001</v>
      </c>
      <c r="BY8" s="189">
        <v>10057552.609999999</v>
      </c>
      <c r="BZ8" s="189">
        <v>24109714.75</v>
      </c>
      <c r="CA8" s="189">
        <v>0</v>
      </c>
      <c r="CB8" s="189">
        <v>26509983.02</v>
      </c>
      <c r="CC8" s="189">
        <v>21647551.850000001</v>
      </c>
      <c r="CD8" s="189">
        <v>26252107.48</v>
      </c>
      <c r="CE8" s="189">
        <v>0</v>
      </c>
    </row>
    <row r="9" spans="1:83">
      <c r="A9" s="189" t="s">
        <v>113</v>
      </c>
      <c r="B9" s="189">
        <v>1442437.87</v>
      </c>
      <c r="C9" s="189">
        <v>4156706.53</v>
      </c>
      <c r="D9" s="189">
        <v>2659986.13</v>
      </c>
      <c r="E9" s="189">
        <v>8234402.9400000004</v>
      </c>
      <c r="F9" s="189">
        <v>316316.19</v>
      </c>
      <c r="G9" s="189">
        <v>5849698.2599999998</v>
      </c>
      <c r="H9" s="189">
        <v>120750.65</v>
      </c>
      <c r="I9" s="189">
        <v>3569438.06</v>
      </c>
      <c r="J9" s="189">
        <v>342318.52</v>
      </c>
      <c r="K9" s="189">
        <v>464010.67</v>
      </c>
      <c r="L9" s="189">
        <v>583869.07999999996</v>
      </c>
      <c r="M9" s="189">
        <v>530264.68999999994</v>
      </c>
      <c r="N9" s="189">
        <v>249736.63</v>
      </c>
      <c r="O9" s="189">
        <v>4610876.7</v>
      </c>
      <c r="P9" s="189">
        <v>674270</v>
      </c>
      <c r="Q9" s="189">
        <v>7684953</v>
      </c>
      <c r="R9" s="189">
        <v>146614.47</v>
      </c>
      <c r="S9" s="189">
        <v>1731851.55</v>
      </c>
      <c r="T9" s="189">
        <v>4341583.37</v>
      </c>
      <c r="U9" s="189">
        <v>18597438.170000002</v>
      </c>
      <c r="V9" s="189">
        <v>18986007.609999999</v>
      </c>
      <c r="W9" s="189">
        <v>38398507.579999998</v>
      </c>
      <c r="X9" s="189">
        <v>53689159.270000003</v>
      </c>
      <c r="Y9" s="189">
        <v>11314413.539999999</v>
      </c>
      <c r="Z9" s="189">
        <v>12661028.25</v>
      </c>
      <c r="AA9" s="189">
        <v>4887277.25</v>
      </c>
      <c r="AB9" s="189">
        <v>2345974.0699999998</v>
      </c>
      <c r="AC9" s="189">
        <v>7411842.0899999999</v>
      </c>
      <c r="AD9" s="189">
        <v>5009191.09</v>
      </c>
      <c r="AE9" s="189">
        <v>8368385.96</v>
      </c>
      <c r="AF9" s="189">
        <v>13216657.15</v>
      </c>
      <c r="AG9" s="189">
        <v>23106882.190000001</v>
      </c>
      <c r="AH9" s="189">
        <v>990548.33</v>
      </c>
      <c r="AI9" s="189">
        <v>12521148.92</v>
      </c>
      <c r="AJ9" s="189">
        <v>2716285.06</v>
      </c>
      <c r="AK9" s="189">
        <v>10741594.800000001</v>
      </c>
      <c r="AL9" s="189">
        <v>1676069.89</v>
      </c>
      <c r="AM9" s="189">
        <v>10170791.130000001</v>
      </c>
      <c r="AN9" s="189">
        <v>8103067.46</v>
      </c>
      <c r="AO9" s="189">
        <v>9983035.1099999994</v>
      </c>
      <c r="AP9" s="189">
        <v>7426608.6699999999</v>
      </c>
      <c r="AQ9" s="189">
        <v>32188994.879999999</v>
      </c>
      <c r="AR9" s="189">
        <v>26593216.809999999</v>
      </c>
      <c r="AS9" s="189">
        <v>38717299.780000001</v>
      </c>
      <c r="AT9" s="189">
        <v>16560956.390000001</v>
      </c>
      <c r="AU9" s="189">
        <v>31805841.02</v>
      </c>
      <c r="AV9" s="189">
        <v>33917637.469999999</v>
      </c>
      <c r="AW9" s="189">
        <v>26265928.350000001</v>
      </c>
      <c r="AX9" s="189">
        <v>12756960.01</v>
      </c>
      <c r="AY9" s="189">
        <v>12136395.369999999</v>
      </c>
      <c r="AZ9" s="189">
        <v>11580928.02</v>
      </c>
      <c r="BA9" s="189">
        <v>13301527.960000001</v>
      </c>
      <c r="BB9" s="189">
        <v>19565343.370000001</v>
      </c>
      <c r="BC9" s="189">
        <v>10666819.199999999</v>
      </c>
      <c r="BD9" s="189">
        <v>9176887.4299999997</v>
      </c>
      <c r="BE9" s="189">
        <v>7096202.9400000004</v>
      </c>
      <c r="BF9" s="189">
        <v>1838619.27</v>
      </c>
      <c r="BG9" s="189">
        <v>15207166.529999999</v>
      </c>
      <c r="BH9" s="189">
        <v>14747697.470000001</v>
      </c>
      <c r="BI9" s="189">
        <v>10318670.960000001</v>
      </c>
      <c r="BJ9" s="189">
        <v>15292725.15</v>
      </c>
      <c r="BK9" s="189">
        <v>17001924.690000001</v>
      </c>
      <c r="BL9" s="189">
        <v>10745350.279999999</v>
      </c>
      <c r="BM9" s="189">
        <v>21388686.670000002</v>
      </c>
      <c r="BN9" s="189">
        <v>23911872.859999999</v>
      </c>
      <c r="BO9" s="189">
        <v>24468279.370000001</v>
      </c>
      <c r="BP9" s="189">
        <v>30484927.18</v>
      </c>
      <c r="BQ9" s="189">
        <v>25005452.449999999</v>
      </c>
      <c r="BR9" s="189">
        <v>28428291.23</v>
      </c>
      <c r="BS9" s="189">
        <v>60190905.840000004</v>
      </c>
      <c r="BT9" s="189">
        <v>84136243.049999997</v>
      </c>
      <c r="BU9" s="189">
        <v>44523426.43</v>
      </c>
      <c r="BV9" s="189">
        <v>56750608.359999999</v>
      </c>
      <c r="BW9" s="189">
        <v>58647198.710000001</v>
      </c>
      <c r="BX9" s="189">
        <v>32875148.43</v>
      </c>
      <c r="BY9" s="189">
        <v>30046148.75</v>
      </c>
      <c r="BZ9" s="189">
        <v>37303561.240000002</v>
      </c>
      <c r="CA9" s="189">
        <v>0</v>
      </c>
      <c r="CB9" s="189">
        <v>31689869.379999999</v>
      </c>
      <c r="CC9" s="189">
        <v>36521146.380000003</v>
      </c>
      <c r="CD9" s="189">
        <v>31906999.27</v>
      </c>
      <c r="CE9" s="189">
        <v>0</v>
      </c>
    </row>
    <row r="10" spans="1:83">
      <c r="A10" s="189" t="s">
        <v>114</v>
      </c>
      <c r="B10" s="189">
        <v>0</v>
      </c>
      <c r="C10" s="189">
        <v>0</v>
      </c>
      <c r="D10" s="189">
        <v>0</v>
      </c>
      <c r="E10" s="189">
        <v>0</v>
      </c>
      <c r="F10" s="189">
        <v>0</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0</v>
      </c>
      <c r="W10" s="189">
        <v>0</v>
      </c>
      <c r="X10" s="189">
        <v>0</v>
      </c>
      <c r="Y10" s="189">
        <v>0</v>
      </c>
      <c r="Z10" s="189">
        <v>0</v>
      </c>
      <c r="AA10" s="189">
        <v>0</v>
      </c>
      <c r="AB10" s="189">
        <v>0</v>
      </c>
      <c r="AC10" s="189">
        <v>0</v>
      </c>
      <c r="AD10" s="189">
        <v>0</v>
      </c>
      <c r="AE10" s="189">
        <v>0</v>
      </c>
      <c r="AF10" s="189">
        <v>0</v>
      </c>
      <c r="AG10" s="189">
        <v>0</v>
      </c>
      <c r="AH10" s="189">
        <v>0</v>
      </c>
      <c r="AI10" s="189">
        <v>0</v>
      </c>
      <c r="AJ10" s="189">
        <v>0</v>
      </c>
      <c r="AK10" s="189">
        <v>0</v>
      </c>
      <c r="AL10" s="189">
        <v>0</v>
      </c>
      <c r="AM10" s="189">
        <v>0</v>
      </c>
      <c r="AN10" s="189">
        <v>0</v>
      </c>
      <c r="AO10" s="189">
        <v>0</v>
      </c>
      <c r="AP10" s="189">
        <v>0</v>
      </c>
      <c r="AQ10" s="189">
        <v>0</v>
      </c>
      <c r="AR10" s="189">
        <v>0</v>
      </c>
      <c r="AS10" s="189">
        <v>0</v>
      </c>
      <c r="AT10" s="189">
        <v>0</v>
      </c>
      <c r="AU10" s="189">
        <v>0</v>
      </c>
      <c r="AV10" s="189">
        <v>0</v>
      </c>
      <c r="AW10" s="189">
        <v>0</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c r="CE10" s="189">
        <v>0</v>
      </c>
    </row>
    <row r="11" spans="1:83">
      <c r="A11" s="189" t="s">
        <v>115</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0</v>
      </c>
      <c r="AR11" s="189">
        <v>0</v>
      </c>
      <c r="AS11" s="189">
        <v>0</v>
      </c>
      <c r="AT11" s="189">
        <v>0</v>
      </c>
      <c r="AU11" s="189">
        <v>0</v>
      </c>
      <c r="AV11" s="189">
        <v>0</v>
      </c>
      <c r="AW11" s="189">
        <v>0</v>
      </c>
      <c r="AX11" s="189">
        <v>0</v>
      </c>
      <c r="AY11" s="189">
        <v>0</v>
      </c>
      <c r="AZ11" s="189">
        <v>0</v>
      </c>
      <c r="BA11" s="189">
        <v>521280</v>
      </c>
      <c r="BB11" s="189">
        <v>521280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v>0</v>
      </c>
    </row>
    <row r="12" spans="1:83">
      <c r="A12" s="189" t="s">
        <v>116</v>
      </c>
      <c r="B12" s="189">
        <v>96452351.459999993</v>
      </c>
      <c r="C12" s="189">
        <v>106786026.91</v>
      </c>
      <c r="D12" s="189">
        <v>14235440.01</v>
      </c>
      <c r="E12" s="189">
        <v>14043807.949999999</v>
      </c>
      <c r="F12" s="189">
        <v>14235011.52</v>
      </c>
      <c r="G12" s="189">
        <v>16423151.050000001</v>
      </c>
      <c r="H12" s="189">
        <v>16888497.949999999</v>
      </c>
      <c r="I12" s="189">
        <v>21623253.079999998</v>
      </c>
      <c r="J12" s="189">
        <v>22118774.050000001</v>
      </c>
      <c r="K12" s="189">
        <v>24418201.399999999</v>
      </c>
      <c r="L12" s="189">
        <v>30103158.359999999</v>
      </c>
      <c r="M12" s="189">
        <v>29102146.52</v>
      </c>
      <c r="N12" s="189">
        <v>27847340.390000001</v>
      </c>
      <c r="O12" s="189">
        <v>35454227.979999997</v>
      </c>
      <c r="P12" s="189">
        <v>34622618.409999996</v>
      </c>
      <c r="Q12" s="189">
        <v>30616103.559999999</v>
      </c>
      <c r="R12" s="189">
        <v>27883508.649999999</v>
      </c>
      <c r="S12" s="189">
        <v>34295214.920000002</v>
      </c>
      <c r="T12" s="189">
        <v>38170545.490000002</v>
      </c>
      <c r="U12" s="189">
        <v>33597670</v>
      </c>
      <c r="V12" s="189">
        <v>29681021.890000001</v>
      </c>
      <c r="W12" s="189">
        <v>17387627.530000001</v>
      </c>
      <c r="X12" s="189">
        <v>19299428.800000001</v>
      </c>
      <c r="Y12" s="189">
        <v>17775027.649999999</v>
      </c>
      <c r="Z12" s="189">
        <v>16334451.58</v>
      </c>
      <c r="AA12" s="189">
        <v>17731602.629999999</v>
      </c>
      <c r="AB12" s="189">
        <v>18374972</v>
      </c>
      <c r="AC12" s="189">
        <v>17194568.329999998</v>
      </c>
      <c r="AD12" s="189">
        <v>13575461.77</v>
      </c>
      <c r="AE12" s="189">
        <v>14753722.630000001</v>
      </c>
      <c r="AF12" s="189">
        <v>17368197.68</v>
      </c>
      <c r="AG12" s="189">
        <v>19510345.469999999</v>
      </c>
      <c r="AH12" s="189">
        <v>22594271.09</v>
      </c>
      <c r="AI12" s="189">
        <v>63282326.579999998</v>
      </c>
      <c r="AJ12" s="189">
        <v>51450716.82</v>
      </c>
      <c r="AK12" s="189">
        <v>5597266.29</v>
      </c>
      <c r="AL12" s="189">
        <v>4702272.1399999997</v>
      </c>
      <c r="AM12" s="189">
        <v>4985772.4000000004</v>
      </c>
      <c r="AN12" s="189">
        <v>13259838.859999999</v>
      </c>
      <c r="AO12" s="189">
        <v>6028912.9400000004</v>
      </c>
      <c r="AP12" s="189">
        <v>5448415.75</v>
      </c>
      <c r="AQ12" s="189">
        <v>3965643.81</v>
      </c>
      <c r="AR12" s="189">
        <v>3867035.38</v>
      </c>
      <c r="AS12" s="189">
        <v>3616438.33</v>
      </c>
      <c r="AT12" s="189">
        <v>4244248.49</v>
      </c>
      <c r="AU12" s="189">
        <v>1432817.72</v>
      </c>
      <c r="AV12" s="189">
        <v>2412942.9300000002</v>
      </c>
      <c r="AW12" s="189">
        <v>1792675.86</v>
      </c>
      <c r="AX12" s="189">
        <v>3554580.59</v>
      </c>
      <c r="AY12" s="189">
        <v>2502206.62</v>
      </c>
      <c r="AZ12" s="189">
        <v>19309914</v>
      </c>
      <c r="BA12" s="189">
        <v>1686472.89</v>
      </c>
      <c r="BB12" s="189">
        <v>4814517.57</v>
      </c>
      <c r="BC12" s="189">
        <v>20012017.960000001</v>
      </c>
      <c r="BD12" s="189">
        <v>50746464.469999999</v>
      </c>
      <c r="BE12" s="189">
        <v>10248235.609999999</v>
      </c>
      <c r="BF12" s="189">
        <v>10486583.76</v>
      </c>
      <c r="BG12" s="189">
        <v>11928946.310000001</v>
      </c>
      <c r="BH12" s="189">
        <v>15386008.59</v>
      </c>
      <c r="BI12" s="189">
        <v>15631732</v>
      </c>
      <c r="BJ12" s="189">
        <v>12104306.720000001</v>
      </c>
      <c r="BK12" s="189">
        <v>13738845.77</v>
      </c>
      <c r="BL12" s="189">
        <v>17295847.550000001</v>
      </c>
      <c r="BM12" s="189">
        <v>28873122.07</v>
      </c>
      <c r="BN12" s="189">
        <v>17267215.239999998</v>
      </c>
      <c r="BO12" s="189">
        <v>33393974.300000001</v>
      </c>
      <c r="BP12" s="189">
        <v>29541225.710000001</v>
      </c>
      <c r="BQ12" s="189">
        <v>40977062.159999996</v>
      </c>
      <c r="BR12" s="189">
        <v>32197721.690000001</v>
      </c>
      <c r="BS12" s="189">
        <v>19176023.09</v>
      </c>
      <c r="BT12" s="189">
        <v>25409572.140000001</v>
      </c>
      <c r="BU12" s="189">
        <v>14545356.59</v>
      </c>
      <c r="BV12" s="189">
        <v>24787084</v>
      </c>
      <c r="BW12" s="189">
        <v>17307485.170000002</v>
      </c>
      <c r="BX12" s="189">
        <v>7443151.8899999997</v>
      </c>
      <c r="BY12" s="189">
        <v>19958896.66</v>
      </c>
      <c r="BZ12" s="189">
        <v>8692703.0899999999</v>
      </c>
      <c r="CA12" s="189">
        <v>0</v>
      </c>
      <c r="CB12" s="189">
        <v>17358416.66</v>
      </c>
      <c r="CC12" s="189">
        <v>10959162.52</v>
      </c>
      <c r="CD12" s="189">
        <v>13076208.58</v>
      </c>
      <c r="CE12" s="189">
        <v>0</v>
      </c>
    </row>
    <row r="13" spans="1:83">
      <c r="A13" s="189" t="s">
        <v>117</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c r="CE13" s="189">
        <v>0</v>
      </c>
    </row>
    <row r="14" spans="1:83">
      <c r="A14" s="189" t="s">
        <v>118</v>
      </c>
      <c r="B14" s="189">
        <v>1703121507.55</v>
      </c>
      <c r="C14" s="189">
        <v>1626671838.0999999</v>
      </c>
      <c r="D14" s="189">
        <v>1517725767.3599999</v>
      </c>
      <c r="E14" s="189">
        <v>1461413165.3099999</v>
      </c>
      <c r="F14" s="189">
        <v>1411011214.03</v>
      </c>
      <c r="G14" s="189">
        <v>1229352842.8199999</v>
      </c>
      <c r="H14" s="189">
        <v>1101743277.96</v>
      </c>
      <c r="I14" s="189">
        <v>1069750780.67</v>
      </c>
      <c r="J14" s="189">
        <v>1027982028.71</v>
      </c>
      <c r="K14" s="189">
        <v>835109492.42999995</v>
      </c>
      <c r="L14" s="189">
        <v>776846328.10000002</v>
      </c>
      <c r="M14" s="189">
        <v>719192643.84000003</v>
      </c>
      <c r="N14" s="189">
        <v>614275629.07000005</v>
      </c>
      <c r="O14" s="189">
        <v>557125843.02999997</v>
      </c>
      <c r="P14" s="189">
        <v>505870511.77999997</v>
      </c>
      <c r="Q14" s="189">
        <v>476261187.5</v>
      </c>
      <c r="R14" s="189">
        <v>419086735.13</v>
      </c>
      <c r="S14" s="189">
        <v>390509384.93000001</v>
      </c>
      <c r="T14" s="189">
        <v>308600397.57999998</v>
      </c>
      <c r="U14" s="189">
        <v>300415448.56</v>
      </c>
      <c r="V14" s="189">
        <v>272453534.61000001</v>
      </c>
      <c r="W14" s="189">
        <v>256863905.50999999</v>
      </c>
      <c r="X14" s="189">
        <v>237447648.44999999</v>
      </c>
      <c r="Y14" s="189">
        <v>236669877.18000001</v>
      </c>
      <c r="Z14" s="189">
        <v>227259184.93000001</v>
      </c>
      <c r="AA14" s="189">
        <v>237850811.77000001</v>
      </c>
      <c r="AB14" s="189">
        <v>215231795.5</v>
      </c>
      <c r="AC14" s="189">
        <v>200788327.71000001</v>
      </c>
      <c r="AD14" s="189">
        <v>204794937.12</v>
      </c>
      <c r="AE14" s="189">
        <v>169615513.09999999</v>
      </c>
      <c r="AF14" s="189">
        <v>159523141.62</v>
      </c>
      <c r="AG14" s="189">
        <v>159603146.58000001</v>
      </c>
      <c r="AH14" s="189">
        <v>161849164.44999999</v>
      </c>
      <c r="AI14" s="189">
        <v>149864377.43000001</v>
      </c>
      <c r="AJ14" s="189">
        <v>38256840.189999998</v>
      </c>
      <c r="AK14" s="189">
        <v>36252336.479999997</v>
      </c>
      <c r="AL14" s="189">
        <v>35161708.869999997</v>
      </c>
      <c r="AM14" s="189">
        <v>35103595.109999999</v>
      </c>
      <c r="AN14" s="189">
        <v>30890425.940000001</v>
      </c>
      <c r="AO14" s="189">
        <v>29457909.289999999</v>
      </c>
      <c r="AP14" s="189">
        <v>36369276.450000003</v>
      </c>
      <c r="AQ14" s="189">
        <v>27992038.949999999</v>
      </c>
      <c r="AR14" s="189">
        <v>26816045.329999998</v>
      </c>
      <c r="AS14" s="189">
        <v>26481975.859999999</v>
      </c>
      <c r="AT14" s="189">
        <v>21973207.600000001</v>
      </c>
      <c r="AU14" s="189">
        <v>18570646.609999999</v>
      </c>
      <c r="AV14" s="189">
        <v>11679930.49</v>
      </c>
      <c r="AW14" s="189">
        <v>20922970.390000001</v>
      </c>
      <c r="AX14" s="189">
        <v>14794056.880000001</v>
      </c>
      <c r="AY14" s="189">
        <v>14470479.880000001</v>
      </c>
      <c r="AZ14" s="189">
        <v>14457049.42</v>
      </c>
      <c r="BA14" s="189">
        <v>15129424.6</v>
      </c>
      <c r="BB14" s="189">
        <v>12950103.810000001</v>
      </c>
      <c r="BC14" s="189">
        <v>148100642.63999999</v>
      </c>
      <c r="BD14" s="189">
        <v>138947027.86000001</v>
      </c>
      <c r="BE14" s="189">
        <v>154071365.47</v>
      </c>
      <c r="BF14" s="189">
        <v>19152237.68</v>
      </c>
      <c r="BG14" s="189">
        <v>100766764.43000001</v>
      </c>
      <c r="BH14" s="189">
        <v>116461515.73999999</v>
      </c>
      <c r="BI14" s="189">
        <v>131457343.79000001</v>
      </c>
      <c r="BJ14" s="189">
        <v>139525445.55000001</v>
      </c>
      <c r="BK14" s="189">
        <v>117801556.81</v>
      </c>
      <c r="BL14" s="189">
        <v>163469678.34999999</v>
      </c>
      <c r="BM14" s="189">
        <v>110501318.98</v>
      </c>
      <c r="BN14" s="189">
        <v>160277455.80000001</v>
      </c>
      <c r="BO14" s="189">
        <v>251009548.19</v>
      </c>
      <c r="BP14" s="189">
        <v>133264477.09999999</v>
      </c>
      <c r="BQ14" s="189">
        <v>237604636.19</v>
      </c>
      <c r="BR14" s="189">
        <v>256056475.31</v>
      </c>
      <c r="BS14" s="189">
        <v>105432166.69</v>
      </c>
      <c r="BT14" s="189">
        <v>170337083.46000001</v>
      </c>
      <c r="BU14" s="189">
        <v>48627044.57</v>
      </c>
      <c r="BV14" s="189">
        <v>224233519.30000001</v>
      </c>
      <c r="BW14" s="189">
        <v>26863098.899999999</v>
      </c>
      <c r="BX14" s="189">
        <v>30705758.27</v>
      </c>
      <c r="BY14" s="189">
        <v>59854819.060000002</v>
      </c>
      <c r="BZ14" s="189">
        <v>53191769.899999999</v>
      </c>
      <c r="CA14" s="189">
        <v>0</v>
      </c>
      <c r="CB14" s="189">
        <v>73020337.180000007</v>
      </c>
      <c r="CC14" s="189">
        <v>68087726.290000007</v>
      </c>
      <c r="CD14" s="189">
        <v>63583545.560000002</v>
      </c>
      <c r="CE14" s="189">
        <v>0</v>
      </c>
    </row>
    <row r="15" spans="1:83">
      <c r="A15" s="189" t="s">
        <v>119</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c r="CE15" s="189">
        <v>0</v>
      </c>
    </row>
    <row r="16" spans="1:83">
      <c r="A16" s="189" t="s">
        <v>120</v>
      </c>
      <c r="B16" s="189">
        <v>0</v>
      </c>
      <c r="C16" s="189">
        <v>0</v>
      </c>
      <c r="D16" s="189">
        <v>0</v>
      </c>
      <c r="E16" s="189">
        <v>0</v>
      </c>
      <c r="F16" s="189">
        <v>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c r="BW16" s="189">
        <v>0</v>
      </c>
      <c r="BX16" s="189">
        <v>0</v>
      </c>
      <c r="BY16" s="189">
        <v>0</v>
      </c>
      <c r="BZ16" s="189">
        <v>0</v>
      </c>
      <c r="CA16" s="189">
        <v>0</v>
      </c>
      <c r="CB16" s="189">
        <v>0</v>
      </c>
      <c r="CC16" s="189">
        <v>0</v>
      </c>
      <c r="CD16" s="189">
        <v>0</v>
      </c>
      <c r="CE16" s="189">
        <v>0</v>
      </c>
    </row>
    <row r="17" spans="1:83">
      <c r="A17" s="189" t="s">
        <v>121</v>
      </c>
      <c r="B17" s="189">
        <v>0</v>
      </c>
      <c r="C17" s="189">
        <v>0</v>
      </c>
      <c r="D17" s="189">
        <v>0</v>
      </c>
      <c r="E17" s="189">
        <v>0</v>
      </c>
      <c r="F17" s="189">
        <v>0</v>
      </c>
      <c r="G17" s="189">
        <v>0</v>
      </c>
      <c r="H17" s="189">
        <v>0</v>
      </c>
      <c r="I17" s="189">
        <v>0</v>
      </c>
      <c r="J17" s="189">
        <v>0</v>
      </c>
      <c r="K17" s="189">
        <v>0</v>
      </c>
      <c r="L17" s="189">
        <v>0</v>
      </c>
      <c r="M17" s="189">
        <v>0</v>
      </c>
      <c r="N17" s="189">
        <v>0</v>
      </c>
      <c r="O17" s="189">
        <v>0</v>
      </c>
      <c r="P17" s="189">
        <v>0</v>
      </c>
      <c r="Q17" s="189">
        <v>0</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c r="AW17" s="189">
        <v>0</v>
      </c>
      <c r="AX17" s="189">
        <v>615516.94999999995</v>
      </c>
      <c r="AY17" s="189">
        <v>138255.6</v>
      </c>
      <c r="AZ17" s="189">
        <v>263450.67</v>
      </c>
      <c r="BA17" s="189">
        <v>-49050.04</v>
      </c>
      <c r="BB17" s="189">
        <v>575041.98</v>
      </c>
      <c r="BC17" s="189">
        <v>212635.18</v>
      </c>
      <c r="BD17" s="189">
        <v>12568</v>
      </c>
      <c r="BE17" s="189">
        <v>194327.95</v>
      </c>
      <c r="BF17" s="189">
        <v>125041.68</v>
      </c>
      <c r="BG17" s="189">
        <v>214113.17</v>
      </c>
      <c r="BH17" s="189">
        <v>29253.200000000001</v>
      </c>
      <c r="BI17" s="189">
        <v>409433.63</v>
      </c>
      <c r="BJ17" s="189">
        <v>1123024.1299999999</v>
      </c>
      <c r="BK17" s="189">
        <v>1736528.7</v>
      </c>
      <c r="BL17" s="189">
        <v>1950304.39</v>
      </c>
      <c r="BM17" s="189">
        <v>552941.69999999995</v>
      </c>
      <c r="BN17" s="189">
        <v>1605638.73</v>
      </c>
      <c r="BO17" s="189">
        <v>2905949.18</v>
      </c>
      <c r="BP17" s="189">
        <v>3419738.17</v>
      </c>
      <c r="BQ17" s="189">
        <v>1295061.93</v>
      </c>
      <c r="BR17" s="189">
        <v>3055168.13</v>
      </c>
      <c r="BS17" s="189">
        <v>2101464.79</v>
      </c>
      <c r="BT17" s="189">
        <v>962256.55</v>
      </c>
      <c r="BU17" s="189">
        <v>1460927.12</v>
      </c>
      <c r="BV17" s="189">
        <v>2020294.62</v>
      </c>
      <c r="BW17" s="189">
        <v>2687077.5</v>
      </c>
      <c r="BX17" s="189">
        <v>823935.29</v>
      </c>
      <c r="BY17" s="189">
        <v>3715376.33</v>
      </c>
      <c r="BZ17" s="189">
        <v>2888536.86</v>
      </c>
      <c r="CA17" s="189">
        <v>0</v>
      </c>
      <c r="CB17" s="189">
        <v>0</v>
      </c>
      <c r="CC17" s="189">
        <v>0</v>
      </c>
      <c r="CD17" s="189">
        <v>0</v>
      </c>
      <c r="CE17" s="189">
        <v>0</v>
      </c>
    </row>
    <row r="18" spans="1:83">
      <c r="A18" s="189" t="s">
        <v>122</v>
      </c>
      <c r="B18" s="189">
        <v>0</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0</v>
      </c>
      <c r="BV18" s="189">
        <v>0</v>
      </c>
      <c r="BW18" s="189">
        <v>0</v>
      </c>
      <c r="BX18" s="189">
        <v>0</v>
      </c>
      <c r="BY18" s="189">
        <v>0</v>
      </c>
      <c r="BZ18" s="189">
        <v>0</v>
      </c>
      <c r="CA18" s="189">
        <v>0</v>
      </c>
      <c r="CB18" s="189">
        <v>0</v>
      </c>
      <c r="CC18" s="189">
        <v>0</v>
      </c>
      <c r="CD18" s="189">
        <v>0</v>
      </c>
      <c r="CE18" s="189">
        <v>0</v>
      </c>
    </row>
    <row r="19" spans="1:83">
      <c r="A19" s="189" t="s">
        <v>123</v>
      </c>
      <c r="B19" s="189">
        <v>48170891.109999999</v>
      </c>
      <c r="C19" s="189">
        <v>47412355.140000001</v>
      </c>
      <c r="D19" s="189">
        <v>48442749.719999999</v>
      </c>
      <c r="E19" s="189">
        <v>46523907.460000001</v>
      </c>
      <c r="F19" s="189">
        <v>39499648.280000001</v>
      </c>
      <c r="G19" s="189">
        <v>49281937.460000001</v>
      </c>
      <c r="H19" s="189">
        <v>44313774.280000001</v>
      </c>
      <c r="I19" s="189">
        <v>22540239.969999999</v>
      </c>
      <c r="J19" s="189">
        <v>14501483.58</v>
      </c>
      <c r="K19" s="189">
        <v>6914246.9199999999</v>
      </c>
      <c r="L19" s="189">
        <v>5576241.6900000004</v>
      </c>
      <c r="M19" s="189">
        <v>5260387.08</v>
      </c>
      <c r="N19" s="189">
        <v>6898461.5599999996</v>
      </c>
      <c r="O19" s="189">
        <v>3056390.69</v>
      </c>
      <c r="P19" s="189">
        <v>3686596.98</v>
      </c>
      <c r="Q19" s="189">
        <v>5265948.08</v>
      </c>
      <c r="R19" s="189">
        <v>7005741.0099999998</v>
      </c>
      <c r="S19" s="189">
        <v>3240719.38</v>
      </c>
      <c r="T19" s="189">
        <v>2518234.5299999998</v>
      </c>
      <c r="U19" s="189">
        <v>3436533.79</v>
      </c>
      <c r="V19" s="189">
        <v>4644197.26</v>
      </c>
      <c r="W19" s="189">
        <v>109182.79</v>
      </c>
      <c r="X19" s="189">
        <v>1380722.91</v>
      </c>
      <c r="Y19" s="189">
        <v>1822915.99</v>
      </c>
      <c r="Z19" s="189">
        <v>2473389.11</v>
      </c>
      <c r="AA19" s="189">
        <v>120864.48</v>
      </c>
      <c r="AB19" s="189">
        <v>170738.1</v>
      </c>
      <c r="AC19" s="189">
        <v>23259.13</v>
      </c>
      <c r="AD19" s="189">
        <v>69384.87</v>
      </c>
      <c r="AE19" s="189">
        <v>122677.32</v>
      </c>
      <c r="AF19" s="189">
        <v>179553.06</v>
      </c>
      <c r="AG19" s="189">
        <v>67465.45</v>
      </c>
      <c r="AH19" s="189">
        <v>145597.54999999999</v>
      </c>
      <c r="AI19" s="189">
        <v>173562.95</v>
      </c>
      <c r="AJ19" s="189">
        <v>240945.02</v>
      </c>
      <c r="AK19" s="189">
        <v>45385.72</v>
      </c>
      <c r="AL19" s="189">
        <v>116031.76</v>
      </c>
      <c r="AM19" s="189">
        <v>186677.8</v>
      </c>
      <c r="AN19" s="189">
        <v>246639.26</v>
      </c>
      <c r="AO19" s="189">
        <v>300294.90999999997</v>
      </c>
      <c r="AP19" s="189">
        <v>620610.47</v>
      </c>
      <c r="AQ19" s="189">
        <v>1084138.05</v>
      </c>
      <c r="AR19" s="189">
        <v>1661825.45</v>
      </c>
      <c r="AS19" s="189">
        <v>692902.82</v>
      </c>
      <c r="AT19" s="189">
        <v>633517.74</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2090282.02</v>
      </c>
      <c r="BT19" s="189">
        <v>1966412.17</v>
      </c>
      <c r="BU19" s="189">
        <v>1182449.54</v>
      </c>
      <c r="BV19" s="189">
        <v>421962.64</v>
      </c>
      <c r="BW19" s="189">
        <v>0</v>
      </c>
      <c r="BX19" s="189">
        <v>0</v>
      </c>
      <c r="BY19" s="189">
        <v>0</v>
      </c>
      <c r="BZ19" s="189">
        <v>0</v>
      </c>
      <c r="CA19" s="189">
        <v>0</v>
      </c>
      <c r="CB19" s="189">
        <v>0</v>
      </c>
      <c r="CC19" s="189">
        <v>0</v>
      </c>
      <c r="CD19" s="189">
        <v>0</v>
      </c>
      <c r="CE19" s="189">
        <v>0</v>
      </c>
    </row>
    <row r="20" spans="1:83">
      <c r="A20" s="189" t="s">
        <v>124</v>
      </c>
      <c r="B20" s="189">
        <v>4007290816.0300002</v>
      </c>
      <c r="C20" s="189">
        <v>3826485221.7600002</v>
      </c>
      <c r="D20" s="189">
        <v>2141257880.1800001</v>
      </c>
      <c r="E20" s="189">
        <v>2089312019.55</v>
      </c>
      <c r="F20" s="189">
        <v>2041856573.53</v>
      </c>
      <c r="G20" s="189">
        <v>1862858036.6400001</v>
      </c>
      <c r="H20" s="189">
        <v>2180783702.46</v>
      </c>
      <c r="I20" s="189">
        <v>1514588628.78</v>
      </c>
      <c r="J20" s="189">
        <v>1573914558.95</v>
      </c>
      <c r="K20" s="189">
        <v>1179465659.1800001</v>
      </c>
      <c r="L20" s="189">
        <v>1182412510.3499999</v>
      </c>
      <c r="M20" s="189">
        <v>1185719123.8099999</v>
      </c>
      <c r="N20" s="189">
        <v>1161829507.03</v>
      </c>
      <c r="O20" s="189">
        <v>1126139281.3099999</v>
      </c>
      <c r="P20" s="189">
        <v>1183896655.25</v>
      </c>
      <c r="Q20" s="189">
        <v>996962270.10000002</v>
      </c>
      <c r="R20" s="189">
        <v>1021845989.9299999</v>
      </c>
      <c r="S20" s="189">
        <v>1008687865.47</v>
      </c>
      <c r="T20" s="189">
        <v>855557321.5</v>
      </c>
      <c r="U20" s="189">
        <v>835919551.14999998</v>
      </c>
      <c r="V20" s="189">
        <v>875386969.01999998</v>
      </c>
      <c r="W20" s="189">
        <v>826505797.67999995</v>
      </c>
      <c r="X20" s="189">
        <v>825587000.15999997</v>
      </c>
      <c r="Y20" s="189">
        <v>926242881.38</v>
      </c>
      <c r="Z20" s="189">
        <v>753196981.55999994</v>
      </c>
      <c r="AA20" s="189">
        <v>665093699.75999999</v>
      </c>
      <c r="AB20" s="189">
        <v>592702205.16999996</v>
      </c>
      <c r="AC20" s="189">
        <v>629626653.58000004</v>
      </c>
      <c r="AD20" s="189">
        <v>604181769.38999999</v>
      </c>
      <c r="AE20" s="189">
        <v>470316123.86000001</v>
      </c>
      <c r="AF20" s="189">
        <v>412510082.24000001</v>
      </c>
      <c r="AG20" s="189">
        <v>421893337.38999999</v>
      </c>
      <c r="AH20" s="189">
        <v>428553239.50999999</v>
      </c>
      <c r="AI20" s="189">
        <v>383030728.13999999</v>
      </c>
      <c r="AJ20" s="189">
        <v>252463185.22</v>
      </c>
      <c r="AK20" s="189">
        <v>215046045.78</v>
      </c>
      <c r="AL20" s="189">
        <v>236783711.96000001</v>
      </c>
      <c r="AM20" s="189">
        <v>244157498.81</v>
      </c>
      <c r="AN20" s="189">
        <v>156092023.63999999</v>
      </c>
      <c r="AO20" s="189">
        <v>235052660.63</v>
      </c>
      <c r="AP20" s="189">
        <v>202758564.34</v>
      </c>
      <c r="AQ20" s="189">
        <v>154413387.34999999</v>
      </c>
      <c r="AR20" s="189">
        <v>158212887.53</v>
      </c>
      <c r="AS20" s="189">
        <v>325438662.23000002</v>
      </c>
      <c r="AT20" s="189">
        <v>225966597.30000001</v>
      </c>
      <c r="AU20" s="189">
        <v>220252678.41</v>
      </c>
      <c r="AV20" s="189">
        <v>202206805.88999999</v>
      </c>
      <c r="AW20" s="189">
        <v>204078438.59999999</v>
      </c>
      <c r="AX20" s="189">
        <v>169983771.13999999</v>
      </c>
      <c r="AY20" s="189">
        <v>133411646.59</v>
      </c>
      <c r="AZ20" s="189">
        <v>160331644.37</v>
      </c>
      <c r="BA20" s="189">
        <v>164409882.83000001</v>
      </c>
      <c r="BB20" s="189">
        <v>156004828.75</v>
      </c>
      <c r="BC20" s="189">
        <v>235119302.75</v>
      </c>
      <c r="BD20" s="189">
        <v>231562426.53999999</v>
      </c>
      <c r="BE20" s="189">
        <v>266342209.84999999</v>
      </c>
      <c r="BF20" s="189">
        <v>93179868.189999998</v>
      </c>
      <c r="BG20" s="189">
        <v>202109445.66</v>
      </c>
      <c r="BH20" s="189">
        <v>189636622.09</v>
      </c>
      <c r="BI20" s="189">
        <v>216335132.59999999</v>
      </c>
      <c r="BJ20" s="189">
        <v>220147391.75</v>
      </c>
      <c r="BK20" s="189">
        <v>232610543.84</v>
      </c>
      <c r="BL20" s="189">
        <v>244478647.36000001</v>
      </c>
      <c r="BM20" s="189">
        <v>223699064.00999999</v>
      </c>
      <c r="BN20" s="189">
        <v>256317127.63999999</v>
      </c>
      <c r="BO20" s="189">
        <v>361995860.26999998</v>
      </c>
      <c r="BP20" s="189">
        <v>262632696.97999999</v>
      </c>
      <c r="BQ20" s="189">
        <v>387811059.25999999</v>
      </c>
      <c r="BR20" s="189">
        <v>395490849.56</v>
      </c>
      <c r="BS20" s="189">
        <v>319567194.85000002</v>
      </c>
      <c r="BT20" s="189">
        <v>414134633.06</v>
      </c>
      <c r="BU20" s="189">
        <v>189888064.24000001</v>
      </c>
      <c r="BV20" s="189">
        <v>387864912.89999998</v>
      </c>
      <c r="BW20" s="189">
        <v>147303803.31</v>
      </c>
      <c r="BX20" s="189">
        <v>114759409.13</v>
      </c>
      <c r="BY20" s="189">
        <v>139284836.84999999</v>
      </c>
      <c r="BZ20" s="189">
        <v>138632055.65000001</v>
      </c>
      <c r="CA20" s="189">
        <v>115832765.39</v>
      </c>
      <c r="CB20" s="189">
        <v>180799946.66</v>
      </c>
      <c r="CC20" s="189">
        <v>159652538.88</v>
      </c>
      <c r="CD20" s="189">
        <v>150977343.69</v>
      </c>
      <c r="CE20" s="189">
        <v>0</v>
      </c>
    </row>
    <row r="21" spans="1:83">
      <c r="A21" s="189" t="s">
        <v>125</v>
      </c>
    </row>
    <row r="22" spans="1:83">
      <c r="A22" s="189" t="s">
        <v>126</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v>0</v>
      </c>
    </row>
    <row r="23" spans="1:83">
      <c r="A23" s="189" t="s">
        <v>127</v>
      </c>
      <c r="B23" s="189">
        <v>325800124</v>
      </c>
      <c r="C23" s="189">
        <v>322590111.10000002</v>
      </c>
      <c r="D23" s="189">
        <v>116132120</v>
      </c>
      <c r="E23" s="189">
        <v>116132120</v>
      </c>
      <c r="F23" s="189">
        <v>116132120</v>
      </c>
      <c r="G23" s="189">
        <v>116132120</v>
      </c>
      <c r="H23" s="189">
        <v>116132120</v>
      </c>
      <c r="I23" s="189">
        <v>116132120</v>
      </c>
      <c r="J23" s="189">
        <v>116132120</v>
      </c>
      <c r="K23" s="189">
        <v>116132120</v>
      </c>
      <c r="L23" s="189">
        <v>116132120</v>
      </c>
      <c r="M23" s="189">
        <v>116132120</v>
      </c>
      <c r="N23" s="189">
        <v>116132120</v>
      </c>
      <c r="O23" s="189">
        <v>86589600</v>
      </c>
      <c r="P23" s="189">
        <v>86589600</v>
      </c>
      <c r="Q23" s="189">
        <v>86589600</v>
      </c>
      <c r="R23" s="189">
        <v>86589600</v>
      </c>
      <c r="S23" s="189">
        <v>86589600</v>
      </c>
      <c r="T23" s="189">
        <v>0</v>
      </c>
      <c r="U23" s="189">
        <v>0</v>
      </c>
      <c r="V23" s="189">
        <v>0</v>
      </c>
      <c r="W23" s="189">
        <v>0</v>
      </c>
      <c r="X23" s="189">
        <v>0</v>
      </c>
      <c r="Y23" s="189">
        <v>0</v>
      </c>
      <c r="Z23" s="189">
        <v>0</v>
      </c>
      <c r="AA23" s="189">
        <v>0</v>
      </c>
      <c r="AB23" s="189">
        <v>0</v>
      </c>
      <c r="AC23" s="189">
        <v>0</v>
      </c>
      <c r="AD23" s="189">
        <v>0</v>
      </c>
      <c r="AE23" s="189">
        <v>0</v>
      </c>
      <c r="AF23" s="189">
        <v>0</v>
      </c>
      <c r="AG23" s="189">
        <v>0</v>
      </c>
      <c r="AH23" s="189">
        <v>0</v>
      </c>
      <c r="AI23" s="189">
        <v>0</v>
      </c>
      <c r="AJ23" s="189">
        <v>0</v>
      </c>
      <c r="AK23" s="189">
        <v>0</v>
      </c>
      <c r="AL23" s="189">
        <v>0</v>
      </c>
      <c r="AM23" s="189">
        <v>0</v>
      </c>
      <c r="AN23" s="189">
        <v>0</v>
      </c>
      <c r="AO23" s="189">
        <v>0</v>
      </c>
      <c r="AP23" s="189">
        <v>0</v>
      </c>
      <c r="AQ23" s="189">
        <v>0</v>
      </c>
      <c r="AR23" s="189">
        <v>0</v>
      </c>
      <c r="AS23" s="189">
        <v>0</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c r="BW23" s="189">
        <v>0</v>
      </c>
      <c r="BX23" s="189">
        <v>0</v>
      </c>
      <c r="BY23" s="189">
        <v>0</v>
      </c>
      <c r="BZ23" s="189">
        <v>0</v>
      </c>
      <c r="CA23" s="189">
        <v>0</v>
      </c>
      <c r="CB23" s="189">
        <v>0</v>
      </c>
      <c r="CC23" s="189">
        <v>0</v>
      </c>
      <c r="CD23" s="189">
        <v>0</v>
      </c>
      <c r="CE23" s="189">
        <v>0</v>
      </c>
    </row>
    <row r="24" spans="1:83">
      <c r="A24" s="189" t="s">
        <v>128</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0</v>
      </c>
      <c r="W24" s="189">
        <v>0</v>
      </c>
      <c r="X24" s="189">
        <v>0</v>
      </c>
      <c r="Y24" s="189">
        <v>0</v>
      </c>
      <c r="Z24" s="189">
        <v>0</v>
      </c>
      <c r="AA24" s="189">
        <v>0</v>
      </c>
      <c r="AB24" s="189">
        <v>0</v>
      </c>
      <c r="AC24" s="189">
        <v>0</v>
      </c>
      <c r="AD24" s="189">
        <v>0</v>
      </c>
      <c r="AE24" s="189">
        <v>0</v>
      </c>
      <c r="AF24" s="189">
        <v>0</v>
      </c>
      <c r="AG24" s="189">
        <v>0</v>
      </c>
      <c r="AH24" s="189">
        <v>0</v>
      </c>
      <c r="AI24" s="189">
        <v>0</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0</v>
      </c>
      <c r="BK24" s="189">
        <v>0</v>
      </c>
      <c r="BL24" s="189">
        <v>4661.6000000000004</v>
      </c>
      <c r="BM24" s="189">
        <v>0</v>
      </c>
      <c r="BN24" s="189">
        <v>0</v>
      </c>
      <c r="BO24" s="189">
        <v>4661.6000000000004</v>
      </c>
      <c r="BP24" s="189">
        <v>4661.6000000000004</v>
      </c>
      <c r="BQ24" s="189">
        <v>4661.6000000000004</v>
      </c>
      <c r="BR24" s="189">
        <v>4661.6000000000004</v>
      </c>
      <c r="BS24" s="189">
        <v>4661.6000000000004</v>
      </c>
      <c r="BT24" s="189">
        <v>4661.6000000000004</v>
      </c>
      <c r="BU24" s="189">
        <v>0</v>
      </c>
      <c r="BV24" s="189">
        <v>4661.6000000000004</v>
      </c>
      <c r="BW24" s="189">
        <v>0</v>
      </c>
      <c r="BX24" s="189">
        <v>0</v>
      </c>
      <c r="BY24" s="189">
        <v>0</v>
      </c>
      <c r="BZ24" s="189">
        <v>0</v>
      </c>
      <c r="CA24" s="189">
        <v>0</v>
      </c>
      <c r="CB24" s="189">
        <v>0</v>
      </c>
      <c r="CC24" s="189">
        <v>0</v>
      </c>
      <c r="CD24" s="189">
        <v>0</v>
      </c>
      <c r="CE24" s="189">
        <v>0</v>
      </c>
    </row>
    <row r="25" spans="1:83">
      <c r="A25" s="189" t="s">
        <v>129</v>
      </c>
      <c r="B25" s="189">
        <v>0</v>
      </c>
      <c r="C25" s="189">
        <v>0</v>
      </c>
      <c r="D25" s="189">
        <v>0</v>
      </c>
      <c r="E25" s="189">
        <v>0</v>
      </c>
      <c r="F25" s="189">
        <v>0</v>
      </c>
      <c r="G25" s="189">
        <v>0</v>
      </c>
      <c r="H25" s="189">
        <v>0</v>
      </c>
      <c r="I25" s="189">
        <v>0</v>
      </c>
      <c r="J25" s="189">
        <v>0</v>
      </c>
      <c r="K25" s="189">
        <v>0</v>
      </c>
      <c r="L25" s="189">
        <v>0</v>
      </c>
      <c r="M25" s="189">
        <v>0</v>
      </c>
      <c r="N25" s="189">
        <v>0</v>
      </c>
      <c r="O25" s="189">
        <v>0</v>
      </c>
      <c r="P25" s="189">
        <v>0</v>
      </c>
      <c r="Q25" s="189">
        <v>0</v>
      </c>
      <c r="R25" s="189">
        <v>0</v>
      </c>
      <c r="S25" s="189">
        <v>0</v>
      </c>
      <c r="T25" s="189">
        <v>0</v>
      </c>
      <c r="U25" s="189">
        <v>0</v>
      </c>
      <c r="V25" s="189">
        <v>0</v>
      </c>
      <c r="W25" s="189">
        <v>0</v>
      </c>
      <c r="X25" s="189">
        <v>0</v>
      </c>
      <c r="Y25" s="189">
        <v>0</v>
      </c>
      <c r="Z25" s="189">
        <v>0</v>
      </c>
      <c r="AA25" s="189">
        <v>0</v>
      </c>
      <c r="AB25" s="189">
        <v>0</v>
      </c>
      <c r="AC25" s="189">
        <v>0</v>
      </c>
      <c r="AD25" s="189">
        <v>0</v>
      </c>
      <c r="AE25" s="189">
        <v>0</v>
      </c>
      <c r="AF25" s="189">
        <v>0</v>
      </c>
      <c r="AG25" s="189">
        <v>0</v>
      </c>
      <c r="AH25" s="189">
        <v>0</v>
      </c>
      <c r="AI25" s="189">
        <v>0</v>
      </c>
      <c r="AJ25" s="189">
        <v>0</v>
      </c>
      <c r="AK25" s="189">
        <v>0</v>
      </c>
      <c r="AL25" s="189">
        <v>0</v>
      </c>
      <c r="AM25" s="189">
        <v>0</v>
      </c>
      <c r="AN25" s="189">
        <v>0</v>
      </c>
      <c r="AO25" s="189">
        <v>0</v>
      </c>
      <c r="AP25" s="189">
        <v>0</v>
      </c>
      <c r="AQ25" s="189">
        <v>0</v>
      </c>
      <c r="AR25" s="189">
        <v>0</v>
      </c>
      <c r="AS25" s="189">
        <v>0</v>
      </c>
      <c r="AT25" s="189">
        <v>0</v>
      </c>
      <c r="AU25" s="189">
        <v>0</v>
      </c>
      <c r="AV25" s="189">
        <v>0</v>
      </c>
      <c r="AW25" s="189">
        <v>0</v>
      </c>
      <c r="AX25" s="189">
        <v>0</v>
      </c>
      <c r="AY25" s="189">
        <v>0</v>
      </c>
      <c r="AZ25" s="189">
        <v>0</v>
      </c>
      <c r="BA25" s="189">
        <v>0</v>
      </c>
      <c r="BB25" s="189">
        <v>0</v>
      </c>
      <c r="BC25" s="189">
        <v>0</v>
      </c>
      <c r="BD25" s="189">
        <v>0</v>
      </c>
      <c r="BE25" s="189">
        <v>0</v>
      </c>
      <c r="BF25" s="189">
        <v>0</v>
      </c>
      <c r="BG25" s="189">
        <v>0</v>
      </c>
      <c r="BH25" s="189">
        <v>0</v>
      </c>
      <c r="BI25" s="189">
        <v>0</v>
      </c>
      <c r="BJ25" s="189">
        <v>0</v>
      </c>
      <c r="BK25" s="189">
        <v>0</v>
      </c>
      <c r="BL25" s="189">
        <v>0</v>
      </c>
      <c r="BM25" s="189">
        <v>0</v>
      </c>
      <c r="BN25" s="189">
        <v>0</v>
      </c>
      <c r="BO25" s="189">
        <v>0</v>
      </c>
      <c r="BP25" s="189">
        <v>0</v>
      </c>
      <c r="BQ25" s="189">
        <v>0</v>
      </c>
      <c r="BR25" s="189">
        <v>0</v>
      </c>
      <c r="BS25" s="189">
        <v>0</v>
      </c>
      <c r="BT25" s="189">
        <v>0</v>
      </c>
      <c r="BU25" s="189">
        <v>0</v>
      </c>
      <c r="BV25" s="189">
        <v>0</v>
      </c>
      <c r="BW25" s="189">
        <v>0</v>
      </c>
      <c r="BX25" s="189">
        <v>0</v>
      </c>
      <c r="BY25" s="189">
        <v>0</v>
      </c>
      <c r="BZ25" s="189">
        <v>0</v>
      </c>
      <c r="CA25" s="189">
        <v>0</v>
      </c>
      <c r="CB25" s="189">
        <v>0</v>
      </c>
      <c r="CC25" s="189">
        <v>0</v>
      </c>
      <c r="CD25" s="189">
        <v>0</v>
      </c>
      <c r="CE25" s="189">
        <v>0</v>
      </c>
    </row>
    <row r="26" spans="1:83">
      <c r="A26" s="189" t="s">
        <v>130</v>
      </c>
      <c r="B26" s="189">
        <v>0</v>
      </c>
      <c r="C26" s="189">
        <v>0</v>
      </c>
      <c r="D26" s="189">
        <v>0</v>
      </c>
      <c r="E26" s="189">
        <v>0</v>
      </c>
      <c r="F26" s="189">
        <v>0</v>
      </c>
      <c r="G26" s="189">
        <v>0</v>
      </c>
      <c r="H26" s="189">
        <v>0</v>
      </c>
      <c r="I26" s="189">
        <v>0</v>
      </c>
      <c r="J26" s="189">
        <v>0</v>
      </c>
      <c r="K26" s="189">
        <v>0</v>
      </c>
      <c r="L26" s="189">
        <v>0</v>
      </c>
      <c r="M26" s="189">
        <v>0</v>
      </c>
      <c r="N26" s="189">
        <v>0</v>
      </c>
      <c r="O26" s="189">
        <v>0</v>
      </c>
      <c r="P26" s="189">
        <v>0</v>
      </c>
      <c r="Q26" s="189">
        <v>0</v>
      </c>
      <c r="R26" s="189">
        <v>0</v>
      </c>
      <c r="S26" s="189">
        <v>0</v>
      </c>
      <c r="T26" s="189">
        <v>86589600</v>
      </c>
      <c r="U26" s="189">
        <v>86589600</v>
      </c>
      <c r="V26" s="189">
        <v>86589600</v>
      </c>
      <c r="W26" s="189">
        <v>86589600</v>
      </c>
      <c r="X26" s="189">
        <v>59550000</v>
      </c>
      <c r="Y26" s="189">
        <v>59550000</v>
      </c>
      <c r="Z26" s="189">
        <v>59550000</v>
      </c>
      <c r="AA26" s="189">
        <v>59550000</v>
      </c>
      <c r="AB26" s="189">
        <v>59550000</v>
      </c>
      <c r="AC26" s="189">
        <v>59550000</v>
      </c>
      <c r="AD26" s="189">
        <v>59550000</v>
      </c>
      <c r="AE26" s="189">
        <v>59550000</v>
      </c>
      <c r="AF26" s="189">
        <v>59550000</v>
      </c>
      <c r="AG26" s="189">
        <v>59550000</v>
      </c>
      <c r="AH26" s="189">
        <v>59550000</v>
      </c>
      <c r="AI26" s="189">
        <v>50000</v>
      </c>
      <c r="AJ26" s="189">
        <v>157594199.66</v>
      </c>
      <c r="AK26" s="189">
        <v>171153989.25</v>
      </c>
      <c r="AL26" s="189">
        <v>171653959.53999999</v>
      </c>
      <c r="AM26" s="189">
        <v>146293681.12</v>
      </c>
      <c r="AN26" s="189">
        <v>145460768.13999999</v>
      </c>
      <c r="AO26" s="189">
        <v>143878716.81</v>
      </c>
      <c r="AP26" s="189">
        <v>144856865.37</v>
      </c>
      <c r="AQ26" s="189">
        <v>191435531.72</v>
      </c>
      <c r="AR26" s="189">
        <v>192011429.02000001</v>
      </c>
      <c r="AS26" s="189">
        <v>190543594.06</v>
      </c>
      <c r="AT26" s="189">
        <v>188717185.31999999</v>
      </c>
      <c r="AU26" s="189">
        <v>107536765.02</v>
      </c>
      <c r="AV26" s="189">
        <v>106969580.40000001</v>
      </c>
      <c r="AW26" s="189">
        <v>104763089.11</v>
      </c>
      <c r="AX26" s="189">
        <v>105882767.7</v>
      </c>
      <c r="AY26" s="189">
        <v>103470280.06999999</v>
      </c>
      <c r="AZ26" s="189">
        <v>103788901.8</v>
      </c>
      <c r="BA26" s="189">
        <v>71846769.420000002</v>
      </c>
      <c r="BB26" s="189">
        <v>73393171.790000007</v>
      </c>
      <c r="BC26" s="189">
        <v>73127383.590000004</v>
      </c>
      <c r="BD26" s="189">
        <v>73393433.040000007</v>
      </c>
      <c r="BE26" s="189">
        <v>72586278.299999997</v>
      </c>
      <c r="BF26" s="189">
        <v>74725596.280000001</v>
      </c>
      <c r="BG26" s="189">
        <v>78100104.680000007</v>
      </c>
      <c r="BH26" s="189">
        <v>78535319.120000005</v>
      </c>
      <c r="BI26" s="189">
        <v>78959241.730000004</v>
      </c>
      <c r="BJ26" s="189">
        <v>4200920.0599999996</v>
      </c>
      <c r="BK26" s="189">
        <v>4144425.72</v>
      </c>
      <c r="BL26" s="189">
        <v>4214329.5199999996</v>
      </c>
      <c r="BM26" s="189">
        <v>6218991.1200000001</v>
      </c>
      <c r="BN26" s="189">
        <v>6218991.1200000001</v>
      </c>
      <c r="BO26" s="189">
        <v>57623453.670000002</v>
      </c>
      <c r="BP26" s="189">
        <v>63690187.979999997</v>
      </c>
      <c r="BQ26" s="189">
        <v>73380034.439999998</v>
      </c>
      <c r="BR26" s="189">
        <v>73761382.670000002</v>
      </c>
      <c r="BS26" s="189">
        <v>20313556.739999998</v>
      </c>
      <c r="BT26" s="189">
        <v>56338320.200000003</v>
      </c>
      <c r="BU26" s="189">
        <v>25178173.690000001</v>
      </c>
      <c r="BV26" s="189">
        <v>27749696.16</v>
      </c>
      <c r="BW26" s="189">
        <v>29830569.579999998</v>
      </c>
      <c r="BX26" s="189">
        <v>29830569.579999998</v>
      </c>
      <c r="BY26" s="189">
        <v>32576184.07</v>
      </c>
      <c r="BZ26" s="189">
        <v>32576184.07</v>
      </c>
      <c r="CA26" s="189">
        <v>33279966.25</v>
      </c>
      <c r="CB26" s="189">
        <v>3279966.25</v>
      </c>
      <c r="CC26" s="189">
        <v>3925966.25</v>
      </c>
      <c r="CD26" s="189">
        <v>3925966.25</v>
      </c>
      <c r="CE26" s="189">
        <v>0</v>
      </c>
    </row>
    <row r="27" spans="1:83">
      <c r="A27" s="189" t="s">
        <v>131</v>
      </c>
      <c r="B27" s="189">
        <v>993633007.82000005</v>
      </c>
      <c r="C27" s="189">
        <v>1349143463.5599999</v>
      </c>
      <c r="D27" s="189">
        <v>2390052056.3499999</v>
      </c>
      <c r="E27" s="189">
        <v>2412776661.79</v>
      </c>
      <c r="F27" s="189">
        <v>2440418238.3200002</v>
      </c>
      <c r="G27" s="189">
        <v>2468778241.6100001</v>
      </c>
      <c r="H27" s="189">
        <v>2494713172.7199998</v>
      </c>
      <c r="I27" s="189">
        <v>379193639.61000001</v>
      </c>
      <c r="J27" s="189">
        <v>384473764.05000001</v>
      </c>
      <c r="K27" s="189">
        <v>389889762.13</v>
      </c>
      <c r="L27" s="189">
        <v>393438313.41000003</v>
      </c>
      <c r="M27" s="189">
        <v>398662773.93000001</v>
      </c>
      <c r="N27" s="189">
        <v>403887234.44999999</v>
      </c>
      <c r="O27" s="189">
        <v>397376707.20999998</v>
      </c>
      <c r="P27" s="189">
        <v>402266037.57999998</v>
      </c>
      <c r="Q27" s="189">
        <v>407155367.94999999</v>
      </c>
      <c r="R27" s="189">
        <v>412044698.31999999</v>
      </c>
      <c r="S27" s="189">
        <v>416934028.69</v>
      </c>
      <c r="T27" s="189">
        <v>421823359.06</v>
      </c>
      <c r="U27" s="189">
        <v>426712689.43000001</v>
      </c>
      <c r="V27" s="189">
        <v>431602019.80000001</v>
      </c>
      <c r="W27" s="189">
        <v>436491350.17000002</v>
      </c>
      <c r="X27" s="189">
        <v>441380680.54000002</v>
      </c>
      <c r="Y27" s="189">
        <v>446528564.32999998</v>
      </c>
      <c r="Z27" s="189">
        <v>0</v>
      </c>
      <c r="AA27" s="189">
        <v>0</v>
      </c>
      <c r="AB27" s="189">
        <v>0</v>
      </c>
      <c r="AC27" s="189">
        <v>0</v>
      </c>
      <c r="AD27" s="189">
        <v>0</v>
      </c>
      <c r="AE27" s="189">
        <v>0</v>
      </c>
      <c r="AF27" s="189">
        <v>0</v>
      </c>
      <c r="AG27" s="189">
        <v>0</v>
      </c>
      <c r="AH27" s="189">
        <v>0</v>
      </c>
      <c r="AI27" s="189">
        <v>0</v>
      </c>
      <c r="AJ27" s="189">
        <v>0</v>
      </c>
      <c r="AK27" s="189">
        <v>59758183.649999999</v>
      </c>
      <c r="AL27" s="189">
        <v>60596591.159999996</v>
      </c>
      <c r="AM27" s="189">
        <v>61434998.670000002</v>
      </c>
      <c r="AN27" s="189">
        <v>62273406.18</v>
      </c>
      <c r="AO27" s="189">
        <v>63111813.689999998</v>
      </c>
      <c r="AP27" s="189">
        <v>63950221.200000003</v>
      </c>
      <c r="AQ27" s="189">
        <v>64788628.710000001</v>
      </c>
      <c r="AR27" s="189">
        <v>65627853.420000002</v>
      </c>
      <c r="AS27" s="189">
        <v>66468310.229999997</v>
      </c>
      <c r="AT27" s="189">
        <v>67308767.040000007</v>
      </c>
      <c r="AU27" s="189">
        <v>68148421.599999994</v>
      </c>
      <c r="AV27" s="189">
        <v>69861499.989999995</v>
      </c>
      <c r="AW27" s="189">
        <v>77819538.180000007</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row>
    <row r="28" spans="1:83">
      <c r="A28" s="189" t="s">
        <v>132</v>
      </c>
      <c r="B28" s="189">
        <v>360074493.39999998</v>
      </c>
      <c r="C28" s="189">
        <v>343411968.26999998</v>
      </c>
      <c r="D28" s="189">
        <v>359141584.75999999</v>
      </c>
      <c r="E28" s="189">
        <v>361085244.20999998</v>
      </c>
      <c r="F28" s="189">
        <v>354036109.56999999</v>
      </c>
      <c r="G28" s="189">
        <v>322558164.68000001</v>
      </c>
      <c r="H28" s="189">
        <v>322807488.62</v>
      </c>
      <c r="I28" s="189">
        <v>318604026.31</v>
      </c>
      <c r="J28" s="189">
        <v>327003617.43000001</v>
      </c>
      <c r="K28" s="189">
        <v>320676525.25</v>
      </c>
      <c r="L28" s="189">
        <v>329227340.44999999</v>
      </c>
      <c r="M28" s="189">
        <v>323076242.56</v>
      </c>
      <c r="N28" s="189">
        <v>328628245.25</v>
      </c>
      <c r="O28" s="189">
        <v>320456063.94999999</v>
      </c>
      <c r="P28" s="189">
        <v>321986570.60000002</v>
      </c>
      <c r="Q28" s="189">
        <v>328259275.70999998</v>
      </c>
      <c r="R28" s="189">
        <v>336520891.97000003</v>
      </c>
      <c r="S28" s="189">
        <v>327435109.08999997</v>
      </c>
      <c r="T28" s="189">
        <v>335438245.37</v>
      </c>
      <c r="U28" s="189">
        <v>344436785.00999999</v>
      </c>
      <c r="V28" s="189">
        <v>353155697.79000002</v>
      </c>
      <c r="W28" s="189">
        <v>366426406.51999998</v>
      </c>
      <c r="X28" s="189">
        <v>377322915.33999997</v>
      </c>
      <c r="Y28" s="189">
        <v>389402307.66000003</v>
      </c>
      <c r="Z28" s="189">
        <v>401320837.57999998</v>
      </c>
      <c r="AA28" s="189">
        <v>389284954.92000002</v>
      </c>
      <c r="AB28" s="189">
        <v>387635851.69</v>
      </c>
      <c r="AC28" s="189">
        <v>398816761.32999998</v>
      </c>
      <c r="AD28" s="189">
        <v>407633965.42000002</v>
      </c>
      <c r="AE28" s="189">
        <v>410133303.29000002</v>
      </c>
      <c r="AF28" s="189">
        <v>419096893.50999999</v>
      </c>
      <c r="AG28" s="189">
        <v>434679837.60000002</v>
      </c>
      <c r="AH28" s="189">
        <v>444821253.72000003</v>
      </c>
      <c r="AI28" s="189">
        <v>435890836.63</v>
      </c>
      <c r="AJ28" s="189">
        <v>447916590.14999998</v>
      </c>
      <c r="AK28" s="189">
        <v>442331343.55000001</v>
      </c>
      <c r="AL28" s="189">
        <v>453225182.27999997</v>
      </c>
      <c r="AM28" s="189">
        <v>391153499.26999998</v>
      </c>
      <c r="AN28" s="189">
        <v>399120561.67000002</v>
      </c>
      <c r="AO28" s="189">
        <v>403463865.64999998</v>
      </c>
      <c r="AP28" s="189">
        <v>413787887.83999997</v>
      </c>
      <c r="AQ28" s="189">
        <v>410598349.97000003</v>
      </c>
      <c r="AR28" s="189">
        <v>417606342.80000001</v>
      </c>
      <c r="AS28" s="189">
        <v>380079423.11000001</v>
      </c>
      <c r="AT28" s="189">
        <v>388327565.99000001</v>
      </c>
      <c r="AU28" s="189">
        <v>353906559.25999999</v>
      </c>
      <c r="AV28" s="189">
        <v>349659322.42000002</v>
      </c>
      <c r="AW28" s="189">
        <v>361883616.62</v>
      </c>
      <c r="AX28" s="189">
        <v>443472892.14999998</v>
      </c>
      <c r="AY28" s="189">
        <v>426157738.35000002</v>
      </c>
      <c r="AZ28" s="189">
        <v>422819482.04000002</v>
      </c>
      <c r="BA28" s="189">
        <v>438470205.35000002</v>
      </c>
      <c r="BB28" s="189">
        <v>446037080.16000003</v>
      </c>
      <c r="BC28" s="189">
        <v>456807895.63999999</v>
      </c>
      <c r="BD28" s="189">
        <v>461190584.85000002</v>
      </c>
      <c r="BE28" s="189">
        <v>468462959.25999999</v>
      </c>
      <c r="BF28" s="189">
        <v>477411166.18000001</v>
      </c>
      <c r="BG28" s="189">
        <v>485780317.68000001</v>
      </c>
      <c r="BH28" s="189">
        <v>494473246.20999998</v>
      </c>
      <c r="BI28" s="189">
        <v>503771912.18000001</v>
      </c>
      <c r="BJ28" s="189">
        <v>560156019.73000002</v>
      </c>
      <c r="BK28" s="189">
        <v>571589880.60000002</v>
      </c>
      <c r="BL28" s="189">
        <v>582928165.77999997</v>
      </c>
      <c r="BM28" s="189">
        <v>590073578.08000004</v>
      </c>
      <c r="BN28" s="189">
        <v>597862948.45000005</v>
      </c>
      <c r="BO28" s="189">
        <v>544959480.72000003</v>
      </c>
      <c r="BP28" s="189">
        <v>553172889.63</v>
      </c>
      <c r="BQ28" s="189">
        <v>550848838.5</v>
      </c>
      <c r="BR28" s="189">
        <v>557448679.74000001</v>
      </c>
      <c r="BS28" s="189">
        <v>582619952.15999997</v>
      </c>
      <c r="BT28" s="189">
        <v>546688844.14999998</v>
      </c>
      <c r="BU28" s="189">
        <v>608021177.13999999</v>
      </c>
      <c r="BV28" s="189">
        <v>602188029.63999999</v>
      </c>
      <c r="BW28" s="189">
        <v>525147874.16000003</v>
      </c>
      <c r="BX28" s="189">
        <v>545946851.88</v>
      </c>
      <c r="BY28" s="189">
        <v>452952384.62</v>
      </c>
      <c r="BZ28" s="189">
        <v>455582934.73000002</v>
      </c>
      <c r="CA28" s="189">
        <v>276363958.02999997</v>
      </c>
      <c r="CB28" s="189">
        <v>267500667.56</v>
      </c>
      <c r="CC28" s="189">
        <v>274260696.44</v>
      </c>
      <c r="CD28" s="189">
        <v>301262988.81</v>
      </c>
      <c r="CE28" s="189">
        <v>0</v>
      </c>
    </row>
    <row r="29" spans="1:83">
      <c r="A29" s="189" t="s">
        <v>133</v>
      </c>
      <c r="B29" s="189">
        <v>0</v>
      </c>
      <c r="C29" s="189">
        <v>17180195.030000001</v>
      </c>
      <c r="D29" s="189">
        <v>10295557.77</v>
      </c>
      <c r="E29" s="189">
        <v>13295137.5</v>
      </c>
      <c r="F29" s="189">
        <v>4240524.93</v>
      </c>
      <c r="G29" s="189">
        <v>13845931.77</v>
      </c>
      <c r="H29" s="189">
        <v>5279235.6399999997</v>
      </c>
      <c r="I29" s="189">
        <v>1694174.76</v>
      </c>
      <c r="J29" s="189">
        <v>0</v>
      </c>
      <c r="K29" s="189">
        <v>11015383.699999999</v>
      </c>
      <c r="L29" s="189">
        <v>9165383.6999999993</v>
      </c>
      <c r="M29" s="189">
        <v>17648263.43</v>
      </c>
      <c r="N29" s="189">
        <v>8786395.7100000009</v>
      </c>
      <c r="O29" s="189">
        <v>11194632.539999999</v>
      </c>
      <c r="P29" s="189">
        <v>12480542.33</v>
      </c>
      <c r="Q29" s="189">
        <v>10658691.460000001</v>
      </c>
      <c r="R29" s="189">
        <v>7752792.2999999998</v>
      </c>
      <c r="S29" s="189">
        <v>15360592.300000001</v>
      </c>
      <c r="T29" s="189">
        <v>9161400</v>
      </c>
      <c r="U29" s="189">
        <v>6436400</v>
      </c>
      <c r="V29" s="189">
        <v>3065000</v>
      </c>
      <c r="W29" s="189">
        <v>3065000</v>
      </c>
      <c r="X29" s="189">
        <v>2572100</v>
      </c>
      <c r="Y29" s="189">
        <v>1992000</v>
      </c>
      <c r="Z29" s="189">
        <v>1457000</v>
      </c>
      <c r="AA29" s="189">
        <v>9082293.8000000007</v>
      </c>
      <c r="AB29" s="189">
        <v>6104472</v>
      </c>
      <c r="AC29" s="189">
        <v>2310702</v>
      </c>
      <c r="AD29" s="189">
        <v>510000</v>
      </c>
      <c r="AE29" s="189">
        <v>11444402.699999999</v>
      </c>
      <c r="AF29" s="189">
        <v>10563539.199999999</v>
      </c>
      <c r="AG29" s="189">
        <v>6157101.1600000001</v>
      </c>
      <c r="AH29" s="189">
        <v>2221101.16</v>
      </c>
      <c r="AI29" s="189">
        <v>12531889.359999999</v>
      </c>
      <c r="AJ29" s="189">
        <v>7046651.7599999998</v>
      </c>
      <c r="AK29" s="189">
        <v>14915852.460000001</v>
      </c>
      <c r="AL29" s="189">
        <v>5511385.2000000002</v>
      </c>
      <c r="AM29" s="189">
        <v>72089640.959999993</v>
      </c>
      <c r="AN29" s="189">
        <v>54988676.399999999</v>
      </c>
      <c r="AO29" s="189">
        <v>59305703.469999999</v>
      </c>
      <c r="AP29" s="189">
        <v>51184470.469999999</v>
      </c>
      <c r="AQ29" s="189">
        <v>52584682.520000003</v>
      </c>
      <c r="AR29" s="189">
        <v>45907986.479999997</v>
      </c>
      <c r="AS29" s="189">
        <v>18790976.57</v>
      </c>
      <c r="AT29" s="189">
        <v>14559437.800000001</v>
      </c>
      <c r="AU29" s="189">
        <v>24504525.34</v>
      </c>
      <c r="AV29" s="189">
        <v>24213414.940000001</v>
      </c>
      <c r="AW29" s="189">
        <v>22899523.719999999</v>
      </c>
      <c r="AX29" s="189">
        <v>6813401.1600000001</v>
      </c>
      <c r="AY29" s="189">
        <v>24760000.390000001</v>
      </c>
      <c r="AZ29" s="189">
        <v>23918597.289999999</v>
      </c>
      <c r="BA29" s="189">
        <v>23458804.600000001</v>
      </c>
      <c r="BB29" s="189">
        <v>22085658.379999999</v>
      </c>
      <c r="BC29" s="189">
        <v>1320726.26</v>
      </c>
      <c r="BD29" s="189">
        <v>1320726.26</v>
      </c>
      <c r="BE29" s="189">
        <v>469712.38</v>
      </c>
      <c r="BF29" s="189">
        <v>0</v>
      </c>
      <c r="BG29" s="189">
        <v>0</v>
      </c>
      <c r="BH29" s="189">
        <v>0</v>
      </c>
      <c r="BI29" s="189">
        <v>0</v>
      </c>
      <c r="BJ29" s="189">
        <v>0</v>
      </c>
      <c r="BK29" s="189">
        <v>161553.98000000001</v>
      </c>
      <c r="BL29" s="189">
        <v>161553.98000000001</v>
      </c>
      <c r="BM29" s="189">
        <v>161553.98000000001</v>
      </c>
      <c r="BN29" s="189">
        <v>161553.98000000001</v>
      </c>
      <c r="BO29" s="189">
        <v>311553.98</v>
      </c>
      <c r="BP29" s="189">
        <v>311553.98</v>
      </c>
      <c r="BQ29" s="189">
        <v>1874169.98</v>
      </c>
      <c r="BR29" s="189">
        <v>153774.91</v>
      </c>
      <c r="BS29" s="189">
        <v>1059117.55</v>
      </c>
      <c r="BT29" s="189">
        <v>803293.46</v>
      </c>
      <c r="BU29" s="189">
        <v>4079355.67</v>
      </c>
      <c r="BV29" s="189">
        <v>1252398.69</v>
      </c>
      <c r="BW29" s="189">
        <v>43120564.700000003</v>
      </c>
      <c r="BX29" s="189">
        <v>32901968.989999998</v>
      </c>
      <c r="BY29" s="189">
        <v>110065348.44</v>
      </c>
      <c r="BZ29" s="189">
        <v>67433266.379999995</v>
      </c>
      <c r="CA29" s="189">
        <v>170086258.68000001</v>
      </c>
      <c r="CB29" s="189">
        <v>119189647.17</v>
      </c>
      <c r="CC29" s="189">
        <v>57961134.200000003</v>
      </c>
      <c r="CD29" s="189">
        <v>16252537.6</v>
      </c>
      <c r="CE29" s="189">
        <v>0</v>
      </c>
    </row>
    <row r="30" spans="1:83">
      <c r="A30" s="189" t="s">
        <v>134</v>
      </c>
      <c r="B30" s="189">
        <v>0</v>
      </c>
      <c r="C30" s="189">
        <v>0</v>
      </c>
      <c r="D30" s="189">
        <v>0</v>
      </c>
      <c r="E30" s="189">
        <v>0</v>
      </c>
      <c r="F30" s="189">
        <v>0</v>
      </c>
      <c r="G30" s="189">
        <v>0</v>
      </c>
      <c r="H30" s="189">
        <v>0</v>
      </c>
      <c r="I30" s="189">
        <v>0</v>
      </c>
      <c r="J30" s="189">
        <v>0</v>
      </c>
      <c r="K30" s="189">
        <v>0</v>
      </c>
      <c r="L30" s="189">
        <v>0</v>
      </c>
      <c r="M30" s="189">
        <v>0</v>
      </c>
      <c r="N30" s="189">
        <v>0</v>
      </c>
      <c r="O30" s="189">
        <v>0</v>
      </c>
      <c r="P30" s="189">
        <v>0</v>
      </c>
      <c r="Q30" s="189">
        <v>0</v>
      </c>
      <c r="R30" s="189">
        <v>0</v>
      </c>
      <c r="S30" s="189">
        <v>0</v>
      </c>
      <c r="T30" s="189">
        <v>0</v>
      </c>
      <c r="U30" s="189">
        <v>0</v>
      </c>
      <c r="V30" s="189">
        <v>0</v>
      </c>
      <c r="W30" s="189">
        <v>0</v>
      </c>
      <c r="X30" s="189">
        <v>0</v>
      </c>
      <c r="Y30" s="189">
        <v>0</v>
      </c>
      <c r="Z30" s="189">
        <v>0</v>
      </c>
      <c r="AA30" s="189">
        <v>0</v>
      </c>
      <c r="AB30" s="189">
        <v>0</v>
      </c>
      <c r="AC30" s="189">
        <v>0</v>
      </c>
      <c r="AD30" s="189">
        <v>0</v>
      </c>
      <c r="AE30" s="189">
        <v>0</v>
      </c>
      <c r="AF30" s="189">
        <v>0</v>
      </c>
      <c r="AG30" s="189">
        <v>0</v>
      </c>
      <c r="AH30" s="189">
        <v>0</v>
      </c>
      <c r="AI30" s="189">
        <v>0</v>
      </c>
      <c r="AJ30" s="189">
        <v>0</v>
      </c>
      <c r="AK30" s="189">
        <v>0</v>
      </c>
      <c r="AL30" s="189">
        <v>0</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c r="CE30" s="189">
        <v>0</v>
      </c>
    </row>
    <row r="31" spans="1:83">
      <c r="A31" s="189" t="s">
        <v>135</v>
      </c>
      <c r="B31" s="189">
        <v>0</v>
      </c>
      <c r="C31" s="189">
        <v>0</v>
      </c>
      <c r="D31" s="189">
        <v>0</v>
      </c>
      <c r="E31" s="189">
        <v>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c r="BW31" s="189">
        <v>0</v>
      </c>
      <c r="BX31" s="189">
        <v>0</v>
      </c>
      <c r="BY31" s="189">
        <v>0</v>
      </c>
      <c r="BZ31" s="189">
        <v>0</v>
      </c>
      <c r="CA31" s="189">
        <v>0</v>
      </c>
      <c r="CB31" s="189">
        <v>0</v>
      </c>
      <c r="CC31" s="189">
        <v>0</v>
      </c>
      <c r="CD31" s="189">
        <v>0</v>
      </c>
      <c r="CE31" s="189">
        <v>0</v>
      </c>
    </row>
    <row r="32" spans="1:83">
      <c r="A32" s="189" t="s">
        <v>136</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c r="BW32" s="189">
        <v>0</v>
      </c>
      <c r="BX32" s="189">
        <v>0</v>
      </c>
      <c r="BY32" s="189">
        <v>0</v>
      </c>
      <c r="BZ32" s="189">
        <v>0</v>
      </c>
      <c r="CA32" s="189">
        <v>0</v>
      </c>
      <c r="CB32" s="189">
        <v>0</v>
      </c>
      <c r="CC32" s="189">
        <v>0</v>
      </c>
      <c r="CD32" s="189">
        <v>0</v>
      </c>
      <c r="CE32" s="189">
        <v>0</v>
      </c>
    </row>
    <row r="33" spans="1:83">
      <c r="A33" s="189" t="s">
        <v>137</v>
      </c>
      <c r="B33" s="189">
        <v>0</v>
      </c>
      <c r="C33" s="189">
        <v>0</v>
      </c>
      <c r="D33" s="189">
        <v>0</v>
      </c>
      <c r="E33" s="189">
        <v>0</v>
      </c>
      <c r="F33" s="189">
        <v>0</v>
      </c>
      <c r="G33" s="189">
        <v>0</v>
      </c>
      <c r="H33" s="189">
        <v>0</v>
      </c>
      <c r="I33" s="189">
        <v>0</v>
      </c>
      <c r="J33" s="189">
        <v>0</v>
      </c>
      <c r="K33" s="189">
        <v>0</v>
      </c>
      <c r="L33" s="189">
        <v>0</v>
      </c>
      <c r="M33" s="189">
        <v>0</v>
      </c>
      <c r="N33" s="189">
        <v>0</v>
      </c>
      <c r="O33" s="189">
        <v>0</v>
      </c>
      <c r="P33" s="189">
        <v>0</v>
      </c>
      <c r="Q33" s="189">
        <v>0</v>
      </c>
      <c r="R33" s="189">
        <v>0</v>
      </c>
      <c r="S33" s="189">
        <v>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c r="BW33" s="189">
        <v>0</v>
      </c>
      <c r="BX33" s="189">
        <v>0</v>
      </c>
      <c r="BY33" s="189">
        <v>0</v>
      </c>
      <c r="BZ33" s="189">
        <v>0</v>
      </c>
      <c r="CA33" s="189">
        <v>0</v>
      </c>
      <c r="CB33" s="189">
        <v>0</v>
      </c>
      <c r="CC33" s="189">
        <v>0</v>
      </c>
      <c r="CD33" s="189">
        <v>0</v>
      </c>
      <c r="CE33" s="189">
        <v>0</v>
      </c>
    </row>
    <row r="34" spans="1:83">
      <c r="A34" s="189" t="s">
        <v>138</v>
      </c>
      <c r="B34" s="189">
        <v>0</v>
      </c>
      <c r="C34" s="189">
        <v>0</v>
      </c>
      <c r="D34" s="189">
        <v>0</v>
      </c>
      <c r="E34" s="189">
        <v>0</v>
      </c>
      <c r="F34" s="189">
        <v>0</v>
      </c>
      <c r="G34" s="189">
        <v>0</v>
      </c>
      <c r="H34" s="189">
        <v>0</v>
      </c>
      <c r="I34" s="189">
        <v>0</v>
      </c>
      <c r="J34" s="189">
        <v>0</v>
      </c>
      <c r="K34" s="189">
        <v>0</v>
      </c>
      <c r="L34" s="189">
        <v>0</v>
      </c>
      <c r="M34" s="189">
        <v>0</v>
      </c>
      <c r="N34" s="189">
        <v>0</v>
      </c>
      <c r="O34" s="189">
        <v>0</v>
      </c>
      <c r="P34" s="189">
        <v>0</v>
      </c>
      <c r="Q34" s="189">
        <v>0</v>
      </c>
      <c r="R34" s="189">
        <v>0</v>
      </c>
      <c r="S34" s="189">
        <v>0</v>
      </c>
      <c r="T34" s="189">
        <v>0</v>
      </c>
      <c r="U34" s="189">
        <v>0</v>
      </c>
      <c r="V34" s="189">
        <v>0</v>
      </c>
      <c r="W34" s="189">
        <v>0</v>
      </c>
      <c r="X34" s="189">
        <v>0</v>
      </c>
      <c r="Y34" s="189">
        <v>0</v>
      </c>
      <c r="Z34" s="189">
        <v>0</v>
      </c>
      <c r="AA34" s="189">
        <v>0</v>
      </c>
      <c r="AB34" s="189">
        <v>0</v>
      </c>
      <c r="AC34" s="189">
        <v>0</v>
      </c>
      <c r="AD34" s="189">
        <v>0</v>
      </c>
      <c r="AE34" s="189">
        <v>0</v>
      </c>
      <c r="AF34" s="189">
        <v>0</v>
      </c>
      <c r="AG34" s="189">
        <v>0</v>
      </c>
      <c r="AH34" s="189">
        <v>0</v>
      </c>
      <c r="AI34" s="189">
        <v>0</v>
      </c>
      <c r="AJ34" s="189">
        <v>0</v>
      </c>
      <c r="AK34" s="189">
        <v>0</v>
      </c>
      <c r="AL34" s="189">
        <v>0</v>
      </c>
      <c r="AM34" s="189">
        <v>0</v>
      </c>
      <c r="AN34" s="189">
        <v>0</v>
      </c>
      <c r="AO34" s="189">
        <v>0</v>
      </c>
      <c r="AP34" s="189">
        <v>0</v>
      </c>
      <c r="AQ34" s="189">
        <v>0</v>
      </c>
      <c r="AR34" s="189">
        <v>0</v>
      </c>
      <c r="AS34" s="189">
        <v>0</v>
      </c>
      <c r="AT34" s="189">
        <v>0</v>
      </c>
      <c r="AU34" s="189">
        <v>0</v>
      </c>
      <c r="AV34" s="189">
        <v>0</v>
      </c>
      <c r="AW34" s="189">
        <v>0</v>
      </c>
      <c r="AX34" s="189">
        <v>0</v>
      </c>
      <c r="AY34" s="189">
        <v>0</v>
      </c>
      <c r="AZ34" s="189">
        <v>0</v>
      </c>
      <c r="BA34" s="189">
        <v>0</v>
      </c>
      <c r="BB34" s="189">
        <v>0</v>
      </c>
      <c r="BC34" s="189">
        <v>0</v>
      </c>
      <c r="BD34" s="189">
        <v>0</v>
      </c>
      <c r="BE34" s="189">
        <v>0</v>
      </c>
      <c r="BF34" s="189">
        <v>0</v>
      </c>
      <c r="BG34" s="189">
        <v>0</v>
      </c>
      <c r="BH34" s="189">
        <v>0</v>
      </c>
      <c r="BI34" s="189">
        <v>0</v>
      </c>
      <c r="BJ34" s="189">
        <v>0</v>
      </c>
      <c r="BK34" s="189">
        <v>0</v>
      </c>
      <c r="BL34" s="189">
        <v>0</v>
      </c>
      <c r="BM34" s="189">
        <v>0</v>
      </c>
      <c r="BN34" s="189">
        <v>0</v>
      </c>
      <c r="BO34" s="189">
        <v>0</v>
      </c>
      <c r="BP34" s="189">
        <v>0</v>
      </c>
      <c r="BQ34" s="189">
        <v>0</v>
      </c>
      <c r="BR34" s="189">
        <v>0</v>
      </c>
      <c r="BS34" s="189">
        <v>0</v>
      </c>
      <c r="BT34" s="189">
        <v>0</v>
      </c>
      <c r="BU34" s="189">
        <v>0</v>
      </c>
      <c r="BV34" s="189">
        <v>0</v>
      </c>
      <c r="BW34" s="189">
        <v>0</v>
      </c>
      <c r="BX34" s="189">
        <v>0</v>
      </c>
      <c r="BY34" s="189">
        <v>0</v>
      </c>
      <c r="BZ34" s="189">
        <v>0</v>
      </c>
      <c r="CA34" s="189">
        <v>0</v>
      </c>
      <c r="CB34" s="189">
        <v>0</v>
      </c>
      <c r="CC34" s="189">
        <v>0</v>
      </c>
      <c r="CD34" s="189">
        <v>0</v>
      </c>
      <c r="CE34" s="189">
        <v>0</v>
      </c>
    </row>
    <row r="35" spans="1:83">
      <c r="A35" s="189" t="s">
        <v>139</v>
      </c>
      <c r="B35" s="189">
        <v>1592003.25</v>
      </c>
      <c r="C35" s="189">
        <v>638802.19999999995</v>
      </c>
      <c r="D35" s="189">
        <v>672957.47</v>
      </c>
      <c r="E35" s="189">
        <v>707112.74</v>
      </c>
      <c r="F35" s="189">
        <v>741268.01</v>
      </c>
      <c r="G35" s="189">
        <v>775423.28</v>
      </c>
      <c r="H35" s="189">
        <v>809578.55</v>
      </c>
      <c r="I35" s="189">
        <v>843733.82</v>
      </c>
      <c r="J35" s="189">
        <v>877889.09</v>
      </c>
      <c r="K35" s="189">
        <v>912044.36</v>
      </c>
      <c r="L35" s="189">
        <v>772246.5</v>
      </c>
      <c r="M35" s="189">
        <v>797846.7</v>
      </c>
      <c r="N35" s="189">
        <v>823446.9</v>
      </c>
      <c r="O35" s="189">
        <v>1115713.7</v>
      </c>
      <c r="P35" s="189">
        <v>1142980.55</v>
      </c>
      <c r="Q35" s="189">
        <v>1176307.24</v>
      </c>
      <c r="R35" s="189">
        <v>1076317.69</v>
      </c>
      <c r="S35" s="189">
        <v>1086219.8700000001</v>
      </c>
      <c r="T35" s="189">
        <v>1106879.8799999999</v>
      </c>
      <c r="U35" s="189">
        <v>1127539.8899999999</v>
      </c>
      <c r="V35" s="189">
        <v>1148199.8999999999</v>
      </c>
      <c r="W35" s="189">
        <v>839999.9</v>
      </c>
      <c r="X35" s="189">
        <v>855960.1</v>
      </c>
      <c r="Y35" s="189">
        <v>879420.1</v>
      </c>
      <c r="Z35" s="189">
        <v>917039.93</v>
      </c>
      <c r="AA35" s="189">
        <v>955219.94</v>
      </c>
      <c r="AB35" s="189">
        <v>993399.95</v>
      </c>
      <c r="AC35" s="189">
        <v>1031579.96</v>
      </c>
      <c r="AD35" s="189">
        <v>1069759.97</v>
      </c>
      <c r="AE35" s="189">
        <v>1107939.98</v>
      </c>
      <c r="AF35" s="189">
        <v>1146119.99</v>
      </c>
      <c r="AG35" s="189">
        <v>1184300</v>
      </c>
      <c r="AH35" s="189">
        <v>1222480</v>
      </c>
      <c r="AI35" s="189">
        <v>360660</v>
      </c>
      <c r="AJ35" s="189">
        <v>393840</v>
      </c>
      <c r="AK35" s="189">
        <v>427020</v>
      </c>
      <c r="AL35" s="189">
        <v>460200</v>
      </c>
      <c r="AM35" s="189">
        <v>493380</v>
      </c>
      <c r="AN35" s="189">
        <v>526560</v>
      </c>
      <c r="AO35" s="189">
        <v>565050.72</v>
      </c>
      <c r="AP35" s="189">
        <v>596505.36</v>
      </c>
      <c r="AQ35" s="189">
        <v>0</v>
      </c>
      <c r="AR35" s="189">
        <v>0</v>
      </c>
      <c r="AS35" s="189">
        <v>0</v>
      </c>
      <c r="AT35" s="189">
        <v>0</v>
      </c>
      <c r="AU35" s="189">
        <v>0</v>
      </c>
      <c r="AV35" s="189">
        <v>0</v>
      </c>
      <c r="AW35" s="189">
        <v>0</v>
      </c>
      <c r="AX35" s="189">
        <v>3688441.7</v>
      </c>
      <c r="AY35" s="189">
        <v>19932848.829999998</v>
      </c>
      <c r="AZ35" s="189">
        <v>20097890.079999998</v>
      </c>
      <c r="BA35" s="189">
        <v>20097094.93</v>
      </c>
      <c r="BB35" s="189">
        <v>20427972.579999998</v>
      </c>
      <c r="BC35" s="189">
        <v>23412232.27</v>
      </c>
      <c r="BD35" s="189">
        <v>23743109.920000002</v>
      </c>
      <c r="BE35" s="189">
        <v>24073987.57</v>
      </c>
      <c r="BF35" s="189">
        <v>24404865.219999999</v>
      </c>
      <c r="BG35" s="189">
        <v>25319437.489999998</v>
      </c>
      <c r="BH35" s="189">
        <v>25725315.140000001</v>
      </c>
      <c r="BI35" s="189">
        <v>26212436.649999999</v>
      </c>
      <c r="BJ35" s="189">
        <v>54745606.859999999</v>
      </c>
      <c r="BK35" s="189">
        <v>56790302.009999998</v>
      </c>
      <c r="BL35" s="189">
        <v>57393797.159999996</v>
      </c>
      <c r="BM35" s="189">
        <v>57997292.310000002</v>
      </c>
      <c r="BN35" s="189">
        <v>65468182.5</v>
      </c>
      <c r="BO35" s="189">
        <v>66285969.609999999</v>
      </c>
      <c r="BP35" s="189">
        <v>66889464.759999998</v>
      </c>
      <c r="BQ35" s="189">
        <v>60690188.140000001</v>
      </c>
      <c r="BR35" s="189">
        <v>60998568.060000002</v>
      </c>
      <c r="BS35" s="189">
        <v>59086216.090000004</v>
      </c>
      <c r="BT35" s="189">
        <v>61114385.240000002</v>
      </c>
      <c r="BU35" s="189">
        <v>43480921.039999999</v>
      </c>
      <c r="BV35" s="189">
        <v>43838500.609999999</v>
      </c>
      <c r="BW35" s="189">
        <v>27063866.300000001</v>
      </c>
      <c r="BX35" s="189">
        <v>6169487.54</v>
      </c>
      <c r="BY35" s="189">
        <v>6263108.7800000003</v>
      </c>
      <c r="BZ35" s="189">
        <v>6356730.0199999996</v>
      </c>
      <c r="CA35" s="189">
        <v>0</v>
      </c>
      <c r="CB35" s="189">
        <v>6543972.5</v>
      </c>
      <c r="CC35" s="189">
        <v>6653197.29</v>
      </c>
      <c r="CD35" s="189">
        <v>6731215</v>
      </c>
      <c r="CE35" s="189">
        <v>0</v>
      </c>
    </row>
    <row r="36" spans="1:83">
      <c r="A36" s="189" t="s">
        <v>140</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c r="BW36" s="189">
        <v>0</v>
      </c>
      <c r="BX36" s="189">
        <v>0</v>
      </c>
      <c r="BY36" s="189">
        <v>0</v>
      </c>
      <c r="BZ36" s="189">
        <v>0</v>
      </c>
      <c r="CA36" s="189">
        <v>0</v>
      </c>
      <c r="CB36" s="189">
        <v>0</v>
      </c>
      <c r="CC36" s="189">
        <v>0</v>
      </c>
      <c r="CD36" s="189">
        <v>0</v>
      </c>
      <c r="CE36" s="189">
        <v>0</v>
      </c>
    </row>
    <row r="37" spans="1:83">
      <c r="A37" s="189" t="s">
        <v>141</v>
      </c>
      <c r="B37" s="189">
        <v>0</v>
      </c>
      <c r="C37" s="189">
        <v>0</v>
      </c>
      <c r="D37" s="189">
        <v>0</v>
      </c>
      <c r="E37" s="189">
        <v>0</v>
      </c>
      <c r="F37" s="189">
        <v>0</v>
      </c>
      <c r="G37" s="189">
        <v>0</v>
      </c>
      <c r="H37" s="189">
        <v>0</v>
      </c>
      <c r="I37" s="189">
        <v>0</v>
      </c>
      <c r="J37" s="189">
        <v>0</v>
      </c>
      <c r="K37" s="189">
        <v>0</v>
      </c>
      <c r="L37" s="189">
        <v>0</v>
      </c>
      <c r="M37" s="189">
        <v>0</v>
      </c>
      <c r="N37" s="189">
        <v>0</v>
      </c>
      <c r="O37" s="189">
        <v>0</v>
      </c>
      <c r="P37" s="189">
        <v>0</v>
      </c>
      <c r="Q37" s="189">
        <v>0</v>
      </c>
      <c r="R37" s="189">
        <v>0</v>
      </c>
      <c r="S37" s="189">
        <v>0</v>
      </c>
      <c r="T37" s="189">
        <v>0</v>
      </c>
      <c r="U37" s="189">
        <v>0</v>
      </c>
      <c r="V37" s="189">
        <v>0</v>
      </c>
      <c r="W37" s="189">
        <v>0</v>
      </c>
      <c r="X37" s="189">
        <v>0</v>
      </c>
      <c r="Y37" s="189">
        <v>0</v>
      </c>
      <c r="Z37" s="189">
        <v>0</v>
      </c>
      <c r="AA37" s="189">
        <v>0</v>
      </c>
      <c r="AB37" s="189">
        <v>0</v>
      </c>
      <c r="AC37" s="189">
        <v>0</v>
      </c>
      <c r="AD37" s="189">
        <v>0</v>
      </c>
      <c r="AE37" s="189">
        <v>0</v>
      </c>
      <c r="AF37" s="189">
        <v>0</v>
      </c>
      <c r="AG37" s="189">
        <v>0</v>
      </c>
      <c r="AH37" s="189">
        <v>0</v>
      </c>
      <c r="AI37" s="189">
        <v>0</v>
      </c>
      <c r="AJ37" s="189">
        <v>0</v>
      </c>
      <c r="AK37" s="189">
        <v>0</v>
      </c>
      <c r="AL37" s="189">
        <v>0</v>
      </c>
      <c r="AM37" s="189">
        <v>0</v>
      </c>
      <c r="AN37" s="189">
        <v>0</v>
      </c>
      <c r="AO37" s="189">
        <v>0</v>
      </c>
      <c r="AP37" s="189">
        <v>0</v>
      </c>
      <c r="AQ37" s="189">
        <v>0</v>
      </c>
      <c r="AR37" s="189">
        <v>0</v>
      </c>
      <c r="AS37" s="189">
        <v>0</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0</v>
      </c>
      <c r="BK37" s="189">
        <v>0</v>
      </c>
      <c r="BL37" s="189">
        <v>0</v>
      </c>
      <c r="BM37" s="189">
        <v>0</v>
      </c>
      <c r="BN37" s="189">
        <v>0</v>
      </c>
      <c r="BO37" s="189">
        <v>0</v>
      </c>
      <c r="BP37" s="189">
        <v>0</v>
      </c>
      <c r="BQ37" s="189">
        <v>0</v>
      </c>
      <c r="BR37" s="189">
        <v>0</v>
      </c>
      <c r="BS37" s="189">
        <v>0</v>
      </c>
      <c r="BT37" s="189">
        <v>0</v>
      </c>
      <c r="BU37" s="189">
        <v>0</v>
      </c>
      <c r="BV37" s="189">
        <v>0</v>
      </c>
      <c r="BW37" s="189">
        <v>0</v>
      </c>
      <c r="BX37" s="189">
        <v>0</v>
      </c>
      <c r="BY37" s="189">
        <v>0</v>
      </c>
      <c r="BZ37" s="189">
        <v>0</v>
      </c>
      <c r="CA37" s="189">
        <v>0</v>
      </c>
      <c r="CB37" s="189">
        <v>0</v>
      </c>
      <c r="CC37" s="189">
        <v>0</v>
      </c>
      <c r="CD37" s="189">
        <v>0</v>
      </c>
      <c r="CE37" s="189">
        <v>0</v>
      </c>
    </row>
    <row r="38" spans="1:83">
      <c r="A38" s="189" t="s">
        <v>142</v>
      </c>
      <c r="B38" s="189">
        <v>8672447.1699999999</v>
      </c>
      <c r="C38" s="189">
        <v>9306972.1400000006</v>
      </c>
      <c r="D38" s="189">
        <v>20564491.800000001</v>
      </c>
      <c r="E38" s="189">
        <v>22189654.199999999</v>
      </c>
      <c r="F38" s="189">
        <v>22078345.879999999</v>
      </c>
      <c r="G38" s="189">
        <v>23934901.100000001</v>
      </c>
      <c r="H38" s="189">
        <v>24851078.219999999</v>
      </c>
      <c r="I38" s="189">
        <v>3144273.55</v>
      </c>
      <c r="J38" s="189">
        <v>3793555.37</v>
      </c>
      <c r="K38" s="189">
        <v>2020933.66</v>
      </c>
      <c r="L38" s="189">
        <v>2504128.73</v>
      </c>
      <c r="M38" s="189">
        <v>2794490.39</v>
      </c>
      <c r="N38" s="189">
        <v>3306240.93</v>
      </c>
      <c r="O38" s="189">
        <v>10795613.380000001</v>
      </c>
      <c r="P38" s="189">
        <v>12385387.960000001</v>
      </c>
      <c r="Q38" s="189">
        <v>12008774.24</v>
      </c>
      <c r="R38" s="189">
        <v>13469421.630000001</v>
      </c>
      <c r="S38" s="189">
        <v>1612477.95</v>
      </c>
      <c r="T38" s="189">
        <v>1933387.14</v>
      </c>
      <c r="U38" s="189">
        <v>1775268.86</v>
      </c>
      <c r="V38" s="189">
        <v>2568262.2799999998</v>
      </c>
      <c r="W38" s="189">
        <v>3470098.63</v>
      </c>
      <c r="X38" s="189">
        <v>4011432.43</v>
      </c>
      <c r="Y38" s="189">
        <v>5064612.55</v>
      </c>
      <c r="Z38" s="189">
        <v>5583626.0099999998</v>
      </c>
      <c r="AA38" s="189">
        <v>6203202.6100000003</v>
      </c>
      <c r="AB38" s="189">
        <v>7409061.4299999997</v>
      </c>
      <c r="AC38" s="189">
        <v>8242522.6600000001</v>
      </c>
      <c r="AD38" s="189">
        <v>9624165.9800000004</v>
      </c>
      <c r="AE38" s="189">
        <v>11123873.6</v>
      </c>
      <c r="AF38" s="189">
        <v>9517183.0999999996</v>
      </c>
      <c r="AG38" s="189">
        <v>4935724.51</v>
      </c>
      <c r="AH38" s="189">
        <v>5409193</v>
      </c>
      <c r="AI38" s="189">
        <v>4167094.98</v>
      </c>
      <c r="AJ38" s="189">
        <v>4783672.57</v>
      </c>
      <c r="AK38" s="189">
        <v>4989095.93</v>
      </c>
      <c r="AL38" s="189">
        <v>4911185.95</v>
      </c>
      <c r="AM38" s="189">
        <v>4265878.8899999997</v>
      </c>
      <c r="AN38" s="189">
        <v>3558703.96</v>
      </c>
      <c r="AO38" s="189">
        <v>3880015.95</v>
      </c>
      <c r="AP38" s="189">
        <v>4374661.2</v>
      </c>
      <c r="AQ38" s="189">
        <v>4221467.16</v>
      </c>
      <c r="AR38" s="189">
        <v>2971568.44</v>
      </c>
      <c r="AS38" s="189">
        <v>2574077</v>
      </c>
      <c r="AT38" s="189">
        <v>3210664</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186975.25</v>
      </c>
      <c r="BL38" s="189">
        <v>186975.25</v>
      </c>
      <c r="BM38" s="189">
        <v>186975.25</v>
      </c>
      <c r="BN38" s="189">
        <v>176783.5</v>
      </c>
      <c r="BO38" s="189">
        <v>0</v>
      </c>
      <c r="BP38" s="189">
        <v>0</v>
      </c>
      <c r="BQ38" s="189">
        <v>0</v>
      </c>
      <c r="BR38" s="189">
        <v>219833.3</v>
      </c>
      <c r="BS38" s="189">
        <v>48811.95</v>
      </c>
      <c r="BT38" s="189">
        <v>65082.57</v>
      </c>
      <c r="BU38" s="189">
        <v>0</v>
      </c>
      <c r="BV38" s="189">
        <v>0</v>
      </c>
      <c r="BW38" s="189">
        <v>0</v>
      </c>
      <c r="BX38" s="189">
        <v>0</v>
      </c>
      <c r="BY38" s="189">
        <v>0</v>
      </c>
      <c r="BZ38" s="189">
        <v>0</v>
      </c>
      <c r="CA38" s="189">
        <v>0</v>
      </c>
      <c r="CB38" s="189">
        <v>0</v>
      </c>
      <c r="CC38" s="189">
        <v>0</v>
      </c>
      <c r="CD38" s="189">
        <v>0</v>
      </c>
      <c r="CE38" s="189">
        <v>0</v>
      </c>
    </row>
    <row r="39" spans="1:83">
      <c r="A39" s="189" t="s">
        <v>143</v>
      </c>
      <c r="B39" s="189">
        <v>25237826.27</v>
      </c>
      <c r="C39" s="189">
        <v>22044649.870000001</v>
      </c>
      <c r="D39" s="189">
        <v>22023204.870000001</v>
      </c>
      <c r="E39" s="189">
        <v>21906499.629999999</v>
      </c>
      <c r="F39" s="189">
        <v>21303793.629999999</v>
      </c>
      <c r="G39" s="189">
        <v>864196.21</v>
      </c>
      <c r="H39" s="189">
        <v>864196.21</v>
      </c>
      <c r="I39" s="189">
        <v>545560.12</v>
      </c>
      <c r="J39" s="189">
        <v>545560.12</v>
      </c>
      <c r="K39" s="189">
        <v>1238568.3400000001</v>
      </c>
      <c r="L39" s="189">
        <v>1238568.3400000001</v>
      </c>
      <c r="M39" s="189">
        <v>1179549.97</v>
      </c>
      <c r="N39" s="189">
        <v>1179549.97</v>
      </c>
      <c r="O39" s="189">
        <v>884907.75</v>
      </c>
      <c r="P39" s="189">
        <v>884907.75</v>
      </c>
      <c r="Q39" s="189">
        <v>884907.75</v>
      </c>
      <c r="R39" s="189">
        <v>884907.75</v>
      </c>
      <c r="S39" s="189">
        <v>1464642.72</v>
      </c>
      <c r="T39" s="189">
        <v>1464642.72</v>
      </c>
      <c r="U39" s="189">
        <v>1464642.72</v>
      </c>
      <c r="V39" s="189">
        <v>1464642.72</v>
      </c>
      <c r="W39" s="189">
        <v>1276316.72</v>
      </c>
      <c r="X39" s="189">
        <v>1276316.72</v>
      </c>
      <c r="Y39" s="189">
        <v>1276316.72</v>
      </c>
      <c r="Z39" s="189">
        <v>1276316.72</v>
      </c>
      <c r="AA39" s="189">
        <v>801277.5</v>
      </c>
      <c r="AB39" s="189">
        <v>801277.5</v>
      </c>
      <c r="AC39" s="189">
        <v>883600.32</v>
      </c>
      <c r="AD39" s="189">
        <v>801277.5</v>
      </c>
      <c r="AE39" s="189">
        <v>928123.98</v>
      </c>
      <c r="AF39" s="189">
        <v>928123.98</v>
      </c>
      <c r="AG39" s="189">
        <v>928123.98</v>
      </c>
      <c r="AH39" s="189">
        <v>928123.98</v>
      </c>
      <c r="AI39" s="189">
        <v>733784.6</v>
      </c>
      <c r="AJ39" s="189">
        <v>63336.58</v>
      </c>
      <c r="AK39" s="189">
        <v>63336.58</v>
      </c>
      <c r="AL39" s="189">
        <v>63336.58</v>
      </c>
      <c r="AM39" s="189">
        <v>1454524.35</v>
      </c>
      <c r="AN39" s="189">
        <v>1454524.35</v>
      </c>
      <c r="AO39" s="189">
        <v>1454524.35</v>
      </c>
      <c r="AP39" s="189">
        <v>1454524.35</v>
      </c>
      <c r="AQ39" s="189">
        <v>1333373.5</v>
      </c>
      <c r="AR39" s="189">
        <v>1333373.5</v>
      </c>
      <c r="AS39" s="189">
        <v>1333373.5</v>
      </c>
      <c r="AT39" s="189">
        <v>1333373.5</v>
      </c>
      <c r="AU39" s="189">
        <v>1824177.03</v>
      </c>
      <c r="AV39" s="189">
        <v>3164832.77</v>
      </c>
      <c r="AW39" s="189">
        <v>1824177.03</v>
      </c>
      <c r="AX39" s="189">
        <v>0</v>
      </c>
      <c r="AY39" s="189">
        <v>0</v>
      </c>
      <c r="AZ39" s="189">
        <v>0</v>
      </c>
      <c r="BA39" s="189">
        <v>0</v>
      </c>
      <c r="BB39" s="189">
        <v>0</v>
      </c>
      <c r="BC39" s="189">
        <v>0</v>
      </c>
      <c r="BD39" s="189">
        <v>0</v>
      </c>
      <c r="BE39" s="189">
        <v>0</v>
      </c>
      <c r="BF39" s="189">
        <v>0</v>
      </c>
      <c r="BG39" s="189">
        <v>0</v>
      </c>
      <c r="BH39" s="189">
        <v>0</v>
      </c>
      <c r="BI39" s="189">
        <v>0</v>
      </c>
      <c r="BJ39" s="189">
        <v>0</v>
      </c>
      <c r="BK39" s="189">
        <v>0</v>
      </c>
      <c r="BL39" s="189">
        <v>0</v>
      </c>
      <c r="BM39" s="189">
        <v>0</v>
      </c>
      <c r="BN39" s="189">
        <v>0</v>
      </c>
      <c r="BO39" s="189">
        <v>0</v>
      </c>
      <c r="BP39" s="189">
        <v>0</v>
      </c>
      <c r="BQ39" s="189">
        <v>0</v>
      </c>
      <c r="BR39" s="189">
        <v>0</v>
      </c>
      <c r="BS39" s="189">
        <v>0</v>
      </c>
      <c r="BT39" s="189">
        <v>0</v>
      </c>
      <c r="BU39" s="189">
        <v>0</v>
      </c>
      <c r="BV39" s="189">
        <v>0</v>
      </c>
      <c r="BW39" s="189">
        <v>0</v>
      </c>
      <c r="BX39" s="189">
        <v>0</v>
      </c>
      <c r="BY39" s="189">
        <v>0</v>
      </c>
      <c r="BZ39" s="189">
        <v>0</v>
      </c>
      <c r="CA39" s="189">
        <v>0</v>
      </c>
      <c r="CB39" s="189">
        <v>0</v>
      </c>
      <c r="CC39" s="189">
        <v>0</v>
      </c>
      <c r="CD39" s="189">
        <v>0</v>
      </c>
      <c r="CE39" s="189">
        <v>0</v>
      </c>
    </row>
    <row r="40" spans="1:83">
      <c r="A40" s="189" t="s">
        <v>144</v>
      </c>
      <c r="B40" s="189">
        <v>1815506.03</v>
      </c>
      <c r="C40" s="189">
        <v>0</v>
      </c>
      <c r="D40" s="189">
        <v>0</v>
      </c>
      <c r="E40" s="189">
        <v>3750</v>
      </c>
      <c r="F40" s="189">
        <v>3750</v>
      </c>
      <c r="G40" s="189">
        <v>1478838.58</v>
      </c>
      <c r="H40" s="189">
        <v>1399437.77</v>
      </c>
      <c r="I40" s="189">
        <v>0</v>
      </c>
      <c r="J40" s="189">
        <v>0</v>
      </c>
      <c r="K40" s="189">
        <v>0</v>
      </c>
      <c r="L40" s="189">
        <v>0</v>
      </c>
      <c r="M40" s="189">
        <v>0</v>
      </c>
      <c r="N40" s="189">
        <v>0</v>
      </c>
      <c r="O40" s="189">
        <v>2686257</v>
      </c>
      <c r="P40" s="189">
        <v>2686257</v>
      </c>
      <c r="Q40" s="189">
        <v>2686257</v>
      </c>
      <c r="R40" s="189">
        <v>2686257</v>
      </c>
      <c r="S40" s="189">
        <v>15521100</v>
      </c>
      <c r="T40" s="189">
        <v>12721100</v>
      </c>
      <c r="U40" s="189">
        <v>6640200</v>
      </c>
      <c r="V40" s="189">
        <v>6640200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0</v>
      </c>
      <c r="BP40" s="189">
        <v>0</v>
      </c>
      <c r="BQ40" s="189">
        <v>0</v>
      </c>
      <c r="BR40" s="189">
        <v>0</v>
      </c>
      <c r="BS40" s="189">
        <v>0</v>
      </c>
      <c r="BT40" s="189">
        <v>0</v>
      </c>
      <c r="BU40" s="189">
        <v>0</v>
      </c>
      <c r="BV40" s="189">
        <v>0</v>
      </c>
      <c r="BW40" s="189">
        <v>518093.99</v>
      </c>
      <c r="BX40" s="189">
        <v>0</v>
      </c>
      <c r="BY40" s="189">
        <v>0</v>
      </c>
      <c r="BZ40" s="189">
        <v>0</v>
      </c>
      <c r="CA40" s="189">
        <v>0</v>
      </c>
      <c r="CB40" s="189">
        <v>363501.8</v>
      </c>
      <c r="CC40" s="189">
        <v>309600.21000000002</v>
      </c>
      <c r="CD40" s="189">
        <v>0</v>
      </c>
      <c r="CE40" s="189">
        <v>0</v>
      </c>
    </row>
    <row r="41" spans="1:83">
      <c r="A41" s="189" t="s">
        <v>145</v>
      </c>
      <c r="B41" s="189">
        <v>1716825407.9400001</v>
      </c>
      <c r="C41" s="189">
        <v>2064316162.1700001</v>
      </c>
      <c r="D41" s="189">
        <v>2918881973.02</v>
      </c>
      <c r="E41" s="189">
        <v>2948096180.0700002</v>
      </c>
      <c r="F41" s="189">
        <v>2958954150.3400002</v>
      </c>
      <c r="G41" s="189">
        <v>2948367817.23</v>
      </c>
      <c r="H41" s="189">
        <v>2966856307.73</v>
      </c>
      <c r="I41" s="189">
        <v>820157528.16999996</v>
      </c>
      <c r="J41" s="189">
        <v>832826506.05999994</v>
      </c>
      <c r="K41" s="189">
        <v>841885337.44000006</v>
      </c>
      <c r="L41" s="189">
        <v>852478101.13</v>
      </c>
      <c r="M41" s="189">
        <v>860291286.98000002</v>
      </c>
      <c r="N41" s="189">
        <v>862743233.21000004</v>
      </c>
      <c r="O41" s="189">
        <v>831099495.52999997</v>
      </c>
      <c r="P41" s="189">
        <v>840422283.76999998</v>
      </c>
      <c r="Q41" s="189">
        <v>849419181.35000002</v>
      </c>
      <c r="R41" s="189">
        <v>861024886.65999997</v>
      </c>
      <c r="S41" s="189">
        <v>866003770.62</v>
      </c>
      <c r="T41" s="189">
        <v>870238614.16999996</v>
      </c>
      <c r="U41" s="189">
        <v>875183125.90999997</v>
      </c>
      <c r="V41" s="189">
        <v>886233622.49000001</v>
      </c>
      <c r="W41" s="189">
        <v>898158771.94000006</v>
      </c>
      <c r="X41" s="189">
        <v>886969405.13</v>
      </c>
      <c r="Y41" s="189">
        <v>904693221.36000001</v>
      </c>
      <c r="Z41" s="189">
        <v>470104820.24000001</v>
      </c>
      <c r="AA41" s="189">
        <v>465876948.76999998</v>
      </c>
      <c r="AB41" s="189">
        <v>462494062.56999999</v>
      </c>
      <c r="AC41" s="189">
        <v>470835166.26999998</v>
      </c>
      <c r="AD41" s="189">
        <v>479189168.87</v>
      </c>
      <c r="AE41" s="189">
        <v>494287643.55000001</v>
      </c>
      <c r="AF41" s="189">
        <v>500801859.77999997</v>
      </c>
      <c r="AG41" s="189">
        <v>507435087.25</v>
      </c>
      <c r="AH41" s="189">
        <v>514152151.86000001</v>
      </c>
      <c r="AI41" s="189">
        <v>453734265.56999999</v>
      </c>
      <c r="AJ41" s="189">
        <v>617798290.72000003</v>
      </c>
      <c r="AK41" s="189">
        <v>693638821.41999996</v>
      </c>
      <c r="AL41" s="189">
        <v>696421840.71000004</v>
      </c>
      <c r="AM41" s="189">
        <v>677185603.25999999</v>
      </c>
      <c r="AN41" s="189">
        <v>667383200.70000005</v>
      </c>
      <c r="AO41" s="189">
        <v>675659690.63999999</v>
      </c>
      <c r="AP41" s="189">
        <v>680205135.78999996</v>
      </c>
      <c r="AQ41" s="189">
        <v>724962033.58000004</v>
      </c>
      <c r="AR41" s="189">
        <v>725458553.65999997</v>
      </c>
      <c r="AS41" s="189">
        <v>659789754.47000003</v>
      </c>
      <c r="AT41" s="189">
        <v>663456993.64999998</v>
      </c>
      <c r="AU41" s="189">
        <v>555920448.25</v>
      </c>
      <c r="AV41" s="189">
        <v>553868650.51999998</v>
      </c>
      <c r="AW41" s="189">
        <v>569189944.65999997</v>
      </c>
      <c r="AX41" s="189">
        <v>559857502.71000004</v>
      </c>
      <c r="AY41" s="189">
        <v>574320867.63999999</v>
      </c>
      <c r="AZ41" s="189">
        <v>570624871.21000004</v>
      </c>
      <c r="BA41" s="189">
        <v>553872874.29999995</v>
      </c>
      <c r="BB41" s="189">
        <v>561943882.90999997</v>
      </c>
      <c r="BC41" s="189">
        <v>554668237.75999999</v>
      </c>
      <c r="BD41" s="189">
        <v>559647854.07000005</v>
      </c>
      <c r="BE41" s="189">
        <v>565592937.50999999</v>
      </c>
      <c r="BF41" s="189">
        <v>576541627.67999995</v>
      </c>
      <c r="BG41" s="189">
        <v>589199859.85000002</v>
      </c>
      <c r="BH41" s="189">
        <v>598733880.47000003</v>
      </c>
      <c r="BI41" s="189">
        <v>608943590.55999994</v>
      </c>
      <c r="BJ41" s="189">
        <v>619102546.64999998</v>
      </c>
      <c r="BK41" s="189">
        <v>632873137.55999994</v>
      </c>
      <c r="BL41" s="189">
        <v>644889483.28999996</v>
      </c>
      <c r="BM41" s="189">
        <v>654638390.74000001</v>
      </c>
      <c r="BN41" s="189">
        <v>669888459.54999995</v>
      </c>
      <c r="BO41" s="189">
        <v>669185119.58000004</v>
      </c>
      <c r="BP41" s="189">
        <v>684068757.95000005</v>
      </c>
      <c r="BQ41" s="189">
        <v>686797892.65999997</v>
      </c>
      <c r="BR41" s="189">
        <v>670712100.83000004</v>
      </c>
      <c r="BS41" s="189">
        <v>663132316.09000003</v>
      </c>
      <c r="BT41" s="189">
        <v>665009925.62</v>
      </c>
      <c r="BU41" s="189">
        <v>662138722.57000005</v>
      </c>
      <c r="BV41" s="189">
        <v>653628325.23000002</v>
      </c>
      <c r="BW41" s="189">
        <v>625680968.73000002</v>
      </c>
      <c r="BX41" s="189">
        <v>614848877.99000001</v>
      </c>
      <c r="BY41" s="189">
        <v>601857025.90999997</v>
      </c>
      <c r="BZ41" s="189">
        <v>561949115.20000005</v>
      </c>
      <c r="CA41" s="189">
        <v>487494502.98000002</v>
      </c>
      <c r="CB41" s="189">
        <v>396877755.27999997</v>
      </c>
      <c r="CC41" s="189">
        <v>343110594.38999999</v>
      </c>
      <c r="CD41" s="189">
        <v>0</v>
      </c>
      <c r="CE41" s="189">
        <v>0</v>
      </c>
    </row>
    <row r="42" spans="1:83">
      <c r="A42" s="189" t="s">
        <v>146</v>
      </c>
      <c r="B42" s="189">
        <v>5724116223.9700003</v>
      </c>
      <c r="C42" s="189">
        <v>5890801383.9300003</v>
      </c>
      <c r="D42" s="189">
        <v>5060139853.1999998</v>
      </c>
      <c r="E42" s="189">
        <v>5037408199.6199999</v>
      </c>
      <c r="F42" s="189">
        <v>5000810723.8699999</v>
      </c>
      <c r="G42" s="189">
        <v>4811225853.8699999</v>
      </c>
      <c r="H42" s="189">
        <v>5147640010.1899996</v>
      </c>
      <c r="I42" s="189">
        <v>2334746156.9499998</v>
      </c>
      <c r="J42" s="189">
        <v>2406741065.0100002</v>
      </c>
      <c r="K42" s="189">
        <v>2021350996.6199999</v>
      </c>
      <c r="L42" s="189">
        <v>2034890611.48</v>
      </c>
      <c r="M42" s="189">
        <v>2046010410.79</v>
      </c>
      <c r="N42" s="189">
        <v>2024572740.24</v>
      </c>
      <c r="O42" s="189">
        <v>1957238776.8399999</v>
      </c>
      <c r="P42" s="189">
        <v>2024318939.02</v>
      </c>
      <c r="Q42" s="189">
        <v>1846381451.45</v>
      </c>
      <c r="R42" s="189">
        <v>1882870876.5899999</v>
      </c>
      <c r="S42" s="189">
        <v>1874691636.0899999</v>
      </c>
      <c r="T42" s="189">
        <v>1725795935.6700001</v>
      </c>
      <c r="U42" s="189">
        <v>1711102677.0599999</v>
      </c>
      <c r="V42" s="189">
        <v>1761620591.51</v>
      </c>
      <c r="W42" s="189">
        <v>1724664569.6199999</v>
      </c>
      <c r="X42" s="189">
        <v>1712556405.29</v>
      </c>
      <c r="Y42" s="189">
        <v>1830936102.74</v>
      </c>
      <c r="Z42" s="189">
        <v>1223301801.8</v>
      </c>
      <c r="AA42" s="189">
        <v>1146556633.8599999</v>
      </c>
      <c r="AB42" s="189">
        <v>1055196267.74</v>
      </c>
      <c r="AC42" s="189">
        <v>1100461819.8499999</v>
      </c>
      <c r="AD42" s="189">
        <v>1083370938.26</v>
      </c>
      <c r="AE42" s="189">
        <v>964603767.40999997</v>
      </c>
      <c r="AF42" s="189">
        <v>913311942.01999998</v>
      </c>
      <c r="AG42" s="189">
        <v>929328424.63999999</v>
      </c>
      <c r="AH42" s="189">
        <v>942705391.37</v>
      </c>
      <c r="AI42" s="189">
        <v>836764993.71000004</v>
      </c>
      <c r="AJ42" s="189">
        <v>870261475.94000006</v>
      </c>
      <c r="AK42" s="189">
        <v>908684867.20000005</v>
      </c>
      <c r="AL42" s="189">
        <v>933205552.66999996</v>
      </c>
      <c r="AM42" s="189">
        <v>921343102.07000005</v>
      </c>
      <c r="AN42" s="189">
        <v>823475224.34000003</v>
      </c>
      <c r="AO42" s="189">
        <v>910712351.26999998</v>
      </c>
      <c r="AP42" s="189">
        <v>882963700.13</v>
      </c>
      <c r="AQ42" s="189">
        <v>879375420.92999995</v>
      </c>
      <c r="AR42" s="189">
        <v>883671441.19000006</v>
      </c>
      <c r="AS42" s="189">
        <v>985228416.70000005</v>
      </c>
      <c r="AT42" s="189">
        <v>889423590.95000005</v>
      </c>
      <c r="AU42" s="189">
        <v>776173126.65999997</v>
      </c>
      <c r="AV42" s="189">
        <v>756075456.40999997</v>
      </c>
      <c r="AW42" s="189">
        <v>773268383.25999999</v>
      </c>
      <c r="AX42" s="189">
        <v>729841273.85000002</v>
      </c>
      <c r="AY42" s="189">
        <v>707732514.23000002</v>
      </c>
      <c r="AZ42" s="189">
        <v>730956515.58000004</v>
      </c>
      <c r="BA42" s="189">
        <v>718282757.13</v>
      </c>
      <c r="BB42" s="189">
        <v>717948711.65999997</v>
      </c>
      <c r="BC42" s="189">
        <v>789787540.50999999</v>
      </c>
      <c r="BD42" s="189">
        <v>791210280.61000001</v>
      </c>
      <c r="BE42" s="189">
        <v>831935147.36000001</v>
      </c>
      <c r="BF42" s="189">
        <v>669721495.87</v>
      </c>
      <c r="BG42" s="189">
        <v>791309305.50999999</v>
      </c>
      <c r="BH42" s="189">
        <v>788370502.55999994</v>
      </c>
      <c r="BI42" s="189">
        <v>825278723.15999997</v>
      </c>
      <c r="BJ42" s="189">
        <v>839249938.39999998</v>
      </c>
      <c r="BK42" s="189">
        <v>865483681.39999998</v>
      </c>
      <c r="BL42" s="189">
        <v>889368130.64999998</v>
      </c>
      <c r="BM42" s="189">
        <v>878337454.75</v>
      </c>
      <c r="BN42" s="189">
        <v>926205587.19000006</v>
      </c>
      <c r="BO42" s="189">
        <v>1031180979.85</v>
      </c>
      <c r="BP42" s="189">
        <v>946701454.92999995</v>
      </c>
      <c r="BQ42" s="189">
        <v>1074608951.9200001</v>
      </c>
      <c r="BR42" s="189">
        <v>1066202950.39</v>
      </c>
      <c r="BS42" s="189">
        <v>982699510.94000006</v>
      </c>
      <c r="BT42" s="189">
        <v>1079144558.6800001</v>
      </c>
      <c r="BU42" s="189">
        <v>852026786.80999994</v>
      </c>
      <c r="BV42" s="189">
        <v>1041493238.13</v>
      </c>
      <c r="BW42" s="189">
        <v>772984772.03999996</v>
      </c>
      <c r="BX42" s="189">
        <v>729608287.12</v>
      </c>
      <c r="BY42" s="189">
        <v>741141862.75999999</v>
      </c>
      <c r="BZ42" s="189">
        <v>700581170.85000002</v>
      </c>
      <c r="CA42" s="189">
        <v>603327268.37</v>
      </c>
      <c r="CB42" s="189">
        <v>577677701.94000006</v>
      </c>
      <c r="CC42" s="189">
        <v>502763133.26999998</v>
      </c>
      <c r="CD42" s="189">
        <v>479150051.35000002</v>
      </c>
      <c r="CE42" s="189">
        <v>0</v>
      </c>
    </row>
    <row r="43" spans="1:83">
      <c r="A43" s="189" t="s">
        <v>147</v>
      </c>
    </row>
    <row r="44" spans="1:83">
      <c r="A44" s="189" t="s">
        <v>148</v>
      </c>
      <c r="B44" s="189">
        <v>200000000</v>
      </c>
      <c r="C44" s="189">
        <v>420000000</v>
      </c>
      <c r="D44" s="189">
        <v>350000000</v>
      </c>
      <c r="E44" s="189">
        <v>350000000</v>
      </c>
      <c r="F44" s="189">
        <v>250000000</v>
      </c>
      <c r="G44" s="189">
        <v>250000000</v>
      </c>
      <c r="H44" s="189">
        <v>250000000</v>
      </c>
      <c r="I44" s="189">
        <v>250000000</v>
      </c>
      <c r="J44" s="189">
        <v>250000000</v>
      </c>
      <c r="K44" s="189">
        <v>300000000</v>
      </c>
      <c r="L44" s="189">
        <v>401694800</v>
      </c>
      <c r="M44" s="189">
        <v>401694800</v>
      </c>
      <c r="N44" s="189">
        <v>351694800</v>
      </c>
      <c r="O44" s="189">
        <v>301694800</v>
      </c>
      <c r="P44" s="189">
        <v>402707480</v>
      </c>
      <c r="Q44" s="189">
        <v>202707480</v>
      </c>
      <c r="R44" s="189">
        <v>202707480</v>
      </c>
      <c r="S44" s="189">
        <v>202707480</v>
      </c>
      <c r="T44" s="189">
        <v>100000000</v>
      </c>
      <c r="U44" s="189">
        <v>0</v>
      </c>
      <c r="V44" s="189">
        <v>0</v>
      </c>
      <c r="W44" s="189">
        <v>0</v>
      </c>
      <c r="X44" s="189">
        <v>0</v>
      </c>
      <c r="Y44" s="189">
        <v>0</v>
      </c>
      <c r="Z44" s="189">
        <v>0</v>
      </c>
      <c r="AA44" s="189">
        <v>0</v>
      </c>
      <c r="AB44" s="189">
        <v>0</v>
      </c>
      <c r="AC44" s="189">
        <v>0</v>
      </c>
      <c r="AD44" s="189">
        <v>0</v>
      </c>
      <c r="AE44" s="189">
        <v>0</v>
      </c>
      <c r="AF44" s="189">
        <v>0</v>
      </c>
      <c r="AG44" s="189">
        <v>0</v>
      </c>
      <c r="AH44" s="189">
        <v>50000000</v>
      </c>
      <c r="AI44" s="189">
        <v>50000000</v>
      </c>
      <c r="AJ44" s="189">
        <v>50000000</v>
      </c>
      <c r="AK44" s="189">
        <v>50000000</v>
      </c>
      <c r="AL44" s="189">
        <v>180000000</v>
      </c>
      <c r="AM44" s="189">
        <v>250000000</v>
      </c>
      <c r="AN44" s="189">
        <v>200000000</v>
      </c>
      <c r="AO44" s="189">
        <v>270000000</v>
      </c>
      <c r="AP44" s="189">
        <v>260000000</v>
      </c>
      <c r="AQ44" s="189">
        <v>290000000</v>
      </c>
      <c r="AR44" s="189">
        <v>325000000</v>
      </c>
      <c r="AS44" s="189">
        <v>385000000</v>
      </c>
      <c r="AT44" s="189">
        <v>308000000</v>
      </c>
      <c r="AU44" s="189">
        <v>308000000</v>
      </c>
      <c r="AV44" s="189">
        <v>318000000</v>
      </c>
      <c r="AW44" s="189">
        <v>278000000</v>
      </c>
      <c r="AX44" s="189">
        <v>288000000</v>
      </c>
      <c r="AY44" s="189">
        <v>288000000</v>
      </c>
      <c r="AZ44" s="189">
        <v>308000000</v>
      </c>
      <c r="BA44" s="189">
        <v>298000000</v>
      </c>
      <c r="BB44" s="189">
        <v>308000000</v>
      </c>
      <c r="BC44" s="189">
        <v>308000000</v>
      </c>
      <c r="BD44" s="189">
        <v>320000000</v>
      </c>
      <c r="BE44" s="189">
        <v>320000000</v>
      </c>
      <c r="BF44" s="189">
        <v>340000000</v>
      </c>
      <c r="BG44" s="189">
        <v>394000000</v>
      </c>
      <c r="BH44" s="189">
        <v>380000000</v>
      </c>
      <c r="BI44" s="189">
        <v>389000000</v>
      </c>
      <c r="BJ44" s="189">
        <v>417000000</v>
      </c>
      <c r="BK44" s="189">
        <v>382500000</v>
      </c>
      <c r="BL44" s="189">
        <v>325000000</v>
      </c>
      <c r="BM44" s="189">
        <v>326000000</v>
      </c>
      <c r="BN44" s="189">
        <v>305500000</v>
      </c>
      <c r="BO44" s="189">
        <v>279000000</v>
      </c>
      <c r="BP44" s="189">
        <v>283000000</v>
      </c>
      <c r="BQ44" s="189">
        <v>270000000</v>
      </c>
      <c r="BR44" s="189">
        <v>297000000</v>
      </c>
      <c r="BS44" s="189">
        <v>275000000</v>
      </c>
      <c r="BT44" s="189">
        <v>261000000</v>
      </c>
      <c r="BU44" s="189">
        <v>206880000</v>
      </c>
      <c r="BV44" s="189">
        <v>185880000</v>
      </c>
      <c r="BW44" s="189">
        <v>178830000</v>
      </c>
      <c r="BX44" s="189">
        <v>178830000</v>
      </c>
      <c r="BY44" s="189">
        <v>214206240</v>
      </c>
      <c r="BZ44" s="189">
        <v>192101520</v>
      </c>
      <c r="CA44" s="189">
        <v>0</v>
      </c>
      <c r="CB44" s="189">
        <v>168847300</v>
      </c>
      <c r="CC44" s="189">
        <v>159400000</v>
      </c>
      <c r="CD44" s="189">
        <v>139950000</v>
      </c>
      <c r="CE44" s="189">
        <v>0</v>
      </c>
    </row>
    <row r="45" spans="1:83">
      <c r="A45" s="189" t="s">
        <v>149</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0</v>
      </c>
      <c r="AO45" s="189">
        <v>0</v>
      </c>
      <c r="AP45" s="189">
        <v>0</v>
      </c>
      <c r="AQ45" s="189">
        <v>0</v>
      </c>
      <c r="AR45" s="189">
        <v>0</v>
      </c>
      <c r="AS45" s="189">
        <v>0</v>
      </c>
      <c r="AT45" s="189">
        <v>0</v>
      </c>
      <c r="AU45" s="189">
        <v>0</v>
      </c>
      <c r="AV45" s="189">
        <v>0</v>
      </c>
      <c r="AW45" s="189">
        <v>0</v>
      </c>
      <c r="AX45" s="189">
        <v>0</v>
      </c>
      <c r="AY45" s="189">
        <v>0</v>
      </c>
      <c r="AZ45" s="189">
        <v>0</v>
      </c>
      <c r="BA45" s="189">
        <v>0</v>
      </c>
      <c r="BB45" s="189">
        <v>0</v>
      </c>
      <c r="BC45" s="189">
        <v>0</v>
      </c>
      <c r="BD45" s="189">
        <v>0</v>
      </c>
      <c r="BE45" s="189">
        <v>0</v>
      </c>
      <c r="BF45" s="189">
        <v>0</v>
      </c>
      <c r="BG45" s="189">
        <v>0</v>
      </c>
      <c r="BH45" s="189">
        <v>0</v>
      </c>
      <c r="BI45" s="189">
        <v>0</v>
      </c>
      <c r="BJ45" s="189">
        <v>0</v>
      </c>
      <c r="BK45" s="189">
        <v>0</v>
      </c>
      <c r="BL45" s="189">
        <v>0</v>
      </c>
      <c r="BM45" s="189">
        <v>0</v>
      </c>
      <c r="BN45" s="189">
        <v>0</v>
      </c>
      <c r="BO45" s="189">
        <v>0</v>
      </c>
      <c r="BP45" s="189">
        <v>0</v>
      </c>
      <c r="BQ45" s="189">
        <v>0</v>
      </c>
      <c r="BR45" s="189">
        <v>0</v>
      </c>
      <c r="BS45" s="189">
        <v>0</v>
      </c>
      <c r="BT45" s="189">
        <v>0</v>
      </c>
      <c r="BU45" s="189">
        <v>0</v>
      </c>
      <c r="BV45" s="189">
        <v>0</v>
      </c>
      <c r="BW45" s="189">
        <v>0</v>
      </c>
      <c r="BX45" s="189">
        <v>0</v>
      </c>
      <c r="BY45" s="189">
        <v>0</v>
      </c>
      <c r="BZ45" s="189">
        <v>0</v>
      </c>
      <c r="CA45" s="189">
        <v>0</v>
      </c>
      <c r="CB45" s="189">
        <v>0</v>
      </c>
      <c r="CC45" s="189">
        <v>0</v>
      </c>
      <c r="CD45" s="189">
        <v>0</v>
      </c>
      <c r="CE45" s="189">
        <v>0</v>
      </c>
    </row>
    <row r="46" spans="1:83">
      <c r="A46" s="189" t="s">
        <v>150</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c r="AS46" s="189">
        <v>0</v>
      </c>
      <c r="AT46" s="189">
        <v>2880000</v>
      </c>
      <c r="AU46" s="189">
        <v>2880000</v>
      </c>
      <c r="AV46" s="189">
        <v>0</v>
      </c>
      <c r="AW46" s="189">
        <v>0</v>
      </c>
      <c r="AX46" s="189">
        <v>0</v>
      </c>
      <c r="AY46" s="189">
        <v>0</v>
      </c>
      <c r="AZ46" s="189">
        <v>0</v>
      </c>
      <c r="BA46" s="189">
        <v>0</v>
      </c>
      <c r="BB46" s="189">
        <v>10200000</v>
      </c>
      <c r="BC46" s="189">
        <v>10000000</v>
      </c>
      <c r="BD46" s="189">
        <v>0</v>
      </c>
      <c r="BE46" s="189">
        <v>0</v>
      </c>
      <c r="BF46" s="189">
        <v>0</v>
      </c>
      <c r="BG46" s="189">
        <v>0</v>
      </c>
      <c r="BH46" s="189">
        <v>0</v>
      </c>
      <c r="BI46" s="189">
        <v>0</v>
      </c>
      <c r="BJ46" s="189">
        <v>0</v>
      </c>
      <c r="BK46" s="189">
        <v>10500000</v>
      </c>
      <c r="BL46" s="189">
        <v>10000000</v>
      </c>
      <c r="BM46" s="189">
        <v>9000000</v>
      </c>
      <c r="BN46" s="189">
        <v>20000000</v>
      </c>
      <c r="BO46" s="189">
        <v>12000000</v>
      </c>
      <c r="BP46" s="189">
        <v>17000000</v>
      </c>
      <c r="BQ46" s="189">
        <v>10000000</v>
      </c>
      <c r="BR46" s="189">
        <v>16500000</v>
      </c>
      <c r="BS46" s="189">
        <v>0</v>
      </c>
      <c r="BT46" s="189">
        <v>5500000</v>
      </c>
      <c r="BU46" s="189">
        <v>0</v>
      </c>
      <c r="BV46" s="189">
        <v>0</v>
      </c>
      <c r="BW46" s="189">
        <v>9000000</v>
      </c>
      <c r="BX46" s="189">
        <v>0</v>
      </c>
      <c r="BY46" s="189">
        <v>0</v>
      </c>
      <c r="BZ46" s="189">
        <v>0</v>
      </c>
      <c r="CA46" s="189">
        <v>0</v>
      </c>
      <c r="CB46" s="189">
        <v>0</v>
      </c>
      <c r="CC46" s="189">
        <v>0</v>
      </c>
      <c r="CD46" s="189">
        <v>0</v>
      </c>
      <c r="CE46" s="189">
        <v>0</v>
      </c>
    </row>
    <row r="47" spans="1:83">
      <c r="A47" s="189" t="s">
        <v>151</v>
      </c>
      <c r="B47" s="189">
        <v>0</v>
      </c>
      <c r="C47" s="189">
        <v>0</v>
      </c>
      <c r="D47" s="189">
        <v>73377020.659999996</v>
      </c>
      <c r="E47" s="189">
        <v>85222850.290000007</v>
      </c>
      <c r="F47" s="189">
        <v>199965517.78999999</v>
      </c>
      <c r="G47" s="189">
        <v>69088292.540000007</v>
      </c>
      <c r="H47" s="189">
        <v>65002157.5</v>
      </c>
      <c r="I47" s="189">
        <v>71992541.489999995</v>
      </c>
      <c r="J47" s="189">
        <v>200325784.03999999</v>
      </c>
      <c r="K47" s="189">
        <v>69431338.609999999</v>
      </c>
      <c r="L47" s="189">
        <v>69286098.370000005</v>
      </c>
      <c r="M47" s="189">
        <v>72973178.370000005</v>
      </c>
      <c r="N47" s="189">
        <v>93026252.439999998</v>
      </c>
      <c r="O47" s="189">
        <v>74750817.420000002</v>
      </c>
      <c r="P47" s="189">
        <v>74329905.090000004</v>
      </c>
      <c r="Q47" s="189">
        <v>88916514.5</v>
      </c>
      <c r="R47" s="189">
        <v>96142161.269999996</v>
      </c>
      <c r="S47" s="189">
        <v>82467509.689999998</v>
      </c>
      <c r="T47" s="189">
        <v>77750526.109999999</v>
      </c>
      <c r="U47" s="189">
        <v>92720601.840000004</v>
      </c>
      <c r="V47" s="189">
        <v>108155010.55</v>
      </c>
      <c r="W47" s="189">
        <v>99672953.640000001</v>
      </c>
      <c r="X47" s="189">
        <v>96021316.170000002</v>
      </c>
      <c r="Y47" s="189">
        <v>106832596.33</v>
      </c>
      <c r="Z47" s="189">
        <v>116426932.58</v>
      </c>
      <c r="AA47" s="189">
        <v>102069561.64</v>
      </c>
      <c r="AB47" s="189">
        <v>89039130.180000007</v>
      </c>
      <c r="AC47" s="189">
        <v>100159500.72</v>
      </c>
      <c r="AD47" s="189">
        <v>108360054.90000001</v>
      </c>
      <c r="AE47" s="189">
        <v>90453790.870000005</v>
      </c>
      <c r="AF47" s="189">
        <v>79013600.120000005</v>
      </c>
      <c r="AG47" s="189">
        <v>93065413.159999996</v>
      </c>
      <c r="AH47" s="189">
        <v>94915353.099999994</v>
      </c>
      <c r="AI47" s="189">
        <v>76766314.040000007</v>
      </c>
      <c r="AJ47" s="189">
        <v>72637022.75</v>
      </c>
      <c r="AK47" s="189">
        <v>70402036.969999999</v>
      </c>
      <c r="AL47" s="189">
        <v>65133129.609999999</v>
      </c>
      <c r="AM47" s="189">
        <v>62868979.549999997</v>
      </c>
      <c r="AN47" s="189">
        <v>59541199.369999997</v>
      </c>
      <c r="AO47" s="189">
        <v>64599640.68</v>
      </c>
      <c r="AP47" s="189">
        <v>55907106.609999999</v>
      </c>
      <c r="AQ47" s="189">
        <v>51478729.649999999</v>
      </c>
      <c r="AR47" s="189">
        <v>47110368.850000001</v>
      </c>
      <c r="AS47" s="189">
        <v>61063583.520000003</v>
      </c>
      <c r="AT47" s="189">
        <v>67463811.409999996</v>
      </c>
      <c r="AU47" s="189">
        <v>62467945.479999997</v>
      </c>
      <c r="AV47" s="189">
        <v>68297072.579999998</v>
      </c>
      <c r="AW47" s="189">
        <v>99990097.069999993</v>
      </c>
      <c r="AX47" s="189">
        <v>69037147.920000002</v>
      </c>
      <c r="AY47" s="189">
        <v>65114392.159999996</v>
      </c>
      <c r="AZ47" s="189">
        <v>71157469.159999996</v>
      </c>
      <c r="BA47" s="189">
        <v>84291174.920000002</v>
      </c>
      <c r="BB47" s="189">
        <v>66906699.090000004</v>
      </c>
      <c r="BC47" s="189">
        <v>20919539.390000001</v>
      </c>
      <c r="BD47" s="189">
        <v>33745789.899999999</v>
      </c>
      <c r="BE47" s="189">
        <v>29438964.68</v>
      </c>
      <c r="BF47" s="189">
        <v>42323535.43</v>
      </c>
      <c r="BG47" s="189">
        <v>17107903.079999998</v>
      </c>
      <c r="BH47" s="189">
        <v>25931121.530000001</v>
      </c>
      <c r="BI47" s="189">
        <v>27289173.879999999</v>
      </c>
      <c r="BJ47" s="189">
        <v>44335101.579999998</v>
      </c>
      <c r="BK47" s="189">
        <v>44537636.649999999</v>
      </c>
      <c r="BL47" s="189">
        <v>48661411.560000002</v>
      </c>
      <c r="BM47" s="189">
        <v>66318800.689999998</v>
      </c>
      <c r="BN47" s="189">
        <v>69596521.599999994</v>
      </c>
      <c r="BO47" s="189">
        <v>14250089.789999999</v>
      </c>
      <c r="BP47" s="189">
        <v>70773808.060000002</v>
      </c>
      <c r="BQ47" s="189">
        <v>94746249.299999997</v>
      </c>
      <c r="BR47" s="189">
        <v>119418232.97</v>
      </c>
      <c r="BS47" s="189">
        <v>59805033.630000003</v>
      </c>
      <c r="BT47" s="189">
        <v>88861332.530000001</v>
      </c>
      <c r="BU47" s="189">
        <v>74301938.079999998</v>
      </c>
      <c r="BV47" s="189">
        <v>70537529.170000002</v>
      </c>
      <c r="BW47" s="189">
        <v>19897841.899999999</v>
      </c>
      <c r="BX47" s="189">
        <v>47388661.25</v>
      </c>
      <c r="BY47" s="189">
        <v>70824328.340000004</v>
      </c>
      <c r="BZ47" s="189">
        <v>55385277.520000003</v>
      </c>
      <c r="CA47" s="189">
        <v>0</v>
      </c>
      <c r="CB47" s="189">
        <v>81069803.629999995</v>
      </c>
      <c r="CC47" s="189">
        <v>61355888.770000003</v>
      </c>
      <c r="CD47" s="189">
        <v>80310062.189999998</v>
      </c>
      <c r="CE47" s="189">
        <v>0</v>
      </c>
    </row>
    <row r="48" spans="1:83">
      <c r="A48" s="189" t="s">
        <v>152</v>
      </c>
      <c r="B48" s="189">
        <v>829461817.70000005</v>
      </c>
      <c r="C48" s="189">
        <v>830479534.73000002</v>
      </c>
      <c r="D48" s="189">
        <v>834108896.55999994</v>
      </c>
      <c r="E48" s="189">
        <v>823417777.07000005</v>
      </c>
      <c r="F48" s="189">
        <v>767594031.75</v>
      </c>
      <c r="G48" s="189">
        <v>697737424.25</v>
      </c>
      <c r="H48" s="189">
        <v>640429724.48000002</v>
      </c>
      <c r="I48" s="189">
        <v>508548620.60000002</v>
      </c>
      <c r="J48" s="189">
        <v>450413192.39999998</v>
      </c>
      <c r="K48" s="189">
        <v>271142432.02999997</v>
      </c>
      <c r="L48" s="189">
        <v>236331324.78999999</v>
      </c>
      <c r="M48" s="189">
        <v>241500515.75</v>
      </c>
      <c r="N48" s="189">
        <v>258142754.31999999</v>
      </c>
      <c r="O48" s="189">
        <v>267638415.55000001</v>
      </c>
      <c r="P48" s="189">
        <v>286642641.41000003</v>
      </c>
      <c r="Q48" s="189">
        <v>317833685.26999998</v>
      </c>
      <c r="R48" s="189">
        <v>350234177</v>
      </c>
      <c r="S48" s="189">
        <v>364511092.30000001</v>
      </c>
      <c r="T48" s="189">
        <v>384314519.81</v>
      </c>
      <c r="U48" s="189">
        <v>426054083.11000001</v>
      </c>
      <c r="V48" s="189">
        <v>469608783.56</v>
      </c>
      <c r="W48" s="189">
        <v>476770186.60000002</v>
      </c>
      <c r="X48" s="189">
        <v>485373606.64999998</v>
      </c>
      <c r="Y48" s="189">
        <v>548702032.98000002</v>
      </c>
      <c r="Z48" s="189">
        <v>519487939.17000002</v>
      </c>
      <c r="AA48" s="189">
        <v>465409465.63</v>
      </c>
      <c r="AB48" s="189">
        <v>420691833.44999999</v>
      </c>
      <c r="AC48" s="189">
        <v>458249300.64999998</v>
      </c>
      <c r="AD48" s="189">
        <v>453924466.42000002</v>
      </c>
      <c r="AE48" s="189">
        <v>360916477.32999998</v>
      </c>
      <c r="AF48" s="189">
        <v>342897767.56</v>
      </c>
      <c r="AG48" s="189">
        <v>357386706.51999998</v>
      </c>
      <c r="AH48" s="189">
        <v>335000935.26999998</v>
      </c>
      <c r="AI48" s="189">
        <v>270502167.04000002</v>
      </c>
      <c r="AJ48" s="189">
        <v>241056780.84</v>
      </c>
      <c r="AK48" s="189">
        <v>257314556.43000001</v>
      </c>
      <c r="AL48" s="189">
        <v>229377350.03</v>
      </c>
      <c r="AM48" s="189">
        <v>185499518.69</v>
      </c>
      <c r="AN48" s="189">
        <v>153268328.84999999</v>
      </c>
      <c r="AO48" s="189">
        <v>173755882.69</v>
      </c>
      <c r="AP48" s="189">
        <v>170049961.84</v>
      </c>
      <c r="AQ48" s="189">
        <v>109480193.2</v>
      </c>
      <c r="AR48" s="189">
        <v>90855216.769999996</v>
      </c>
      <c r="AS48" s="189">
        <v>119286772.70999999</v>
      </c>
      <c r="AT48" s="189">
        <v>97381030.879999995</v>
      </c>
      <c r="AU48" s="189">
        <v>80111605.519999996</v>
      </c>
      <c r="AV48" s="189">
        <v>58621965.340000004</v>
      </c>
      <c r="AW48" s="189">
        <v>77908461.349999994</v>
      </c>
      <c r="AX48" s="189">
        <v>57172059.880000003</v>
      </c>
      <c r="AY48" s="189">
        <v>39796321.880000003</v>
      </c>
      <c r="AZ48" s="189">
        <v>50648090.289999999</v>
      </c>
      <c r="BA48" s="189">
        <v>59312419.770000003</v>
      </c>
      <c r="BB48" s="189">
        <v>57255207.289999999</v>
      </c>
      <c r="BC48" s="189">
        <v>32629986.129999999</v>
      </c>
      <c r="BD48" s="189">
        <v>22547838</v>
      </c>
      <c r="BE48" s="189">
        <v>43541219.810000002</v>
      </c>
      <c r="BF48" s="189">
        <v>39429883.520000003</v>
      </c>
      <c r="BG48" s="189">
        <v>35468036.520000003</v>
      </c>
      <c r="BH48" s="189">
        <v>27522807.030000001</v>
      </c>
      <c r="BI48" s="189">
        <v>34797498.840000004</v>
      </c>
      <c r="BJ48" s="189">
        <v>30964431.690000001</v>
      </c>
      <c r="BK48" s="189">
        <v>51127007.090000004</v>
      </c>
      <c r="BL48" s="189">
        <v>28374522.34</v>
      </c>
      <c r="BM48" s="189">
        <v>23370441.43</v>
      </c>
      <c r="BN48" s="189">
        <v>20019179.350000001</v>
      </c>
      <c r="BO48" s="189">
        <v>18016345.800000001</v>
      </c>
      <c r="BP48" s="189">
        <v>13980754.91</v>
      </c>
      <c r="BQ48" s="189">
        <v>9855949.2400000002</v>
      </c>
      <c r="BR48" s="189">
        <v>15507008.699999999</v>
      </c>
      <c r="BS48" s="189">
        <v>12849564.01</v>
      </c>
      <c r="BT48" s="189">
        <v>22369826.300000001</v>
      </c>
      <c r="BU48" s="189">
        <v>11685541.77</v>
      </c>
      <c r="BV48" s="189">
        <v>6544054.7400000002</v>
      </c>
      <c r="BW48" s="189">
        <v>3788777.24</v>
      </c>
      <c r="BX48" s="189">
        <v>3788777.24</v>
      </c>
      <c r="BY48" s="189">
        <v>3788777.24</v>
      </c>
      <c r="BZ48" s="189">
        <v>3788777.24</v>
      </c>
      <c r="CA48" s="189">
        <v>0</v>
      </c>
      <c r="CB48" s="189">
        <v>2076777.24</v>
      </c>
      <c r="CC48" s="189">
        <v>2076777.24</v>
      </c>
      <c r="CD48" s="189">
        <v>4625783.41</v>
      </c>
      <c r="CE48" s="189">
        <v>0</v>
      </c>
    </row>
    <row r="49" spans="1:83">
      <c r="A49" s="189" t="s">
        <v>153</v>
      </c>
      <c r="B49" s="189">
        <v>0</v>
      </c>
      <c r="C49" s="189">
        <v>0</v>
      </c>
      <c r="D49" s="189">
        <v>0</v>
      </c>
      <c r="E49" s="189">
        <v>0</v>
      </c>
      <c r="F49" s="189">
        <v>0</v>
      </c>
      <c r="G49" s="189">
        <v>0</v>
      </c>
      <c r="H49" s="189">
        <v>0</v>
      </c>
      <c r="I49" s="189">
        <v>0</v>
      </c>
      <c r="J49" s="189">
        <v>0</v>
      </c>
      <c r="K49" s="189">
        <v>0</v>
      </c>
      <c r="L49" s="189">
        <v>0</v>
      </c>
      <c r="M49" s="189">
        <v>0</v>
      </c>
      <c r="N49" s="189">
        <v>0</v>
      </c>
      <c r="O49" s="189">
        <v>0</v>
      </c>
      <c r="P49" s="189">
        <v>0</v>
      </c>
      <c r="Q49" s="189">
        <v>0</v>
      </c>
      <c r="R49" s="189">
        <v>0</v>
      </c>
      <c r="S49" s="189">
        <v>0</v>
      </c>
      <c r="T49" s="189">
        <v>0</v>
      </c>
      <c r="U49" s="189">
        <v>0</v>
      </c>
      <c r="V49" s="189">
        <v>0</v>
      </c>
      <c r="W49" s="189">
        <v>0</v>
      </c>
      <c r="X49" s="189">
        <v>0</v>
      </c>
      <c r="Y49" s="189">
        <v>0</v>
      </c>
      <c r="Z49" s="189">
        <v>0</v>
      </c>
      <c r="AA49" s="189">
        <v>0</v>
      </c>
      <c r="AB49" s="189">
        <v>0</v>
      </c>
      <c r="AC49" s="189">
        <v>0</v>
      </c>
      <c r="AD49" s="189">
        <v>0</v>
      </c>
      <c r="AE49" s="189">
        <v>0</v>
      </c>
      <c r="AF49" s="189">
        <v>0</v>
      </c>
      <c r="AG49" s="189">
        <v>0</v>
      </c>
      <c r="AH49" s="189">
        <v>0</v>
      </c>
      <c r="AI49" s="189">
        <v>0</v>
      </c>
      <c r="AJ49" s="189">
        <v>0</v>
      </c>
      <c r="AK49" s="189">
        <v>0</v>
      </c>
      <c r="AL49" s="189">
        <v>0</v>
      </c>
      <c r="AM49" s="189">
        <v>0</v>
      </c>
      <c r="AN49" s="189">
        <v>0</v>
      </c>
      <c r="AO49" s="189">
        <v>0</v>
      </c>
      <c r="AP49" s="189">
        <v>0</v>
      </c>
      <c r="AQ49" s="189">
        <v>0</v>
      </c>
      <c r="AR49" s="189">
        <v>0</v>
      </c>
      <c r="AS49" s="189">
        <v>0</v>
      </c>
      <c r="AT49" s="189">
        <v>0</v>
      </c>
      <c r="AU49" s="189">
        <v>0</v>
      </c>
      <c r="AV49" s="189">
        <v>0</v>
      </c>
      <c r="AW49" s="189">
        <v>0</v>
      </c>
      <c r="AX49" s="189">
        <v>0</v>
      </c>
      <c r="AY49" s="189">
        <v>0</v>
      </c>
      <c r="AZ49" s="189">
        <v>0</v>
      </c>
      <c r="BA49" s="189">
        <v>0</v>
      </c>
      <c r="BB49" s="189">
        <v>0</v>
      </c>
      <c r="BC49" s="189">
        <v>0</v>
      </c>
      <c r="BD49" s="189">
        <v>0</v>
      </c>
      <c r="BE49" s="189">
        <v>0</v>
      </c>
      <c r="BF49" s="189">
        <v>0</v>
      </c>
      <c r="BG49" s="189">
        <v>0</v>
      </c>
      <c r="BH49" s="189">
        <v>0</v>
      </c>
      <c r="BI49" s="189">
        <v>0</v>
      </c>
      <c r="BJ49" s="189">
        <v>0</v>
      </c>
      <c r="BK49" s="189">
        <v>0</v>
      </c>
      <c r="BL49" s="189">
        <v>0</v>
      </c>
      <c r="BM49" s="189">
        <v>0</v>
      </c>
      <c r="BN49" s="189">
        <v>0</v>
      </c>
      <c r="BO49" s="189">
        <v>0</v>
      </c>
      <c r="BP49" s="189">
        <v>0</v>
      </c>
      <c r="BQ49" s="189">
        <v>0</v>
      </c>
      <c r="BR49" s="189">
        <v>0</v>
      </c>
      <c r="BS49" s="189">
        <v>0</v>
      </c>
      <c r="BT49" s="189">
        <v>0</v>
      </c>
      <c r="BU49" s="189">
        <v>0</v>
      </c>
      <c r="BV49" s="189">
        <v>0</v>
      </c>
      <c r="BW49" s="189">
        <v>0</v>
      </c>
      <c r="BX49" s="189">
        <v>0</v>
      </c>
      <c r="BY49" s="189">
        <v>0</v>
      </c>
      <c r="BZ49" s="189">
        <v>0</v>
      </c>
      <c r="CA49" s="189">
        <v>0</v>
      </c>
      <c r="CB49" s="189">
        <v>0</v>
      </c>
      <c r="CC49" s="189">
        <v>0</v>
      </c>
      <c r="CD49" s="189">
        <v>0</v>
      </c>
      <c r="CE49" s="189">
        <v>0</v>
      </c>
    </row>
    <row r="50" spans="1:83">
      <c r="A50" s="189" t="s">
        <v>154</v>
      </c>
      <c r="B50" s="189">
        <v>24174694.059999999</v>
      </c>
      <c r="C50" s="189">
        <v>16330184.18</v>
      </c>
      <c r="D50" s="189">
        <v>13210487.17</v>
      </c>
      <c r="E50" s="189">
        <v>9203276.9399999995</v>
      </c>
      <c r="F50" s="189">
        <v>25968427.289999999</v>
      </c>
      <c r="G50" s="189">
        <v>19043909.219999999</v>
      </c>
      <c r="H50" s="189">
        <v>15228966.57</v>
      </c>
      <c r="I50" s="189">
        <v>9426968.8800000008</v>
      </c>
      <c r="J50" s="189">
        <v>21350374.32</v>
      </c>
      <c r="K50" s="189">
        <v>16389057.890000001</v>
      </c>
      <c r="L50" s="189">
        <v>13288920.189999999</v>
      </c>
      <c r="M50" s="189">
        <v>9398418.7200000007</v>
      </c>
      <c r="N50" s="189">
        <v>20123272.350000001</v>
      </c>
      <c r="O50" s="189">
        <v>15412014.619999999</v>
      </c>
      <c r="P50" s="189">
        <v>11998952.85</v>
      </c>
      <c r="Q50" s="189">
        <v>8593659.6899999995</v>
      </c>
      <c r="R50" s="189">
        <v>20762322.800000001</v>
      </c>
      <c r="S50" s="189">
        <v>15199336.289999999</v>
      </c>
      <c r="T50" s="189">
        <v>11349671.869999999</v>
      </c>
      <c r="U50" s="189">
        <v>8533336.7899999991</v>
      </c>
      <c r="V50" s="189">
        <v>21310943.379999999</v>
      </c>
      <c r="W50" s="189">
        <v>14346664.539999999</v>
      </c>
      <c r="X50" s="189">
        <v>11253522.66</v>
      </c>
      <c r="Y50" s="189">
        <v>7705781.5700000003</v>
      </c>
      <c r="Z50" s="189">
        <v>18984867.23</v>
      </c>
      <c r="AA50" s="189">
        <v>13831316.32</v>
      </c>
      <c r="AB50" s="189">
        <v>10719365.4</v>
      </c>
      <c r="AC50" s="189">
        <v>7444067.29</v>
      </c>
      <c r="AD50" s="189">
        <v>16498740.73</v>
      </c>
      <c r="AE50" s="189">
        <v>13496050.960000001</v>
      </c>
      <c r="AF50" s="189">
        <v>8230698.2000000002</v>
      </c>
      <c r="AG50" s="189">
        <v>3997574.31</v>
      </c>
      <c r="AH50" s="189">
        <v>13686625.59</v>
      </c>
      <c r="AI50" s="189">
        <v>7105996.2599999998</v>
      </c>
      <c r="AJ50" s="189">
        <v>2857859.64</v>
      </c>
      <c r="AK50" s="189">
        <v>8878152.3000000007</v>
      </c>
      <c r="AL50" s="189">
        <v>9111447.4299999997</v>
      </c>
      <c r="AM50" s="189">
        <v>2653478.48</v>
      </c>
      <c r="AN50" s="189">
        <v>2483418.38</v>
      </c>
      <c r="AO50" s="189">
        <v>2393053.0499999998</v>
      </c>
      <c r="AP50" s="189">
        <v>6124358.6900000004</v>
      </c>
      <c r="AQ50" s="189">
        <v>2514462.2799999998</v>
      </c>
      <c r="AR50" s="189">
        <v>2341018.54</v>
      </c>
      <c r="AS50" s="189">
        <v>2434618.11</v>
      </c>
      <c r="AT50" s="189">
        <v>2248686.2400000002</v>
      </c>
      <c r="AU50" s="189">
        <v>3164101.47</v>
      </c>
      <c r="AV50" s="189">
        <v>3055786.27</v>
      </c>
      <c r="AW50" s="189">
        <v>1453480.55</v>
      </c>
      <c r="AX50" s="189">
        <v>1441940.6</v>
      </c>
      <c r="AY50" s="189">
        <v>1224567.5900000001</v>
      </c>
      <c r="AZ50" s="189">
        <v>949209.81</v>
      </c>
      <c r="BA50" s="189">
        <v>2266179.11</v>
      </c>
      <c r="BB50" s="189">
        <v>1324919.23</v>
      </c>
      <c r="BC50" s="189">
        <v>1861499.63</v>
      </c>
      <c r="BD50" s="189">
        <v>1695037.18</v>
      </c>
      <c r="BE50" s="189">
        <v>1515373.17</v>
      </c>
      <c r="BF50" s="189">
        <v>1205617.58</v>
      </c>
      <c r="BG50" s="189">
        <v>1402609.82</v>
      </c>
      <c r="BH50" s="189">
        <v>1168613.6499999999</v>
      </c>
      <c r="BI50" s="189">
        <v>741198.24</v>
      </c>
      <c r="BJ50" s="189">
        <v>2866551.4</v>
      </c>
      <c r="BK50" s="189">
        <v>1734679.95</v>
      </c>
      <c r="BL50" s="189">
        <v>1832660.09</v>
      </c>
      <c r="BM50" s="189">
        <v>1950444.51</v>
      </c>
      <c r="BN50" s="189">
        <v>1659392.54</v>
      </c>
      <c r="BO50" s="189">
        <v>-64127.02</v>
      </c>
      <c r="BP50" s="189">
        <v>-309826.96000000002</v>
      </c>
      <c r="BQ50" s="189">
        <v>134842.10999999999</v>
      </c>
      <c r="BR50" s="189">
        <v>426408.6</v>
      </c>
      <c r="BS50" s="189">
        <v>1079992.01</v>
      </c>
      <c r="BT50" s="189">
        <v>1491009.94</v>
      </c>
      <c r="BU50" s="189">
        <v>369070.69</v>
      </c>
      <c r="BV50" s="189">
        <v>542727.1</v>
      </c>
      <c r="BW50" s="189">
        <v>1459516.07</v>
      </c>
      <c r="BX50" s="189">
        <v>1650368.95</v>
      </c>
      <c r="BY50" s="189">
        <v>2273033.15</v>
      </c>
      <c r="BZ50" s="189">
        <v>1309852.77</v>
      </c>
      <c r="CA50" s="189">
        <v>0</v>
      </c>
      <c r="CB50" s="189">
        <v>2135370.9900000002</v>
      </c>
      <c r="CC50" s="189">
        <v>2385096.23</v>
      </c>
      <c r="CD50" s="189">
        <v>0</v>
      </c>
      <c r="CE50" s="189">
        <v>0</v>
      </c>
    </row>
    <row r="51" spans="1:83">
      <c r="A51" s="189" t="s">
        <v>155</v>
      </c>
      <c r="B51" s="189">
        <v>385527791.54000002</v>
      </c>
      <c r="C51" s="189">
        <v>311277970.55000001</v>
      </c>
      <c r="D51" s="189">
        <v>13600282.92</v>
      </c>
      <c r="E51" s="189">
        <v>73258403.599999994</v>
      </c>
      <c r="F51" s="189">
        <v>34042180.75</v>
      </c>
      <c r="G51" s="189">
        <v>27378872.010000002</v>
      </c>
      <c r="H51" s="189">
        <v>37813290.719999999</v>
      </c>
      <c r="I51" s="189">
        <v>10056141.029999999</v>
      </c>
      <c r="J51" s="189">
        <v>9268650.3399999999</v>
      </c>
      <c r="K51" s="189">
        <v>12370913.539999999</v>
      </c>
      <c r="L51" s="189">
        <v>8761296.7899999991</v>
      </c>
      <c r="M51" s="189">
        <v>11512433.640000001</v>
      </c>
      <c r="N51" s="189">
        <v>8148316.8300000001</v>
      </c>
      <c r="O51" s="189">
        <v>8773753.2200000007</v>
      </c>
      <c r="P51" s="189">
        <v>10958254.810000001</v>
      </c>
      <c r="Q51" s="189">
        <v>12235815.140000001</v>
      </c>
      <c r="R51" s="189">
        <v>12699878.5</v>
      </c>
      <c r="S51" s="189">
        <v>11263560.609999999</v>
      </c>
      <c r="T51" s="189">
        <v>11887226.050000001</v>
      </c>
      <c r="U51" s="189">
        <v>32543814.57</v>
      </c>
      <c r="V51" s="189">
        <v>28486655.719999999</v>
      </c>
      <c r="W51" s="189">
        <v>20992793.809999999</v>
      </c>
      <c r="X51" s="189">
        <v>18129036.989999998</v>
      </c>
      <c r="Y51" s="189">
        <v>30213306.489999998</v>
      </c>
      <c r="Z51" s="189">
        <v>27638435.399999999</v>
      </c>
      <c r="AA51" s="189">
        <v>18823122.18</v>
      </c>
      <c r="AB51" s="189">
        <v>16794141.280000001</v>
      </c>
      <c r="AC51" s="189">
        <v>26246111.329999998</v>
      </c>
      <c r="AD51" s="189">
        <v>24969209.07</v>
      </c>
      <c r="AE51" s="189">
        <v>28742544.98</v>
      </c>
      <c r="AF51" s="189">
        <v>23645712.960000001</v>
      </c>
      <c r="AG51" s="189">
        <v>22546814.43</v>
      </c>
      <c r="AH51" s="189">
        <v>18810318.5</v>
      </c>
      <c r="AI51" s="189">
        <v>11990114.189999999</v>
      </c>
      <c r="AJ51" s="189">
        <v>14403453.08</v>
      </c>
      <c r="AK51" s="189">
        <v>13380248.77</v>
      </c>
      <c r="AL51" s="189">
        <v>11967584.16</v>
      </c>
      <c r="AM51" s="189">
        <v>12479303.630000001</v>
      </c>
      <c r="AN51" s="189">
        <v>7712363.9400000004</v>
      </c>
      <c r="AO51" s="189">
        <v>5538628.3399999999</v>
      </c>
      <c r="AP51" s="189">
        <v>5209483.41</v>
      </c>
      <c r="AQ51" s="189">
        <v>2413286.79</v>
      </c>
      <c r="AR51" s="189">
        <v>-1696211.24</v>
      </c>
      <c r="AS51" s="189">
        <v>-797904.8</v>
      </c>
      <c r="AT51" s="189">
        <v>-294041.40999999997</v>
      </c>
      <c r="AU51" s="189">
        <v>-4081502.04</v>
      </c>
      <c r="AV51" s="189">
        <v>-6943472.8300000001</v>
      </c>
      <c r="AW51" s="189">
        <v>-6243725.6299999999</v>
      </c>
      <c r="AX51" s="189">
        <v>-2335133.4700000002</v>
      </c>
      <c r="AY51" s="189">
        <v>-6428268.8399999999</v>
      </c>
      <c r="AZ51" s="189">
        <v>-7369289.8700000001</v>
      </c>
      <c r="BA51" s="189">
        <v>-7624485.6100000003</v>
      </c>
      <c r="BB51" s="189">
        <v>-2126667.46</v>
      </c>
      <c r="BC51" s="189">
        <v>-2868474.7</v>
      </c>
      <c r="BD51" s="189">
        <v>-5393438.1600000001</v>
      </c>
      <c r="BE51" s="189">
        <v>-5613142.4699999997</v>
      </c>
      <c r="BF51" s="189">
        <v>-2550634.42</v>
      </c>
      <c r="BG51" s="189">
        <v>-5130471.9800000004</v>
      </c>
      <c r="BH51" s="189">
        <v>-7440715.7599999998</v>
      </c>
      <c r="BI51" s="189">
        <v>-7578740.4400000004</v>
      </c>
      <c r="BJ51" s="189">
        <v>-6887971.29</v>
      </c>
      <c r="BK51" s="189">
        <v>-9165205.1899999995</v>
      </c>
      <c r="BL51" s="189">
        <v>-10256290.859999999</v>
      </c>
      <c r="BM51" s="189">
        <v>-7973149.6100000003</v>
      </c>
      <c r="BN51" s="189">
        <v>-7313215.2599999998</v>
      </c>
      <c r="BO51" s="189">
        <v>-2262222.2200000002</v>
      </c>
      <c r="BP51" s="189">
        <v>-2297660.94</v>
      </c>
      <c r="BQ51" s="189">
        <v>-3209848.09</v>
      </c>
      <c r="BR51" s="189">
        <v>-874854.13</v>
      </c>
      <c r="BS51" s="189">
        <v>7961203.8499999996</v>
      </c>
      <c r="BT51" s="189">
        <v>3497593.62</v>
      </c>
      <c r="BU51" s="189">
        <v>-3809179.52</v>
      </c>
      <c r="BV51" s="189">
        <v>-3306450.71</v>
      </c>
      <c r="BW51" s="189">
        <v>-4657774.28</v>
      </c>
      <c r="BX51" s="189">
        <v>-8329406.2199999997</v>
      </c>
      <c r="BY51" s="189">
        <v>-261046.45</v>
      </c>
      <c r="BZ51" s="189">
        <v>592578.51</v>
      </c>
      <c r="CA51" s="189">
        <v>0</v>
      </c>
      <c r="CB51" s="189">
        <v>1831919.6</v>
      </c>
      <c r="CC51" s="189">
        <v>807996.98</v>
      </c>
      <c r="CD51" s="189">
        <v>2905708.17</v>
      </c>
      <c r="CE51" s="189">
        <v>0</v>
      </c>
    </row>
    <row r="52" spans="1:83">
      <c r="A52" s="189" t="s">
        <v>156</v>
      </c>
      <c r="B52" s="189">
        <v>1602123.78</v>
      </c>
      <c r="C52" s="189">
        <v>1533898.2</v>
      </c>
      <c r="D52" s="189">
        <v>2456924.54</v>
      </c>
      <c r="E52" s="189">
        <v>2815925.93</v>
      </c>
      <c r="F52" s="189">
        <v>2752208.91</v>
      </c>
      <c r="G52" s="189">
        <v>2282035.86</v>
      </c>
      <c r="H52" s="189">
        <v>2500989.9300000002</v>
      </c>
      <c r="I52" s="189">
        <v>551753.13</v>
      </c>
      <c r="J52" s="189">
        <v>551753.13</v>
      </c>
      <c r="K52" s="189">
        <v>363187.5</v>
      </c>
      <c r="L52" s="189">
        <v>377447.22</v>
      </c>
      <c r="M52" s="189">
        <v>484198.61</v>
      </c>
      <c r="N52" s="189">
        <v>396473.61</v>
      </c>
      <c r="O52" s="189">
        <v>0</v>
      </c>
      <c r="P52" s="189">
        <v>467916.67</v>
      </c>
      <c r="Q52" s="189">
        <v>163333.32999999999</v>
      </c>
      <c r="R52" s="189">
        <v>163333.32999999999</v>
      </c>
      <c r="S52" s="189">
        <v>0</v>
      </c>
      <c r="T52" s="189">
        <v>0</v>
      </c>
      <c r="U52" s="189">
        <v>0</v>
      </c>
      <c r="V52" s="189">
        <v>0</v>
      </c>
      <c r="W52" s="189">
        <v>0</v>
      </c>
      <c r="X52" s="189">
        <v>0</v>
      </c>
      <c r="Y52" s="189">
        <v>0</v>
      </c>
      <c r="Z52" s="189">
        <v>91437.5</v>
      </c>
      <c r="AA52" s="189">
        <v>83125</v>
      </c>
      <c r="AB52" s="189">
        <v>83125</v>
      </c>
      <c r="AC52" s="189">
        <v>91437.5</v>
      </c>
      <c r="AD52" s="189">
        <v>82875</v>
      </c>
      <c r="AE52" s="189">
        <v>75562.5</v>
      </c>
      <c r="AF52" s="189">
        <v>75562.5</v>
      </c>
      <c r="AG52" s="189">
        <v>74649.19</v>
      </c>
      <c r="AH52" s="189">
        <v>142837.5</v>
      </c>
      <c r="AI52" s="189">
        <v>138337.5</v>
      </c>
      <c r="AJ52" s="189">
        <v>133875</v>
      </c>
      <c r="AK52" s="189">
        <v>142483.32999999999</v>
      </c>
      <c r="AL52" s="189">
        <v>534640</v>
      </c>
      <c r="AM52" s="189">
        <v>320850</v>
      </c>
      <c r="AN52" s="189">
        <v>434841.67</v>
      </c>
      <c r="AO52" s="189">
        <v>461785.83</v>
      </c>
      <c r="AP52" s="189">
        <v>652795</v>
      </c>
      <c r="AQ52" s="189">
        <v>682284.17</v>
      </c>
      <c r="AR52" s="189">
        <v>787423.96</v>
      </c>
      <c r="AS52" s="189">
        <v>757248.92</v>
      </c>
      <c r="AT52" s="189">
        <v>708944.5</v>
      </c>
      <c r="AU52" s="189">
        <v>634397.82999999996</v>
      </c>
      <c r="AV52" s="189">
        <v>0</v>
      </c>
      <c r="AW52" s="189">
        <v>0</v>
      </c>
      <c r="AX52" s="189">
        <v>0</v>
      </c>
      <c r="AY52" s="189">
        <v>0</v>
      </c>
      <c r="AZ52" s="189">
        <v>0</v>
      </c>
      <c r="BA52" s="189">
        <v>0</v>
      </c>
      <c r="BB52" s="189">
        <v>0</v>
      </c>
      <c r="BC52" s="189">
        <v>0</v>
      </c>
      <c r="BD52" s="189">
        <v>0</v>
      </c>
      <c r="BE52" s="189">
        <v>0</v>
      </c>
      <c r="BF52" s="189">
        <v>0</v>
      </c>
      <c r="BG52" s="189">
        <v>0</v>
      </c>
      <c r="BH52" s="189">
        <v>0</v>
      </c>
      <c r="BI52" s="189">
        <v>0</v>
      </c>
      <c r="BJ52" s="189">
        <v>0</v>
      </c>
      <c r="BK52" s="189">
        <v>0</v>
      </c>
      <c r="BL52" s="189">
        <v>0</v>
      </c>
      <c r="BM52" s="189">
        <v>0</v>
      </c>
      <c r="BN52" s="189">
        <v>0</v>
      </c>
      <c r="BO52" s="189">
        <v>0</v>
      </c>
      <c r="BP52" s="189">
        <v>0</v>
      </c>
      <c r="BQ52" s="189">
        <v>0</v>
      </c>
      <c r="BR52" s="189">
        <v>0</v>
      </c>
      <c r="BS52" s="189">
        <v>0</v>
      </c>
      <c r="BT52" s="189">
        <v>0</v>
      </c>
      <c r="BU52" s="189">
        <v>0</v>
      </c>
      <c r="BV52" s="189">
        <v>0</v>
      </c>
      <c r="BW52" s="189">
        <v>0</v>
      </c>
      <c r="BX52" s="189">
        <v>0</v>
      </c>
      <c r="BY52" s="189">
        <v>0</v>
      </c>
      <c r="BZ52" s="189">
        <v>0</v>
      </c>
      <c r="CA52" s="189">
        <v>0</v>
      </c>
      <c r="CB52" s="189">
        <v>0</v>
      </c>
      <c r="CC52" s="189">
        <v>0</v>
      </c>
      <c r="CD52" s="189">
        <v>0</v>
      </c>
      <c r="CE52" s="189">
        <v>0</v>
      </c>
    </row>
    <row r="53" spans="1:83">
      <c r="A53" s="189" t="s">
        <v>157</v>
      </c>
      <c r="B53" s="189">
        <v>709483.94</v>
      </c>
      <c r="C53" s="189">
        <v>376167.14</v>
      </c>
      <c r="D53" s="189">
        <v>376167.14</v>
      </c>
      <c r="E53" s="189">
        <v>313594.14</v>
      </c>
      <c r="F53" s="189">
        <v>313594.14</v>
      </c>
      <c r="G53" s="189">
        <v>313594.14</v>
      </c>
      <c r="H53" s="189">
        <v>269793.03999999998</v>
      </c>
      <c r="I53" s="189">
        <v>269793.03999999998</v>
      </c>
      <c r="J53" s="189">
        <v>269793.03999999998</v>
      </c>
      <c r="K53" s="189">
        <v>269793.03999999998</v>
      </c>
      <c r="L53" s="189">
        <v>269793.03999999998</v>
      </c>
      <c r="M53" s="189">
        <v>269793.03999999998</v>
      </c>
      <c r="N53" s="189">
        <v>269793.03999999998</v>
      </c>
      <c r="O53" s="189">
        <v>269793.03999999998</v>
      </c>
      <c r="P53" s="189">
        <v>269793.03999999998</v>
      </c>
      <c r="Q53" s="189">
        <v>269793.03999999998</v>
      </c>
      <c r="R53" s="189">
        <v>269793.03999999998</v>
      </c>
      <c r="S53" s="189">
        <v>269793.03999999998</v>
      </c>
      <c r="T53" s="189">
        <v>1263819.04</v>
      </c>
      <c r="U53" s="189">
        <v>202889.04</v>
      </c>
      <c r="V53" s="189">
        <v>202889.04</v>
      </c>
      <c r="W53" s="189">
        <v>214121.04</v>
      </c>
      <c r="X53" s="189">
        <v>214121.04</v>
      </c>
      <c r="Y53" s="189">
        <v>122604.24</v>
      </c>
      <c r="Z53" s="189">
        <v>122604.24</v>
      </c>
      <c r="AA53" s="189">
        <v>122604.24</v>
      </c>
      <c r="AB53" s="189">
        <v>122604.24</v>
      </c>
      <c r="AC53" s="189">
        <v>122604.24</v>
      </c>
      <c r="AD53" s="189">
        <v>122604.24</v>
      </c>
      <c r="AE53" s="189">
        <v>122604.24</v>
      </c>
      <c r="AF53" s="189">
        <v>122604.24</v>
      </c>
      <c r="AG53" s="189">
        <v>122604.24</v>
      </c>
      <c r="AH53" s="189">
        <v>122604.24</v>
      </c>
      <c r="AI53" s="189">
        <v>122604.24</v>
      </c>
      <c r="AJ53" s="189">
        <v>122604.24</v>
      </c>
      <c r="AK53" s="189">
        <v>122604.24</v>
      </c>
      <c r="AL53" s="189">
        <v>122604.24</v>
      </c>
      <c r="AM53" s="189">
        <v>122604.24</v>
      </c>
      <c r="AN53" s="189">
        <v>0</v>
      </c>
      <c r="AO53" s="189">
        <v>122604.24</v>
      </c>
      <c r="AP53" s="189">
        <v>0</v>
      </c>
      <c r="AQ53" s="189">
        <v>122604.24</v>
      </c>
      <c r="AR53" s="189">
        <v>122604.24</v>
      </c>
      <c r="AS53" s="189">
        <v>122604.24</v>
      </c>
      <c r="AT53" s="189">
        <v>122604.24</v>
      </c>
      <c r="AU53" s="189">
        <v>122604.24</v>
      </c>
      <c r="AV53" s="189">
        <v>122604.24</v>
      </c>
      <c r="AW53" s="189">
        <v>122604.24</v>
      </c>
      <c r="AX53" s="189">
        <v>122604.24</v>
      </c>
      <c r="AY53" s="189">
        <v>122604.24</v>
      </c>
      <c r="AZ53" s="189">
        <v>122604.24</v>
      </c>
      <c r="BA53" s="189">
        <v>122604.24</v>
      </c>
      <c r="BB53" s="189">
        <v>122604.24</v>
      </c>
      <c r="BC53" s="189">
        <v>122604.24</v>
      </c>
      <c r="BD53" s="189">
        <v>122604.24</v>
      </c>
      <c r="BE53" s="189">
        <v>122604.24</v>
      </c>
      <c r="BF53" s="189">
        <v>122604.24</v>
      </c>
      <c r="BG53" s="189">
        <v>122604.24</v>
      </c>
      <c r="BH53" s="189">
        <v>122604.24</v>
      </c>
      <c r="BI53" s="189">
        <v>122604.24</v>
      </c>
      <c r="BJ53" s="189">
        <v>122604.24</v>
      </c>
      <c r="BK53" s="189">
        <v>121324.8</v>
      </c>
      <c r="BL53" s="189">
        <v>121324.8</v>
      </c>
      <c r="BM53" s="189">
        <v>158764.79999999999</v>
      </c>
      <c r="BN53" s="189">
        <v>162508.79999999999</v>
      </c>
      <c r="BO53" s="189">
        <v>177484.79999999999</v>
      </c>
      <c r="BP53" s="189">
        <v>177484.79999999999</v>
      </c>
      <c r="BQ53" s="189">
        <v>366744</v>
      </c>
      <c r="BR53" s="189">
        <v>366744</v>
      </c>
      <c r="BS53" s="189">
        <v>366744</v>
      </c>
      <c r="BT53" s="189">
        <v>0</v>
      </c>
      <c r="BU53" s="189">
        <v>0</v>
      </c>
      <c r="BV53" s="189">
        <v>0</v>
      </c>
      <c r="BW53" s="189">
        <v>629907.85</v>
      </c>
      <c r="BX53" s="189">
        <v>1629907.85</v>
      </c>
      <c r="BY53" s="189">
        <v>1629907.85</v>
      </c>
      <c r="BZ53" s="189">
        <v>1629907.85</v>
      </c>
      <c r="CA53" s="189">
        <v>0</v>
      </c>
      <c r="CB53" s="189">
        <v>1779907.85</v>
      </c>
      <c r="CC53" s="189">
        <v>2097907.85</v>
      </c>
      <c r="CD53" s="189">
        <v>3879907.85</v>
      </c>
      <c r="CE53" s="189">
        <v>0</v>
      </c>
    </row>
    <row r="54" spans="1:83">
      <c r="A54" s="189" t="s">
        <v>158</v>
      </c>
      <c r="B54" s="189">
        <v>688371287.38999999</v>
      </c>
      <c r="C54" s="189">
        <v>789741477.82000005</v>
      </c>
      <c r="D54" s="189">
        <v>767876009.37</v>
      </c>
      <c r="E54" s="189">
        <v>590948504.09000003</v>
      </c>
      <c r="F54" s="189">
        <v>655594819.84000003</v>
      </c>
      <c r="G54" s="189">
        <v>662099986.51999998</v>
      </c>
      <c r="H54" s="189">
        <v>1060226295.33</v>
      </c>
      <c r="I54" s="189">
        <v>86247405.390000001</v>
      </c>
      <c r="J54" s="189">
        <v>94102622.230000004</v>
      </c>
      <c r="K54" s="189">
        <v>113277900.19</v>
      </c>
      <c r="L54" s="189">
        <v>81815199.659999996</v>
      </c>
      <c r="M54" s="189">
        <v>101275557.31</v>
      </c>
      <c r="N54" s="189">
        <v>109751025.91</v>
      </c>
      <c r="O54" s="189">
        <v>113867166.39</v>
      </c>
      <c r="P54" s="189">
        <v>83516888.959999993</v>
      </c>
      <c r="Q54" s="189">
        <v>86660432.780000001</v>
      </c>
      <c r="R54" s="189">
        <v>101356628.87</v>
      </c>
      <c r="S54" s="189">
        <v>116415282.14</v>
      </c>
      <c r="T54" s="189">
        <v>85692884.650000006</v>
      </c>
      <c r="U54" s="189">
        <v>85871326.010000005</v>
      </c>
      <c r="V54" s="189">
        <v>102351223.23999999</v>
      </c>
      <c r="W54" s="189">
        <v>103760722.90000001</v>
      </c>
      <c r="X54" s="189">
        <v>115512700.86</v>
      </c>
      <c r="Y54" s="189">
        <v>130753738.92</v>
      </c>
      <c r="Z54" s="189">
        <v>13035371.560000001</v>
      </c>
      <c r="AA54" s="189">
        <v>14624590.109999999</v>
      </c>
      <c r="AB54" s="189">
        <v>11667409.779999999</v>
      </c>
      <c r="AC54" s="189">
        <v>11993672.310000001</v>
      </c>
      <c r="AD54" s="189">
        <v>11589143.279999999</v>
      </c>
      <c r="AE54" s="189">
        <v>9761079.7899999991</v>
      </c>
      <c r="AF54" s="189">
        <v>9584113.6600000001</v>
      </c>
      <c r="AG54" s="189">
        <v>9079349.8499999996</v>
      </c>
      <c r="AH54" s="189">
        <v>9217944.9600000009</v>
      </c>
      <c r="AI54" s="189">
        <v>9626972.7899999991</v>
      </c>
      <c r="AJ54" s="189">
        <v>9527148.1999999993</v>
      </c>
      <c r="AK54" s="189">
        <v>13050042.41</v>
      </c>
      <c r="AL54" s="189">
        <v>10839904.48</v>
      </c>
      <c r="AM54" s="189">
        <v>10945081.439999999</v>
      </c>
      <c r="AN54" s="189">
        <v>10627302.85</v>
      </c>
      <c r="AO54" s="189">
        <v>9929144.4900000002</v>
      </c>
      <c r="AP54" s="189">
        <v>10503777.75</v>
      </c>
      <c r="AQ54" s="189">
        <v>8949518.9299999997</v>
      </c>
      <c r="AR54" s="189">
        <v>7325734.54</v>
      </c>
      <c r="AS54" s="189">
        <v>7162917.8899999997</v>
      </c>
      <c r="AT54" s="189">
        <v>6244256.1100000003</v>
      </c>
      <c r="AU54" s="189">
        <v>7337513.6100000003</v>
      </c>
      <c r="AV54" s="189">
        <v>5973389.3499999996</v>
      </c>
      <c r="AW54" s="189">
        <v>7936108.2599999998</v>
      </c>
      <c r="AX54" s="189">
        <v>5776304.4000000004</v>
      </c>
      <c r="AY54" s="189">
        <v>8734829.7400000002</v>
      </c>
      <c r="AZ54" s="189">
        <v>6082712.8399999999</v>
      </c>
      <c r="BA54" s="189">
        <v>25065802.77</v>
      </c>
      <c r="BB54" s="189">
        <v>25518386.460000001</v>
      </c>
      <c r="BC54" s="189">
        <v>2863401.87</v>
      </c>
      <c r="BD54" s="189">
        <v>6738818.29</v>
      </c>
      <c r="BE54" s="189">
        <v>5864176.21</v>
      </c>
      <c r="BF54" s="189">
        <v>4468266.97</v>
      </c>
      <c r="BG54" s="189">
        <v>15687036.52</v>
      </c>
      <c r="BH54" s="189">
        <v>14261717.59</v>
      </c>
      <c r="BI54" s="189">
        <v>13612168.630000001</v>
      </c>
      <c r="BJ54" s="189">
        <v>13018433.619999999</v>
      </c>
      <c r="BK54" s="189">
        <v>12031491.25</v>
      </c>
      <c r="BL54" s="189">
        <v>13621867.060000001</v>
      </c>
      <c r="BM54" s="189">
        <v>29157211.719999999</v>
      </c>
      <c r="BN54" s="189">
        <v>16000150.85</v>
      </c>
      <c r="BO54" s="189">
        <v>31618219.190000001</v>
      </c>
      <c r="BP54" s="189">
        <v>30454239.43</v>
      </c>
      <c r="BQ54" s="189">
        <v>35949942.700000003</v>
      </c>
      <c r="BR54" s="189">
        <v>15498442.18</v>
      </c>
      <c r="BS54" s="189">
        <v>19672796.57</v>
      </c>
      <c r="BT54" s="189">
        <v>33153626.57</v>
      </c>
      <c r="BU54" s="189">
        <v>7626614.1100000003</v>
      </c>
      <c r="BV54" s="189">
        <v>14778371.640000001</v>
      </c>
      <c r="BW54" s="189">
        <v>9489282.2400000002</v>
      </c>
      <c r="BX54" s="189">
        <v>41003343.899999999</v>
      </c>
      <c r="BY54" s="189">
        <v>41924752.210000001</v>
      </c>
      <c r="BZ54" s="189">
        <v>54329686.18</v>
      </c>
      <c r="CA54" s="189">
        <v>0</v>
      </c>
      <c r="CB54" s="189">
        <v>23736942.449999999</v>
      </c>
      <c r="CC54" s="189">
        <v>36393593.909999996</v>
      </c>
      <c r="CD54" s="189">
        <v>35325303.200000003</v>
      </c>
      <c r="CE54" s="189">
        <v>0</v>
      </c>
    </row>
    <row r="55" spans="1:83">
      <c r="A55" s="189" t="s">
        <v>159</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0</v>
      </c>
      <c r="AX55" s="189">
        <v>895056.6</v>
      </c>
      <c r="AY55" s="189">
        <v>3637057.44</v>
      </c>
      <c r="AZ55" s="189">
        <v>899404.51</v>
      </c>
      <c r="BA55" s="189">
        <v>3217506.54</v>
      </c>
      <c r="BB55" s="189">
        <v>632077.65</v>
      </c>
      <c r="BC55" s="189">
        <v>921548.76</v>
      </c>
      <c r="BD55" s="189">
        <v>2063833.1</v>
      </c>
      <c r="BE55" s="189">
        <v>925198.43</v>
      </c>
      <c r="BF55" s="189">
        <v>685220.39</v>
      </c>
      <c r="BG55" s="189">
        <v>927112.32</v>
      </c>
      <c r="BH55" s="189">
        <v>955459.24</v>
      </c>
      <c r="BI55" s="189">
        <v>1051318.5</v>
      </c>
      <c r="BJ55" s="189">
        <v>730430.5</v>
      </c>
      <c r="BK55" s="189">
        <v>1592798.13</v>
      </c>
      <c r="BL55" s="189">
        <v>1296386.5900000001</v>
      </c>
      <c r="BM55" s="189">
        <v>2321115.0099999998</v>
      </c>
      <c r="BN55" s="189">
        <v>699459.78</v>
      </c>
      <c r="BO55" s="189">
        <v>1831116.89</v>
      </c>
      <c r="BP55" s="189">
        <v>808817.43</v>
      </c>
      <c r="BQ55" s="189">
        <v>1259958.1100000001</v>
      </c>
      <c r="BR55" s="189">
        <v>2064583.36</v>
      </c>
      <c r="BS55" s="189">
        <v>320874.06</v>
      </c>
      <c r="BT55" s="189">
        <v>171439.44</v>
      </c>
      <c r="BU55" s="189">
        <v>756965.17</v>
      </c>
      <c r="BV55" s="189">
        <v>0</v>
      </c>
      <c r="BW55" s="189">
        <v>1217532.72</v>
      </c>
      <c r="BX55" s="189">
        <v>135267.62</v>
      </c>
      <c r="BY55" s="189">
        <v>2256042.92</v>
      </c>
      <c r="BZ55" s="189">
        <v>0</v>
      </c>
      <c r="CA55" s="189">
        <v>0</v>
      </c>
      <c r="CB55" s="189">
        <v>2802576.81</v>
      </c>
      <c r="CC55" s="189">
        <v>0</v>
      </c>
      <c r="CD55" s="189">
        <v>0</v>
      </c>
      <c r="CE55" s="189">
        <v>0</v>
      </c>
    </row>
    <row r="56" spans="1:83">
      <c r="A56" s="189" t="s">
        <v>160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v>0</v>
      </c>
    </row>
    <row r="57" spans="1:83">
      <c r="A57" s="189" t="s">
        <v>161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v>0</v>
      </c>
    </row>
    <row r="58" spans="1:83">
      <c r="A58" s="189" t="s">
        <v>162</v>
      </c>
      <c r="B58" s="189">
        <v>0</v>
      </c>
      <c r="C58" s="189">
        <v>40000000</v>
      </c>
      <c r="D58" s="189">
        <v>170400000</v>
      </c>
      <c r="E58" s="189">
        <v>170400000</v>
      </c>
      <c r="F58" s="189">
        <v>162900000</v>
      </c>
      <c r="G58" s="189">
        <v>120100000</v>
      </c>
      <c r="H58" s="189">
        <v>117600000</v>
      </c>
      <c r="I58" s="189">
        <v>30100000</v>
      </c>
      <c r="J58" s="189">
        <v>30100000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50000000</v>
      </c>
      <c r="AA58" s="189">
        <v>50000000</v>
      </c>
      <c r="AB58" s="189">
        <v>0</v>
      </c>
      <c r="AC58" s="189">
        <v>50000000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93430000</v>
      </c>
      <c r="BL58" s="189">
        <v>133430000</v>
      </c>
      <c r="BM58" s="189">
        <v>132440888.78</v>
      </c>
      <c r="BN58" s="189">
        <v>173550877.19</v>
      </c>
      <c r="BO58" s="189">
        <v>0</v>
      </c>
      <c r="BP58" s="189">
        <v>0</v>
      </c>
      <c r="BQ58" s="189">
        <v>73430000</v>
      </c>
      <c r="BR58" s="189">
        <v>73430000</v>
      </c>
      <c r="BS58" s="189">
        <v>100000000</v>
      </c>
      <c r="BT58" s="189">
        <v>100000000</v>
      </c>
      <c r="BU58" s="189">
        <v>0</v>
      </c>
      <c r="BV58" s="189">
        <v>139760000</v>
      </c>
      <c r="BW58" s="189">
        <v>82820000</v>
      </c>
      <c r="BX58" s="189">
        <v>82820000</v>
      </c>
      <c r="BY58" s="189">
        <v>79000000</v>
      </c>
      <c r="BZ58" s="189">
        <v>79000000</v>
      </c>
      <c r="CA58" s="189">
        <v>0</v>
      </c>
      <c r="CB58" s="189">
        <v>6000000</v>
      </c>
      <c r="CC58" s="189">
        <v>14490000</v>
      </c>
      <c r="CD58" s="189">
        <v>14490000</v>
      </c>
      <c r="CE58" s="189">
        <v>0</v>
      </c>
    </row>
    <row r="59" spans="1:83">
      <c r="A59" s="189" t="s">
        <v>163</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122604.24</v>
      </c>
      <c r="AO59" s="189">
        <v>0</v>
      </c>
      <c r="AP59" s="189">
        <v>122604.24</v>
      </c>
      <c r="AQ59" s="189">
        <v>0</v>
      </c>
      <c r="AR59" s="189">
        <v>0</v>
      </c>
      <c r="AS59" s="189">
        <v>0</v>
      </c>
      <c r="AT59" s="189">
        <v>0</v>
      </c>
      <c r="AU59" s="189">
        <v>0</v>
      </c>
      <c r="AV59" s="189">
        <v>0</v>
      </c>
      <c r="AW59" s="189">
        <v>0</v>
      </c>
      <c r="AX59" s="189">
        <v>0</v>
      </c>
      <c r="AY59" s="189">
        <v>0</v>
      </c>
      <c r="AZ59" s="189">
        <v>0</v>
      </c>
      <c r="BA59" s="189">
        <v>0</v>
      </c>
      <c r="BB59" s="189">
        <v>0</v>
      </c>
      <c r="BC59" s="189">
        <v>161269716.83000001</v>
      </c>
      <c r="BD59" s="189">
        <v>155868978.97999999</v>
      </c>
      <c r="BE59" s="189">
        <v>185693515.78999999</v>
      </c>
      <c r="BF59" s="189">
        <v>183951612.59</v>
      </c>
      <c r="BG59" s="189">
        <v>85736283.170000002</v>
      </c>
      <c r="BH59" s="189">
        <v>100422946.81999999</v>
      </c>
      <c r="BI59" s="189">
        <v>123097784.29000001</v>
      </c>
      <c r="BJ59" s="189">
        <v>97247310.150000006</v>
      </c>
      <c r="BK59" s="189">
        <v>66451605.810000002</v>
      </c>
      <c r="BL59" s="189">
        <v>113749574.04000001</v>
      </c>
      <c r="BM59" s="189">
        <v>63195695.329999998</v>
      </c>
      <c r="BN59" s="189">
        <v>88440061.290000007</v>
      </c>
      <c r="BO59" s="189">
        <v>0</v>
      </c>
      <c r="BP59" s="189">
        <v>0</v>
      </c>
      <c r="BQ59" s="189">
        <v>0</v>
      </c>
      <c r="BR59" s="189">
        <v>0</v>
      </c>
      <c r="BS59" s="189">
        <v>68297209.840000004</v>
      </c>
      <c r="BT59" s="189">
        <v>0</v>
      </c>
      <c r="BU59" s="189">
        <v>0</v>
      </c>
      <c r="BV59" s="189">
        <v>0</v>
      </c>
      <c r="BW59" s="189">
        <v>0</v>
      </c>
      <c r="BX59" s="189">
        <v>0</v>
      </c>
      <c r="BY59" s="189">
        <v>0</v>
      </c>
      <c r="BZ59" s="189">
        <v>0</v>
      </c>
      <c r="CA59" s="189">
        <v>0</v>
      </c>
      <c r="CB59" s="189">
        <v>0</v>
      </c>
      <c r="CC59" s="189">
        <v>0</v>
      </c>
      <c r="CD59" s="189">
        <v>0</v>
      </c>
      <c r="CE59" s="189">
        <v>0</v>
      </c>
    </row>
    <row r="60" spans="1:83">
      <c r="A60" s="189" t="s">
        <v>164</v>
      </c>
      <c r="B60" s="189">
        <v>2260197448.3800001</v>
      </c>
      <c r="C60" s="189">
        <v>2479755785.9099998</v>
      </c>
      <c r="D60" s="189">
        <v>2225405788.3600001</v>
      </c>
      <c r="E60" s="189">
        <v>2105580332.0599999</v>
      </c>
      <c r="F60" s="189">
        <v>2099130780.47</v>
      </c>
      <c r="G60" s="189">
        <v>1848044114.54</v>
      </c>
      <c r="H60" s="189">
        <v>2189071217.5700002</v>
      </c>
      <c r="I60" s="189">
        <v>967193223.55999994</v>
      </c>
      <c r="J60" s="189">
        <v>1056382169.5</v>
      </c>
      <c r="K60" s="189">
        <v>783244622.79999995</v>
      </c>
      <c r="L60" s="189">
        <v>811824880.05999994</v>
      </c>
      <c r="M60" s="189">
        <v>839108895.44000006</v>
      </c>
      <c r="N60" s="189">
        <v>841552688.5</v>
      </c>
      <c r="O60" s="189">
        <v>782406760.24000001</v>
      </c>
      <c r="P60" s="189">
        <v>870891832.83000004</v>
      </c>
      <c r="Q60" s="189">
        <v>717380713.75</v>
      </c>
      <c r="R60" s="189">
        <v>784335774.80999994</v>
      </c>
      <c r="S60" s="189">
        <v>792834054.07000005</v>
      </c>
      <c r="T60" s="189">
        <v>672258647.52999997</v>
      </c>
      <c r="U60" s="189">
        <v>645926051.36000001</v>
      </c>
      <c r="V60" s="189">
        <v>730115505.49000001</v>
      </c>
      <c r="W60" s="189">
        <v>715757442.52999997</v>
      </c>
      <c r="X60" s="189">
        <v>726504304.37</v>
      </c>
      <c r="Y60" s="189">
        <v>824330060.52999997</v>
      </c>
      <c r="Z60" s="189">
        <v>745787587.67999995</v>
      </c>
      <c r="AA60" s="189">
        <v>664963785.12</v>
      </c>
      <c r="AB60" s="189">
        <v>549117609.33000004</v>
      </c>
      <c r="AC60" s="189">
        <v>654306694.03999996</v>
      </c>
      <c r="AD60" s="189">
        <v>615547093.63999999</v>
      </c>
      <c r="AE60" s="189">
        <v>503568110.67000002</v>
      </c>
      <c r="AF60" s="189">
        <v>463570059.24000001</v>
      </c>
      <c r="AG60" s="189">
        <v>486273111.69999999</v>
      </c>
      <c r="AH60" s="189">
        <v>521896619.16000003</v>
      </c>
      <c r="AI60" s="189">
        <v>426252506.06</v>
      </c>
      <c r="AJ60" s="189">
        <v>390738743.75</v>
      </c>
      <c r="AK60" s="189">
        <v>413290124.44999999</v>
      </c>
      <c r="AL60" s="189">
        <v>507086659.94999999</v>
      </c>
      <c r="AM60" s="189">
        <v>524889816.02999997</v>
      </c>
      <c r="AN60" s="189">
        <v>434190059.30000001</v>
      </c>
      <c r="AO60" s="189">
        <v>526800739.31999999</v>
      </c>
      <c r="AP60" s="189">
        <v>508570087.54000002</v>
      </c>
      <c r="AQ60" s="189">
        <v>465641079.25999999</v>
      </c>
      <c r="AR60" s="189">
        <v>471846155.66000003</v>
      </c>
      <c r="AS60" s="189">
        <v>575029840.59000003</v>
      </c>
      <c r="AT60" s="189">
        <v>484755291.97000003</v>
      </c>
      <c r="AU60" s="189">
        <v>460636666.11000001</v>
      </c>
      <c r="AV60" s="189">
        <v>447127344.94999999</v>
      </c>
      <c r="AW60" s="189">
        <v>459167025.83999997</v>
      </c>
      <c r="AX60" s="189">
        <v>420376666.14999998</v>
      </c>
      <c r="AY60" s="189">
        <v>400374577.06</v>
      </c>
      <c r="AZ60" s="189">
        <v>430635760.45999998</v>
      </c>
      <c r="BA60" s="189">
        <v>464800985.87</v>
      </c>
      <c r="BB60" s="189">
        <v>468076366.12</v>
      </c>
      <c r="BC60" s="189">
        <v>535899324.58999997</v>
      </c>
      <c r="BD60" s="189">
        <v>537542554.54999995</v>
      </c>
      <c r="BE60" s="189">
        <v>581645525.13999999</v>
      </c>
      <c r="BF60" s="189">
        <v>425925704.79000002</v>
      </c>
      <c r="BG60" s="189">
        <v>545500208.27999997</v>
      </c>
      <c r="BH60" s="189">
        <v>543101444.89999998</v>
      </c>
      <c r="BI60" s="189">
        <v>582296810.13999999</v>
      </c>
      <c r="BJ60" s="189">
        <v>599583783.66999996</v>
      </c>
      <c r="BK60" s="189">
        <v>655021476.80999994</v>
      </c>
      <c r="BL60" s="189">
        <v>666005623.99000001</v>
      </c>
      <c r="BM60" s="189">
        <v>646147751.78999996</v>
      </c>
      <c r="BN60" s="189">
        <v>688503642.40999997</v>
      </c>
      <c r="BO60" s="189">
        <v>569515199.16999996</v>
      </c>
      <c r="BP60" s="189">
        <v>463000573.98000002</v>
      </c>
      <c r="BQ60" s="189">
        <v>660427940.5</v>
      </c>
      <c r="BR60" s="189">
        <v>673989953.30999994</v>
      </c>
      <c r="BS60" s="189">
        <v>545506400.22000003</v>
      </c>
      <c r="BT60" s="189">
        <v>642679081.69000006</v>
      </c>
      <c r="BU60" s="189">
        <v>298010387.69999999</v>
      </c>
      <c r="BV60" s="189">
        <v>604928658.55999994</v>
      </c>
      <c r="BW60" s="189">
        <v>302673726.93000001</v>
      </c>
      <c r="BX60" s="189">
        <v>348993254.08999997</v>
      </c>
      <c r="BY60" s="189">
        <v>415700627.86000001</v>
      </c>
      <c r="BZ60" s="189">
        <v>388162491.36000001</v>
      </c>
      <c r="CA60" s="189">
        <v>291212703.62</v>
      </c>
      <c r="CB60" s="189">
        <v>290459269.25999999</v>
      </c>
      <c r="CC60" s="189">
        <v>279031501.69999999</v>
      </c>
      <c r="CD60" s="189">
        <v>283203407.60000002</v>
      </c>
      <c r="CE60" s="189">
        <v>0</v>
      </c>
    </row>
    <row r="61" spans="1:83">
      <c r="A61" s="189" t="s">
        <v>165</v>
      </c>
    </row>
    <row r="62" spans="1:83">
      <c r="A62" s="189" t="s">
        <v>166</v>
      </c>
      <c r="B62" s="189">
        <v>402640000</v>
      </c>
      <c r="C62" s="189">
        <v>402640000</v>
      </c>
      <c r="D62" s="189">
        <v>1007080000</v>
      </c>
      <c r="E62" s="189">
        <v>1037080000</v>
      </c>
      <c r="F62" s="189">
        <v>1067080000</v>
      </c>
      <c r="G62" s="189">
        <v>1162480000</v>
      </c>
      <c r="H62" s="189">
        <v>1186230000</v>
      </c>
      <c r="I62" s="189">
        <v>104900000</v>
      </c>
      <c r="J62" s="189">
        <v>104900000</v>
      </c>
      <c r="K62" s="189">
        <v>0</v>
      </c>
      <c r="L62" s="189">
        <v>0</v>
      </c>
      <c r="M62" s="189">
        <v>0</v>
      </c>
      <c r="N62" s="189">
        <v>0</v>
      </c>
      <c r="O62" s="189">
        <v>0</v>
      </c>
      <c r="P62" s="189">
        <v>0</v>
      </c>
      <c r="Q62" s="189">
        <v>0</v>
      </c>
      <c r="R62" s="189">
        <v>0</v>
      </c>
      <c r="S62" s="189">
        <v>0</v>
      </c>
      <c r="T62" s="189">
        <v>0</v>
      </c>
      <c r="U62" s="189">
        <v>0</v>
      </c>
      <c r="V62" s="189">
        <v>0</v>
      </c>
      <c r="W62" s="189">
        <v>0</v>
      </c>
      <c r="X62" s="189">
        <v>0</v>
      </c>
      <c r="Y62" s="189">
        <v>0</v>
      </c>
      <c r="Z62" s="189">
        <v>0</v>
      </c>
      <c r="AA62" s="189">
        <v>0</v>
      </c>
      <c r="AB62" s="189">
        <v>50000000</v>
      </c>
      <c r="AC62" s="189">
        <v>50000000</v>
      </c>
      <c r="AD62" s="189">
        <v>50000000</v>
      </c>
      <c r="AE62" s="189">
        <v>50000000</v>
      </c>
      <c r="AF62" s="189">
        <v>50000000</v>
      </c>
      <c r="AG62" s="189">
        <v>50000000</v>
      </c>
      <c r="AH62" s="189">
        <v>50000000</v>
      </c>
      <c r="AI62" s="189">
        <v>50000000</v>
      </c>
      <c r="AJ62" s="189">
        <v>50000000</v>
      </c>
      <c r="AK62" s="189">
        <v>50000000</v>
      </c>
      <c r="AL62" s="189">
        <v>0</v>
      </c>
      <c r="AM62" s="189">
        <v>0</v>
      </c>
      <c r="AN62" s="189">
        <v>0</v>
      </c>
      <c r="AO62" s="189">
        <v>0</v>
      </c>
      <c r="AP62" s="189">
        <v>0</v>
      </c>
      <c r="AQ62" s="189">
        <v>0</v>
      </c>
      <c r="AR62" s="189">
        <v>0</v>
      </c>
      <c r="AS62" s="189">
        <v>0</v>
      </c>
      <c r="AT62" s="189">
        <v>0</v>
      </c>
      <c r="AU62" s="189">
        <v>0</v>
      </c>
      <c r="AV62" s="189">
        <v>0</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175233712.68000001</v>
      </c>
      <c r="BP62" s="189">
        <v>173464653.63</v>
      </c>
      <c r="BQ62" s="189">
        <v>99847608.719999999</v>
      </c>
      <c r="BR62" s="189">
        <v>99847608.719999999</v>
      </c>
      <c r="BS62" s="189">
        <v>74632511.310000002</v>
      </c>
      <c r="BT62" s="189">
        <v>74475268.620000005</v>
      </c>
      <c r="BU62" s="189">
        <v>208503758.53</v>
      </c>
      <c r="BV62" s="189">
        <v>100177818.7</v>
      </c>
      <c r="BW62" s="189">
        <v>121949203.08</v>
      </c>
      <c r="BX62" s="189">
        <v>139430000</v>
      </c>
      <c r="BY62" s="189">
        <v>98820000</v>
      </c>
      <c r="BZ62" s="189">
        <v>98820000</v>
      </c>
      <c r="CA62" s="189">
        <v>0</v>
      </c>
      <c r="CB62" s="189">
        <v>89000000</v>
      </c>
      <c r="CC62" s="189">
        <v>40640516.799999997</v>
      </c>
      <c r="CD62" s="189">
        <v>24000000</v>
      </c>
      <c r="CE62" s="189">
        <v>0</v>
      </c>
    </row>
    <row r="63" spans="1:83">
      <c r="A63" s="189" t="s">
        <v>167</v>
      </c>
      <c r="B63" s="189">
        <v>0</v>
      </c>
      <c r="C63" s="189">
        <v>0</v>
      </c>
      <c r="D63" s="189">
        <v>0</v>
      </c>
      <c r="E63" s="189">
        <v>0</v>
      </c>
      <c r="F63" s="189">
        <v>0</v>
      </c>
      <c r="G63" s="189">
        <v>0</v>
      </c>
      <c r="H63" s="189">
        <v>0</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v>0</v>
      </c>
    </row>
    <row r="64" spans="1:83">
      <c r="A64" s="189" t="s">
        <v>168</v>
      </c>
      <c r="B64" s="189">
        <v>2000000</v>
      </c>
      <c r="C64" s="189">
        <v>2000000</v>
      </c>
      <c r="D64" s="189">
        <v>0</v>
      </c>
      <c r="E64" s="189">
        <v>0</v>
      </c>
      <c r="F64" s="189">
        <v>0</v>
      </c>
      <c r="G64" s="189">
        <v>0</v>
      </c>
      <c r="H64" s="189">
        <v>0</v>
      </c>
      <c r="I64" s="189">
        <v>0</v>
      </c>
      <c r="J64" s="189">
        <v>0</v>
      </c>
      <c r="K64" s="189">
        <v>0</v>
      </c>
      <c r="L64" s="189">
        <v>0</v>
      </c>
      <c r="M64" s="189">
        <v>0</v>
      </c>
      <c r="N64" s="189">
        <v>0</v>
      </c>
      <c r="O64" s="189">
        <v>0</v>
      </c>
      <c r="P64" s="189">
        <v>0</v>
      </c>
      <c r="Q64" s="189">
        <v>0</v>
      </c>
      <c r="R64" s="189">
        <v>0</v>
      </c>
      <c r="S64" s="189">
        <v>0</v>
      </c>
      <c r="T64" s="189">
        <v>0</v>
      </c>
      <c r="U64" s="189">
        <v>0</v>
      </c>
      <c r="V64" s="189">
        <v>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121871.35</v>
      </c>
      <c r="BH64" s="189">
        <v>121871.35</v>
      </c>
      <c r="BI64" s="189">
        <v>136891.35</v>
      </c>
      <c r="BJ64" s="189">
        <v>151977.35</v>
      </c>
      <c r="BK64" s="189">
        <v>167307.35</v>
      </c>
      <c r="BL64" s="189">
        <v>0</v>
      </c>
      <c r="BM64" s="189">
        <v>0</v>
      </c>
      <c r="BN64" s="189">
        <v>0</v>
      </c>
      <c r="BO64" s="189">
        <v>0</v>
      </c>
      <c r="BP64" s="189">
        <v>0</v>
      </c>
      <c r="BQ64" s="189">
        <v>0</v>
      </c>
      <c r="BR64" s="189">
        <v>0</v>
      </c>
      <c r="BS64" s="189">
        <v>0</v>
      </c>
      <c r="BT64" s="189">
        <v>0</v>
      </c>
      <c r="BU64" s="189">
        <v>0</v>
      </c>
      <c r="BV64" s="189">
        <v>0</v>
      </c>
      <c r="BW64" s="189">
        <v>0</v>
      </c>
      <c r="BX64" s="189">
        <v>0</v>
      </c>
      <c r="BY64" s="189">
        <v>0</v>
      </c>
      <c r="BZ64" s="189">
        <v>0</v>
      </c>
      <c r="CA64" s="189">
        <v>0</v>
      </c>
      <c r="CB64" s="189">
        <v>0</v>
      </c>
      <c r="CC64" s="189">
        <v>0</v>
      </c>
      <c r="CD64" s="189">
        <v>0</v>
      </c>
      <c r="CE64" s="189">
        <v>0</v>
      </c>
    </row>
    <row r="65" spans="1:83">
      <c r="A65" s="189" t="s">
        <v>169</v>
      </c>
      <c r="B65" s="189">
        <v>0</v>
      </c>
      <c r="C65" s="189">
        <v>0</v>
      </c>
      <c r="D65" s="189">
        <v>0</v>
      </c>
      <c r="E65" s="189">
        <v>0</v>
      </c>
      <c r="F65" s="189">
        <v>0</v>
      </c>
      <c r="G65" s="189">
        <v>0</v>
      </c>
      <c r="H65" s="189">
        <v>0</v>
      </c>
      <c r="I65" s="189">
        <v>0</v>
      </c>
      <c r="J65" s="189">
        <v>0</v>
      </c>
      <c r="K65" s="189">
        <v>0</v>
      </c>
      <c r="L65" s="189">
        <v>0</v>
      </c>
      <c r="M65" s="189">
        <v>0</v>
      </c>
      <c r="N65" s="189">
        <v>0</v>
      </c>
      <c r="O65" s="189">
        <v>0</v>
      </c>
      <c r="P65" s="189">
        <v>0</v>
      </c>
      <c r="Q65" s="189">
        <v>0</v>
      </c>
      <c r="R65" s="189">
        <v>0</v>
      </c>
      <c r="S65" s="189">
        <v>0</v>
      </c>
      <c r="T65" s="189">
        <v>0</v>
      </c>
      <c r="U65" s="189">
        <v>0</v>
      </c>
      <c r="V65" s="189">
        <v>0</v>
      </c>
      <c r="W65" s="189">
        <v>0</v>
      </c>
      <c r="X65" s="189">
        <v>0</v>
      </c>
      <c r="Y65" s="189">
        <v>0</v>
      </c>
      <c r="Z65" s="189">
        <v>0</v>
      </c>
      <c r="AA65" s="189">
        <v>0</v>
      </c>
      <c r="AB65" s="189">
        <v>0</v>
      </c>
      <c r="AC65" s="189">
        <v>0</v>
      </c>
      <c r="AD65" s="189">
        <v>0</v>
      </c>
      <c r="AE65" s="189">
        <v>0</v>
      </c>
      <c r="AF65" s="189">
        <v>0</v>
      </c>
      <c r="AG65" s="189">
        <v>0</v>
      </c>
      <c r="AH65" s="189">
        <v>0</v>
      </c>
      <c r="AI65" s="189">
        <v>0</v>
      </c>
      <c r="AJ65" s="189">
        <v>0</v>
      </c>
      <c r="AK65" s="189">
        <v>0</v>
      </c>
      <c r="AL65" s="189">
        <v>0</v>
      </c>
      <c r="AM65" s="189">
        <v>0</v>
      </c>
      <c r="AN65" s="189">
        <v>0</v>
      </c>
      <c r="AO65" s="189">
        <v>0</v>
      </c>
      <c r="AP65" s="189">
        <v>0</v>
      </c>
      <c r="AQ65" s="189">
        <v>0</v>
      </c>
      <c r="AR65" s="189">
        <v>0</v>
      </c>
      <c r="AS65" s="189">
        <v>0</v>
      </c>
      <c r="AT65" s="189">
        <v>0</v>
      </c>
      <c r="AU65" s="189">
        <v>0</v>
      </c>
      <c r="AV65" s="189">
        <v>0</v>
      </c>
      <c r="AW65" s="189">
        <v>0</v>
      </c>
      <c r="AX65" s="189">
        <v>0</v>
      </c>
      <c r="AY65" s="189">
        <v>0</v>
      </c>
      <c r="AZ65" s="189">
        <v>0</v>
      </c>
      <c r="BA65" s="189">
        <v>0</v>
      </c>
      <c r="BB65" s="189">
        <v>0</v>
      </c>
      <c r="BC65" s="189">
        <v>0</v>
      </c>
      <c r="BD65" s="189">
        <v>0</v>
      </c>
      <c r="BE65" s="189">
        <v>0</v>
      </c>
      <c r="BF65" s="189">
        <v>0</v>
      </c>
      <c r="BG65" s="189">
        <v>0</v>
      </c>
      <c r="BH65" s="189">
        <v>0</v>
      </c>
      <c r="BI65" s="189">
        <v>0</v>
      </c>
      <c r="BJ65" s="189">
        <v>0</v>
      </c>
      <c r="BK65" s="189">
        <v>0</v>
      </c>
      <c r="BL65" s="189">
        <v>0</v>
      </c>
      <c r="BM65" s="189">
        <v>0</v>
      </c>
      <c r="BN65" s="189">
        <v>0</v>
      </c>
      <c r="BO65" s="189">
        <v>0</v>
      </c>
      <c r="BP65" s="189">
        <v>0</v>
      </c>
      <c r="BQ65" s="189">
        <v>0</v>
      </c>
      <c r="BR65" s="189">
        <v>0</v>
      </c>
      <c r="BS65" s="189">
        <v>0</v>
      </c>
      <c r="BT65" s="189">
        <v>0</v>
      </c>
      <c r="BU65" s="189">
        <v>0</v>
      </c>
      <c r="BV65" s="189">
        <v>0</v>
      </c>
      <c r="BW65" s="189">
        <v>0</v>
      </c>
      <c r="BX65" s="189">
        <v>0</v>
      </c>
      <c r="BY65" s="189">
        <v>0</v>
      </c>
      <c r="BZ65" s="189">
        <v>0</v>
      </c>
      <c r="CA65" s="189">
        <v>0</v>
      </c>
      <c r="CB65" s="189">
        <v>0</v>
      </c>
      <c r="CC65" s="189">
        <v>0</v>
      </c>
      <c r="CD65" s="189">
        <v>0</v>
      </c>
      <c r="CE65" s="189">
        <v>0</v>
      </c>
    </row>
    <row r="66" spans="1:83">
      <c r="A66" s="189" t="s">
        <v>170</v>
      </c>
      <c r="B66" s="189">
        <v>0</v>
      </c>
      <c r="C66" s="189">
        <v>0</v>
      </c>
      <c r="D66" s="189">
        <v>2000000</v>
      </c>
      <c r="E66" s="189">
        <v>2000000</v>
      </c>
      <c r="F66" s="189">
        <v>2000000</v>
      </c>
      <c r="G66" s="189">
        <v>2000000</v>
      </c>
      <c r="H66" s="189">
        <v>2000000</v>
      </c>
      <c r="I66" s="189">
        <v>2000000</v>
      </c>
      <c r="J66" s="189">
        <v>2000000</v>
      </c>
      <c r="K66" s="189">
        <v>2000000</v>
      </c>
      <c r="L66" s="189">
        <v>2000000</v>
      </c>
      <c r="M66" s="189">
        <v>2000000</v>
      </c>
      <c r="N66" s="189">
        <v>2000000</v>
      </c>
      <c r="O66" s="189">
        <v>2000000</v>
      </c>
      <c r="P66" s="189">
        <v>2000000</v>
      </c>
      <c r="Q66" s="189">
        <v>2000000</v>
      </c>
      <c r="R66" s="189">
        <v>2000000</v>
      </c>
      <c r="S66" s="189">
        <v>2000000</v>
      </c>
      <c r="T66" s="189">
        <v>2000000</v>
      </c>
      <c r="U66" s="189">
        <v>2000000</v>
      </c>
      <c r="V66" s="189">
        <v>2000000</v>
      </c>
      <c r="W66" s="189">
        <v>2000000</v>
      </c>
      <c r="X66" s="189">
        <v>2000000</v>
      </c>
      <c r="Y66" s="189">
        <v>2000000</v>
      </c>
      <c r="Z66" s="189">
        <v>2000000</v>
      </c>
      <c r="AA66" s="189">
        <v>2000000</v>
      </c>
      <c r="AB66" s="189">
        <v>2000000</v>
      </c>
      <c r="AC66" s="189">
        <v>2000000</v>
      </c>
      <c r="AD66" s="189">
        <v>2000000</v>
      </c>
      <c r="AE66" s="189">
        <v>2000000</v>
      </c>
      <c r="AF66" s="189">
        <v>2000000</v>
      </c>
      <c r="AG66" s="189">
        <v>2000000</v>
      </c>
      <c r="AH66" s="189">
        <v>2000000</v>
      </c>
      <c r="AI66" s="189">
        <v>2000000</v>
      </c>
      <c r="AJ66" s="189">
        <v>2000000</v>
      </c>
      <c r="AK66" s="189">
        <v>2000000</v>
      </c>
      <c r="AL66" s="189">
        <v>2000000</v>
      </c>
      <c r="AM66" s="189">
        <v>2000000</v>
      </c>
      <c r="AN66" s="189">
        <v>2000000</v>
      </c>
      <c r="AO66" s="189">
        <v>2000000</v>
      </c>
      <c r="AP66" s="189">
        <v>2000000</v>
      </c>
      <c r="AQ66" s="189">
        <v>2000000</v>
      </c>
      <c r="AR66" s="189">
        <v>2000000</v>
      </c>
      <c r="AS66" s="189">
        <v>2000000</v>
      </c>
      <c r="AT66" s="189">
        <v>2000000</v>
      </c>
      <c r="AU66" s="189">
        <v>2000000</v>
      </c>
      <c r="AV66" s="189">
        <v>2000000</v>
      </c>
      <c r="AW66" s="189">
        <v>2000000</v>
      </c>
      <c r="AX66" s="189">
        <v>2000000</v>
      </c>
      <c r="AY66" s="189">
        <v>2000000</v>
      </c>
      <c r="AZ66" s="189">
        <v>2000000</v>
      </c>
      <c r="BA66" s="189">
        <v>2000000</v>
      </c>
      <c r="BB66" s="189">
        <v>2000000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row>
    <row r="67" spans="1:83">
      <c r="A67" s="189" t="s">
        <v>171</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c r="BW67" s="189">
        <v>0</v>
      </c>
      <c r="BX67" s="189">
        <v>0</v>
      </c>
      <c r="BY67" s="189">
        <v>0</v>
      </c>
      <c r="BZ67" s="189">
        <v>0</v>
      </c>
      <c r="CA67" s="189">
        <v>0</v>
      </c>
      <c r="CB67" s="189">
        <v>0</v>
      </c>
      <c r="CC67" s="189">
        <v>0</v>
      </c>
      <c r="CD67" s="189">
        <v>0</v>
      </c>
      <c r="CE67" s="189">
        <v>0</v>
      </c>
    </row>
    <row r="68" spans="1:83">
      <c r="A68" s="189" t="s">
        <v>172</v>
      </c>
      <c r="B68" s="189">
        <v>33998569.719999999</v>
      </c>
      <c r="C68" s="189">
        <v>0</v>
      </c>
      <c r="D68" s="189">
        <v>0</v>
      </c>
      <c r="E68" s="189">
        <v>0</v>
      </c>
      <c r="F68" s="189">
        <v>0</v>
      </c>
      <c r="G68" s="189">
        <v>0</v>
      </c>
      <c r="H68" s="189">
        <v>0</v>
      </c>
      <c r="I68" s="189">
        <v>0</v>
      </c>
      <c r="J68" s="189">
        <v>0</v>
      </c>
      <c r="K68" s="189">
        <v>0</v>
      </c>
      <c r="L68" s="189">
        <v>0</v>
      </c>
      <c r="M68" s="189">
        <v>0</v>
      </c>
      <c r="N68" s="189">
        <v>0</v>
      </c>
      <c r="O68" s="189">
        <v>0</v>
      </c>
      <c r="P68" s="189">
        <v>0</v>
      </c>
      <c r="Q68" s="189">
        <v>0</v>
      </c>
      <c r="R68" s="189">
        <v>0</v>
      </c>
      <c r="S68" s="189">
        <v>0</v>
      </c>
      <c r="T68" s="189">
        <v>0</v>
      </c>
      <c r="U68" s="189">
        <v>0</v>
      </c>
      <c r="V68" s="189">
        <v>0</v>
      </c>
      <c r="W68" s="189">
        <v>0</v>
      </c>
      <c r="X68" s="189">
        <v>0</v>
      </c>
      <c r="Y68" s="189">
        <v>0</v>
      </c>
      <c r="Z68" s="189">
        <v>0</v>
      </c>
      <c r="AA68" s="189">
        <v>0</v>
      </c>
      <c r="AB68" s="189">
        <v>0</v>
      </c>
      <c r="AC68" s="189">
        <v>0</v>
      </c>
      <c r="AD68" s="189">
        <v>0</v>
      </c>
      <c r="AE68" s="189">
        <v>0</v>
      </c>
      <c r="AF68" s="189">
        <v>0</v>
      </c>
      <c r="AG68" s="189">
        <v>0</v>
      </c>
      <c r="AH68" s="189">
        <v>0</v>
      </c>
      <c r="AI68" s="189">
        <v>0</v>
      </c>
      <c r="AJ68" s="189">
        <v>0</v>
      </c>
      <c r="AK68" s="189">
        <v>0</v>
      </c>
      <c r="AL68" s="189">
        <v>0</v>
      </c>
      <c r="AM68" s="189">
        <v>0</v>
      </c>
      <c r="AN68" s="189">
        <v>0</v>
      </c>
      <c r="AO68" s="189">
        <v>0</v>
      </c>
      <c r="AP68" s="189">
        <v>0</v>
      </c>
      <c r="AQ68" s="189">
        <v>0</v>
      </c>
      <c r="AR68" s="189">
        <v>0</v>
      </c>
      <c r="AS68" s="189">
        <v>0</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c r="BP68" s="189">
        <v>0</v>
      </c>
      <c r="BQ68" s="189">
        <v>0</v>
      </c>
      <c r="BR68" s="189">
        <v>0</v>
      </c>
      <c r="BS68" s="189">
        <v>0</v>
      </c>
      <c r="BT68" s="189">
        <v>0</v>
      </c>
      <c r="BU68" s="189">
        <v>0</v>
      </c>
      <c r="BV68" s="189">
        <v>0</v>
      </c>
      <c r="BW68" s="189">
        <v>0</v>
      </c>
      <c r="BX68" s="189">
        <v>0</v>
      </c>
      <c r="BY68" s="189">
        <v>0</v>
      </c>
      <c r="BZ68" s="189">
        <v>0</v>
      </c>
      <c r="CA68" s="189">
        <v>0</v>
      </c>
      <c r="CB68" s="189">
        <v>0</v>
      </c>
      <c r="CC68" s="189">
        <v>0</v>
      </c>
      <c r="CD68" s="189">
        <v>0</v>
      </c>
      <c r="CE68" s="189">
        <v>0</v>
      </c>
    </row>
    <row r="69" spans="1:83">
      <c r="A69" s="189" t="s">
        <v>173</v>
      </c>
      <c r="B69" s="189">
        <v>0</v>
      </c>
      <c r="C69" s="189">
        <v>0</v>
      </c>
      <c r="D69" s="189">
        <v>0</v>
      </c>
      <c r="E69" s="189">
        <v>0</v>
      </c>
      <c r="F69" s="189">
        <v>0</v>
      </c>
      <c r="G69" s="189">
        <v>0</v>
      </c>
      <c r="H69" s="189">
        <v>0</v>
      </c>
      <c r="I69" s="189">
        <v>0</v>
      </c>
      <c r="J69" s="189">
        <v>0</v>
      </c>
      <c r="K69" s="189">
        <v>0</v>
      </c>
      <c r="L69" s="189">
        <v>0</v>
      </c>
      <c r="M69" s="189">
        <v>0</v>
      </c>
      <c r="N69" s="189">
        <v>0</v>
      </c>
      <c r="O69" s="189">
        <v>0</v>
      </c>
      <c r="P69" s="189">
        <v>0</v>
      </c>
      <c r="Q69" s="189">
        <v>0</v>
      </c>
      <c r="R69" s="189">
        <v>0</v>
      </c>
      <c r="S69" s="189">
        <v>0</v>
      </c>
      <c r="T69" s="189">
        <v>0</v>
      </c>
      <c r="U69" s="189">
        <v>0</v>
      </c>
      <c r="V69" s="189">
        <v>0</v>
      </c>
      <c r="W69" s="189">
        <v>0</v>
      </c>
      <c r="X69" s="189">
        <v>0</v>
      </c>
      <c r="Y69" s="189">
        <v>0</v>
      </c>
      <c r="Z69" s="189">
        <v>0</v>
      </c>
      <c r="AA69" s="189">
        <v>0</v>
      </c>
      <c r="AB69" s="189">
        <v>0</v>
      </c>
      <c r="AC69" s="189">
        <v>0</v>
      </c>
      <c r="AD69" s="189">
        <v>0</v>
      </c>
      <c r="AE69" s="189">
        <v>0</v>
      </c>
      <c r="AF69" s="189">
        <v>0</v>
      </c>
      <c r="AG69" s="189">
        <v>0</v>
      </c>
      <c r="AH69" s="189">
        <v>0</v>
      </c>
      <c r="AI69" s="189">
        <v>0</v>
      </c>
      <c r="AJ69" s="189">
        <v>0</v>
      </c>
      <c r="AK69" s="189">
        <v>0</v>
      </c>
      <c r="AL69" s="189">
        <v>0</v>
      </c>
      <c r="AM69" s="189">
        <v>0</v>
      </c>
      <c r="AN69" s="189">
        <v>0</v>
      </c>
      <c r="AO69" s="189">
        <v>0</v>
      </c>
      <c r="AP69" s="189">
        <v>0</v>
      </c>
      <c r="AQ69" s="189">
        <v>0</v>
      </c>
      <c r="AR69" s="189">
        <v>0</v>
      </c>
      <c r="AS69" s="189">
        <v>0</v>
      </c>
      <c r="AT69" s="189">
        <v>0</v>
      </c>
      <c r="AU69" s="189">
        <v>0</v>
      </c>
      <c r="AV69" s="189">
        <v>0</v>
      </c>
      <c r="AW69" s="189">
        <v>0</v>
      </c>
      <c r="AX69" s="189">
        <v>0</v>
      </c>
      <c r="AY69" s="189">
        <v>0</v>
      </c>
      <c r="AZ69" s="189">
        <v>0</v>
      </c>
      <c r="BA69" s="189">
        <v>0</v>
      </c>
      <c r="BB69" s="189">
        <v>0</v>
      </c>
      <c r="BC69" s="189">
        <v>0</v>
      </c>
      <c r="BD69" s="189">
        <v>0</v>
      </c>
      <c r="BE69" s="189">
        <v>0</v>
      </c>
      <c r="BF69" s="189">
        <v>0</v>
      </c>
      <c r="BG69" s="189">
        <v>0</v>
      </c>
      <c r="BH69" s="189">
        <v>0</v>
      </c>
      <c r="BI69" s="189">
        <v>0</v>
      </c>
      <c r="BJ69" s="189">
        <v>0</v>
      </c>
      <c r="BK69" s="189">
        <v>0</v>
      </c>
      <c r="BL69" s="189">
        <v>0</v>
      </c>
      <c r="BM69" s="189">
        <v>0</v>
      </c>
      <c r="BN69" s="189">
        <v>0</v>
      </c>
      <c r="BO69" s="189">
        <v>0</v>
      </c>
      <c r="BP69" s="189">
        <v>0</v>
      </c>
      <c r="BQ69" s="189">
        <v>0</v>
      </c>
      <c r="BR69" s="189">
        <v>0</v>
      </c>
      <c r="BS69" s="189">
        <v>0</v>
      </c>
      <c r="BT69" s="189">
        <v>0</v>
      </c>
      <c r="BU69" s="189">
        <v>0</v>
      </c>
      <c r="BV69" s="189">
        <v>0</v>
      </c>
      <c r="BW69" s="189">
        <v>0</v>
      </c>
      <c r="BX69" s="189">
        <v>0</v>
      </c>
      <c r="BY69" s="189">
        <v>0</v>
      </c>
      <c r="BZ69" s="189">
        <v>0</v>
      </c>
      <c r="CA69" s="189">
        <v>0</v>
      </c>
      <c r="CB69" s="189">
        <v>0</v>
      </c>
      <c r="CC69" s="189">
        <v>0</v>
      </c>
      <c r="CD69" s="189">
        <v>0</v>
      </c>
      <c r="CE69" s="189">
        <v>0</v>
      </c>
    </row>
    <row r="70" spans="1:83">
      <c r="A70" s="189" t="s">
        <v>174</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c r="BT70" s="189">
        <v>0</v>
      </c>
      <c r="BU70" s="189">
        <v>0</v>
      </c>
      <c r="BV70" s="189">
        <v>0</v>
      </c>
      <c r="BW70" s="189">
        <v>0</v>
      </c>
      <c r="BX70" s="189">
        <v>0</v>
      </c>
      <c r="BY70" s="189">
        <v>0</v>
      </c>
      <c r="BZ70" s="189">
        <v>2018785.5</v>
      </c>
      <c r="CA70" s="189">
        <v>0</v>
      </c>
      <c r="CB70" s="189">
        <v>504930</v>
      </c>
      <c r="CC70" s="189">
        <v>504930</v>
      </c>
      <c r="CD70" s="189">
        <v>422000</v>
      </c>
      <c r="CE70" s="189">
        <v>0</v>
      </c>
    </row>
    <row r="71" spans="1:83">
      <c r="A71" s="189" t="s">
        <v>175</v>
      </c>
      <c r="B71" s="189">
        <v>438638569.72000003</v>
      </c>
      <c r="C71" s="189">
        <v>404640000</v>
      </c>
      <c r="D71" s="189">
        <v>1009080000</v>
      </c>
      <c r="E71" s="189">
        <v>1039080000</v>
      </c>
      <c r="F71" s="189">
        <v>1069080000</v>
      </c>
      <c r="G71" s="189">
        <v>1164480000</v>
      </c>
      <c r="H71" s="189">
        <v>1188230000</v>
      </c>
      <c r="I71" s="189">
        <v>106900000</v>
      </c>
      <c r="J71" s="189">
        <v>106900000</v>
      </c>
      <c r="K71" s="189">
        <v>2000000</v>
      </c>
      <c r="L71" s="189">
        <v>2000000</v>
      </c>
      <c r="M71" s="189">
        <v>2000000</v>
      </c>
      <c r="N71" s="189">
        <v>2000000</v>
      </c>
      <c r="O71" s="189">
        <v>2000000</v>
      </c>
      <c r="P71" s="189">
        <v>2000000</v>
      </c>
      <c r="Q71" s="189">
        <v>2000000</v>
      </c>
      <c r="R71" s="189">
        <v>2000000</v>
      </c>
      <c r="S71" s="189">
        <v>2000000</v>
      </c>
      <c r="T71" s="189">
        <v>2000000</v>
      </c>
      <c r="U71" s="189">
        <v>2000000</v>
      </c>
      <c r="V71" s="189">
        <v>2000000</v>
      </c>
      <c r="W71" s="189">
        <v>2000000</v>
      </c>
      <c r="X71" s="189">
        <v>2000000</v>
      </c>
      <c r="Y71" s="189">
        <v>2000000</v>
      </c>
      <c r="Z71" s="189">
        <v>2000000</v>
      </c>
      <c r="AA71" s="189">
        <v>2000000</v>
      </c>
      <c r="AB71" s="189">
        <v>52000000</v>
      </c>
      <c r="AC71" s="189">
        <v>2000000</v>
      </c>
      <c r="AD71" s="189">
        <v>52000000</v>
      </c>
      <c r="AE71" s="189">
        <v>52000000</v>
      </c>
      <c r="AF71" s="189">
        <v>52000000</v>
      </c>
      <c r="AG71" s="189">
        <v>52000000</v>
      </c>
      <c r="AH71" s="189">
        <v>52000000</v>
      </c>
      <c r="AI71" s="189">
        <v>52000000</v>
      </c>
      <c r="AJ71" s="189">
        <v>52000000</v>
      </c>
      <c r="AK71" s="189">
        <v>52000000</v>
      </c>
      <c r="AL71" s="189">
        <v>2000000</v>
      </c>
      <c r="AM71" s="189">
        <v>2000000</v>
      </c>
      <c r="AN71" s="189">
        <v>2000000</v>
      </c>
      <c r="AO71" s="189">
        <v>2000000</v>
      </c>
      <c r="AP71" s="189">
        <v>2000000</v>
      </c>
      <c r="AQ71" s="189">
        <v>2000000</v>
      </c>
      <c r="AR71" s="189">
        <v>2000000</v>
      </c>
      <c r="AS71" s="189">
        <v>2000000</v>
      </c>
      <c r="AT71" s="189">
        <v>2000000</v>
      </c>
      <c r="AU71" s="189">
        <v>2000000</v>
      </c>
      <c r="AV71" s="189">
        <v>2000000</v>
      </c>
      <c r="AW71" s="189">
        <v>2000000</v>
      </c>
      <c r="AX71" s="189">
        <v>2000000</v>
      </c>
      <c r="AY71" s="189">
        <v>2000000</v>
      </c>
      <c r="AZ71" s="189">
        <v>2000000</v>
      </c>
      <c r="BA71" s="189">
        <v>2000000</v>
      </c>
      <c r="BB71" s="189">
        <v>2000000</v>
      </c>
      <c r="BC71" s="189">
        <v>0</v>
      </c>
      <c r="BD71" s="189">
        <v>0</v>
      </c>
      <c r="BE71" s="189">
        <v>0</v>
      </c>
      <c r="BF71" s="189">
        <v>0</v>
      </c>
      <c r="BG71" s="189">
        <v>121871.35</v>
      </c>
      <c r="BH71" s="189">
        <v>121871.35</v>
      </c>
      <c r="BI71" s="189">
        <v>136891.35</v>
      </c>
      <c r="BJ71" s="189">
        <v>151977.35</v>
      </c>
      <c r="BK71" s="189">
        <v>167307.35</v>
      </c>
      <c r="BL71" s="189">
        <v>0</v>
      </c>
      <c r="BM71" s="189">
        <v>0</v>
      </c>
      <c r="BN71" s="189">
        <v>0</v>
      </c>
      <c r="BO71" s="189">
        <v>175233712.68000001</v>
      </c>
      <c r="BP71" s="189">
        <v>173464653.63</v>
      </c>
      <c r="BQ71" s="189">
        <v>99847608.719999999</v>
      </c>
      <c r="BR71" s="189">
        <v>99847608.719999999</v>
      </c>
      <c r="BS71" s="189">
        <v>74632511.310000002</v>
      </c>
      <c r="BT71" s="189">
        <v>74475268.620000005</v>
      </c>
      <c r="BU71" s="189">
        <v>210762304.03</v>
      </c>
      <c r="BV71" s="189">
        <v>102587884.2</v>
      </c>
      <c r="BW71" s="189">
        <v>124502968.58</v>
      </c>
      <c r="BX71" s="189">
        <v>148538930.75</v>
      </c>
      <c r="BY71" s="189">
        <v>101306065.5</v>
      </c>
      <c r="BZ71" s="189">
        <v>100838785.5</v>
      </c>
      <c r="CA71" s="189">
        <v>100504930</v>
      </c>
      <c r="CB71" s="189">
        <v>89504930</v>
      </c>
      <c r="CC71" s="189">
        <v>41145446.799999997</v>
      </c>
      <c r="CD71" s="189">
        <v>24422000</v>
      </c>
      <c r="CE71" s="189">
        <v>0</v>
      </c>
    </row>
    <row r="72" spans="1:83">
      <c r="A72" s="189" t="s">
        <v>176</v>
      </c>
      <c r="B72" s="189">
        <v>2698836018.0999999</v>
      </c>
      <c r="C72" s="189">
        <v>2884395785.9099998</v>
      </c>
      <c r="D72" s="189">
        <v>3234485788.3600001</v>
      </c>
      <c r="E72" s="189">
        <v>3144660332.0599999</v>
      </c>
      <c r="F72" s="189">
        <v>3168210780.4699998</v>
      </c>
      <c r="G72" s="189">
        <v>3012524114.54</v>
      </c>
      <c r="H72" s="189">
        <v>3377301217.5700002</v>
      </c>
      <c r="I72" s="189">
        <v>1074093223.5599999</v>
      </c>
      <c r="J72" s="189">
        <v>1163282169.5</v>
      </c>
      <c r="K72" s="189">
        <v>785244622.79999995</v>
      </c>
      <c r="L72" s="189">
        <v>813824880.05999994</v>
      </c>
      <c r="M72" s="189">
        <v>841108895.44000006</v>
      </c>
      <c r="N72" s="189">
        <v>843552688.5</v>
      </c>
      <c r="O72" s="189">
        <v>784406760.24000001</v>
      </c>
      <c r="P72" s="189">
        <v>872891832.83000004</v>
      </c>
      <c r="Q72" s="189">
        <v>719380713.75</v>
      </c>
      <c r="R72" s="189">
        <v>786335774.80999994</v>
      </c>
      <c r="S72" s="189">
        <v>794834054.07000005</v>
      </c>
      <c r="T72" s="189">
        <v>674258647.52999997</v>
      </c>
      <c r="U72" s="189">
        <v>647926051.36000001</v>
      </c>
      <c r="V72" s="189">
        <v>732115505.49000001</v>
      </c>
      <c r="W72" s="189">
        <v>717757442.52999997</v>
      </c>
      <c r="X72" s="189">
        <v>728504304.37</v>
      </c>
      <c r="Y72" s="189">
        <v>826330060.52999997</v>
      </c>
      <c r="Z72" s="189">
        <v>747787587.67999995</v>
      </c>
      <c r="AA72" s="189">
        <v>686763732.54999995</v>
      </c>
      <c r="AB72" s="189">
        <v>601117609.33000004</v>
      </c>
      <c r="AC72" s="189">
        <v>656306694.03999996</v>
      </c>
      <c r="AD72" s="189">
        <v>667547093.63999999</v>
      </c>
      <c r="AE72" s="189">
        <v>555568110.66999996</v>
      </c>
      <c r="AF72" s="189">
        <v>515570059.24000001</v>
      </c>
      <c r="AG72" s="189">
        <v>538273111.70000005</v>
      </c>
      <c r="AH72" s="189">
        <v>573896619.15999997</v>
      </c>
      <c r="AI72" s="189">
        <v>478252506.06</v>
      </c>
      <c r="AJ72" s="189">
        <v>442738743.75</v>
      </c>
      <c r="AK72" s="189">
        <v>465290124.44999999</v>
      </c>
      <c r="AL72" s="189">
        <v>509086659.94999999</v>
      </c>
      <c r="AM72" s="189">
        <v>526889816.02999997</v>
      </c>
      <c r="AN72" s="189">
        <v>436190059.30000001</v>
      </c>
      <c r="AO72" s="189">
        <v>528800739.31999999</v>
      </c>
      <c r="AP72" s="189">
        <v>510570087.54000002</v>
      </c>
      <c r="AQ72" s="189">
        <v>467641079.25999999</v>
      </c>
      <c r="AR72" s="189">
        <v>473846155.66000003</v>
      </c>
      <c r="AS72" s="189">
        <v>577029840.59000003</v>
      </c>
      <c r="AT72" s="189">
        <v>486755291.97000003</v>
      </c>
      <c r="AU72" s="189">
        <v>462636666.11000001</v>
      </c>
      <c r="AV72" s="189">
        <v>449127344.94999999</v>
      </c>
      <c r="AW72" s="189">
        <v>461167025.83999997</v>
      </c>
      <c r="AX72" s="189">
        <v>422376666.14999998</v>
      </c>
      <c r="AY72" s="189">
        <v>402374577.06</v>
      </c>
      <c r="AZ72" s="189">
        <v>432635760.45999998</v>
      </c>
      <c r="BA72" s="189">
        <v>466800985.87</v>
      </c>
      <c r="BB72" s="189">
        <v>470076366.12</v>
      </c>
      <c r="BC72" s="189">
        <v>535899324.58999997</v>
      </c>
      <c r="BD72" s="189">
        <v>537542554.54999995</v>
      </c>
      <c r="BE72" s="189">
        <v>581645525.13999999</v>
      </c>
      <c r="BF72" s="189">
        <v>425925704.79000002</v>
      </c>
      <c r="BG72" s="189">
        <v>545622079.63</v>
      </c>
      <c r="BH72" s="189">
        <v>543223316.25</v>
      </c>
      <c r="BI72" s="189">
        <v>582433701.49000001</v>
      </c>
      <c r="BJ72" s="189">
        <v>599735761.01999998</v>
      </c>
      <c r="BK72" s="189">
        <v>655188784.15999997</v>
      </c>
      <c r="BL72" s="189">
        <v>666005623.99000001</v>
      </c>
      <c r="BM72" s="189">
        <v>646147751.78999996</v>
      </c>
      <c r="BN72" s="189">
        <v>688503642.40999997</v>
      </c>
      <c r="BO72" s="189">
        <v>744748911.85000002</v>
      </c>
      <c r="BP72" s="189">
        <v>636465227.61000001</v>
      </c>
      <c r="BQ72" s="189">
        <v>760275549.22000003</v>
      </c>
      <c r="BR72" s="189">
        <v>773837562.02999997</v>
      </c>
      <c r="BS72" s="189">
        <v>620138911.52999997</v>
      </c>
      <c r="BT72" s="189">
        <v>717154350.30999994</v>
      </c>
      <c r="BU72" s="189">
        <v>508772691.73000002</v>
      </c>
      <c r="BV72" s="189">
        <v>707516542.75999999</v>
      </c>
      <c r="BW72" s="189">
        <v>427176695.50999999</v>
      </c>
      <c r="BX72" s="189">
        <v>497532184.83999997</v>
      </c>
      <c r="BY72" s="189">
        <v>517006693.36000001</v>
      </c>
      <c r="BZ72" s="189">
        <v>489001276.86000001</v>
      </c>
      <c r="CA72" s="189">
        <v>391717633.62</v>
      </c>
      <c r="CB72" s="189">
        <v>379964199.25999999</v>
      </c>
      <c r="CC72" s="189">
        <v>320176948.5</v>
      </c>
      <c r="CD72" s="189">
        <v>307625407.60000002</v>
      </c>
      <c r="CE72" s="189">
        <v>0</v>
      </c>
    </row>
    <row r="73" spans="1:83">
      <c r="A73" s="189" t="s">
        <v>177</v>
      </c>
    </row>
    <row r="74" spans="1:83">
      <c r="A74" s="189" t="s">
        <v>178</v>
      </c>
      <c r="B74" s="189">
        <v>783095436</v>
      </c>
      <c r="C74" s="189">
        <v>783095436</v>
      </c>
      <c r="D74" s="189">
        <v>783095436</v>
      </c>
      <c r="E74" s="189">
        <v>783095436</v>
      </c>
      <c r="F74" s="189">
        <v>783095436</v>
      </c>
      <c r="G74" s="189">
        <v>783095436</v>
      </c>
      <c r="H74" s="189">
        <v>783095436</v>
      </c>
      <c r="I74" s="189">
        <v>368867627</v>
      </c>
      <c r="J74" s="189">
        <v>368867627</v>
      </c>
      <c r="K74" s="189">
        <v>368867627</v>
      </c>
      <c r="L74" s="189">
        <v>368867627</v>
      </c>
      <c r="M74" s="189">
        <v>368867627</v>
      </c>
      <c r="N74" s="189">
        <v>368867627</v>
      </c>
      <c r="O74" s="189">
        <v>368867627</v>
      </c>
      <c r="P74" s="189">
        <v>368867627</v>
      </c>
      <c r="Q74" s="189">
        <v>368867627</v>
      </c>
      <c r="R74" s="189">
        <v>368867627</v>
      </c>
      <c r="S74" s="189">
        <v>368867627</v>
      </c>
      <c r="T74" s="189">
        <v>368867627</v>
      </c>
      <c r="U74" s="189">
        <v>368867627</v>
      </c>
      <c r="V74" s="189">
        <v>368867627</v>
      </c>
      <c r="W74" s="189">
        <v>368867627</v>
      </c>
      <c r="X74" s="189">
        <v>368867627</v>
      </c>
      <c r="Y74" s="189">
        <v>368867627</v>
      </c>
      <c r="Z74" s="189">
        <v>262776257</v>
      </c>
      <c r="AA74" s="189">
        <v>262776257</v>
      </c>
      <c r="AB74" s="189">
        <v>262776257</v>
      </c>
      <c r="AC74" s="189">
        <v>262776257</v>
      </c>
      <c r="AD74" s="189">
        <v>262776257</v>
      </c>
      <c r="AE74" s="189">
        <v>262776257</v>
      </c>
      <c r="AF74" s="189">
        <v>262776257</v>
      </c>
      <c r="AG74" s="189">
        <v>262776257</v>
      </c>
      <c r="AH74" s="189">
        <v>262776257</v>
      </c>
      <c r="AI74" s="189">
        <v>262776257</v>
      </c>
      <c r="AJ74" s="189">
        <v>262776257</v>
      </c>
      <c r="AK74" s="189">
        <v>262776257</v>
      </c>
      <c r="AL74" s="189">
        <v>262776257</v>
      </c>
      <c r="AM74" s="189">
        <v>262776257</v>
      </c>
      <c r="AN74" s="189">
        <v>262776257</v>
      </c>
      <c r="AO74" s="189">
        <v>262776257</v>
      </c>
      <c r="AP74" s="189">
        <v>262776257</v>
      </c>
      <c r="AQ74" s="189">
        <v>262776257</v>
      </c>
      <c r="AR74" s="189">
        <v>262776257</v>
      </c>
      <c r="AS74" s="189">
        <v>262776257</v>
      </c>
      <c r="AT74" s="189">
        <v>262776257</v>
      </c>
      <c r="AU74" s="189">
        <v>262776257</v>
      </c>
      <c r="AV74" s="189">
        <v>262776257</v>
      </c>
      <c r="AW74" s="189">
        <v>262776257</v>
      </c>
      <c r="AX74" s="189">
        <v>262776257</v>
      </c>
      <c r="AY74" s="189">
        <v>262776257</v>
      </c>
      <c r="AZ74" s="189">
        <v>262776257</v>
      </c>
      <c r="BA74" s="189">
        <v>234397120</v>
      </c>
      <c r="BB74" s="189">
        <v>234397120</v>
      </c>
      <c r="BC74" s="189">
        <v>234397120</v>
      </c>
      <c r="BD74" s="189">
        <v>234397120</v>
      </c>
      <c r="BE74" s="189">
        <v>234397120</v>
      </c>
      <c r="BF74" s="189">
        <v>234397120</v>
      </c>
      <c r="BG74" s="189">
        <v>234397120</v>
      </c>
      <c r="BH74" s="189">
        <v>234397120</v>
      </c>
      <c r="BI74" s="189">
        <v>234397120</v>
      </c>
      <c r="BJ74" s="189">
        <v>234397120</v>
      </c>
      <c r="BK74" s="189">
        <v>234397120</v>
      </c>
      <c r="BL74" s="189">
        <v>234397120</v>
      </c>
      <c r="BM74" s="189">
        <v>234397120</v>
      </c>
      <c r="BN74" s="189">
        <v>234397120</v>
      </c>
      <c r="BO74" s="189">
        <v>234397120</v>
      </c>
      <c r="BP74" s="189">
        <v>234397120</v>
      </c>
      <c r="BQ74" s="189">
        <v>234397120</v>
      </c>
      <c r="BR74" s="189">
        <v>234397120</v>
      </c>
      <c r="BS74" s="189">
        <v>234397120</v>
      </c>
      <c r="BT74" s="189">
        <v>117198560</v>
      </c>
      <c r="BU74" s="189">
        <v>117198560</v>
      </c>
      <c r="BV74" s="189">
        <v>117198560</v>
      </c>
      <c r="BW74" s="189">
        <v>117198560</v>
      </c>
      <c r="BX74" s="189">
        <v>96288000</v>
      </c>
      <c r="BY74" s="189">
        <v>80240000</v>
      </c>
      <c r="BZ74" s="189">
        <v>80240000</v>
      </c>
      <c r="CA74" s="189">
        <v>80240000</v>
      </c>
      <c r="CB74" s="189">
        <v>50150000</v>
      </c>
      <c r="CC74" s="189">
        <v>50150000</v>
      </c>
      <c r="CD74" s="189">
        <v>50150000</v>
      </c>
      <c r="CE74" s="189">
        <v>0</v>
      </c>
    </row>
    <row r="75" spans="1:83">
      <c r="A75" s="189" t="s">
        <v>179</v>
      </c>
      <c r="B75" s="189">
        <v>388469152.35000002</v>
      </c>
      <c r="C75" s="189">
        <v>388469152.35000002</v>
      </c>
      <c r="D75" s="189">
        <v>388469152.35000002</v>
      </c>
      <c r="E75" s="189">
        <v>388469152.35000002</v>
      </c>
      <c r="F75" s="189">
        <v>388469152.35000002</v>
      </c>
      <c r="G75" s="189">
        <v>388469152.35000002</v>
      </c>
      <c r="H75" s="189">
        <v>388469152.35000002</v>
      </c>
      <c r="I75" s="189">
        <v>399905764.62</v>
      </c>
      <c r="J75" s="189">
        <v>399905764.62</v>
      </c>
      <c r="K75" s="189">
        <v>399905764.62</v>
      </c>
      <c r="L75" s="189">
        <v>399905764.62</v>
      </c>
      <c r="M75" s="189">
        <v>399905764.62</v>
      </c>
      <c r="N75" s="189">
        <v>399905764.62</v>
      </c>
      <c r="O75" s="189">
        <v>399905764.62</v>
      </c>
      <c r="P75" s="189">
        <v>399905764.62</v>
      </c>
      <c r="Q75" s="189">
        <v>399905764.62</v>
      </c>
      <c r="R75" s="189">
        <v>399905764.62</v>
      </c>
      <c r="S75" s="189">
        <v>399905764.62</v>
      </c>
      <c r="T75" s="189">
        <v>399905764.62</v>
      </c>
      <c r="U75" s="189">
        <v>399905764.62</v>
      </c>
      <c r="V75" s="189">
        <v>399905764.62</v>
      </c>
      <c r="W75" s="189">
        <v>399905764.62</v>
      </c>
      <c r="X75" s="189">
        <v>399905764.62</v>
      </c>
      <c r="Y75" s="189">
        <v>399905764.62</v>
      </c>
      <c r="Z75" s="189">
        <v>46640025.439999998</v>
      </c>
      <c r="AA75" s="189">
        <v>46640025.439999998</v>
      </c>
      <c r="AB75" s="189">
        <v>46640025.439999998</v>
      </c>
      <c r="AC75" s="189">
        <v>46640025.439999998</v>
      </c>
      <c r="AD75" s="189">
        <v>46640025.439999998</v>
      </c>
      <c r="AE75" s="189">
        <v>46640025.439999998</v>
      </c>
      <c r="AF75" s="189">
        <v>46640025.439999998</v>
      </c>
      <c r="AG75" s="189">
        <v>46640025.439999998</v>
      </c>
      <c r="AH75" s="189">
        <v>46640025.439999998</v>
      </c>
      <c r="AI75" s="189">
        <v>44311384.140000001</v>
      </c>
      <c r="AJ75" s="189">
        <v>118899176.25</v>
      </c>
      <c r="AK75" s="189">
        <v>136203410.94</v>
      </c>
      <c r="AL75" s="189">
        <v>138067769.83000001</v>
      </c>
      <c r="AM75" s="189">
        <v>111013324.01000001</v>
      </c>
      <c r="AN75" s="189">
        <v>111013324.01000001</v>
      </c>
      <c r="AO75" s="189">
        <v>111013324.01000001</v>
      </c>
      <c r="AP75" s="189">
        <v>111013324.01000001</v>
      </c>
      <c r="AQ75" s="189">
        <v>156807082.33000001</v>
      </c>
      <c r="AR75" s="189">
        <v>156807082.33000001</v>
      </c>
      <c r="AS75" s="189">
        <v>156807082.33000001</v>
      </c>
      <c r="AT75" s="189">
        <v>169110641.37</v>
      </c>
      <c r="AU75" s="189">
        <v>94399078.069999993</v>
      </c>
      <c r="AV75" s="189">
        <v>94399078.069999993</v>
      </c>
      <c r="AW75" s="189">
        <v>94399078.069999993</v>
      </c>
      <c r="AX75" s="189">
        <v>104366448.13</v>
      </c>
      <c r="AY75" s="189">
        <v>104957986.44</v>
      </c>
      <c r="AZ75" s="189">
        <v>104957986.44</v>
      </c>
      <c r="BA75" s="189">
        <v>103321433.44</v>
      </c>
      <c r="BB75" s="189">
        <v>103321433.44</v>
      </c>
      <c r="BC75" s="189">
        <v>103321433.44</v>
      </c>
      <c r="BD75" s="189">
        <v>103321433.44</v>
      </c>
      <c r="BE75" s="189">
        <v>103321433.44</v>
      </c>
      <c r="BF75" s="189">
        <v>103321433.44</v>
      </c>
      <c r="BG75" s="189">
        <v>103089588.97</v>
      </c>
      <c r="BH75" s="189">
        <v>103089588.97</v>
      </c>
      <c r="BI75" s="189">
        <v>103089588.97</v>
      </c>
      <c r="BJ75" s="189">
        <v>103089588.97</v>
      </c>
      <c r="BK75" s="189">
        <v>103089588.97</v>
      </c>
      <c r="BL75" s="189">
        <v>103089588.97</v>
      </c>
      <c r="BM75" s="189">
        <v>103089588.97</v>
      </c>
      <c r="BN75" s="189">
        <v>103089588.97</v>
      </c>
      <c r="BO75" s="189">
        <v>97086789.140000001</v>
      </c>
      <c r="BP75" s="189">
        <v>97104273.290000007</v>
      </c>
      <c r="BQ75" s="189">
        <v>97104273.290000007</v>
      </c>
      <c r="BR75" s="189">
        <v>97104273.290000007</v>
      </c>
      <c r="BS75" s="189">
        <v>96301972.590000004</v>
      </c>
      <c r="BT75" s="189">
        <v>178340964.59</v>
      </c>
      <c r="BU75" s="189">
        <v>178340964.59</v>
      </c>
      <c r="BV75" s="189">
        <v>178340964.59</v>
      </c>
      <c r="BW75" s="189">
        <v>178306060.88999999</v>
      </c>
      <c r="BX75" s="189">
        <v>95869112.349999994</v>
      </c>
      <c r="BY75" s="189">
        <v>95869112.349999994</v>
      </c>
      <c r="BZ75" s="189">
        <v>95869112.349999994</v>
      </c>
      <c r="CA75" s="189">
        <v>95849530.349999994</v>
      </c>
      <c r="CB75" s="189">
        <v>105879530.34999999</v>
      </c>
      <c r="CC75" s="189">
        <v>105870530.34999999</v>
      </c>
      <c r="CD75" s="189">
        <v>105879530.34999999</v>
      </c>
      <c r="CE75" s="189">
        <v>0</v>
      </c>
    </row>
    <row r="76" spans="1:83">
      <c r="A76" s="189" t="s">
        <v>180</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c r="BX76" s="189">
        <v>0</v>
      </c>
      <c r="BY76" s="189">
        <v>0</v>
      </c>
      <c r="BZ76" s="189">
        <v>0</v>
      </c>
      <c r="CA76" s="189">
        <v>0</v>
      </c>
      <c r="CB76" s="189">
        <v>0</v>
      </c>
      <c r="CC76" s="189">
        <v>0</v>
      </c>
      <c r="CD76" s="189">
        <v>0</v>
      </c>
      <c r="CE76" s="189">
        <v>0</v>
      </c>
    </row>
    <row r="77" spans="1:83">
      <c r="A77" s="189" t="s">
        <v>181</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v>0</v>
      </c>
    </row>
    <row r="78" spans="1:83">
      <c r="A78" s="189" t="s">
        <v>182</v>
      </c>
      <c r="B78" s="189">
        <v>0</v>
      </c>
      <c r="C78" s="189">
        <v>0</v>
      </c>
      <c r="D78" s="189">
        <v>0</v>
      </c>
      <c r="E78" s="189">
        <v>0</v>
      </c>
      <c r="F78" s="189">
        <v>0</v>
      </c>
      <c r="G78" s="189">
        <v>0</v>
      </c>
      <c r="H78" s="189">
        <v>0</v>
      </c>
      <c r="I78" s="189">
        <v>0</v>
      </c>
      <c r="J78" s="189">
        <v>0</v>
      </c>
      <c r="K78" s="189">
        <v>0</v>
      </c>
      <c r="L78" s="189">
        <v>0</v>
      </c>
      <c r="M78" s="189">
        <v>0</v>
      </c>
      <c r="N78" s="189">
        <v>0</v>
      </c>
      <c r="O78" s="189">
        <v>0</v>
      </c>
      <c r="P78" s="189">
        <v>0</v>
      </c>
      <c r="Q78" s="189">
        <v>0</v>
      </c>
      <c r="R78" s="189">
        <v>0</v>
      </c>
      <c r="S78" s="189">
        <v>0</v>
      </c>
      <c r="T78" s="189">
        <v>0</v>
      </c>
      <c r="U78" s="189">
        <v>0</v>
      </c>
      <c r="V78" s="189">
        <v>0</v>
      </c>
      <c r="W78" s="189">
        <v>0</v>
      </c>
      <c r="X78" s="189">
        <v>0</v>
      </c>
      <c r="Y78" s="189">
        <v>0</v>
      </c>
      <c r="Z78" s="189">
        <v>0</v>
      </c>
      <c r="AA78" s="189">
        <v>0</v>
      </c>
      <c r="AB78" s="189">
        <v>0</v>
      </c>
      <c r="AC78" s="189">
        <v>0</v>
      </c>
      <c r="AD78" s="189">
        <v>0</v>
      </c>
      <c r="AE78" s="189">
        <v>0</v>
      </c>
      <c r="AF78" s="189">
        <v>0</v>
      </c>
      <c r="AG78" s="189">
        <v>0</v>
      </c>
      <c r="AH78" s="189">
        <v>0</v>
      </c>
      <c r="AI78" s="189">
        <v>0</v>
      </c>
      <c r="AJ78" s="189">
        <v>0</v>
      </c>
      <c r="AK78" s="189">
        <v>0</v>
      </c>
      <c r="AL78" s="189">
        <v>0</v>
      </c>
      <c r="AM78" s="189">
        <v>0</v>
      </c>
      <c r="AN78" s="189">
        <v>0</v>
      </c>
      <c r="AO78" s="189">
        <v>0</v>
      </c>
      <c r="AP78" s="189">
        <v>0</v>
      </c>
      <c r="AQ78" s="189">
        <v>0</v>
      </c>
      <c r="AR78" s="189">
        <v>0</v>
      </c>
      <c r="AS78" s="189">
        <v>0</v>
      </c>
      <c r="AT78" s="189">
        <v>0</v>
      </c>
      <c r="AU78" s="189">
        <v>0</v>
      </c>
      <c r="AV78" s="189">
        <v>0</v>
      </c>
      <c r="AW78" s="189">
        <v>0</v>
      </c>
      <c r="AX78" s="189">
        <v>0</v>
      </c>
      <c r="AY78" s="189">
        <v>0</v>
      </c>
      <c r="AZ78" s="189">
        <v>0</v>
      </c>
      <c r="BA78" s="189">
        <v>0</v>
      </c>
      <c r="BB78" s="189">
        <v>0</v>
      </c>
      <c r="BC78" s="189">
        <v>0</v>
      </c>
      <c r="BD78" s="189">
        <v>0</v>
      </c>
      <c r="BE78" s="189">
        <v>0</v>
      </c>
      <c r="BF78" s="189">
        <v>0</v>
      </c>
      <c r="BG78" s="189">
        <v>0</v>
      </c>
      <c r="BH78" s="189">
        <v>0</v>
      </c>
      <c r="BI78" s="189">
        <v>0</v>
      </c>
      <c r="BJ78" s="189">
        <v>0</v>
      </c>
      <c r="BK78" s="189">
        <v>0</v>
      </c>
      <c r="BL78" s="189">
        <v>0</v>
      </c>
      <c r="BM78" s="189">
        <v>0</v>
      </c>
      <c r="BN78" s="189">
        <v>0</v>
      </c>
      <c r="BO78" s="189">
        <v>0</v>
      </c>
      <c r="BP78" s="189">
        <v>0</v>
      </c>
      <c r="BQ78" s="189">
        <v>0</v>
      </c>
      <c r="BR78" s="189">
        <v>0</v>
      </c>
      <c r="BS78" s="189">
        <v>0</v>
      </c>
      <c r="BT78" s="189">
        <v>0</v>
      </c>
      <c r="BU78" s="189">
        <v>0</v>
      </c>
      <c r="BV78" s="189">
        <v>0</v>
      </c>
      <c r="BW78" s="189">
        <v>0</v>
      </c>
      <c r="BX78" s="189">
        <v>0</v>
      </c>
      <c r="BY78" s="189">
        <v>0</v>
      </c>
      <c r="BZ78" s="189">
        <v>0</v>
      </c>
      <c r="CA78" s="189">
        <v>0</v>
      </c>
      <c r="CB78" s="189">
        <v>0</v>
      </c>
      <c r="CC78" s="189">
        <v>0</v>
      </c>
      <c r="CD78" s="189">
        <v>0</v>
      </c>
      <c r="CE78" s="189">
        <v>0</v>
      </c>
    </row>
    <row r="79" spans="1:83">
      <c r="A79" s="189" t="s">
        <v>183</v>
      </c>
      <c r="B79" s="189">
        <v>215560026.36000001</v>
      </c>
      <c r="C79" s="189">
        <v>73245080.609999999</v>
      </c>
      <c r="D79" s="189">
        <v>73245080.609999999</v>
      </c>
      <c r="E79" s="189">
        <v>73245080.609999999</v>
      </c>
      <c r="F79" s="189">
        <v>73245080.609999999</v>
      </c>
      <c r="G79" s="189">
        <v>69403205.980000004</v>
      </c>
      <c r="H79" s="189">
        <v>69403205.980000004</v>
      </c>
      <c r="I79" s="189">
        <v>69403205.980000004</v>
      </c>
      <c r="J79" s="189">
        <v>69403205.980000004</v>
      </c>
      <c r="K79" s="189">
        <v>51850937.530000001</v>
      </c>
      <c r="L79" s="189">
        <v>51850937.530000001</v>
      </c>
      <c r="M79" s="189">
        <v>51850937.530000001</v>
      </c>
      <c r="N79" s="189">
        <v>51850937.530000001</v>
      </c>
      <c r="O79" s="189">
        <v>47586379.82</v>
      </c>
      <c r="P79" s="189">
        <v>47586379.82</v>
      </c>
      <c r="Q79" s="189">
        <v>47586379.82</v>
      </c>
      <c r="R79" s="189">
        <v>47586379.82</v>
      </c>
      <c r="S79" s="189">
        <v>40522611.950000003</v>
      </c>
      <c r="T79" s="189">
        <v>40522611.950000003</v>
      </c>
      <c r="U79" s="189">
        <v>40522611.950000003</v>
      </c>
      <c r="V79" s="189">
        <v>40522611.950000003</v>
      </c>
      <c r="W79" s="189">
        <v>33518011.359999999</v>
      </c>
      <c r="X79" s="189">
        <v>33518011.359999999</v>
      </c>
      <c r="Y79" s="189">
        <v>33518011.359999999</v>
      </c>
      <c r="Z79" s="189">
        <v>33518011.359999999</v>
      </c>
      <c r="AA79" s="189">
        <v>27422398.620000001</v>
      </c>
      <c r="AB79" s="189">
        <v>27422398.620000001</v>
      </c>
      <c r="AC79" s="189">
        <v>27422398.620000001</v>
      </c>
      <c r="AD79" s="189">
        <v>27422398.620000001</v>
      </c>
      <c r="AE79" s="189">
        <v>22478965.25</v>
      </c>
      <c r="AF79" s="189">
        <v>22478965.25</v>
      </c>
      <c r="AG79" s="189">
        <v>22478965.25</v>
      </c>
      <c r="AH79" s="189">
        <v>22478965.25</v>
      </c>
      <c r="AI79" s="189">
        <v>18452100.649999999</v>
      </c>
      <c r="AJ79" s="189">
        <v>18452100.649999999</v>
      </c>
      <c r="AK79" s="189">
        <v>18452100.649999999</v>
      </c>
      <c r="AL79" s="189">
        <v>18452100.649999999</v>
      </c>
      <c r="AM79" s="189">
        <v>17287829.239999998</v>
      </c>
      <c r="AN79" s="189">
        <v>17287829.239999998</v>
      </c>
      <c r="AO79" s="189">
        <v>17287829.239999998</v>
      </c>
      <c r="AP79" s="189">
        <v>17287829.239999998</v>
      </c>
      <c r="AQ79" s="189">
        <v>17287829.239999998</v>
      </c>
      <c r="AR79" s="189">
        <v>17287829.239999998</v>
      </c>
      <c r="AS79" s="189">
        <v>17287829.239999998</v>
      </c>
      <c r="AT79" s="189">
        <v>17287829.239999998</v>
      </c>
      <c r="AU79" s="189">
        <v>17287829.239999998</v>
      </c>
      <c r="AV79" s="189">
        <v>17287829.239999998</v>
      </c>
      <c r="AW79" s="189">
        <v>17287829.239999998</v>
      </c>
      <c r="AX79" s="189">
        <v>17287829.239999998</v>
      </c>
      <c r="AY79" s="189">
        <v>17287829.239999998</v>
      </c>
      <c r="AZ79" s="189">
        <v>17287829.239999998</v>
      </c>
      <c r="BA79" s="189">
        <v>17287829.239999998</v>
      </c>
      <c r="BB79" s="189">
        <v>17287829.239999998</v>
      </c>
      <c r="BC79" s="189">
        <v>17287829.239999998</v>
      </c>
      <c r="BD79" s="189">
        <v>17287829.239999998</v>
      </c>
      <c r="BE79" s="189">
        <v>17287829.239999998</v>
      </c>
      <c r="BF79" s="189">
        <v>17287829.239999998</v>
      </c>
      <c r="BG79" s="189">
        <v>17287829.239999998</v>
      </c>
      <c r="BH79" s="189">
        <v>17287829.239999998</v>
      </c>
      <c r="BI79" s="189">
        <v>17287829.239999998</v>
      </c>
      <c r="BJ79" s="189">
        <v>17311521.82</v>
      </c>
      <c r="BK79" s="189">
        <v>16986154.039999999</v>
      </c>
      <c r="BL79" s="189">
        <v>17040845.239999998</v>
      </c>
      <c r="BM79" s="189">
        <v>17184905.32</v>
      </c>
      <c r="BN79" s="189">
        <v>17309609.32</v>
      </c>
      <c r="BO79" s="189">
        <v>18441962.489999998</v>
      </c>
      <c r="BP79" s="189">
        <v>18689054.690000001</v>
      </c>
      <c r="BQ79" s="189">
        <v>19033458.16</v>
      </c>
      <c r="BR79" s="189">
        <v>19033458.16</v>
      </c>
      <c r="BS79" s="189">
        <v>20777452.41</v>
      </c>
      <c r="BT79" s="189">
        <v>19028994.07</v>
      </c>
      <c r="BU79" s="189">
        <v>16355714.449999999</v>
      </c>
      <c r="BV79" s="189">
        <v>14964104.49</v>
      </c>
      <c r="BW79" s="189">
        <v>16412665.289999999</v>
      </c>
      <c r="BX79" s="189">
        <v>14854995.43</v>
      </c>
      <c r="BY79" s="189">
        <v>15470105.5</v>
      </c>
      <c r="BZ79" s="189">
        <v>13586814.189999999</v>
      </c>
      <c r="CA79" s="189">
        <v>20302916.600000001</v>
      </c>
      <c r="CB79" s="189">
        <v>20302193.140000001</v>
      </c>
      <c r="CC79" s="189">
        <v>11783864.300000001</v>
      </c>
      <c r="CD79" s="189">
        <v>11783864.300000001</v>
      </c>
      <c r="CE79" s="189">
        <v>0</v>
      </c>
    </row>
    <row r="80" spans="1:83">
      <c r="A80" s="189" t="s">
        <v>184</v>
      </c>
      <c r="B80" s="189">
        <v>0</v>
      </c>
      <c r="C80" s="189">
        <v>0</v>
      </c>
      <c r="D80" s="189">
        <v>0</v>
      </c>
      <c r="E80" s="189">
        <v>0</v>
      </c>
      <c r="F80" s="189">
        <v>0</v>
      </c>
      <c r="G80" s="189">
        <v>0</v>
      </c>
      <c r="H80" s="189">
        <v>0</v>
      </c>
      <c r="I80" s="189">
        <v>0</v>
      </c>
      <c r="J80" s="189">
        <v>0</v>
      </c>
      <c r="K80" s="189">
        <v>0</v>
      </c>
      <c r="L80" s="189">
        <v>0</v>
      </c>
      <c r="M80" s="189">
        <v>0</v>
      </c>
      <c r="N80" s="189">
        <v>0</v>
      </c>
      <c r="O80" s="189">
        <v>0</v>
      </c>
      <c r="P80" s="189">
        <v>0</v>
      </c>
      <c r="Q80" s="189">
        <v>0</v>
      </c>
      <c r="R80" s="189">
        <v>0</v>
      </c>
      <c r="S80" s="189">
        <v>0</v>
      </c>
      <c r="T80" s="189">
        <v>0</v>
      </c>
      <c r="U80" s="189">
        <v>0</v>
      </c>
      <c r="V80" s="189">
        <v>0</v>
      </c>
      <c r="W80" s="189">
        <v>0</v>
      </c>
      <c r="X80" s="189">
        <v>0</v>
      </c>
      <c r="Y80" s="189">
        <v>0</v>
      </c>
      <c r="Z80" s="189">
        <v>0</v>
      </c>
      <c r="AA80" s="189">
        <v>0</v>
      </c>
      <c r="AB80" s="189">
        <v>0</v>
      </c>
      <c r="AC80" s="189">
        <v>0</v>
      </c>
      <c r="AD80" s="189">
        <v>0</v>
      </c>
      <c r="AE80" s="189">
        <v>0</v>
      </c>
      <c r="AF80" s="189">
        <v>0</v>
      </c>
      <c r="AG80" s="189">
        <v>0</v>
      </c>
      <c r="AH80" s="189">
        <v>0</v>
      </c>
      <c r="AI80" s="189">
        <v>0</v>
      </c>
      <c r="AJ80" s="189">
        <v>0</v>
      </c>
      <c r="AK80" s="189">
        <v>0</v>
      </c>
      <c r="AL80" s="189">
        <v>0</v>
      </c>
      <c r="AM80" s="189">
        <v>0</v>
      </c>
      <c r="AN80" s="189">
        <v>0</v>
      </c>
      <c r="AO80" s="189">
        <v>0</v>
      </c>
      <c r="AP80" s="189">
        <v>0</v>
      </c>
      <c r="AQ80" s="189">
        <v>0</v>
      </c>
      <c r="AR80" s="189">
        <v>0</v>
      </c>
      <c r="AS80" s="189">
        <v>0</v>
      </c>
      <c r="AT80" s="189">
        <v>0</v>
      </c>
      <c r="AU80" s="189">
        <v>0</v>
      </c>
      <c r="AV80" s="189">
        <v>0</v>
      </c>
      <c r="AW80" s="189">
        <v>0</v>
      </c>
      <c r="AX80" s="189">
        <v>0</v>
      </c>
      <c r="AY80" s="189">
        <v>0</v>
      </c>
      <c r="AZ80" s="189">
        <v>0</v>
      </c>
      <c r="BA80" s="189">
        <v>0</v>
      </c>
      <c r="BB80" s="189">
        <v>0</v>
      </c>
      <c r="BC80" s="189">
        <v>0</v>
      </c>
      <c r="BD80" s="189">
        <v>0</v>
      </c>
      <c r="BE80" s="189">
        <v>0</v>
      </c>
      <c r="BF80" s="189">
        <v>0</v>
      </c>
      <c r="BG80" s="189">
        <v>0</v>
      </c>
      <c r="BH80" s="189">
        <v>0</v>
      </c>
      <c r="BI80" s="189">
        <v>0</v>
      </c>
      <c r="BJ80" s="189">
        <v>0</v>
      </c>
      <c r="BK80" s="189">
        <v>0</v>
      </c>
      <c r="BL80" s="189">
        <v>0</v>
      </c>
      <c r="BM80" s="189">
        <v>0</v>
      </c>
      <c r="BN80" s="189">
        <v>0</v>
      </c>
      <c r="BO80" s="189">
        <v>0</v>
      </c>
      <c r="BP80" s="189">
        <v>0</v>
      </c>
      <c r="BQ80" s="189">
        <v>0</v>
      </c>
      <c r="BR80" s="189">
        <v>0</v>
      </c>
      <c r="BS80" s="189">
        <v>0</v>
      </c>
      <c r="BT80" s="189">
        <v>0</v>
      </c>
      <c r="BU80" s="189">
        <v>0</v>
      </c>
      <c r="BV80" s="189">
        <v>0</v>
      </c>
      <c r="BW80" s="189">
        <v>0</v>
      </c>
      <c r="BX80" s="189">
        <v>0</v>
      </c>
      <c r="BY80" s="189">
        <v>0</v>
      </c>
      <c r="BZ80" s="189">
        <v>0</v>
      </c>
      <c r="CA80" s="189">
        <v>0</v>
      </c>
      <c r="CB80" s="189">
        <v>0</v>
      </c>
      <c r="CC80" s="189">
        <v>0</v>
      </c>
      <c r="CD80" s="189">
        <v>0</v>
      </c>
      <c r="CE80" s="189">
        <v>0</v>
      </c>
    </row>
    <row r="81" spans="1:83">
      <c r="A81" s="189" t="s">
        <v>185</v>
      </c>
      <c r="B81" s="189">
        <v>1638155591.1600001</v>
      </c>
      <c r="C81" s="189">
        <v>1761595929.0599999</v>
      </c>
      <c r="D81" s="189">
        <v>580844395.88</v>
      </c>
      <c r="E81" s="189">
        <v>647938198.60000002</v>
      </c>
      <c r="F81" s="189">
        <v>587790274.44000006</v>
      </c>
      <c r="G81" s="189">
        <v>557733945</v>
      </c>
      <c r="H81" s="189">
        <v>529370998.29000002</v>
      </c>
      <c r="I81" s="189">
        <v>422476335.79000002</v>
      </c>
      <c r="J81" s="189">
        <v>405282297.91000003</v>
      </c>
      <c r="K81" s="189">
        <v>415482044.67000002</v>
      </c>
      <c r="L81" s="189">
        <v>400441402.26999998</v>
      </c>
      <c r="M81" s="189">
        <v>384277186.19999999</v>
      </c>
      <c r="N81" s="189">
        <v>360395722.58999997</v>
      </c>
      <c r="O81" s="189">
        <v>356472245.16000003</v>
      </c>
      <c r="P81" s="189">
        <v>335067334.75</v>
      </c>
      <c r="Q81" s="189">
        <v>310640966.25999999</v>
      </c>
      <c r="R81" s="189">
        <v>280175330.33999997</v>
      </c>
      <c r="S81" s="189">
        <v>270561578.44999999</v>
      </c>
      <c r="T81" s="189">
        <v>242241284.56999999</v>
      </c>
      <c r="U81" s="189">
        <v>253880622.13</v>
      </c>
      <c r="V81" s="189">
        <v>220209082.44999999</v>
      </c>
      <c r="W81" s="189">
        <v>204615724.11000001</v>
      </c>
      <c r="X81" s="189">
        <v>181760697.94</v>
      </c>
      <c r="Y81" s="189">
        <v>202314639.22999999</v>
      </c>
      <c r="Z81" s="189">
        <v>132436829.45999999</v>
      </c>
      <c r="AA81" s="189">
        <v>127025084.48999999</v>
      </c>
      <c r="AB81" s="189">
        <v>117096879.48999999</v>
      </c>
      <c r="AC81" s="189">
        <v>107173349.37</v>
      </c>
      <c r="AD81" s="189">
        <v>78842065.700000003</v>
      </c>
      <c r="AE81" s="189">
        <v>76997312.950000003</v>
      </c>
      <c r="AF81" s="189">
        <v>65703538.990000002</v>
      </c>
      <c r="AG81" s="189">
        <v>59016969.149999999</v>
      </c>
      <c r="AH81" s="189">
        <v>36770428.420000002</v>
      </c>
      <c r="AI81" s="189">
        <v>32872372.66</v>
      </c>
      <c r="AJ81" s="189">
        <v>27294825.09</v>
      </c>
      <c r="AK81" s="189">
        <v>25862558.010000002</v>
      </c>
      <c r="AL81" s="189">
        <v>4722349.09</v>
      </c>
      <c r="AM81" s="189">
        <v>3274797.5</v>
      </c>
      <c r="AN81" s="189">
        <v>-3893323.5</v>
      </c>
      <c r="AO81" s="189">
        <v>-9266876.5899999999</v>
      </c>
      <c r="AP81" s="189">
        <v>-18784875.949999999</v>
      </c>
      <c r="AQ81" s="189">
        <v>-25238024.379999999</v>
      </c>
      <c r="AR81" s="189">
        <v>-27147080.52</v>
      </c>
      <c r="AS81" s="189">
        <v>-28773789.940000001</v>
      </c>
      <c r="AT81" s="189">
        <v>-46607626.109999999</v>
      </c>
      <c r="AU81" s="189">
        <v>-61025218.630000003</v>
      </c>
      <c r="AV81" s="189">
        <v>-67613212.859999999</v>
      </c>
      <c r="AW81" s="189">
        <v>-62459376.32</v>
      </c>
      <c r="AX81" s="189">
        <v>-77063603.700000003</v>
      </c>
      <c r="AY81" s="189">
        <v>-79720718.219999999</v>
      </c>
      <c r="AZ81" s="189">
        <v>-86757973.989999995</v>
      </c>
      <c r="BA81" s="189">
        <v>-103607599.81999999</v>
      </c>
      <c r="BB81" s="189">
        <v>-107221773.26000001</v>
      </c>
      <c r="BC81" s="189">
        <v>-101256896.05</v>
      </c>
      <c r="BD81" s="189">
        <v>-101519138.08</v>
      </c>
      <c r="BE81" s="189">
        <v>-104902765.52</v>
      </c>
      <c r="BF81" s="189">
        <v>-111414070.27</v>
      </c>
      <c r="BG81" s="189">
        <v>0</v>
      </c>
      <c r="BH81" s="189">
        <v>-109909259.98999999</v>
      </c>
      <c r="BI81" s="189">
        <v>-112681937.59</v>
      </c>
      <c r="BJ81" s="189">
        <v>-115582786.53</v>
      </c>
      <c r="BK81" s="189">
        <v>-145236840.63999999</v>
      </c>
      <c r="BL81" s="189">
        <v>-132275536.38</v>
      </c>
      <c r="BM81" s="189">
        <v>-122855240.56999999</v>
      </c>
      <c r="BN81" s="189">
        <v>-117473994.67</v>
      </c>
      <c r="BO81" s="189">
        <v>-65516964.200000003</v>
      </c>
      <c r="BP81" s="189">
        <v>-48703463.710000001</v>
      </c>
      <c r="BQ81" s="189">
        <v>-39002140.43</v>
      </c>
      <c r="BR81" s="189">
        <v>-39161567.020000003</v>
      </c>
      <c r="BS81" s="189">
        <v>11084054.41</v>
      </c>
      <c r="BT81" s="189">
        <v>47421689.710000001</v>
      </c>
      <c r="BU81" s="189">
        <v>31358856.039999999</v>
      </c>
      <c r="BV81" s="189">
        <v>23473066.289999999</v>
      </c>
      <c r="BW81" s="189">
        <v>33890790.350000001</v>
      </c>
      <c r="BX81" s="189">
        <v>25063994.5</v>
      </c>
      <c r="BY81" s="189">
        <v>32555951.550000001</v>
      </c>
      <c r="BZ81" s="189">
        <v>21883967.449999999</v>
      </c>
      <c r="CA81" s="189">
        <v>15217187.800000001</v>
      </c>
      <c r="CB81" s="189">
        <v>21381779.190000001</v>
      </c>
      <c r="CC81" s="189">
        <v>14772790.119999999</v>
      </c>
      <c r="CD81" s="189">
        <v>3711249.1</v>
      </c>
      <c r="CE81" s="189">
        <v>0</v>
      </c>
    </row>
    <row r="82" spans="1:83">
      <c r="A82" s="189" t="s">
        <v>186</v>
      </c>
      <c r="B82" s="189">
        <v>3025280205.8699999</v>
      </c>
      <c r="C82" s="189">
        <v>3006405598.02</v>
      </c>
      <c r="D82" s="189">
        <v>1825654064.8399999</v>
      </c>
      <c r="E82" s="189">
        <v>1892747867.5599999</v>
      </c>
      <c r="F82" s="189">
        <v>1832599943.4000001</v>
      </c>
      <c r="G82" s="189">
        <v>1798701739.3299999</v>
      </c>
      <c r="H82" s="189">
        <v>1770338792.6199999</v>
      </c>
      <c r="I82" s="189">
        <v>1260652933.3900001</v>
      </c>
      <c r="J82" s="189">
        <v>1243458895.51</v>
      </c>
      <c r="K82" s="189">
        <v>1236106373.8199999</v>
      </c>
      <c r="L82" s="189">
        <v>1221065731.4200001</v>
      </c>
      <c r="M82" s="189">
        <v>1204901515.3499999</v>
      </c>
      <c r="N82" s="189">
        <v>1181020051.74</v>
      </c>
      <c r="O82" s="189">
        <v>1172832016.5999999</v>
      </c>
      <c r="P82" s="189">
        <v>1151427106.1900001</v>
      </c>
      <c r="Q82" s="189">
        <v>1127000737.7</v>
      </c>
      <c r="R82" s="189">
        <v>1096535101.78</v>
      </c>
      <c r="S82" s="189">
        <v>1079857582.02</v>
      </c>
      <c r="T82" s="189">
        <v>1051537288.14</v>
      </c>
      <c r="U82" s="189">
        <v>1063176625.7</v>
      </c>
      <c r="V82" s="189">
        <v>1029505086.02</v>
      </c>
      <c r="W82" s="189">
        <v>1006907127.09</v>
      </c>
      <c r="X82" s="189">
        <v>984052100.91999996</v>
      </c>
      <c r="Y82" s="189">
        <v>1004606042.21</v>
      </c>
      <c r="Z82" s="189">
        <v>475371123.25999999</v>
      </c>
      <c r="AA82" s="189">
        <v>459649802.27999997</v>
      </c>
      <c r="AB82" s="189">
        <v>453935560.55000001</v>
      </c>
      <c r="AC82" s="189">
        <v>444012030.43000001</v>
      </c>
      <c r="AD82" s="189">
        <v>415680746.75999999</v>
      </c>
      <c r="AE82" s="189">
        <v>408892560.63999999</v>
      </c>
      <c r="AF82" s="189">
        <v>397598786.68000001</v>
      </c>
      <c r="AG82" s="189">
        <v>390912216.83999997</v>
      </c>
      <c r="AH82" s="189">
        <v>368665676.11000001</v>
      </c>
      <c r="AI82" s="189">
        <v>358412114.44999999</v>
      </c>
      <c r="AJ82" s="189">
        <v>427422358.99000001</v>
      </c>
      <c r="AK82" s="189">
        <v>443294326.60000002</v>
      </c>
      <c r="AL82" s="189">
        <v>424018476.56999999</v>
      </c>
      <c r="AM82" s="189">
        <v>394352207.75</v>
      </c>
      <c r="AN82" s="189">
        <v>387184086.75</v>
      </c>
      <c r="AO82" s="189">
        <v>381810533.66000003</v>
      </c>
      <c r="AP82" s="189">
        <v>372292534.30000001</v>
      </c>
      <c r="AQ82" s="189">
        <v>411633144.19</v>
      </c>
      <c r="AR82" s="189">
        <v>409724088.05000001</v>
      </c>
      <c r="AS82" s="189">
        <v>408097378.63</v>
      </c>
      <c r="AT82" s="189">
        <v>402567101.5</v>
      </c>
      <c r="AU82" s="189">
        <v>313437945.68000001</v>
      </c>
      <c r="AV82" s="189">
        <v>306849951.44999999</v>
      </c>
      <c r="AW82" s="189">
        <v>312003787.99000001</v>
      </c>
      <c r="AX82" s="189">
        <v>307366930.67000002</v>
      </c>
      <c r="AY82" s="189">
        <v>305301354.45999998</v>
      </c>
      <c r="AZ82" s="189">
        <v>298264098.69</v>
      </c>
      <c r="BA82" s="189">
        <v>251398782.86000001</v>
      </c>
      <c r="BB82" s="189">
        <v>247784609.41999999</v>
      </c>
      <c r="BC82" s="189">
        <v>253749486.63</v>
      </c>
      <c r="BD82" s="189">
        <v>253487244.59999999</v>
      </c>
      <c r="BE82" s="189">
        <v>250103617.16</v>
      </c>
      <c r="BF82" s="189">
        <v>243592312.41</v>
      </c>
      <c r="BG82" s="189">
        <v>245414482.97999999</v>
      </c>
      <c r="BH82" s="189">
        <v>244865278.22</v>
      </c>
      <c r="BI82" s="189">
        <v>242092600.62</v>
      </c>
      <c r="BJ82" s="189">
        <v>239215444.25999999</v>
      </c>
      <c r="BK82" s="189">
        <v>209236022.37</v>
      </c>
      <c r="BL82" s="189">
        <v>222252017.83000001</v>
      </c>
      <c r="BM82" s="189">
        <v>231816373.72</v>
      </c>
      <c r="BN82" s="189">
        <v>237322323.62</v>
      </c>
      <c r="BO82" s="189">
        <v>284408907.43000001</v>
      </c>
      <c r="BP82" s="189">
        <v>301486984.26999998</v>
      </c>
      <c r="BQ82" s="189">
        <v>311532711.01999998</v>
      </c>
      <c r="BR82" s="189">
        <v>295195584.80000001</v>
      </c>
      <c r="BS82" s="189">
        <v>362560599.41000003</v>
      </c>
      <c r="BT82" s="189">
        <v>361990208.37</v>
      </c>
      <c r="BU82" s="189">
        <v>343254095.07999998</v>
      </c>
      <c r="BV82" s="189">
        <v>333976695.37</v>
      </c>
      <c r="BW82" s="189">
        <v>345808076.52999997</v>
      </c>
      <c r="BX82" s="189">
        <v>232076102.28</v>
      </c>
      <c r="BY82" s="189">
        <v>224135169.40000001</v>
      </c>
      <c r="BZ82" s="189">
        <v>211579893.99000001</v>
      </c>
      <c r="CA82" s="189">
        <v>211609634.75</v>
      </c>
      <c r="CB82" s="189">
        <v>197713502.68000001</v>
      </c>
      <c r="CC82" s="189">
        <v>182586184.77000001</v>
      </c>
      <c r="CD82" s="189">
        <v>171524643.75</v>
      </c>
      <c r="CE82" s="189">
        <v>0</v>
      </c>
    </row>
    <row r="83" spans="1:83">
      <c r="A83" s="189" t="s">
        <v>187</v>
      </c>
      <c r="B83" s="189">
        <v>0</v>
      </c>
      <c r="C83" s="189">
        <v>0</v>
      </c>
      <c r="D83" s="189">
        <v>0</v>
      </c>
      <c r="E83" s="189">
        <v>0</v>
      </c>
      <c r="F83" s="189">
        <v>0</v>
      </c>
      <c r="G83" s="189">
        <v>0</v>
      </c>
      <c r="H83" s="189">
        <v>0</v>
      </c>
      <c r="I83" s="189">
        <v>0</v>
      </c>
      <c r="J83" s="189">
        <v>0</v>
      </c>
      <c r="K83" s="189">
        <v>0</v>
      </c>
      <c r="L83" s="189">
        <v>0</v>
      </c>
      <c r="M83" s="189">
        <v>0</v>
      </c>
      <c r="N83" s="189">
        <v>0</v>
      </c>
      <c r="O83" s="189">
        <v>0</v>
      </c>
      <c r="P83" s="189">
        <v>0</v>
      </c>
      <c r="Q83" s="189">
        <v>0</v>
      </c>
      <c r="R83" s="189">
        <v>0</v>
      </c>
      <c r="S83" s="189">
        <v>0</v>
      </c>
      <c r="T83" s="189">
        <v>0</v>
      </c>
      <c r="U83" s="189">
        <v>0</v>
      </c>
      <c r="V83" s="189">
        <v>0</v>
      </c>
      <c r="W83" s="189">
        <v>0</v>
      </c>
      <c r="X83" s="189">
        <v>0</v>
      </c>
      <c r="Y83" s="189">
        <v>0</v>
      </c>
      <c r="Z83" s="189">
        <v>143090.85999999999</v>
      </c>
      <c r="AA83" s="189">
        <v>143099.03</v>
      </c>
      <c r="AB83" s="189">
        <v>143097.85999999999</v>
      </c>
      <c r="AC83" s="189">
        <v>143095.38</v>
      </c>
      <c r="AD83" s="189">
        <v>143097.85999999999</v>
      </c>
      <c r="AE83" s="189">
        <v>143096.1</v>
      </c>
      <c r="AF83" s="189">
        <v>143096.1</v>
      </c>
      <c r="AG83" s="189">
        <v>143096.1</v>
      </c>
      <c r="AH83" s="189">
        <v>143096.1</v>
      </c>
      <c r="AI83" s="189">
        <v>100373.2</v>
      </c>
      <c r="AJ83" s="189">
        <v>100373.2</v>
      </c>
      <c r="AK83" s="189">
        <v>100416.15</v>
      </c>
      <c r="AL83" s="189">
        <v>100416.15</v>
      </c>
      <c r="AM83" s="189">
        <v>101078.29</v>
      </c>
      <c r="AN83" s="189">
        <v>101078.29</v>
      </c>
      <c r="AO83" s="189">
        <v>101078.29</v>
      </c>
      <c r="AP83" s="189">
        <v>101078.29</v>
      </c>
      <c r="AQ83" s="189">
        <v>101197.48</v>
      </c>
      <c r="AR83" s="189">
        <v>101197.48</v>
      </c>
      <c r="AS83" s="189">
        <v>101197.48</v>
      </c>
      <c r="AT83" s="189">
        <v>101197.48</v>
      </c>
      <c r="AU83" s="189">
        <v>98514.87</v>
      </c>
      <c r="AV83" s="189">
        <v>98160.01</v>
      </c>
      <c r="AW83" s="189">
        <v>97569.43</v>
      </c>
      <c r="AX83" s="189">
        <v>97677.03</v>
      </c>
      <c r="AY83" s="189">
        <v>56582.71</v>
      </c>
      <c r="AZ83" s="189">
        <v>56656.43</v>
      </c>
      <c r="BA83" s="189">
        <v>82988.399999999994</v>
      </c>
      <c r="BB83" s="189">
        <v>87736.12</v>
      </c>
      <c r="BC83" s="189">
        <v>138729.29</v>
      </c>
      <c r="BD83" s="189">
        <v>180481.46</v>
      </c>
      <c r="BE83" s="189">
        <v>186005.06</v>
      </c>
      <c r="BF83" s="189">
        <v>203478.67</v>
      </c>
      <c r="BG83" s="189">
        <v>272742.90000000002</v>
      </c>
      <c r="BH83" s="189">
        <v>281908.09000000003</v>
      </c>
      <c r="BI83" s="189">
        <v>752421.05</v>
      </c>
      <c r="BJ83" s="189">
        <v>298733.12</v>
      </c>
      <c r="BK83" s="189">
        <v>1058874.8700000001</v>
      </c>
      <c r="BL83" s="189">
        <v>1110488.83</v>
      </c>
      <c r="BM83" s="189">
        <v>373329.24</v>
      </c>
      <c r="BN83" s="189">
        <v>379621.16</v>
      </c>
      <c r="BO83" s="189">
        <v>2023160.57</v>
      </c>
      <c r="BP83" s="189">
        <v>8749243.0500000007</v>
      </c>
      <c r="BQ83" s="189">
        <v>2800691.68</v>
      </c>
      <c r="BR83" s="189">
        <v>2866903.38</v>
      </c>
      <c r="BS83" s="189">
        <v>0</v>
      </c>
      <c r="BT83" s="189">
        <v>0</v>
      </c>
      <c r="BU83" s="189">
        <v>0</v>
      </c>
      <c r="BV83" s="189">
        <v>0</v>
      </c>
      <c r="BW83" s="189">
        <v>0</v>
      </c>
      <c r="BX83" s="189">
        <v>0</v>
      </c>
      <c r="BY83" s="189">
        <v>0</v>
      </c>
      <c r="BZ83" s="189">
        <v>0</v>
      </c>
      <c r="CA83" s="189">
        <v>0</v>
      </c>
      <c r="CB83" s="189">
        <v>0</v>
      </c>
      <c r="CC83" s="189">
        <v>0</v>
      </c>
      <c r="CD83" s="189">
        <v>0</v>
      </c>
      <c r="CE83" s="189">
        <v>0</v>
      </c>
    </row>
    <row r="84" spans="1:83">
      <c r="A84" s="189" t="s">
        <v>188</v>
      </c>
      <c r="B84" s="189">
        <v>3025280205.8699999</v>
      </c>
      <c r="C84" s="189">
        <v>3006405598.02</v>
      </c>
      <c r="D84" s="189">
        <v>1825654064.8399999</v>
      </c>
      <c r="E84" s="189">
        <v>1892747867.5599999</v>
      </c>
      <c r="F84" s="189">
        <v>1832599943.4000001</v>
      </c>
      <c r="G84" s="189">
        <v>1798701739.3299999</v>
      </c>
      <c r="H84" s="189">
        <v>1770338792.6199999</v>
      </c>
      <c r="I84" s="189">
        <v>1260652933.3900001</v>
      </c>
      <c r="J84" s="189">
        <v>1243458895.51</v>
      </c>
      <c r="K84" s="189">
        <v>1236106373.8199999</v>
      </c>
      <c r="L84" s="189">
        <v>1221065731.4200001</v>
      </c>
      <c r="M84" s="189">
        <v>1204901515.3499999</v>
      </c>
      <c r="N84" s="189">
        <v>1181020051.74</v>
      </c>
      <c r="O84" s="189">
        <v>1172832016.5999999</v>
      </c>
      <c r="P84" s="189">
        <v>1151427106.1900001</v>
      </c>
      <c r="Q84" s="189">
        <v>1127000737.7</v>
      </c>
      <c r="R84" s="189">
        <v>1096535101.78</v>
      </c>
      <c r="S84" s="189">
        <v>1079857582.02</v>
      </c>
      <c r="T84" s="189">
        <v>1051537288.14</v>
      </c>
      <c r="U84" s="189">
        <v>1063176625.7</v>
      </c>
      <c r="V84" s="189">
        <v>1029505086.02</v>
      </c>
      <c r="W84" s="189">
        <v>1006907127.09</v>
      </c>
      <c r="X84" s="189">
        <v>984052100.91999996</v>
      </c>
      <c r="Y84" s="189">
        <v>1004606042.21</v>
      </c>
      <c r="Z84" s="189">
        <v>475514214.12</v>
      </c>
      <c r="AA84" s="189">
        <v>459792901.31</v>
      </c>
      <c r="AB84" s="189">
        <v>454078658.41000003</v>
      </c>
      <c r="AC84" s="189">
        <v>444155125.81</v>
      </c>
      <c r="AD84" s="189">
        <v>415823844.62</v>
      </c>
      <c r="AE84" s="189">
        <v>409035656.74000001</v>
      </c>
      <c r="AF84" s="189">
        <v>397741882.77999997</v>
      </c>
      <c r="AG84" s="189">
        <v>391055312.94</v>
      </c>
      <c r="AH84" s="189">
        <v>368808772.20999998</v>
      </c>
      <c r="AI84" s="189">
        <v>358512487.64999998</v>
      </c>
      <c r="AJ84" s="189">
        <v>427522732.19</v>
      </c>
      <c r="AK84" s="189">
        <v>443394742.75</v>
      </c>
      <c r="AL84" s="189">
        <v>424118892.72000003</v>
      </c>
      <c r="AM84" s="189">
        <v>394453286.04000002</v>
      </c>
      <c r="AN84" s="189">
        <v>387285165.04000002</v>
      </c>
      <c r="AO84" s="189">
        <v>381911611.94999999</v>
      </c>
      <c r="AP84" s="189">
        <v>372393612.58999997</v>
      </c>
      <c r="AQ84" s="189">
        <v>411734341.67000002</v>
      </c>
      <c r="AR84" s="189">
        <v>409825285.52999997</v>
      </c>
      <c r="AS84" s="189">
        <v>408198576.11000001</v>
      </c>
      <c r="AT84" s="189">
        <v>402668298.98000002</v>
      </c>
      <c r="AU84" s="189">
        <v>313536460.55000001</v>
      </c>
      <c r="AV84" s="189">
        <v>306948111.45999998</v>
      </c>
      <c r="AW84" s="189">
        <v>312101357.42000002</v>
      </c>
      <c r="AX84" s="189">
        <v>307464607.69999999</v>
      </c>
      <c r="AY84" s="189">
        <v>305357937.17000002</v>
      </c>
      <c r="AZ84" s="189">
        <v>298320755.12</v>
      </c>
      <c r="BA84" s="189">
        <v>251481771.25999999</v>
      </c>
      <c r="BB84" s="189">
        <v>247872345.53999999</v>
      </c>
      <c r="BC84" s="189">
        <v>253888215.91999999</v>
      </c>
      <c r="BD84" s="189">
        <v>253667726.06</v>
      </c>
      <c r="BE84" s="189">
        <v>250289622.22</v>
      </c>
      <c r="BF84" s="189">
        <v>243795791.08000001</v>
      </c>
      <c r="BG84" s="189">
        <v>245687225.88</v>
      </c>
      <c r="BH84" s="189">
        <v>245147186.31</v>
      </c>
      <c r="BI84" s="189">
        <v>242845021.66999999</v>
      </c>
      <c r="BJ84" s="189">
        <v>239514177.38</v>
      </c>
      <c r="BK84" s="189">
        <v>210294897.24000001</v>
      </c>
      <c r="BL84" s="189">
        <v>223362506.66</v>
      </c>
      <c r="BM84" s="189">
        <v>232189702.96000001</v>
      </c>
      <c r="BN84" s="189">
        <v>237701944.78</v>
      </c>
      <c r="BO84" s="189">
        <v>286432068</v>
      </c>
      <c r="BP84" s="189">
        <v>310236227.31999999</v>
      </c>
      <c r="BQ84" s="189">
        <v>314333402.69999999</v>
      </c>
      <c r="BR84" s="189">
        <v>298062488.18000001</v>
      </c>
      <c r="BS84" s="189">
        <v>362560599.41000003</v>
      </c>
      <c r="BT84" s="189">
        <v>361990208.37</v>
      </c>
      <c r="BU84" s="189">
        <v>343254095.07999998</v>
      </c>
      <c r="BV84" s="189">
        <v>333976695.37</v>
      </c>
      <c r="BW84" s="189">
        <v>345808076.52999997</v>
      </c>
      <c r="BX84" s="189">
        <v>232076102.28</v>
      </c>
      <c r="BY84" s="189">
        <v>224135169.40000001</v>
      </c>
      <c r="BZ84" s="189">
        <v>211579893.99000001</v>
      </c>
      <c r="CA84" s="189">
        <v>211609634.75</v>
      </c>
      <c r="CB84" s="189">
        <v>197713502.68000001</v>
      </c>
      <c r="CC84" s="189">
        <v>182586184.77000001</v>
      </c>
      <c r="CD84" s="189">
        <v>0</v>
      </c>
      <c r="CE84" s="189">
        <v>0</v>
      </c>
    </row>
    <row r="85" spans="1:83">
      <c r="A85" s="189" t="s">
        <v>189</v>
      </c>
      <c r="B85" s="189">
        <v>5724116223.9700003</v>
      </c>
      <c r="C85" s="189">
        <v>5890801383.9300003</v>
      </c>
      <c r="D85" s="189">
        <v>5060139853.1999998</v>
      </c>
      <c r="E85" s="189">
        <v>5037408199.6199999</v>
      </c>
      <c r="F85" s="189">
        <v>5000810723.8699999</v>
      </c>
      <c r="G85" s="189">
        <v>4811225853.8699999</v>
      </c>
      <c r="H85" s="189">
        <v>5147640010.1899996</v>
      </c>
      <c r="I85" s="189">
        <v>2334746156.9499998</v>
      </c>
      <c r="J85" s="189">
        <v>2406741065.0100002</v>
      </c>
      <c r="K85" s="189">
        <v>2021350996.6199999</v>
      </c>
      <c r="L85" s="189">
        <v>2034890611.48</v>
      </c>
      <c r="M85" s="189">
        <v>2046010410.79</v>
      </c>
      <c r="N85" s="189">
        <v>2024572740.24</v>
      </c>
      <c r="O85" s="189">
        <v>1957238776.8399999</v>
      </c>
      <c r="P85" s="189">
        <v>2024318939.02</v>
      </c>
      <c r="Q85" s="189">
        <v>1846381451.45</v>
      </c>
      <c r="R85" s="189">
        <v>1882870876.5899999</v>
      </c>
      <c r="S85" s="189">
        <v>1874691636.0899999</v>
      </c>
      <c r="T85" s="189">
        <v>1725795935.6700001</v>
      </c>
      <c r="U85" s="189">
        <v>1711102677.0599999</v>
      </c>
      <c r="V85" s="189">
        <v>1761620591.51</v>
      </c>
      <c r="W85" s="189">
        <v>1724664569.6199999</v>
      </c>
      <c r="X85" s="189">
        <v>1712556405.29</v>
      </c>
      <c r="Y85" s="189">
        <v>1830936102.74</v>
      </c>
      <c r="Z85" s="189">
        <v>1223301801.8</v>
      </c>
      <c r="AA85" s="189">
        <v>1130970648.53</v>
      </c>
      <c r="AB85" s="189">
        <v>1055196267.74</v>
      </c>
      <c r="AC85" s="189">
        <v>1100461819.8499999</v>
      </c>
      <c r="AD85" s="189">
        <v>1083370938.26</v>
      </c>
      <c r="AE85" s="189">
        <v>964603767.40999997</v>
      </c>
      <c r="AF85" s="189">
        <v>913311942.01999998</v>
      </c>
      <c r="AG85" s="189">
        <v>929328424.63999999</v>
      </c>
      <c r="AH85" s="189">
        <v>942705391.37</v>
      </c>
      <c r="AI85" s="189">
        <v>836764993.71000004</v>
      </c>
      <c r="AJ85" s="189">
        <v>870261475.94000006</v>
      </c>
      <c r="AK85" s="189">
        <v>908684867.20000005</v>
      </c>
      <c r="AL85" s="189">
        <v>933205552.66999996</v>
      </c>
      <c r="AM85" s="189">
        <v>921343102.07000005</v>
      </c>
      <c r="AN85" s="189">
        <v>823475224.34000003</v>
      </c>
      <c r="AO85" s="189">
        <v>910712351.26999998</v>
      </c>
      <c r="AP85" s="189">
        <v>882963700.13</v>
      </c>
      <c r="AQ85" s="189">
        <v>879375420.92999995</v>
      </c>
      <c r="AR85" s="189">
        <v>883671441.19000006</v>
      </c>
      <c r="AS85" s="189">
        <v>985228416.70000005</v>
      </c>
      <c r="AT85" s="189">
        <v>889423590.95000005</v>
      </c>
      <c r="AU85" s="189">
        <v>776173126.65999997</v>
      </c>
      <c r="AV85" s="189">
        <v>756075456.40999997</v>
      </c>
      <c r="AW85" s="189">
        <v>773268383.25999999</v>
      </c>
      <c r="AX85" s="189">
        <v>729841273.85000002</v>
      </c>
      <c r="AY85" s="189">
        <v>707732514.23000002</v>
      </c>
      <c r="AZ85" s="189">
        <v>730956515.58000004</v>
      </c>
      <c r="BA85" s="189">
        <v>718282757.13</v>
      </c>
      <c r="BB85" s="189">
        <v>717948711.65999997</v>
      </c>
      <c r="BC85" s="189">
        <v>789787540.50999999</v>
      </c>
      <c r="BD85" s="189">
        <v>791210280.61000001</v>
      </c>
      <c r="BE85" s="189">
        <v>831935147.36000001</v>
      </c>
      <c r="BF85" s="189">
        <v>669721495.87</v>
      </c>
      <c r="BG85" s="189">
        <v>791309305.50999999</v>
      </c>
      <c r="BH85" s="189">
        <v>788370502.55999994</v>
      </c>
      <c r="BI85" s="189">
        <v>825278723.15999997</v>
      </c>
      <c r="BJ85" s="189">
        <v>839249938.39999998</v>
      </c>
      <c r="BK85" s="189">
        <v>865483681.39999998</v>
      </c>
      <c r="BL85" s="189">
        <v>889368130.64999998</v>
      </c>
      <c r="BM85" s="189">
        <v>878337454.75</v>
      </c>
      <c r="BN85" s="189">
        <v>926205587.19000006</v>
      </c>
      <c r="BO85" s="189">
        <v>1031180979.85</v>
      </c>
      <c r="BP85" s="189">
        <v>946701454.92999995</v>
      </c>
      <c r="BQ85" s="189">
        <v>1074608951.9200001</v>
      </c>
      <c r="BR85" s="189">
        <v>1066202950.39</v>
      </c>
      <c r="BS85" s="189">
        <v>982699510.94000006</v>
      </c>
      <c r="BT85" s="189">
        <v>1079144558.6800001</v>
      </c>
      <c r="BU85" s="189">
        <v>852026786.80999994</v>
      </c>
      <c r="BV85" s="189">
        <v>1041493238.13</v>
      </c>
      <c r="BW85" s="189">
        <v>772984772.03999996</v>
      </c>
      <c r="BX85" s="189">
        <v>729608287.12</v>
      </c>
      <c r="BY85" s="189">
        <v>741141862.75999999</v>
      </c>
      <c r="BZ85" s="189">
        <v>700581170.85000002</v>
      </c>
      <c r="CA85" s="189">
        <v>603327268.37</v>
      </c>
      <c r="CB85" s="189">
        <v>577677701.94000006</v>
      </c>
      <c r="CC85" s="189">
        <v>502763133.26999998</v>
      </c>
      <c r="CD85" s="189">
        <v>479150051.35000002</v>
      </c>
      <c r="CE85" s="189">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CE31"/>
  <sheetViews>
    <sheetView workbookViewId="0">
      <selection activeCell="A2" sqref="A2"/>
    </sheetView>
  </sheetViews>
  <sheetFormatPr defaultRowHeight="13.5"/>
  <cols>
    <col min="1" max="1" width="37" style="189" bestFit="1" customWidth="1"/>
    <col min="2" max="2" width="12.75" style="189" bestFit="1" customWidth="1"/>
    <col min="3" max="5" width="12.75" style="189" hidden="1" customWidth="1"/>
    <col min="6" max="6" width="12.75" style="189" bestFit="1" customWidth="1"/>
    <col min="7" max="9" width="12.75" style="189" hidden="1" customWidth="1"/>
    <col min="10" max="10" width="12.75" style="189" bestFit="1" customWidth="1"/>
    <col min="11" max="13" width="12.75" style="189" hidden="1" customWidth="1"/>
    <col min="14" max="14" width="12.75" style="189" bestFit="1" customWidth="1"/>
    <col min="15" max="17" width="12.75" style="189" hidden="1" customWidth="1"/>
    <col min="18" max="18" width="12.75" style="189" bestFit="1" customWidth="1"/>
    <col min="19" max="21" width="12.75" style="189" hidden="1" customWidth="1"/>
    <col min="22" max="22" width="12.75" style="189" bestFit="1" customWidth="1"/>
    <col min="23" max="25" width="12.75" style="189" hidden="1" customWidth="1"/>
    <col min="26" max="26" width="12.75" style="189" bestFit="1" customWidth="1"/>
    <col min="27" max="29" width="12.75" style="189" hidden="1" customWidth="1"/>
    <col min="30" max="30" width="12.75" style="189" bestFit="1" customWidth="1"/>
    <col min="31" max="33" width="12.75" style="189" hidden="1" customWidth="1"/>
    <col min="34" max="34" width="13.875" style="189" bestFit="1" customWidth="1"/>
    <col min="35" max="35" width="12.75" style="189" hidden="1" customWidth="1"/>
    <col min="36" max="36" width="13.875" style="189" hidden="1" customWidth="1"/>
    <col min="37" max="37" width="12.75" style="189" hidden="1" customWidth="1"/>
    <col min="38" max="38" width="12.75" style="189" bestFit="1" customWidth="1"/>
    <col min="39" max="41" width="12.75" style="189" hidden="1" customWidth="1"/>
    <col min="42" max="42" width="12.75" style="189" bestFit="1" customWidth="1"/>
    <col min="43" max="45" width="12.75" style="189" hidden="1" customWidth="1"/>
    <col min="46" max="46" width="12.75" style="189" bestFit="1" customWidth="1"/>
    <col min="47" max="49" width="12.75" style="189" hidden="1" customWidth="1"/>
    <col min="50" max="50" width="12.75" style="189" bestFit="1" customWidth="1"/>
    <col min="51" max="53" width="12.75" style="189" hidden="1" customWidth="1"/>
    <col min="54" max="54" width="12.75" style="189" bestFit="1" customWidth="1"/>
    <col min="55" max="57" width="12.75" style="189" hidden="1" customWidth="1"/>
    <col min="58" max="58" width="12.75" style="189" bestFit="1" customWidth="1"/>
    <col min="59" max="61" width="12.75" style="189" hidden="1" customWidth="1"/>
    <col min="62" max="62" width="12.75" style="189" bestFit="1" customWidth="1"/>
    <col min="63" max="64" width="13.875" style="189" hidden="1" customWidth="1"/>
    <col min="65" max="65" width="12.75" style="189" hidden="1" customWidth="1"/>
    <col min="66" max="66" width="13.875" style="189" bestFit="1" customWidth="1"/>
    <col min="67" max="67" width="13.875" style="189" hidden="1" customWidth="1"/>
    <col min="68" max="69" width="12.75" style="189" hidden="1" customWidth="1"/>
    <col min="70" max="70" width="13.875" style="189" bestFit="1" customWidth="1"/>
    <col min="71" max="71" width="12.75" style="189" hidden="1" customWidth="1"/>
    <col min="72" max="72" width="12.75" style="189" bestFit="1" customWidth="1"/>
    <col min="73" max="73" width="12.75" style="189" hidden="1" customWidth="1"/>
    <col min="74" max="74" width="12.75" style="189" bestFit="1" customWidth="1"/>
    <col min="75" max="75" width="12.75" style="189" hidden="1" customWidth="1"/>
    <col min="76" max="76" width="12.75" style="189" bestFit="1" customWidth="1"/>
    <col min="77" max="77" width="12.75" style="189" hidden="1" customWidth="1"/>
    <col min="78" max="78" width="12.75" style="189" bestFit="1" customWidth="1"/>
    <col min="79" max="79" width="12.75" style="189" hidden="1" customWidth="1"/>
    <col min="80" max="80" width="12.75" style="189" bestFit="1" customWidth="1"/>
    <col min="81" max="81" width="12.75" style="189" hidden="1" customWidth="1"/>
    <col min="82" max="82" width="12.75" style="189" bestFit="1" customWidth="1"/>
    <col min="83" max="83" width="9.5" style="189" hidden="1" customWidth="1"/>
    <col min="84" max="16384" width="9" style="189"/>
  </cols>
  <sheetData>
    <row r="1" spans="1:83">
      <c r="A1" s="189">
        <v>600738</v>
      </c>
      <c r="B1" s="189">
        <v>20181231</v>
      </c>
      <c r="C1" s="189">
        <v>20180930</v>
      </c>
      <c r="D1" s="189">
        <v>20180630</v>
      </c>
      <c r="E1" s="189">
        <v>20180331</v>
      </c>
      <c r="F1" s="189">
        <v>20171231</v>
      </c>
      <c r="G1" s="189">
        <v>20170930</v>
      </c>
      <c r="H1" s="189">
        <v>20170630</v>
      </c>
      <c r="I1" s="189">
        <v>20170331</v>
      </c>
      <c r="J1" s="189">
        <v>20161231</v>
      </c>
      <c r="K1" s="189">
        <v>20160930</v>
      </c>
      <c r="L1" s="189">
        <v>20160630</v>
      </c>
      <c r="M1" s="189">
        <v>20160331</v>
      </c>
      <c r="N1" s="189">
        <v>20151231</v>
      </c>
      <c r="O1" s="189">
        <v>20150930</v>
      </c>
      <c r="P1" s="189">
        <v>20150630</v>
      </c>
      <c r="Q1" s="189">
        <v>20150331</v>
      </c>
      <c r="R1" s="189">
        <v>20141231</v>
      </c>
      <c r="S1" s="189">
        <v>20140930</v>
      </c>
      <c r="T1" s="189">
        <v>20140630</v>
      </c>
      <c r="U1" s="189">
        <v>20140331</v>
      </c>
      <c r="V1" s="189">
        <v>20131231</v>
      </c>
      <c r="W1" s="189">
        <v>20130930</v>
      </c>
      <c r="X1" s="189">
        <v>20130630</v>
      </c>
      <c r="Y1" s="189">
        <v>20130331</v>
      </c>
      <c r="Z1" s="189">
        <v>20121231</v>
      </c>
      <c r="AA1" s="189">
        <v>20120930</v>
      </c>
      <c r="AB1" s="189">
        <v>20120630</v>
      </c>
      <c r="AC1" s="189">
        <v>20120331</v>
      </c>
      <c r="AD1" s="189">
        <v>20111231</v>
      </c>
      <c r="AE1" s="189">
        <v>20110930</v>
      </c>
      <c r="AF1" s="189">
        <v>20110630</v>
      </c>
      <c r="AG1" s="189">
        <v>20110331</v>
      </c>
      <c r="AH1" s="189">
        <v>20101231</v>
      </c>
      <c r="AI1" s="189">
        <v>20100930</v>
      </c>
      <c r="AJ1" s="189">
        <v>20100630</v>
      </c>
      <c r="AK1" s="189">
        <v>20100331</v>
      </c>
      <c r="AL1" s="189">
        <v>20091231</v>
      </c>
      <c r="AM1" s="189">
        <v>20090930</v>
      </c>
      <c r="AN1" s="189">
        <v>20090630</v>
      </c>
      <c r="AO1" s="189">
        <v>20090331</v>
      </c>
      <c r="AP1" s="189">
        <v>20081231</v>
      </c>
      <c r="AQ1" s="189">
        <v>20080930</v>
      </c>
      <c r="AR1" s="189">
        <v>20080630</v>
      </c>
      <c r="AS1" s="189">
        <v>20080331</v>
      </c>
      <c r="AT1" s="189">
        <v>20071231</v>
      </c>
      <c r="AU1" s="189">
        <v>20070930</v>
      </c>
      <c r="AV1" s="189">
        <v>20070630</v>
      </c>
      <c r="AW1" s="189">
        <v>20070331</v>
      </c>
      <c r="AX1" s="189">
        <v>20061231</v>
      </c>
      <c r="AY1" s="189">
        <v>20060930</v>
      </c>
      <c r="AZ1" s="189">
        <v>20060630</v>
      </c>
      <c r="BA1" s="189">
        <v>20060331</v>
      </c>
      <c r="BB1" s="189">
        <v>20051231</v>
      </c>
      <c r="BC1" s="189">
        <v>20050930</v>
      </c>
      <c r="BD1" s="189">
        <v>20050630</v>
      </c>
      <c r="BE1" s="189">
        <v>20050331</v>
      </c>
      <c r="BF1" s="189">
        <v>20041231</v>
      </c>
      <c r="BG1" s="189">
        <v>20040930</v>
      </c>
      <c r="BH1" s="189">
        <v>20040630</v>
      </c>
      <c r="BI1" s="189">
        <v>20040331</v>
      </c>
      <c r="BJ1" s="189">
        <v>20031231</v>
      </c>
      <c r="BK1" s="189">
        <v>20030930</v>
      </c>
      <c r="BL1" s="189">
        <v>20030630</v>
      </c>
      <c r="BM1" s="189">
        <v>20030331</v>
      </c>
      <c r="BN1" s="189">
        <v>20021231</v>
      </c>
      <c r="BO1" s="189">
        <v>20020930</v>
      </c>
      <c r="BP1" s="189">
        <v>20020630</v>
      </c>
      <c r="BQ1" s="189">
        <v>20020331</v>
      </c>
      <c r="BR1" s="189">
        <v>20011231</v>
      </c>
      <c r="BS1" s="189">
        <v>20010630</v>
      </c>
      <c r="BT1" s="189">
        <v>20001231</v>
      </c>
      <c r="BU1" s="189">
        <v>20000630</v>
      </c>
      <c r="BV1" s="189">
        <v>19991231</v>
      </c>
      <c r="BW1" s="189">
        <v>19990630</v>
      </c>
      <c r="BX1" s="189">
        <v>19981231</v>
      </c>
      <c r="BY1" s="189">
        <v>19980630</v>
      </c>
      <c r="BZ1" s="189">
        <v>19971231</v>
      </c>
      <c r="CA1" s="189">
        <v>19970630</v>
      </c>
      <c r="CB1" s="189">
        <v>19961231</v>
      </c>
      <c r="CC1" s="189">
        <v>19960630</v>
      </c>
      <c r="CD1" s="189">
        <v>19951231</v>
      </c>
      <c r="CE1" s="189">
        <v>19700101</v>
      </c>
    </row>
    <row r="2" spans="1:83">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c r="BW2" s="189" t="s">
        <v>106</v>
      </c>
      <c r="BX2" s="189" t="s">
        <v>106</v>
      </c>
      <c r="BY2" s="189" t="s">
        <v>106</v>
      </c>
      <c r="BZ2" s="189" t="s">
        <v>106</v>
      </c>
      <c r="CA2" s="189" t="s">
        <v>106</v>
      </c>
      <c r="CB2" s="189" t="s">
        <v>106</v>
      </c>
      <c r="CC2" s="189" t="s">
        <v>106</v>
      </c>
      <c r="CD2" s="189" t="s">
        <v>106</v>
      </c>
    </row>
    <row r="3" spans="1:83">
      <c r="A3" s="189" t="s">
        <v>190</v>
      </c>
      <c r="B3" s="189">
        <v>1382513163.8900001</v>
      </c>
      <c r="C3" s="189">
        <v>1064337666.6900001</v>
      </c>
      <c r="D3" s="189">
        <v>731139998.38</v>
      </c>
      <c r="E3" s="189">
        <v>421474197.36000001</v>
      </c>
      <c r="F3" s="189">
        <v>1366363612.6199999</v>
      </c>
      <c r="G3" s="189">
        <v>1026037642.64</v>
      </c>
      <c r="H3" s="189">
        <v>698379557.87</v>
      </c>
      <c r="I3" s="189">
        <v>284244614.87</v>
      </c>
      <c r="J3" s="189">
        <v>1026535858.9299999</v>
      </c>
      <c r="K3" s="189">
        <v>766151820.29999995</v>
      </c>
      <c r="L3" s="189">
        <v>525882189.83999997</v>
      </c>
      <c r="M3" s="189">
        <v>295249656.20999998</v>
      </c>
      <c r="N3" s="189">
        <v>1120665180.8800001</v>
      </c>
      <c r="O3" s="189">
        <v>857530976.39999998</v>
      </c>
      <c r="P3" s="189">
        <v>593268789.13</v>
      </c>
      <c r="Q3" s="189">
        <v>335552584.61000001</v>
      </c>
      <c r="R3" s="189">
        <v>1214852555.8099999</v>
      </c>
      <c r="S3" s="189">
        <v>927620999.42999995</v>
      </c>
      <c r="T3" s="189">
        <v>630920696.25999999</v>
      </c>
      <c r="U3" s="189">
        <v>359411030.98000002</v>
      </c>
      <c r="V3" s="189">
        <v>1428005507.79</v>
      </c>
      <c r="W3" s="189">
        <v>1090244284</v>
      </c>
      <c r="X3" s="189">
        <v>753590720.29999995</v>
      </c>
      <c r="Y3" s="189">
        <v>407134157.54000002</v>
      </c>
      <c r="Z3" s="189">
        <v>1320057528.8499999</v>
      </c>
      <c r="AA3" s="189">
        <v>999698057.85000002</v>
      </c>
      <c r="AB3" s="189">
        <v>696223866.28999996</v>
      </c>
      <c r="AC3" s="189">
        <v>397167146.08999997</v>
      </c>
      <c r="AD3" s="189">
        <v>1188181022.1600001</v>
      </c>
      <c r="AE3" s="189">
        <v>881523761.17999995</v>
      </c>
      <c r="AF3" s="189">
        <v>619936758.73000002</v>
      </c>
      <c r="AG3" s="189">
        <v>360707870.79000002</v>
      </c>
      <c r="AH3" s="189">
        <v>920899447.85000002</v>
      </c>
      <c r="AI3" s="189">
        <v>652183381.96000004</v>
      </c>
      <c r="AJ3" s="189">
        <v>437443143.19</v>
      </c>
      <c r="AK3" s="189">
        <v>250700453.44</v>
      </c>
      <c r="AL3" s="189">
        <v>729118833.46000004</v>
      </c>
      <c r="AM3" s="189">
        <v>531954310.14999998</v>
      </c>
      <c r="AN3" s="189">
        <v>364490143.06999999</v>
      </c>
      <c r="AO3" s="189">
        <v>208744716.30000001</v>
      </c>
      <c r="AP3" s="189">
        <v>622896991.75999999</v>
      </c>
      <c r="AQ3" s="189">
        <v>458272083.85000002</v>
      </c>
      <c r="AR3" s="189">
        <v>312351104.93000001</v>
      </c>
      <c r="AS3" s="189">
        <v>187257445.02000001</v>
      </c>
      <c r="AT3" s="189">
        <v>547411619.92999995</v>
      </c>
      <c r="AU3" s="189">
        <v>398835936.57999998</v>
      </c>
      <c r="AV3" s="189">
        <v>271330509.35000002</v>
      </c>
      <c r="AW3" s="189">
        <v>152264846.55000001</v>
      </c>
      <c r="AX3" s="189">
        <v>474726724.01999998</v>
      </c>
      <c r="AY3" s="189">
        <v>348876990.88</v>
      </c>
      <c r="AZ3" s="189">
        <v>235258204.50999999</v>
      </c>
      <c r="BA3" s="189">
        <v>135305126.25999999</v>
      </c>
      <c r="BB3" s="189">
        <v>463851312.14999998</v>
      </c>
      <c r="BC3" s="189">
        <v>341539825.26999998</v>
      </c>
      <c r="BD3" s="189">
        <v>239959094.81999999</v>
      </c>
      <c r="BE3" s="189">
        <v>139220632.52000001</v>
      </c>
      <c r="BF3" s="189">
        <v>431399446.75999999</v>
      </c>
      <c r="BG3" s="189">
        <v>320044507.77999997</v>
      </c>
      <c r="BH3" s="189">
        <v>223803529.02000001</v>
      </c>
      <c r="BI3" s="189">
        <v>129758814.18000001</v>
      </c>
      <c r="BJ3" s="189">
        <v>509522146.31999999</v>
      </c>
      <c r="BK3" s="189">
        <v>382973373.33999997</v>
      </c>
      <c r="BL3" s="189">
        <v>269219432.54000002</v>
      </c>
      <c r="BM3" s="189">
        <v>154769319.83000001</v>
      </c>
      <c r="BN3" s="189">
        <v>527062706.30000001</v>
      </c>
      <c r="BO3" s="189">
        <v>418579972.02999997</v>
      </c>
      <c r="BP3" s="189">
        <v>299750814.39999998</v>
      </c>
      <c r="BQ3" s="189">
        <v>177977777.56999999</v>
      </c>
      <c r="BR3" s="189">
        <v>663361330.98000002</v>
      </c>
      <c r="BS3" s="189">
        <v>353079633.32999998</v>
      </c>
      <c r="BT3" s="189">
        <v>696955338.73000002</v>
      </c>
      <c r="BU3" s="189">
        <v>324344723.62</v>
      </c>
      <c r="BV3" s="189">
        <v>600366245.58000004</v>
      </c>
      <c r="BW3" s="189">
        <v>325165701.39999998</v>
      </c>
      <c r="BX3" s="189">
        <v>621125183.07000005</v>
      </c>
      <c r="BY3" s="189">
        <v>316185990.66000003</v>
      </c>
      <c r="BZ3" s="189">
        <v>611686321.15999997</v>
      </c>
      <c r="CA3" s="189">
        <v>349517821.69999999</v>
      </c>
      <c r="CB3" s="189">
        <v>619170846.67999995</v>
      </c>
      <c r="CC3" s="189">
        <v>334064206.04000002</v>
      </c>
      <c r="CD3" s="189">
        <v>552520461.17999995</v>
      </c>
      <c r="CE3" s="189">
        <v>0</v>
      </c>
    </row>
    <row r="4" spans="1:83">
      <c r="A4" s="189" t="s">
        <v>191</v>
      </c>
      <c r="B4" s="189">
        <v>1382513163.8900001</v>
      </c>
      <c r="C4" s="189">
        <v>1064337666.6900001</v>
      </c>
      <c r="D4" s="189">
        <v>731139998.38</v>
      </c>
      <c r="E4" s="189">
        <v>421474197.36000001</v>
      </c>
      <c r="F4" s="189">
        <v>1366363612.6199999</v>
      </c>
      <c r="G4" s="189">
        <v>1026037642.64</v>
      </c>
      <c r="H4" s="189">
        <v>698379557.87</v>
      </c>
      <c r="I4" s="189">
        <v>284244614.87</v>
      </c>
      <c r="J4" s="189">
        <v>1026535858.9299999</v>
      </c>
      <c r="K4" s="189">
        <v>766151820.29999995</v>
      </c>
      <c r="L4" s="189">
        <v>525882189.83999997</v>
      </c>
      <c r="M4" s="189">
        <v>295249656.20999998</v>
      </c>
      <c r="N4" s="189">
        <v>1120665180.8800001</v>
      </c>
      <c r="O4" s="189">
        <v>857530976.39999998</v>
      </c>
      <c r="P4" s="189">
        <v>593268789.13</v>
      </c>
      <c r="Q4" s="189">
        <v>335552584.61000001</v>
      </c>
      <c r="R4" s="189">
        <v>1214852555.8099999</v>
      </c>
      <c r="S4" s="189">
        <v>927620999.42999995</v>
      </c>
      <c r="T4" s="189">
        <v>630920696.25999999</v>
      </c>
      <c r="U4" s="189">
        <v>359411030.98000002</v>
      </c>
      <c r="V4" s="189">
        <v>1428005507.79</v>
      </c>
      <c r="W4" s="189">
        <v>1090244284</v>
      </c>
      <c r="X4" s="189">
        <v>753590720.29999995</v>
      </c>
      <c r="Y4" s="189">
        <v>407134157.54000002</v>
      </c>
      <c r="Z4" s="189">
        <v>1320057528.8499999</v>
      </c>
      <c r="AA4" s="189">
        <v>999698057.85000002</v>
      </c>
      <c r="AB4" s="189">
        <v>696223866.28999996</v>
      </c>
      <c r="AC4" s="189">
        <v>397167146.08999997</v>
      </c>
      <c r="AD4" s="189">
        <v>1188181022.1600001</v>
      </c>
      <c r="AE4" s="189">
        <v>881523761.17999995</v>
      </c>
      <c r="AF4" s="189">
        <v>619936758.73000002</v>
      </c>
      <c r="AG4" s="189">
        <v>360707870.79000002</v>
      </c>
      <c r="AH4" s="189">
        <v>920899447.85000002</v>
      </c>
      <c r="AI4" s="189">
        <v>652183381.96000004</v>
      </c>
      <c r="AJ4" s="189">
        <v>437443143.19</v>
      </c>
      <c r="AK4" s="189">
        <v>250700453.44</v>
      </c>
      <c r="AL4" s="189">
        <v>729118833.46000004</v>
      </c>
      <c r="AM4" s="189">
        <v>531954310.14999998</v>
      </c>
      <c r="AN4" s="189">
        <v>364490143.06999999</v>
      </c>
      <c r="AO4" s="189">
        <v>208744716.30000001</v>
      </c>
      <c r="AP4" s="189">
        <v>622896991.75999999</v>
      </c>
      <c r="AQ4" s="189">
        <v>458272083.85000002</v>
      </c>
      <c r="AR4" s="189">
        <v>312351104.93000001</v>
      </c>
      <c r="AS4" s="189">
        <v>187257445.02000001</v>
      </c>
      <c r="AT4" s="189">
        <v>547411619.92999995</v>
      </c>
      <c r="AU4" s="189">
        <v>398835936.57999998</v>
      </c>
      <c r="AV4" s="189">
        <v>271330509.35000002</v>
      </c>
      <c r="AW4" s="189">
        <v>152264846.55000001</v>
      </c>
      <c r="AX4" s="189">
        <v>450343864.37</v>
      </c>
      <c r="AY4" s="189">
        <v>331144512.04000002</v>
      </c>
      <c r="AZ4" s="189">
        <v>224380432.09</v>
      </c>
      <c r="BA4" s="189">
        <v>130299434.17</v>
      </c>
      <c r="BB4" s="189">
        <v>439515310.91000003</v>
      </c>
      <c r="BC4" s="189">
        <v>322811947.29000002</v>
      </c>
      <c r="BD4" s="189">
        <v>227255482.66</v>
      </c>
      <c r="BE4" s="189">
        <v>132693042.41</v>
      </c>
      <c r="BF4" s="189">
        <v>403756671.35000002</v>
      </c>
      <c r="BG4" s="189">
        <v>299944780.02999997</v>
      </c>
      <c r="BH4" s="189">
        <v>209668828.09999999</v>
      </c>
      <c r="BI4" s="189">
        <v>123795153.15000001</v>
      </c>
      <c r="BJ4" s="189">
        <v>479585510.57999998</v>
      </c>
      <c r="BK4" s="189">
        <v>364898704.38</v>
      </c>
      <c r="BL4" s="189">
        <v>257249053.94</v>
      </c>
      <c r="BM4" s="189">
        <v>149535383.96000001</v>
      </c>
      <c r="BN4" s="189">
        <v>507279280.06</v>
      </c>
      <c r="BO4" s="189">
        <v>406011008.52999997</v>
      </c>
      <c r="BP4" s="189">
        <v>292249245.88</v>
      </c>
      <c r="BQ4" s="189">
        <v>173938225.12</v>
      </c>
      <c r="BR4" s="189">
        <v>649680863.10000002</v>
      </c>
      <c r="BS4" s="189">
        <v>342143319.51999998</v>
      </c>
      <c r="BT4" s="189">
        <v>649870942.78999996</v>
      </c>
      <c r="BU4" s="189">
        <v>312370113.82999998</v>
      </c>
      <c r="BV4" s="189">
        <v>587005192.25999999</v>
      </c>
      <c r="BW4" s="189">
        <v>318639859.5</v>
      </c>
      <c r="BX4" s="189">
        <v>607433824.57000005</v>
      </c>
      <c r="BY4" s="189">
        <v>312160826.85000002</v>
      </c>
      <c r="BZ4" s="189">
        <v>602599165.12</v>
      </c>
      <c r="CA4" s="189">
        <v>345556667.12</v>
      </c>
      <c r="CB4" s="189">
        <v>612674307.19000006</v>
      </c>
      <c r="CC4" s="189">
        <v>334022343.13999999</v>
      </c>
      <c r="CD4" s="189">
        <v>552412855.38999999</v>
      </c>
      <c r="CE4" s="189">
        <v>0</v>
      </c>
    </row>
    <row r="5" spans="1:83">
      <c r="A5" s="189" t="s">
        <v>192</v>
      </c>
      <c r="B5" s="189">
        <v>1187015059.51</v>
      </c>
      <c r="C5" s="189">
        <v>918194691.16999996</v>
      </c>
      <c r="D5" s="189">
        <v>622801396.59000003</v>
      </c>
      <c r="E5" s="189">
        <v>340606673.33999997</v>
      </c>
      <c r="F5" s="189">
        <v>1165273415.6300001</v>
      </c>
      <c r="G5" s="189">
        <v>869870420.24000001</v>
      </c>
      <c r="H5" s="189">
        <v>584847595.42999995</v>
      </c>
      <c r="I5" s="189">
        <v>260883521.84999999</v>
      </c>
      <c r="J5" s="189">
        <v>939560628.44000006</v>
      </c>
      <c r="K5" s="189">
        <v>692326465.96000004</v>
      </c>
      <c r="L5" s="189">
        <v>472311417.26999998</v>
      </c>
      <c r="M5" s="189">
        <v>264309266.71000001</v>
      </c>
      <c r="N5" s="189">
        <v>1007351339.26</v>
      </c>
      <c r="O5" s="189">
        <v>758389901.82000005</v>
      </c>
      <c r="P5" s="189">
        <v>520362580.56999999</v>
      </c>
      <c r="Q5" s="189">
        <v>295274030.61000001</v>
      </c>
      <c r="R5" s="189">
        <v>1079891308.4400001</v>
      </c>
      <c r="S5" s="189">
        <v>818811768.00999999</v>
      </c>
      <c r="T5" s="189">
        <v>551987356.69000006</v>
      </c>
      <c r="U5" s="189">
        <v>314559754.77999997</v>
      </c>
      <c r="V5" s="189">
        <v>1288864750.5799999</v>
      </c>
      <c r="W5" s="189">
        <v>978305581.49000001</v>
      </c>
      <c r="X5" s="189">
        <v>671137240.34000003</v>
      </c>
      <c r="Y5" s="189">
        <v>357044339.89999998</v>
      </c>
      <c r="Z5" s="189">
        <v>1242936836.4200001</v>
      </c>
      <c r="AA5" s="189">
        <v>937774528.72000003</v>
      </c>
      <c r="AB5" s="189">
        <v>643605847.24000001</v>
      </c>
      <c r="AC5" s="189">
        <v>359250207.11000001</v>
      </c>
      <c r="AD5" s="189">
        <v>1119553924.1900001</v>
      </c>
      <c r="AE5" s="189">
        <v>824358704.78999996</v>
      </c>
      <c r="AF5" s="189">
        <v>577781325.30999994</v>
      </c>
      <c r="AG5" s="189">
        <v>331014535.54000002</v>
      </c>
      <c r="AH5" s="189">
        <v>865620469.77999997</v>
      </c>
      <c r="AI5" s="189">
        <v>610168548.87</v>
      </c>
      <c r="AJ5" s="189">
        <v>402891579.26999998</v>
      </c>
      <c r="AK5" s="189">
        <v>223615643.94999999</v>
      </c>
      <c r="AL5" s="189">
        <v>692246988.26999998</v>
      </c>
      <c r="AM5" s="189">
        <v>503588554.17000002</v>
      </c>
      <c r="AN5" s="189">
        <v>345617332.02999997</v>
      </c>
      <c r="AO5" s="189">
        <v>194791818.56</v>
      </c>
      <c r="AP5" s="189">
        <v>602184985.29999995</v>
      </c>
      <c r="AQ5" s="189">
        <v>447858934.79000002</v>
      </c>
      <c r="AR5" s="189">
        <v>305671720.33999997</v>
      </c>
      <c r="AS5" s="189">
        <v>181848315.43000001</v>
      </c>
      <c r="AT5" s="189">
        <v>519088067.04000002</v>
      </c>
      <c r="AU5" s="189">
        <v>381224948.73000002</v>
      </c>
      <c r="AV5" s="189">
        <v>262532386.09999999</v>
      </c>
      <c r="AW5" s="189">
        <v>147119095.62</v>
      </c>
      <c r="AX5" s="189">
        <v>445073378.27999997</v>
      </c>
      <c r="AY5" s="189">
        <v>328289662.52999997</v>
      </c>
      <c r="AZ5" s="189">
        <v>221927843.63999999</v>
      </c>
      <c r="BA5" s="189">
        <v>130181307.98999999</v>
      </c>
      <c r="BB5" s="189">
        <v>450820674.85000002</v>
      </c>
      <c r="BC5" s="189">
        <v>330035399.38999999</v>
      </c>
      <c r="BD5" s="189">
        <v>230213266.66</v>
      </c>
      <c r="BE5" s="189">
        <v>131944566.05</v>
      </c>
      <c r="BF5" s="189">
        <v>420228130.22000003</v>
      </c>
      <c r="BG5" s="189">
        <v>313371944.18000001</v>
      </c>
      <c r="BH5" s="189">
        <v>218250916.63</v>
      </c>
      <c r="BI5" s="189">
        <v>127195882.91</v>
      </c>
      <c r="BJ5" s="189">
        <v>540973567.25</v>
      </c>
      <c r="BK5" s="189">
        <v>413250788.43000001</v>
      </c>
      <c r="BL5" s="189">
        <v>286325893.39999998</v>
      </c>
      <c r="BM5" s="189">
        <v>161854781.25</v>
      </c>
      <c r="BN5" s="189">
        <v>583532320.71000004</v>
      </c>
      <c r="BO5" s="189">
        <v>437050878.61000001</v>
      </c>
      <c r="BP5" s="189">
        <v>307451323.38999999</v>
      </c>
      <c r="BQ5" s="189">
        <v>177575471.28999999</v>
      </c>
      <c r="BR5" s="189">
        <v>694721465.33000004</v>
      </c>
      <c r="BS5" s="189">
        <v>346421198.41000003</v>
      </c>
      <c r="BT5" s="189">
        <v>668697970.40999997</v>
      </c>
      <c r="BU5" s="189">
        <v>315922469.31999999</v>
      </c>
      <c r="BV5" s="189">
        <v>584700826.78999996</v>
      </c>
      <c r="BW5" s="189">
        <v>313147288.88999999</v>
      </c>
      <c r="BX5" s="189">
        <v>599841251.80999994</v>
      </c>
      <c r="BY5" s="189">
        <v>306431610.83999997</v>
      </c>
      <c r="BZ5" s="189">
        <v>578231567.40999997</v>
      </c>
      <c r="CA5" s="189">
        <v>331127809.62</v>
      </c>
      <c r="CB5" s="189">
        <v>588000047.05999994</v>
      </c>
      <c r="CC5" s="189">
        <v>320151055.13</v>
      </c>
      <c r="CD5" s="189">
        <v>522347519.86000001</v>
      </c>
      <c r="CE5" s="189">
        <v>0</v>
      </c>
    </row>
    <row r="6" spans="1:83">
      <c r="A6" s="189" t="s">
        <v>193</v>
      </c>
      <c r="B6" s="189">
        <v>899727803.66999996</v>
      </c>
      <c r="C6" s="189">
        <v>693678730.55999994</v>
      </c>
      <c r="D6" s="189">
        <v>473588853.88999999</v>
      </c>
      <c r="E6" s="189">
        <v>263688083.88999999</v>
      </c>
      <c r="F6" s="189">
        <v>900085415.95000005</v>
      </c>
      <c r="G6" s="189">
        <v>680910529.57000005</v>
      </c>
      <c r="H6" s="189">
        <v>461637531.44999999</v>
      </c>
      <c r="I6" s="189">
        <v>223631303.81</v>
      </c>
      <c r="J6" s="189">
        <v>772490154.46000004</v>
      </c>
      <c r="K6" s="189">
        <v>573439463.30999994</v>
      </c>
      <c r="L6" s="189">
        <v>394363248.07999998</v>
      </c>
      <c r="M6" s="189">
        <v>224168272.72999999</v>
      </c>
      <c r="N6" s="189">
        <v>844167795.64999998</v>
      </c>
      <c r="O6" s="189">
        <v>631605745.25</v>
      </c>
      <c r="P6" s="189">
        <v>438234823.49000001</v>
      </c>
      <c r="Q6" s="189">
        <v>250642805.96000001</v>
      </c>
      <c r="R6" s="189">
        <v>929336217.23000002</v>
      </c>
      <c r="S6" s="189">
        <v>693968455.54999995</v>
      </c>
      <c r="T6" s="189">
        <v>471604028.91000003</v>
      </c>
      <c r="U6" s="189">
        <v>271801418.05000001</v>
      </c>
      <c r="V6" s="189">
        <v>1119633795.79</v>
      </c>
      <c r="W6" s="189">
        <v>839204328.77999997</v>
      </c>
      <c r="X6" s="189">
        <v>580317509.42999995</v>
      </c>
      <c r="Y6" s="189">
        <v>312435103.45999998</v>
      </c>
      <c r="Z6" s="189">
        <v>1069338346.86</v>
      </c>
      <c r="AA6" s="189">
        <v>797821138.41999996</v>
      </c>
      <c r="AB6" s="189">
        <v>556927629.21000004</v>
      </c>
      <c r="AC6" s="189">
        <v>323352462.49000001</v>
      </c>
      <c r="AD6" s="189">
        <v>960325577.27999997</v>
      </c>
      <c r="AE6" s="189">
        <v>701202875.5</v>
      </c>
      <c r="AF6" s="189">
        <v>497118229.79000002</v>
      </c>
      <c r="AG6" s="189">
        <v>290174039.55000001</v>
      </c>
      <c r="AH6" s="189">
        <v>730427935.96000004</v>
      </c>
      <c r="AI6" s="189">
        <v>509425921.22000003</v>
      </c>
      <c r="AJ6" s="189">
        <v>343856277.77999997</v>
      </c>
      <c r="AK6" s="189">
        <v>195030198.22999999</v>
      </c>
      <c r="AL6" s="189">
        <v>570395109.64999998</v>
      </c>
      <c r="AM6" s="189">
        <v>412711422.69999999</v>
      </c>
      <c r="AN6" s="189">
        <v>283640792.91000003</v>
      </c>
      <c r="AO6" s="189">
        <v>162914977.18000001</v>
      </c>
      <c r="AP6" s="189">
        <v>473076544.41000003</v>
      </c>
      <c r="AQ6" s="189">
        <v>345463912.06999999</v>
      </c>
      <c r="AR6" s="189">
        <v>235488980.74000001</v>
      </c>
      <c r="AS6" s="189">
        <v>142727403.27000001</v>
      </c>
      <c r="AT6" s="189">
        <v>411588157.97000003</v>
      </c>
      <c r="AU6" s="189">
        <v>294666651.83999997</v>
      </c>
      <c r="AV6" s="189">
        <v>201837807.18000001</v>
      </c>
      <c r="AW6" s="189">
        <v>114234848.56999999</v>
      </c>
      <c r="AX6" s="189">
        <v>346565490.01999998</v>
      </c>
      <c r="AY6" s="189">
        <v>254753350.65000001</v>
      </c>
      <c r="AZ6" s="189">
        <v>172510142.87</v>
      </c>
      <c r="BA6" s="189">
        <v>100494315.39</v>
      </c>
      <c r="BB6" s="189">
        <v>338479924.23000002</v>
      </c>
      <c r="BC6" s="189">
        <v>246871437.91</v>
      </c>
      <c r="BD6" s="189">
        <v>174264210.16</v>
      </c>
      <c r="BE6" s="189">
        <v>102238954.23999999</v>
      </c>
      <c r="BF6" s="189">
        <v>312399287.14999998</v>
      </c>
      <c r="BG6" s="189">
        <v>229256420.13999999</v>
      </c>
      <c r="BH6" s="189">
        <v>159789254.65000001</v>
      </c>
      <c r="BI6" s="189">
        <v>95341748.280000001</v>
      </c>
      <c r="BJ6" s="189">
        <v>391635877.38999999</v>
      </c>
      <c r="BK6" s="189">
        <v>298646455.82999998</v>
      </c>
      <c r="BL6" s="189">
        <v>212376683.41999999</v>
      </c>
      <c r="BM6" s="189">
        <v>122759882.84999999</v>
      </c>
      <c r="BN6" s="189">
        <v>432871684.63</v>
      </c>
      <c r="BO6" s="189">
        <v>342824117.12</v>
      </c>
      <c r="BP6" s="189">
        <v>245805576.74000001</v>
      </c>
      <c r="BQ6" s="189">
        <v>146503334.08000001</v>
      </c>
      <c r="BR6" s="189">
        <v>546957779.86000001</v>
      </c>
      <c r="BS6" s="189">
        <v>282374903.05000001</v>
      </c>
      <c r="BT6" s="189">
        <v>542540850.66999996</v>
      </c>
      <c r="BU6" s="189">
        <v>257209472.91999999</v>
      </c>
      <c r="BV6" s="189">
        <v>478910059.79000002</v>
      </c>
      <c r="BW6" s="189">
        <v>258255305.94999999</v>
      </c>
      <c r="BX6" s="189">
        <v>490035966.43000001</v>
      </c>
      <c r="BY6" s="189">
        <v>251721971.47</v>
      </c>
      <c r="BZ6" s="189">
        <v>485235735.23000002</v>
      </c>
      <c r="CA6" s="189">
        <v>272066119.88999999</v>
      </c>
      <c r="CB6" s="189">
        <v>493733173.69999999</v>
      </c>
      <c r="CC6" s="189">
        <v>272228569.94999999</v>
      </c>
      <c r="CD6" s="189">
        <v>448944744.41000003</v>
      </c>
      <c r="CE6" s="189">
        <v>0</v>
      </c>
    </row>
    <row r="7" spans="1:83">
      <c r="A7" s="189" t="s">
        <v>194</v>
      </c>
      <c r="B7" s="189">
        <v>41001916.640000001</v>
      </c>
      <c r="C7" s="189">
        <v>33290978.93</v>
      </c>
      <c r="D7" s="189">
        <v>22754989.289999999</v>
      </c>
      <c r="E7" s="189">
        <v>12800345.52</v>
      </c>
      <c r="F7" s="189">
        <v>42430471.789999999</v>
      </c>
      <c r="G7" s="189">
        <v>31065916.550000001</v>
      </c>
      <c r="H7" s="189">
        <v>21073570</v>
      </c>
      <c r="I7" s="189">
        <v>5359330.1900000004</v>
      </c>
      <c r="J7" s="189">
        <v>23274484.359999999</v>
      </c>
      <c r="K7" s="189">
        <v>13966510.32</v>
      </c>
      <c r="L7" s="189">
        <v>9757861.6799999997</v>
      </c>
      <c r="M7" s="189">
        <v>6003046.9699999997</v>
      </c>
      <c r="N7" s="189">
        <v>23690317.800000001</v>
      </c>
      <c r="O7" s="189">
        <v>15130726.34</v>
      </c>
      <c r="P7" s="189">
        <v>9867909.3200000003</v>
      </c>
      <c r="Q7" s="189">
        <v>5982304.5700000003</v>
      </c>
      <c r="R7" s="189">
        <v>24030468.309999999</v>
      </c>
      <c r="S7" s="189">
        <v>15172450.869999999</v>
      </c>
      <c r="T7" s="189">
        <v>9890700.2300000004</v>
      </c>
      <c r="U7" s="189">
        <v>5825629.3600000003</v>
      </c>
      <c r="V7" s="189">
        <v>28780411.329999998</v>
      </c>
      <c r="W7" s="189">
        <v>19101053.68</v>
      </c>
      <c r="X7" s="189">
        <v>13461726.199999999</v>
      </c>
      <c r="Y7" s="189">
        <v>7730018.8200000003</v>
      </c>
      <c r="Z7" s="189">
        <v>17209678.609999999</v>
      </c>
      <c r="AA7" s="189">
        <v>13728246.52</v>
      </c>
      <c r="AB7" s="189">
        <v>9422596.2799999993</v>
      </c>
      <c r="AC7" s="189">
        <v>5781182.8799999999</v>
      </c>
      <c r="AD7" s="189">
        <v>15628811.550000001</v>
      </c>
      <c r="AE7" s="189">
        <v>11267320.65</v>
      </c>
      <c r="AF7" s="189">
        <v>7668773.9199999999</v>
      </c>
      <c r="AG7" s="189">
        <v>4902673.45</v>
      </c>
      <c r="AH7" s="189">
        <v>11789509.08</v>
      </c>
      <c r="AI7" s="189">
        <v>8842980.1199999992</v>
      </c>
      <c r="AJ7" s="189">
        <v>5332103.5599999996</v>
      </c>
      <c r="AK7" s="189">
        <v>3323646.91</v>
      </c>
      <c r="AL7" s="189">
        <v>9568690.1500000004</v>
      </c>
      <c r="AM7" s="189">
        <v>6292057.3399999999</v>
      </c>
      <c r="AN7" s="189">
        <v>4123443.17</v>
      </c>
      <c r="AO7" s="189">
        <v>3372966.09</v>
      </c>
      <c r="AP7" s="189">
        <v>7321368.1900000004</v>
      </c>
      <c r="AQ7" s="189">
        <v>5341172.1500000004</v>
      </c>
      <c r="AR7" s="189">
        <v>3476962.36</v>
      </c>
      <c r="AS7" s="189">
        <v>2331810.17</v>
      </c>
      <c r="AT7" s="189">
        <v>7195618.7400000002</v>
      </c>
      <c r="AU7" s="189">
        <v>5182119.78</v>
      </c>
      <c r="AV7" s="189">
        <v>2935967.03</v>
      </c>
      <c r="AW7" s="189">
        <v>2246471.7200000002</v>
      </c>
      <c r="AX7" s="189">
        <v>5199647.32</v>
      </c>
      <c r="AY7" s="189">
        <v>3416238.4</v>
      </c>
      <c r="AZ7" s="189">
        <v>2411258.54</v>
      </c>
      <c r="BA7" s="189">
        <v>1654427.2</v>
      </c>
      <c r="BB7" s="189">
        <v>5017851.07</v>
      </c>
      <c r="BC7" s="189">
        <v>3680631.68</v>
      </c>
      <c r="BD7" s="189">
        <v>2635277.88</v>
      </c>
      <c r="BE7" s="189">
        <v>1780795.38</v>
      </c>
      <c r="BF7" s="189">
        <v>5122455.41</v>
      </c>
      <c r="BG7" s="189">
        <v>3715857.07</v>
      </c>
      <c r="BH7" s="189">
        <v>2641771.5299999998</v>
      </c>
      <c r="BI7" s="189">
        <v>1657253.28</v>
      </c>
      <c r="BJ7" s="189">
        <v>3676415.45</v>
      </c>
      <c r="BK7" s="189">
        <v>3630970.25</v>
      </c>
      <c r="BL7" s="189">
        <v>2559888.2799999998</v>
      </c>
      <c r="BM7" s="189">
        <v>1780762.08</v>
      </c>
      <c r="BN7" s="189">
        <v>2056684.82</v>
      </c>
      <c r="BO7" s="189">
        <v>1689950.79</v>
      </c>
      <c r="BP7" s="189">
        <v>1203923.1000000001</v>
      </c>
      <c r="BQ7" s="189">
        <v>976227.38</v>
      </c>
      <c r="BR7" s="189">
        <v>2853226.08</v>
      </c>
      <c r="BS7" s="189">
        <v>1737263.51</v>
      </c>
      <c r="BT7" s="189">
        <v>3145794.63</v>
      </c>
      <c r="BU7" s="189">
        <v>2023049.19</v>
      </c>
      <c r="BV7" s="189">
        <v>3525065.01</v>
      </c>
      <c r="BW7" s="189">
        <v>1539293.9</v>
      </c>
      <c r="BX7" s="189">
        <v>3927924.23</v>
      </c>
      <c r="BY7" s="189">
        <v>2068186.48</v>
      </c>
      <c r="BZ7" s="189">
        <v>3867464.78</v>
      </c>
      <c r="CA7" s="189">
        <v>3369202.75</v>
      </c>
      <c r="CB7" s="189">
        <v>3675214.17</v>
      </c>
      <c r="CC7" s="189">
        <v>1800905.27</v>
      </c>
      <c r="CD7" s="189">
        <v>3852709.11</v>
      </c>
      <c r="CE7" s="189">
        <v>0</v>
      </c>
    </row>
    <row r="8" spans="1:83">
      <c r="A8" s="189" t="s">
        <v>195</v>
      </c>
      <c r="B8" s="189">
        <v>76594748.549999997</v>
      </c>
      <c r="C8" s="189">
        <v>57157465.799999997</v>
      </c>
      <c r="D8" s="189">
        <v>39805925.409999996</v>
      </c>
      <c r="E8" s="189">
        <v>20712567.129999999</v>
      </c>
      <c r="F8" s="189">
        <v>66215540.450000003</v>
      </c>
      <c r="G8" s="189">
        <v>46876708.009999998</v>
      </c>
      <c r="H8" s="189">
        <v>28011745.489999998</v>
      </c>
      <c r="I8" s="189">
        <v>13466612.890000001</v>
      </c>
      <c r="J8" s="189">
        <v>62280920.460000001</v>
      </c>
      <c r="K8" s="189">
        <v>46214565.479999997</v>
      </c>
      <c r="L8" s="189">
        <v>27667130.350000001</v>
      </c>
      <c r="M8" s="189">
        <v>15152146.310000001</v>
      </c>
      <c r="N8" s="189">
        <v>69624252.760000005</v>
      </c>
      <c r="O8" s="189">
        <v>45203222.68</v>
      </c>
      <c r="P8" s="189">
        <v>28914261.550000001</v>
      </c>
      <c r="Q8" s="189">
        <v>15950931.119999999</v>
      </c>
      <c r="R8" s="189">
        <v>64788190.049999997</v>
      </c>
      <c r="S8" s="189">
        <v>46098673.969999999</v>
      </c>
      <c r="T8" s="189">
        <v>30855687.890000001</v>
      </c>
      <c r="U8" s="189">
        <v>15652670.6</v>
      </c>
      <c r="V8" s="189">
        <v>63818107.130000003</v>
      </c>
      <c r="W8" s="189">
        <v>43853462.670000002</v>
      </c>
      <c r="X8" s="189">
        <v>31471773.140000001</v>
      </c>
      <c r="Y8" s="189">
        <v>15300488.310000001</v>
      </c>
      <c r="Z8" s="189">
        <v>63764480.609999999</v>
      </c>
      <c r="AA8" s="189">
        <v>59262646.899999999</v>
      </c>
      <c r="AB8" s="189">
        <v>38271496.469999999</v>
      </c>
      <c r="AC8" s="189">
        <v>14157406.01</v>
      </c>
      <c r="AD8" s="189">
        <v>60436077.719999999</v>
      </c>
      <c r="AE8" s="189">
        <v>50918055.979999997</v>
      </c>
      <c r="AF8" s="189">
        <v>31253539.079999998</v>
      </c>
      <c r="AG8" s="189">
        <v>14454602.42</v>
      </c>
      <c r="AH8" s="189">
        <v>47649311.75</v>
      </c>
      <c r="AI8" s="189">
        <v>34910986.399999999</v>
      </c>
      <c r="AJ8" s="189">
        <v>18536523.66</v>
      </c>
      <c r="AK8" s="189">
        <v>8911029.1199999992</v>
      </c>
      <c r="AL8" s="189">
        <v>37549245.609999999</v>
      </c>
      <c r="AM8" s="189">
        <v>26464347.43</v>
      </c>
      <c r="AN8" s="189">
        <v>16838749.199999999</v>
      </c>
      <c r="AO8" s="189">
        <v>8177405.1900000004</v>
      </c>
      <c r="AP8" s="189">
        <v>35359246.619999997</v>
      </c>
      <c r="AQ8" s="189">
        <v>29546380.510000002</v>
      </c>
      <c r="AR8" s="189">
        <v>20797279.23</v>
      </c>
      <c r="AS8" s="189">
        <v>11939247.130000001</v>
      </c>
      <c r="AT8" s="189">
        <v>31073852.68</v>
      </c>
      <c r="AU8" s="189">
        <v>25053798.379999999</v>
      </c>
      <c r="AV8" s="189">
        <v>18005819.629999999</v>
      </c>
      <c r="AW8" s="189">
        <v>10251461.49</v>
      </c>
      <c r="AX8" s="189">
        <v>29916910.109999999</v>
      </c>
      <c r="AY8" s="189">
        <v>21485750.23</v>
      </c>
      <c r="AZ8" s="189">
        <v>13240157.880000001</v>
      </c>
      <c r="BA8" s="189">
        <v>10697604.560000001</v>
      </c>
      <c r="BB8" s="189">
        <v>26039247.969999999</v>
      </c>
      <c r="BC8" s="189">
        <v>22378085.789999999</v>
      </c>
      <c r="BD8" s="189">
        <v>14863945.189999999</v>
      </c>
      <c r="BE8" s="189">
        <v>9278538.8300000001</v>
      </c>
      <c r="BF8" s="189">
        <v>29938251.079999998</v>
      </c>
      <c r="BG8" s="189">
        <v>22679586.149999999</v>
      </c>
      <c r="BH8" s="189">
        <v>16181960.119999999</v>
      </c>
      <c r="BI8" s="189">
        <v>9634115.9900000002</v>
      </c>
      <c r="BJ8" s="189">
        <v>47001736.799999997</v>
      </c>
      <c r="BK8" s="189">
        <v>37266133.659999996</v>
      </c>
      <c r="BL8" s="189">
        <v>24428900.989999998</v>
      </c>
      <c r="BM8" s="189">
        <v>13408942.65</v>
      </c>
      <c r="BN8" s="189">
        <v>47084408.280000001</v>
      </c>
      <c r="BO8" s="189">
        <v>32276098.66</v>
      </c>
      <c r="BP8" s="189">
        <v>20281494.329999998</v>
      </c>
      <c r="BQ8" s="189">
        <v>10327723.1</v>
      </c>
      <c r="BR8" s="189">
        <v>60853687.799999997</v>
      </c>
      <c r="BS8" s="189">
        <v>26685880.23</v>
      </c>
      <c r="BT8" s="189">
        <v>45546451.329999998</v>
      </c>
      <c r="BU8" s="189">
        <v>20960763.789999999</v>
      </c>
      <c r="BV8" s="189">
        <v>39169565.539999999</v>
      </c>
      <c r="BW8" s="189">
        <v>19546535.52</v>
      </c>
      <c r="BX8" s="189">
        <v>45565882.829999998</v>
      </c>
      <c r="BY8" s="189">
        <v>24806518.280000001</v>
      </c>
      <c r="BZ8" s="189">
        <v>40087400.369999997</v>
      </c>
      <c r="CA8" s="189">
        <v>26490963.030000001</v>
      </c>
      <c r="CB8" s="189">
        <v>44131970.909999996</v>
      </c>
      <c r="CC8" s="189">
        <v>23165179.219999999</v>
      </c>
      <c r="CD8" s="189">
        <v>37884747.57</v>
      </c>
      <c r="CE8" s="189">
        <v>0</v>
      </c>
    </row>
    <row r="9" spans="1:83">
      <c r="A9" s="189" t="s">
        <v>196</v>
      </c>
      <c r="B9" s="189">
        <v>108644118.04000001</v>
      </c>
      <c r="C9" s="189">
        <v>80572210.280000001</v>
      </c>
      <c r="D9" s="189">
        <v>50635248.219999999</v>
      </c>
      <c r="E9" s="189">
        <v>25612670.98</v>
      </c>
      <c r="F9" s="189">
        <v>84384128.180000007</v>
      </c>
      <c r="G9" s="189">
        <v>57346847.810000002</v>
      </c>
      <c r="H9" s="189">
        <v>37277852.420000002</v>
      </c>
      <c r="I9" s="189">
        <v>14555447.640000001</v>
      </c>
      <c r="J9" s="189">
        <v>64452068.909999996</v>
      </c>
      <c r="K9" s="189">
        <v>46223440.880000003</v>
      </c>
      <c r="L9" s="189">
        <v>31444374.699999999</v>
      </c>
      <c r="M9" s="189">
        <v>14148555.98</v>
      </c>
      <c r="N9" s="189">
        <v>61449303.18</v>
      </c>
      <c r="O9" s="189">
        <v>59754809.289999999</v>
      </c>
      <c r="P9" s="189">
        <v>41067936.109999999</v>
      </c>
      <c r="Q9" s="189">
        <v>20156981.18</v>
      </c>
      <c r="R9" s="189">
        <v>63743704.719999999</v>
      </c>
      <c r="S9" s="189">
        <v>65540424.539999999</v>
      </c>
      <c r="T9" s="189">
        <v>43172891.350000001</v>
      </c>
      <c r="U9" s="189">
        <v>21104175.649999999</v>
      </c>
      <c r="V9" s="189">
        <v>82951078.810000002</v>
      </c>
      <c r="W9" s="189">
        <v>78426694.709999993</v>
      </c>
      <c r="X9" s="189">
        <v>48526845.359999999</v>
      </c>
      <c r="Y9" s="189">
        <v>22526207.489999998</v>
      </c>
      <c r="Z9" s="189">
        <v>82963341.980000004</v>
      </c>
      <c r="AA9" s="189">
        <v>60323355.079999998</v>
      </c>
      <c r="AB9" s="189">
        <v>36991693.810000002</v>
      </c>
      <c r="AC9" s="189">
        <v>15188285.460000001</v>
      </c>
      <c r="AD9" s="189">
        <v>77159996.150000006</v>
      </c>
      <c r="AE9" s="189">
        <v>55905589.409999996</v>
      </c>
      <c r="AF9" s="189">
        <v>38209677.479999997</v>
      </c>
      <c r="AG9" s="189">
        <v>19261025.420000002</v>
      </c>
      <c r="AH9" s="189">
        <v>66374311.030000001</v>
      </c>
      <c r="AI9" s="189">
        <v>49817196.240000002</v>
      </c>
      <c r="AJ9" s="189">
        <v>31361864.68</v>
      </c>
      <c r="AK9" s="189">
        <v>13987802.75</v>
      </c>
      <c r="AL9" s="189">
        <v>58817686.049999997</v>
      </c>
      <c r="AM9" s="189">
        <v>45282549.439999998</v>
      </c>
      <c r="AN9" s="189">
        <v>31130407.079999998</v>
      </c>
      <c r="AO9" s="189">
        <v>15497103.26</v>
      </c>
      <c r="AP9" s="189">
        <v>59092367.289999999</v>
      </c>
      <c r="AQ9" s="189">
        <v>47169075.32</v>
      </c>
      <c r="AR9" s="189">
        <v>32011562</v>
      </c>
      <c r="AS9" s="189">
        <v>17011146.690000001</v>
      </c>
      <c r="AT9" s="189">
        <v>45952383.909999996</v>
      </c>
      <c r="AU9" s="189">
        <v>39037662.549999997</v>
      </c>
      <c r="AV9" s="189">
        <v>28468155.370000001</v>
      </c>
      <c r="AW9" s="189">
        <v>14850206.6</v>
      </c>
      <c r="AX9" s="189">
        <v>42803164.68</v>
      </c>
      <c r="AY9" s="189">
        <v>33142935.989999998</v>
      </c>
      <c r="AZ9" s="189">
        <v>23610816.350000001</v>
      </c>
      <c r="BA9" s="189">
        <v>12232547.9</v>
      </c>
      <c r="BB9" s="189">
        <v>60972431.299999997</v>
      </c>
      <c r="BC9" s="189">
        <v>42313573.93</v>
      </c>
      <c r="BD9" s="189">
        <v>27500901.300000001</v>
      </c>
      <c r="BE9" s="189">
        <v>13542487.130000001</v>
      </c>
      <c r="BF9" s="189">
        <v>48811133.219999999</v>
      </c>
      <c r="BG9" s="189">
        <v>39534278.719999999</v>
      </c>
      <c r="BH9" s="189">
        <v>27499425.07</v>
      </c>
      <c r="BI9" s="189">
        <v>14230238.140000001</v>
      </c>
      <c r="BJ9" s="189">
        <v>70523342.989999995</v>
      </c>
      <c r="BK9" s="189">
        <v>50737604.200000003</v>
      </c>
      <c r="BL9" s="189">
        <v>31771093.350000001</v>
      </c>
      <c r="BM9" s="189">
        <v>15123876.210000001</v>
      </c>
      <c r="BN9" s="189">
        <v>73257484.609999999</v>
      </c>
      <c r="BO9" s="189">
        <v>39435887.899999999</v>
      </c>
      <c r="BP9" s="189">
        <v>26357771.5</v>
      </c>
      <c r="BQ9" s="189">
        <v>12689598.439999999</v>
      </c>
      <c r="BR9" s="189">
        <v>55394007.729999997</v>
      </c>
      <c r="BS9" s="189">
        <v>22345575.27</v>
      </c>
      <c r="BT9" s="189">
        <v>51040446.840000004</v>
      </c>
      <c r="BU9" s="189">
        <v>22970148.93</v>
      </c>
      <c r="BV9" s="189">
        <v>43363937.810000002</v>
      </c>
      <c r="BW9" s="189">
        <v>21568347.190000001</v>
      </c>
      <c r="BX9" s="189">
        <v>35930573.810000002</v>
      </c>
      <c r="BY9" s="189">
        <v>16553940.880000001</v>
      </c>
      <c r="BZ9" s="189">
        <v>34373576.189999998</v>
      </c>
      <c r="CA9" s="189">
        <v>20225424.899999999</v>
      </c>
      <c r="CB9" s="189">
        <v>36344082.829999998</v>
      </c>
      <c r="CC9" s="189">
        <v>17172787.5</v>
      </c>
      <c r="CD9" s="189">
        <v>27213721.469999999</v>
      </c>
      <c r="CE9" s="189">
        <v>0</v>
      </c>
    </row>
    <row r="10" spans="1:83">
      <c r="A10" s="189" t="s">
        <v>197</v>
      </c>
      <c r="B10" s="189">
        <v>57381553.920000002</v>
      </c>
      <c r="C10" s="189">
        <v>53495305.600000001</v>
      </c>
      <c r="D10" s="189">
        <v>36016379.780000001</v>
      </c>
      <c r="E10" s="189">
        <v>17793005.82</v>
      </c>
      <c r="F10" s="189">
        <v>71405408.109999999</v>
      </c>
      <c r="G10" s="189">
        <v>54992668.07</v>
      </c>
      <c r="H10" s="189">
        <v>36627878.390000001</v>
      </c>
      <c r="I10" s="189">
        <v>3661899.64</v>
      </c>
      <c r="J10" s="189">
        <v>15272167.689999999</v>
      </c>
      <c r="K10" s="189">
        <v>12246412.49</v>
      </c>
      <c r="L10" s="189">
        <v>8842728.9800000004</v>
      </c>
      <c r="M10" s="189">
        <v>4837244.72</v>
      </c>
      <c r="N10" s="189">
        <v>6766191.8600000003</v>
      </c>
      <c r="O10" s="189">
        <v>6695398.2599999998</v>
      </c>
      <c r="P10" s="189">
        <v>2277650.1</v>
      </c>
      <c r="Q10" s="189">
        <v>2541007.7799999998</v>
      </c>
      <c r="R10" s="189">
        <v>-2798144.5</v>
      </c>
      <c r="S10" s="189">
        <v>-2470934.92</v>
      </c>
      <c r="T10" s="189">
        <v>-3535951.69</v>
      </c>
      <c r="U10" s="189">
        <v>175861.12</v>
      </c>
      <c r="V10" s="189">
        <v>-6316810.3099999996</v>
      </c>
      <c r="W10" s="189">
        <v>-2279958.35</v>
      </c>
      <c r="X10" s="189">
        <v>-2640613.79</v>
      </c>
      <c r="Y10" s="189">
        <v>-947478.18</v>
      </c>
      <c r="Z10" s="189">
        <v>3720930.58</v>
      </c>
      <c r="AA10" s="189">
        <v>3016662.69</v>
      </c>
      <c r="AB10" s="189">
        <v>1992431.47</v>
      </c>
      <c r="AC10" s="189">
        <v>649700.30000000005</v>
      </c>
      <c r="AD10" s="189">
        <v>5521010.8899999997</v>
      </c>
      <c r="AE10" s="189">
        <v>5064863.25</v>
      </c>
      <c r="AF10" s="189">
        <v>3531105.04</v>
      </c>
      <c r="AG10" s="189">
        <v>2222194.7000000002</v>
      </c>
      <c r="AH10" s="189">
        <v>9185948.9900000002</v>
      </c>
      <c r="AI10" s="189">
        <v>7148964.8899999997</v>
      </c>
      <c r="AJ10" s="189">
        <v>3804809.59</v>
      </c>
      <c r="AK10" s="189">
        <v>2362966.94</v>
      </c>
      <c r="AL10" s="189">
        <v>15716994.73</v>
      </c>
      <c r="AM10" s="189">
        <v>12838177.26</v>
      </c>
      <c r="AN10" s="189">
        <v>9883939.6699999999</v>
      </c>
      <c r="AO10" s="189">
        <v>4829366.84</v>
      </c>
      <c r="AP10" s="189">
        <v>26873512.890000001</v>
      </c>
      <c r="AQ10" s="189">
        <v>20338394.739999998</v>
      </c>
      <c r="AR10" s="189">
        <v>13896936.01</v>
      </c>
      <c r="AS10" s="189">
        <v>7838708.1699999999</v>
      </c>
      <c r="AT10" s="189">
        <v>23198276.48</v>
      </c>
      <c r="AU10" s="189">
        <v>17284716.18</v>
      </c>
      <c r="AV10" s="189">
        <v>11284636.890000001</v>
      </c>
      <c r="AW10" s="189">
        <v>5536107.2400000002</v>
      </c>
      <c r="AX10" s="189">
        <v>20588166.149999999</v>
      </c>
      <c r="AY10" s="189">
        <v>15491387.26</v>
      </c>
      <c r="AZ10" s="189">
        <v>10155468</v>
      </c>
      <c r="BA10" s="189">
        <v>5102412.9400000004</v>
      </c>
      <c r="BB10" s="189">
        <v>20311220.280000001</v>
      </c>
      <c r="BC10" s="189">
        <v>14791670.08</v>
      </c>
      <c r="BD10" s="189">
        <v>10948932.130000001</v>
      </c>
      <c r="BE10" s="189">
        <v>5103790.47</v>
      </c>
      <c r="BF10" s="189">
        <v>23957003.359999999</v>
      </c>
      <c r="BG10" s="189">
        <v>18185802.100000001</v>
      </c>
      <c r="BH10" s="189">
        <v>12138505.26</v>
      </c>
      <c r="BI10" s="189">
        <v>6332527.2199999997</v>
      </c>
      <c r="BJ10" s="189">
        <v>28136194.620000001</v>
      </c>
      <c r="BK10" s="189">
        <v>22969624.489999998</v>
      </c>
      <c r="BL10" s="189">
        <v>15189327.359999999</v>
      </c>
      <c r="BM10" s="189">
        <v>8781317.4600000009</v>
      </c>
      <c r="BN10" s="189">
        <v>28262058.370000001</v>
      </c>
      <c r="BO10" s="189">
        <v>20824824.140000001</v>
      </c>
      <c r="BP10" s="189">
        <v>13802557.720000001</v>
      </c>
      <c r="BQ10" s="189">
        <v>7078588.29</v>
      </c>
      <c r="BR10" s="189">
        <v>28662763.859999999</v>
      </c>
      <c r="BS10" s="189">
        <v>13277576.35</v>
      </c>
      <c r="BT10" s="189">
        <v>26518955.510000002</v>
      </c>
      <c r="BU10" s="189">
        <v>12759034.49</v>
      </c>
      <c r="BV10" s="189">
        <v>21672424.699999999</v>
      </c>
      <c r="BW10" s="189">
        <v>12237806.33</v>
      </c>
      <c r="BX10" s="189">
        <v>24380904.510000002</v>
      </c>
      <c r="BY10" s="189">
        <v>11280993.73</v>
      </c>
      <c r="BZ10" s="189">
        <v>14667390.84</v>
      </c>
      <c r="CA10" s="189">
        <v>8976099.0500000007</v>
      </c>
      <c r="CB10" s="189">
        <v>10115605.449999999</v>
      </c>
      <c r="CC10" s="189">
        <v>5783613.1900000004</v>
      </c>
      <c r="CD10" s="189">
        <v>4451597.3</v>
      </c>
      <c r="CE10" s="189">
        <v>0</v>
      </c>
    </row>
    <row r="11" spans="1:83">
      <c r="A11" s="189" t="s">
        <v>198</v>
      </c>
      <c r="B11" s="189">
        <v>3664918.69</v>
      </c>
      <c r="C11" s="189">
        <v>0</v>
      </c>
      <c r="D11" s="189">
        <v>0</v>
      </c>
      <c r="E11" s="189">
        <v>0</v>
      </c>
      <c r="F11" s="189">
        <v>752451.15</v>
      </c>
      <c r="G11" s="189">
        <v>-1322249.77</v>
      </c>
      <c r="H11" s="189">
        <v>219017.68</v>
      </c>
      <c r="I11" s="189">
        <v>208927.68</v>
      </c>
      <c r="J11" s="189">
        <v>1790832.56</v>
      </c>
      <c r="K11" s="189">
        <v>236073.48</v>
      </c>
      <c r="L11" s="189">
        <v>236073.48</v>
      </c>
      <c r="M11" s="189">
        <v>0</v>
      </c>
      <c r="N11" s="189">
        <v>1653478.01</v>
      </c>
      <c r="O11" s="189">
        <v>0</v>
      </c>
      <c r="P11" s="189">
        <v>0</v>
      </c>
      <c r="Q11" s="189">
        <v>0</v>
      </c>
      <c r="R11" s="189">
        <v>790872.63</v>
      </c>
      <c r="S11" s="189">
        <v>502698</v>
      </c>
      <c r="T11" s="189">
        <v>0</v>
      </c>
      <c r="U11" s="189">
        <v>0</v>
      </c>
      <c r="V11" s="189">
        <v>-1832.17</v>
      </c>
      <c r="W11" s="189">
        <v>0</v>
      </c>
      <c r="X11" s="189">
        <v>0</v>
      </c>
      <c r="Y11" s="189">
        <v>0</v>
      </c>
      <c r="Z11" s="189">
        <v>5940057.7800000003</v>
      </c>
      <c r="AA11" s="189">
        <v>3622479.11</v>
      </c>
      <c r="AB11" s="189">
        <v>0</v>
      </c>
      <c r="AC11" s="189">
        <v>121169.97</v>
      </c>
      <c r="AD11" s="189">
        <v>482450.6</v>
      </c>
      <c r="AE11" s="189">
        <v>0</v>
      </c>
      <c r="AF11" s="189">
        <v>0</v>
      </c>
      <c r="AG11" s="189">
        <v>0</v>
      </c>
      <c r="AH11" s="189">
        <v>193452.97</v>
      </c>
      <c r="AI11" s="189">
        <v>22500</v>
      </c>
      <c r="AJ11" s="189">
        <v>0</v>
      </c>
      <c r="AK11" s="189">
        <v>0</v>
      </c>
      <c r="AL11" s="189">
        <v>199262.07999999999</v>
      </c>
      <c r="AM11" s="189">
        <v>0</v>
      </c>
      <c r="AN11" s="189">
        <v>0</v>
      </c>
      <c r="AO11" s="189">
        <v>0</v>
      </c>
      <c r="AP11" s="189">
        <v>461945.9</v>
      </c>
      <c r="AQ11" s="189">
        <v>0</v>
      </c>
      <c r="AR11" s="189">
        <v>0</v>
      </c>
      <c r="AS11" s="189">
        <v>0</v>
      </c>
      <c r="AT11" s="189">
        <v>79777.259999999995</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-94528.57</v>
      </c>
      <c r="BU11" s="189">
        <v>0</v>
      </c>
      <c r="BV11" s="189">
        <v>-1940226.06</v>
      </c>
      <c r="BW11" s="189">
        <v>0</v>
      </c>
      <c r="BX11" s="189">
        <v>0</v>
      </c>
      <c r="BY11" s="189">
        <v>0</v>
      </c>
      <c r="BZ11" s="189">
        <v>0</v>
      </c>
      <c r="CA11" s="189">
        <v>0</v>
      </c>
      <c r="CB11" s="189">
        <v>0</v>
      </c>
      <c r="CC11" s="189">
        <v>0</v>
      </c>
      <c r="CD11" s="189">
        <v>0</v>
      </c>
      <c r="CE11" s="189">
        <v>0</v>
      </c>
    </row>
    <row r="12" spans="1:83">
      <c r="A12" s="189" t="s">
        <v>199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v>0</v>
      </c>
    </row>
    <row r="13" spans="1:83">
      <c r="A13" s="189" t="s">
        <v>200</v>
      </c>
      <c r="B13" s="189">
        <v>1846187716.4200001</v>
      </c>
      <c r="C13" s="189">
        <v>1450310211.1300001</v>
      </c>
      <c r="D13" s="189">
        <v>0</v>
      </c>
      <c r="E13" s="189">
        <v>0</v>
      </c>
      <c r="F13" s="189">
        <v>0</v>
      </c>
      <c r="G13" s="189">
        <v>0</v>
      </c>
      <c r="H13" s="189">
        <v>0</v>
      </c>
      <c r="I13" s="189">
        <v>0</v>
      </c>
      <c r="J13" s="189">
        <v>0</v>
      </c>
      <c r="K13" s="189">
        <v>0</v>
      </c>
      <c r="L13" s="189">
        <v>0</v>
      </c>
      <c r="M13" s="189">
        <v>0</v>
      </c>
      <c r="N13" s="189">
        <v>955750</v>
      </c>
      <c r="O13" s="189">
        <v>955750</v>
      </c>
      <c r="P13" s="189">
        <v>0</v>
      </c>
      <c r="Q13" s="189">
        <v>0</v>
      </c>
      <c r="R13" s="189">
        <v>4829200</v>
      </c>
      <c r="S13" s="189">
        <v>4829200</v>
      </c>
      <c r="T13" s="189">
        <v>0</v>
      </c>
      <c r="U13" s="189">
        <v>0</v>
      </c>
      <c r="V13" s="189">
        <v>625000</v>
      </c>
      <c r="W13" s="189">
        <v>625000</v>
      </c>
      <c r="X13" s="189">
        <v>0</v>
      </c>
      <c r="Y13" s="189">
        <v>0</v>
      </c>
      <c r="Z13" s="189">
        <v>3750000</v>
      </c>
      <c r="AA13" s="189">
        <v>3750000</v>
      </c>
      <c r="AB13" s="189">
        <v>0</v>
      </c>
      <c r="AC13" s="189">
        <v>0</v>
      </c>
      <c r="AD13" s="189">
        <v>0</v>
      </c>
      <c r="AE13" s="189">
        <v>0</v>
      </c>
      <c r="AF13" s="189">
        <v>0</v>
      </c>
      <c r="AG13" s="189">
        <v>0</v>
      </c>
      <c r="AH13" s="189">
        <v>5367333.3499999996</v>
      </c>
      <c r="AI13" s="189">
        <v>5367333.3499999996</v>
      </c>
      <c r="AJ13" s="189">
        <v>5108833.7</v>
      </c>
      <c r="AK13" s="189">
        <v>1364388.6</v>
      </c>
      <c r="AL13" s="189">
        <v>-257351.65</v>
      </c>
      <c r="AM13" s="189">
        <v>1436815.75</v>
      </c>
      <c r="AN13" s="189">
        <v>603902.77</v>
      </c>
      <c r="AO13" s="189">
        <v>-978148.56</v>
      </c>
      <c r="AP13" s="189">
        <v>14236997.41</v>
      </c>
      <c r="AQ13" s="189">
        <v>15021905.439999999</v>
      </c>
      <c r="AR13" s="189">
        <v>15597802.74</v>
      </c>
      <c r="AS13" s="189">
        <v>14129967.779999999</v>
      </c>
      <c r="AT13" s="189">
        <v>6078444.2599999998</v>
      </c>
      <c r="AU13" s="189">
        <v>1987541.73</v>
      </c>
      <c r="AV13" s="189">
        <v>1082858.17</v>
      </c>
      <c r="AW13" s="189">
        <v>-1383627.67</v>
      </c>
      <c r="AX13" s="189">
        <v>2473905.91</v>
      </c>
      <c r="AY13" s="189">
        <v>61418.26</v>
      </c>
      <c r="AZ13" s="189">
        <v>380039.99</v>
      </c>
      <c r="BA13" s="189">
        <v>-1546402.37</v>
      </c>
      <c r="BB13" s="189">
        <v>-811144.49</v>
      </c>
      <c r="BC13" s="189">
        <v>-706478.82</v>
      </c>
      <c r="BD13" s="189">
        <v>-440429.37</v>
      </c>
      <c r="BE13" s="189">
        <v>-1247584.1100000001</v>
      </c>
      <c r="BF13" s="189">
        <v>-3075827.53</v>
      </c>
      <c r="BG13" s="189">
        <v>-261312.94</v>
      </c>
      <c r="BH13" s="189">
        <v>173901.5</v>
      </c>
      <c r="BI13" s="189">
        <v>135884.13</v>
      </c>
      <c r="BJ13" s="189">
        <v>1126588.4099999999</v>
      </c>
      <c r="BK13" s="189">
        <v>885635.35</v>
      </c>
      <c r="BL13" s="189">
        <v>870605.37</v>
      </c>
      <c r="BM13" s="189">
        <v>542065.75</v>
      </c>
      <c r="BN13" s="189">
        <v>-17215676.059999999</v>
      </c>
      <c r="BO13" s="189">
        <v>-9031138.9000000004</v>
      </c>
      <c r="BP13" s="189">
        <v>-2297328.16</v>
      </c>
      <c r="BQ13" s="189">
        <v>-447559.93</v>
      </c>
      <c r="BR13" s="189">
        <v>-7253243.5800000001</v>
      </c>
      <c r="BS13" s="189">
        <v>0</v>
      </c>
      <c r="BT13" s="189">
        <v>3919490.34</v>
      </c>
      <c r="BU13" s="189">
        <v>3000000</v>
      </c>
      <c r="BV13" s="189">
        <v>-3250510.98</v>
      </c>
      <c r="BW13" s="189">
        <v>0</v>
      </c>
      <c r="BX13" s="189">
        <v>-2745614.49</v>
      </c>
      <c r="BY13" s="189">
        <v>0</v>
      </c>
      <c r="BZ13" s="189">
        <v>1075817.82</v>
      </c>
      <c r="CA13" s="189">
        <v>40000</v>
      </c>
      <c r="CB13" s="189">
        <v>-27004.75</v>
      </c>
      <c r="CC13" s="189">
        <v>-113064.75</v>
      </c>
      <c r="CD13" s="189">
        <v>-621426.89</v>
      </c>
      <c r="CE13" s="189">
        <v>0</v>
      </c>
    </row>
    <row r="14" spans="1:83">
      <c r="A14" s="189" t="s">
        <v>201</v>
      </c>
      <c r="B14" s="189">
        <v>0</v>
      </c>
      <c r="C14" s="189">
        <v>0</v>
      </c>
      <c r="D14" s="189">
        <v>0</v>
      </c>
      <c r="E14" s="189">
        <v>0</v>
      </c>
      <c r="F14" s="189">
        <v>0</v>
      </c>
      <c r="G14" s="189">
        <v>0</v>
      </c>
      <c r="H14" s="189">
        <v>0</v>
      </c>
      <c r="I14" s="189">
        <v>0</v>
      </c>
      <c r="J14" s="189">
        <v>0</v>
      </c>
      <c r="K14" s="189">
        <v>0</v>
      </c>
      <c r="L14" s="189">
        <v>0</v>
      </c>
      <c r="M14" s="189">
        <v>0</v>
      </c>
      <c r="N14" s="189">
        <v>0</v>
      </c>
      <c r="O14" s="189">
        <v>0</v>
      </c>
      <c r="P14" s="189">
        <v>0</v>
      </c>
      <c r="Q14" s="189">
        <v>0</v>
      </c>
      <c r="R14" s="189">
        <v>0</v>
      </c>
      <c r="S14" s="189">
        <v>0</v>
      </c>
      <c r="T14" s="189">
        <v>0</v>
      </c>
      <c r="U14" s="189">
        <v>0</v>
      </c>
      <c r="V14" s="189">
        <v>0</v>
      </c>
      <c r="W14" s="189">
        <v>0</v>
      </c>
      <c r="X14" s="189">
        <v>0</v>
      </c>
      <c r="Y14" s="189">
        <v>0</v>
      </c>
      <c r="Z14" s="189">
        <v>0</v>
      </c>
      <c r="AA14" s="189">
        <v>0</v>
      </c>
      <c r="AB14" s="189">
        <v>0</v>
      </c>
      <c r="AC14" s="189">
        <v>0</v>
      </c>
      <c r="AD14" s="189">
        <v>0</v>
      </c>
      <c r="AE14" s="189">
        <v>0</v>
      </c>
      <c r="AF14" s="189">
        <v>0</v>
      </c>
      <c r="AG14" s="189">
        <v>0</v>
      </c>
      <c r="AH14" s="189">
        <v>5367333.3499999996</v>
      </c>
      <c r="AI14" s="189">
        <v>5367333.3499999996</v>
      </c>
      <c r="AJ14" s="189">
        <v>0</v>
      </c>
      <c r="AK14" s="189">
        <v>1364388.6</v>
      </c>
      <c r="AL14" s="189">
        <v>-257351.65</v>
      </c>
      <c r="AM14" s="189">
        <v>1436815.75</v>
      </c>
      <c r="AN14" s="189">
        <v>603902.77</v>
      </c>
      <c r="AO14" s="189">
        <v>0</v>
      </c>
      <c r="AP14" s="189">
        <v>14236997.41</v>
      </c>
      <c r="AQ14" s="189">
        <v>0</v>
      </c>
      <c r="AR14" s="189">
        <v>0</v>
      </c>
      <c r="AS14" s="189">
        <v>14129967.779999999</v>
      </c>
      <c r="AT14" s="189">
        <v>5037313.24</v>
      </c>
      <c r="AU14" s="189">
        <v>0</v>
      </c>
      <c r="AV14" s="189">
        <v>0</v>
      </c>
      <c r="AW14" s="189">
        <v>-1383627.67</v>
      </c>
      <c r="AX14" s="189">
        <v>0</v>
      </c>
      <c r="AY14" s="189">
        <v>0</v>
      </c>
      <c r="AZ14" s="189">
        <v>0</v>
      </c>
      <c r="BA14" s="189">
        <v>0</v>
      </c>
      <c r="BB14" s="189">
        <v>0</v>
      </c>
      <c r="BC14" s="189">
        <v>0</v>
      </c>
      <c r="BD14" s="189">
        <v>0</v>
      </c>
      <c r="BE14" s="189">
        <v>0</v>
      </c>
      <c r="BF14" s="189">
        <v>0</v>
      </c>
      <c r="BG14" s="189">
        <v>0</v>
      </c>
      <c r="BH14" s="189">
        <v>0</v>
      </c>
      <c r="BI14" s="189">
        <v>0</v>
      </c>
      <c r="BJ14" s="189">
        <v>0</v>
      </c>
      <c r="BK14" s="189">
        <v>0</v>
      </c>
      <c r="BL14" s="189">
        <v>0</v>
      </c>
      <c r="BM14" s="189">
        <v>0</v>
      </c>
      <c r="BN14" s="189">
        <v>0</v>
      </c>
      <c r="BO14" s="189">
        <v>0</v>
      </c>
      <c r="BP14" s="189">
        <v>0</v>
      </c>
      <c r="BQ14" s="189">
        <v>0</v>
      </c>
      <c r="BR14" s="189">
        <v>0</v>
      </c>
      <c r="BS14" s="189">
        <v>0</v>
      </c>
      <c r="BT14" s="189">
        <v>0</v>
      </c>
      <c r="BU14" s="189">
        <v>0</v>
      </c>
      <c r="BV14" s="189">
        <v>0</v>
      </c>
      <c r="BW14" s="189">
        <v>0</v>
      </c>
      <c r="BX14" s="189">
        <v>0</v>
      </c>
      <c r="BY14" s="189">
        <v>0</v>
      </c>
      <c r="BZ14" s="189">
        <v>0</v>
      </c>
      <c r="CA14" s="189">
        <v>0</v>
      </c>
      <c r="CB14" s="189">
        <v>0</v>
      </c>
      <c r="CC14" s="189">
        <v>0</v>
      </c>
      <c r="CD14" s="189">
        <v>0</v>
      </c>
      <c r="CE14" s="189">
        <v>0</v>
      </c>
    </row>
    <row r="15" spans="1:83">
      <c r="A15" s="189" t="s">
        <v>202</v>
      </c>
      <c r="B15" s="189">
        <v>0</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c r="BX15" s="189">
        <v>0</v>
      </c>
      <c r="BY15" s="189">
        <v>0</v>
      </c>
      <c r="BZ15" s="189">
        <v>0</v>
      </c>
      <c r="CA15" s="189">
        <v>0</v>
      </c>
      <c r="CB15" s="189">
        <v>0</v>
      </c>
      <c r="CC15" s="189">
        <v>0</v>
      </c>
      <c r="CD15" s="189">
        <v>0</v>
      </c>
      <c r="CE15" s="189">
        <v>0</v>
      </c>
    </row>
    <row r="16" spans="1:83">
      <c r="A16" s="189" t="s">
        <v>203</v>
      </c>
      <c r="B16" s="189">
        <v>2040504399.0599999</v>
      </c>
      <c r="C16" s="189">
        <v>1594450328.1700001</v>
      </c>
      <c r="D16" s="189">
        <v>106336299.43000001</v>
      </c>
      <c r="E16" s="189">
        <v>80867524.019999996</v>
      </c>
      <c r="F16" s="189">
        <v>202011399.49000001</v>
      </c>
      <c r="G16" s="189">
        <v>156167222.40000001</v>
      </c>
      <c r="H16" s="189">
        <v>113531962.44</v>
      </c>
      <c r="I16" s="189">
        <v>23361093.02</v>
      </c>
      <c r="J16" s="189">
        <v>86975230.489999995</v>
      </c>
      <c r="K16" s="189">
        <v>73825354.340000004</v>
      </c>
      <c r="L16" s="189">
        <v>53570772.57</v>
      </c>
      <c r="M16" s="189">
        <v>30940389.5</v>
      </c>
      <c r="N16" s="189">
        <v>114269591.62</v>
      </c>
      <c r="O16" s="189">
        <v>100096824.58</v>
      </c>
      <c r="P16" s="189">
        <v>72906208.560000002</v>
      </c>
      <c r="Q16" s="189">
        <v>40278554</v>
      </c>
      <c r="R16" s="189">
        <v>139790447.37</v>
      </c>
      <c r="S16" s="189">
        <v>113638431.42</v>
      </c>
      <c r="T16" s="189">
        <v>78933339.569999993</v>
      </c>
      <c r="U16" s="189">
        <v>44851276.200000003</v>
      </c>
      <c r="V16" s="189">
        <v>139765757.21000001</v>
      </c>
      <c r="W16" s="189">
        <v>112563702.51000001</v>
      </c>
      <c r="X16" s="189">
        <v>82453479.959999993</v>
      </c>
      <c r="Y16" s="189">
        <v>50089817.640000001</v>
      </c>
      <c r="Z16" s="189">
        <v>80870692.430000007</v>
      </c>
      <c r="AA16" s="189">
        <v>59254559.469999999</v>
      </c>
      <c r="AB16" s="189">
        <v>52618019.049999997</v>
      </c>
      <c r="AC16" s="189">
        <v>37916938.979999997</v>
      </c>
      <c r="AD16" s="189">
        <v>68627097.969999999</v>
      </c>
      <c r="AE16" s="189">
        <v>57165056.390000001</v>
      </c>
      <c r="AF16" s="189">
        <v>42155433.420000002</v>
      </c>
      <c r="AG16" s="189">
        <v>29693335.25</v>
      </c>
      <c r="AH16" s="189">
        <v>60646311.420000002</v>
      </c>
      <c r="AI16" s="189">
        <v>47382166.439999998</v>
      </c>
      <c r="AJ16" s="189">
        <v>39660397.619999997</v>
      </c>
      <c r="AK16" s="189">
        <v>28449198.09</v>
      </c>
      <c r="AL16" s="189">
        <v>36614493.539999999</v>
      </c>
      <c r="AM16" s="189">
        <v>29802571.73</v>
      </c>
      <c r="AN16" s="189">
        <v>19476713.809999999</v>
      </c>
      <c r="AO16" s="189">
        <v>12974749.18</v>
      </c>
      <c r="AP16" s="189">
        <v>34949003.869999997</v>
      </c>
      <c r="AQ16" s="189">
        <v>25435054.5</v>
      </c>
      <c r="AR16" s="189">
        <v>22277187.329999998</v>
      </c>
      <c r="AS16" s="189">
        <v>19539097.370000001</v>
      </c>
      <c r="AT16" s="189">
        <v>34401997.149999999</v>
      </c>
      <c r="AU16" s="189">
        <v>19598529.579999998</v>
      </c>
      <c r="AV16" s="189">
        <v>9880981.4199999999</v>
      </c>
      <c r="AW16" s="189">
        <v>3762123.26</v>
      </c>
      <c r="AX16" s="189">
        <v>32127251.649999999</v>
      </c>
      <c r="AY16" s="189">
        <v>20648746.609999999</v>
      </c>
      <c r="AZ16" s="189">
        <v>13710400.859999999</v>
      </c>
      <c r="BA16" s="189">
        <v>3577415.9</v>
      </c>
      <c r="BB16" s="189">
        <v>12219492.810000001</v>
      </c>
      <c r="BC16" s="189">
        <v>10797947.060000001</v>
      </c>
      <c r="BD16" s="189">
        <v>9305398.7899999991</v>
      </c>
      <c r="BE16" s="189">
        <v>6028482.3600000003</v>
      </c>
      <c r="BF16" s="189">
        <v>9948962.2400000002</v>
      </c>
      <c r="BG16" s="189">
        <v>6411250.6600000001</v>
      </c>
      <c r="BH16" s="189">
        <v>5726513.8899999997</v>
      </c>
      <c r="BI16" s="189">
        <v>2698815.4</v>
      </c>
      <c r="BJ16" s="189">
        <v>2675167.48</v>
      </c>
      <c r="BK16" s="189">
        <v>-28950515.899999999</v>
      </c>
      <c r="BL16" s="189">
        <v>-16186937.939999999</v>
      </c>
      <c r="BM16" s="189">
        <v>-6543395.6699999999</v>
      </c>
      <c r="BN16" s="189">
        <v>-63685290.469999999</v>
      </c>
      <c r="BO16" s="189">
        <v>-27502045.48</v>
      </c>
      <c r="BP16" s="189">
        <v>-9997837.1500000004</v>
      </c>
      <c r="BQ16" s="189">
        <v>-45253.65</v>
      </c>
      <c r="BR16" s="189">
        <v>-38454249.93</v>
      </c>
      <c r="BS16" s="189">
        <v>6658434.9199999999</v>
      </c>
      <c r="BT16" s="189">
        <v>36482330.090000004</v>
      </c>
      <c r="BU16" s="189">
        <v>11422254.300000001</v>
      </c>
      <c r="BV16" s="189">
        <v>24404313.059999999</v>
      </c>
      <c r="BW16" s="189">
        <v>12018412.51</v>
      </c>
      <c r="BX16" s="189">
        <v>28320534.539999999</v>
      </c>
      <c r="BY16" s="189">
        <v>13754379.82</v>
      </c>
      <c r="BZ16" s="189">
        <v>34229079.600000001</v>
      </c>
      <c r="CA16" s="189">
        <v>18430012.079999998</v>
      </c>
      <c r="CB16" s="189">
        <v>31143794.870000001</v>
      </c>
      <c r="CC16" s="189">
        <v>13800086.16</v>
      </c>
      <c r="CD16" s="189">
        <v>29551514.43</v>
      </c>
      <c r="CE16" s="189">
        <v>0</v>
      </c>
    </row>
    <row r="17" spans="1:83">
      <c r="A17" s="189" t="s">
        <v>204</v>
      </c>
      <c r="B17" s="189">
        <v>3787913.75</v>
      </c>
      <c r="C17" s="189">
        <v>2634612.5699999998</v>
      </c>
      <c r="D17" s="189">
        <v>133131.94</v>
      </c>
      <c r="E17" s="189">
        <v>56765.41</v>
      </c>
      <c r="F17" s="189">
        <v>1055616.3799999999</v>
      </c>
      <c r="G17" s="189">
        <v>1547561.84</v>
      </c>
      <c r="H17" s="189">
        <v>1325270.76</v>
      </c>
      <c r="I17" s="189">
        <v>41342.620000000003</v>
      </c>
      <c r="J17" s="189">
        <v>2483023.9700000002</v>
      </c>
      <c r="K17" s="189">
        <v>846974.7</v>
      </c>
      <c r="L17" s="189">
        <v>740833.25</v>
      </c>
      <c r="M17" s="189">
        <v>1098413.5</v>
      </c>
      <c r="N17" s="189">
        <v>1939408.8</v>
      </c>
      <c r="O17" s="189">
        <v>2148419.9900000002</v>
      </c>
      <c r="P17" s="189">
        <v>559491.67000000004</v>
      </c>
      <c r="Q17" s="189">
        <v>439704.63</v>
      </c>
      <c r="R17" s="189">
        <v>2021516.93</v>
      </c>
      <c r="S17" s="189">
        <v>1790916.24</v>
      </c>
      <c r="T17" s="189">
        <v>187273.85</v>
      </c>
      <c r="U17" s="189">
        <v>145080.79999999999</v>
      </c>
      <c r="V17" s="189">
        <v>1696603.4</v>
      </c>
      <c r="W17" s="189">
        <v>836745.76</v>
      </c>
      <c r="X17" s="189">
        <v>364902.79</v>
      </c>
      <c r="Y17" s="189">
        <v>279695.35999999999</v>
      </c>
      <c r="Z17" s="189">
        <v>1540301</v>
      </c>
      <c r="AA17" s="189">
        <v>911969.87</v>
      </c>
      <c r="AB17" s="189">
        <v>621445.39</v>
      </c>
      <c r="AC17" s="189">
        <v>41435.53</v>
      </c>
      <c r="AD17" s="189">
        <v>1072289.83</v>
      </c>
      <c r="AE17" s="189">
        <v>141711.29999999999</v>
      </c>
      <c r="AF17" s="189">
        <v>19015.7</v>
      </c>
      <c r="AG17" s="189">
        <v>7003.4</v>
      </c>
      <c r="AH17" s="189">
        <v>631953.67000000004</v>
      </c>
      <c r="AI17" s="189">
        <v>85744.15</v>
      </c>
      <c r="AJ17" s="189">
        <v>48035.65</v>
      </c>
      <c r="AK17" s="189">
        <v>37007.75</v>
      </c>
      <c r="AL17" s="189">
        <v>423087.88</v>
      </c>
      <c r="AM17" s="189">
        <v>475185.88</v>
      </c>
      <c r="AN17" s="189">
        <v>203216.83</v>
      </c>
      <c r="AO17" s="189">
        <v>77715.94</v>
      </c>
      <c r="AP17" s="189">
        <v>913996.44</v>
      </c>
      <c r="AQ17" s="189">
        <v>615658.17000000004</v>
      </c>
      <c r="AR17" s="189">
        <v>487799.61</v>
      </c>
      <c r="AS17" s="189">
        <v>198784.54</v>
      </c>
      <c r="AT17" s="189">
        <v>1066435.8</v>
      </c>
      <c r="AU17" s="189">
        <v>227931.01</v>
      </c>
      <c r="AV17" s="189">
        <v>113602.78</v>
      </c>
      <c r="AW17" s="189">
        <v>47026.9</v>
      </c>
      <c r="AX17" s="189">
        <v>4772713.9400000004</v>
      </c>
      <c r="AY17" s="189">
        <v>8107243.2199999997</v>
      </c>
      <c r="AZ17" s="189">
        <v>7972000.6200000001</v>
      </c>
      <c r="BA17" s="189">
        <v>33593.5</v>
      </c>
      <c r="BB17" s="189">
        <v>311151.88</v>
      </c>
      <c r="BC17" s="189">
        <v>181966.37</v>
      </c>
      <c r="BD17" s="189">
        <v>145654.78</v>
      </c>
      <c r="BE17" s="189">
        <v>39214.300000000003</v>
      </c>
      <c r="BF17" s="189">
        <v>1890346.19</v>
      </c>
      <c r="BG17" s="189">
        <v>206499.64</v>
      </c>
      <c r="BH17" s="189">
        <v>234827.19</v>
      </c>
      <c r="BI17" s="189">
        <v>225177.26</v>
      </c>
      <c r="BJ17" s="189">
        <v>2284476.62</v>
      </c>
      <c r="BK17" s="189">
        <v>1425415.01</v>
      </c>
      <c r="BL17" s="189">
        <v>1383751.73</v>
      </c>
      <c r="BM17" s="189">
        <v>1204888.71</v>
      </c>
      <c r="BN17" s="189">
        <v>409386.85</v>
      </c>
      <c r="BO17" s="189">
        <v>108217.7</v>
      </c>
      <c r="BP17" s="189">
        <v>157374.65</v>
      </c>
      <c r="BQ17" s="189">
        <v>157374.65</v>
      </c>
      <c r="BR17" s="189">
        <v>137676.76999999999</v>
      </c>
      <c r="BS17" s="189">
        <v>1053076.1299999999</v>
      </c>
      <c r="BT17" s="189">
        <v>20462921.350000001</v>
      </c>
      <c r="BU17" s="189">
        <v>1050785.3700000001</v>
      </c>
      <c r="BV17" s="189">
        <v>1674273.66</v>
      </c>
      <c r="BW17" s="189">
        <v>353948.14</v>
      </c>
      <c r="BX17" s="189">
        <v>993979.68</v>
      </c>
      <c r="BY17" s="189">
        <v>522833.56</v>
      </c>
      <c r="BZ17" s="189">
        <v>1881657.26</v>
      </c>
      <c r="CA17" s="189">
        <v>262815.59999999998</v>
      </c>
      <c r="CB17" s="189">
        <v>967752.01</v>
      </c>
      <c r="CC17" s="189">
        <v>2811904.88</v>
      </c>
      <c r="CD17" s="189">
        <v>1695859.89</v>
      </c>
      <c r="CE17" s="189">
        <v>0</v>
      </c>
    </row>
    <row r="18" spans="1:83">
      <c r="A18" s="189" t="s">
        <v>205</v>
      </c>
      <c r="B18" s="189">
        <v>7602536.0099999998</v>
      </c>
      <c r="C18" s="189">
        <v>4754573.82</v>
      </c>
      <c r="D18" s="189">
        <v>823478.38</v>
      </c>
      <c r="E18" s="189">
        <v>40162.120000000003</v>
      </c>
      <c r="F18" s="189">
        <v>5589162.4699999997</v>
      </c>
      <c r="G18" s="189">
        <v>2313129.15</v>
      </c>
      <c r="H18" s="189">
        <v>385823.34</v>
      </c>
      <c r="I18" s="189">
        <v>153400</v>
      </c>
      <c r="J18" s="189">
        <v>3113935.09</v>
      </c>
      <c r="K18" s="189">
        <v>90773.88</v>
      </c>
      <c r="L18" s="189">
        <v>85173.88</v>
      </c>
      <c r="M18" s="189">
        <v>235894.91</v>
      </c>
      <c r="N18" s="189">
        <v>3173530.93</v>
      </c>
      <c r="O18" s="189">
        <v>474601.39</v>
      </c>
      <c r="P18" s="189">
        <v>5616.47</v>
      </c>
      <c r="Q18" s="189">
        <v>377.42</v>
      </c>
      <c r="R18" s="189">
        <v>3047591.48</v>
      </c>
      <c r="S18" s="189">
        <v>97942.66</v>
      </c>
      <c r="T18" s="189">
        <v>24053.88</v>
      </c>
      <c r="U18" s="189">
        <v>19769.509999999998</v>
      </c>
      <c r="V18" s="189">
        <v>2181093.7400000002</v>
      </c>
      <c r="W18" s="189">
        <v>675795.85</v>
      </c>
      <c r="X18" s="189">
        <v>665183.85</v>
      </c>
      <c r="Y18" s="189">
        <v>17952.580000000002</v>
      </c>
      <c r="Z18" s="189">
        <v>2542587.17</v>
      </c>
      <c r="AA18" s="189">
        <v>2109822.5299999998</v>
      </c>
      <c r="AB18" s="189">
        <v>2056413.17</v>
      </c>
      <c r="AC18" s="189">
        <v>124504.7</v>
      </c>
      <c r="AD18" s="189">
        <v>4966251.96</v>
      </c>
      <c r="AE18" s="189">
        <v>3466603.89</v>
      </c>
      <c r="AF18" s="189">
        <v>3465403.89</v>
      </c>
      <c r="AG18" s="189">
        <v>468.45</v>
      </c>
      <c r="AH18" s="189">
        <v>12437437.66</v>
      </c>
      <c r="AI18" s="189">
        <v>11519019.689999999</v>
      </c>
      <c r="AJ18" s="189">
        <v>11289272.609999999</v>
      </c>
      <c r="AK18" s="189">
        <v>248492.64</v>
      </c>
      <c r="AL18" s="189">
        <v>3231520.43</v>
      </c>
      <c r="AM18" s="189">
        <v>786397.3</v>
      </c>
      <c r="AN18" s="189">
        <v>8689.14</v>
      </c>
      <c r="AO18" s="189">
        <v>4164.8599999999997</v>
      </c>
      <c r="AP18" s="189">
        <v>3206828.72</v>
      </c>
      <c r="AQ18" s="189">
        <v>2513436.7599999998</v>
      </c>
      <c r="AR18" s="189">
        <v>1999976.76</v>
      </c>
      <c r="AS18" s="189">
        <v>58065.66</v>
      </c>
      <c r="AT18" s="189">
        <v>13932015.82</v>
      </c>
      <c r="AU18" s="189">
        <v>13855065.08</v>
      </c>
      <c r="AV18" s="189">
        <v>13843182.880000001</v>
      </c>
      <c r="AW18" s="189">
        <v>5181.32</v>
      </c>
      <c r="AX18" s="189">
        <v>4269822.01</v>
      </c>
      <c r="AY18" s="189">
        <v>1234072.21</v>
      </c>
      <c r="AZ18" s="189">
        <v>1197665.9099999999</v>
      </c>
      <c r="BA18" s="189">
        <v>1583.68</v>
      </c>
      <c r="BB18" s="189">
        <v>8405413.1600000001</v>
      </c>
      <c r="BC18" s="189">
        <v>1841245.87</v>
      </c>
      <c r="BD18" s="189">
        <v>532875.87</v>
      </c>
      <c r="BE18" s="189">
        <v>527622.80000000005</v>
      </c>
      <c r="BF18" s="189">
        <v>7332451.2699999996</v>
      </c>
      <c r="BG18" s="189">
        <v>421644.66</v>
      </c>
      <c r="BH18" s="189">
        <v>305275.01</v>
      </c>
      <c r="BI18" s="189">
        <v>32002.21</v>
      </c>
      <c r="BJ18" s="189">
        <v>3372880.16</v>
      </c>
      <c r="BK18" s="189">
        <v>350135.65</v>
      </c>
      <c r="BL18" s="189">
        <v>74162.09</v>
      </c>
      <c r="BM18" s="189">
        <v>42719.11</v>
      </c>
      <c r="BN18" s="189">
        <v>643819.36</v>
      </c>
      <c r="BO18" s="189">
        <v>-194687.79</v>
      </c>
      <c r="BP18" s="189">
        <v>-289741.96999999997</v>
      </c>
      <c r="BQ18" s="189">
        <v>18906.11</v>
      </c>
      <c r="BR18" s="189">
        <v>1530778.64</v>
      </c>
      <c r="BS18" s="189">
        <v>524474.97</v>
      </c>
      <c r="BT18" s="189">
        <v>3422670.28</v>
      </c>
      <c r="BU18" s="189">
        <v>103786.37</v>
      </c>
      <c r="BV18" s="189">
        <v>203596.79999999999</v>
      </c>
      <c r="BW18" s="189">
        <v>155342.17000000001</v>
      </c>
      <c r="BX18" s="189">
        <v>369624.03</v>
      </c>
      <c r="BY18" s="189">
        <v>212183.48</v>
      </c>
      <c r="BZ18" s="189">
        <v>0</v>
      </c>
      <c r="CA18" s="189">
        <v>215277.81</v>
      </c>
      <c r="CB18" s="189">
        <v>1083399.23</v>
      </c>
      <c r="CC18" s="189">
        <v>102228.33</v>
      </c>
      <c r="CD18" s="189">
        <v>1231166.3799999999</v>
      </c>
      <c r="CE18" s="189">
        <v>0</v>
      </c>
    </row>
    <row r="19" spans="1:83">
      <c r="A19" s="189" t="s">
        <v>206</v>
      </c>
      <c r="B19" s="189">
        <v>0</v>
      </c>
      <c r="C19" s="189">
        <v>0</v>
      </c>
      <c r="D19" s="189">
        <v>0</v>
      </c>
      <c r="E19" s="189">
        <v>0</v>
      </c>
      <c r="F19" s="189">
        <v>0</v>
      </c>
      <c r="G19" s="189">
        <v>0</v>
      </c>
      <c r="H19" s="189">
        <v>0</v>
      </c>
      <c r="I19" s="189">
        <v>0</v>
      </c>
      <c r="J19" s="189">
        <v>2963287.94</v>
      </c>
      <c r="K19" s="189">
        <v>0</v>
      </c>
      <c r="L19" s="189">
        <v>0</v>
      </c>
      <c r="M19" s="189">
        <v>108821.03</v>
      </c>
      <c r="N19" s="189">
        <v>3113153.51</v>
      </c>
      <c r="O19" s="189">
        <v>0</v>
      </c>
      <c r="P19" s="189">
        <v>0</v>
      </c>
      <c r="Q19" s="189">
        <v>0</v>
      </c>
      <c r="R19" s="189">
        <v>2966273.15</v>
      </c>
      <c r="S19" s="189">
        <v>16624.330000000002</v>
      </c>
      <c r="T19" s="189">
        <v>16624.330000000002</v>
      </c>
      <c r="U19" s="189">
        <v>10336.51</v>
      </c>
      <c r="V19" s="189">
        <v>1708503.11</v>
      </c>
      <c r="W19" s="189">
        <v>221040.22</v>
      </c>
      <c r="X19" s="189">
        <v>221040.22</v>
      </c>
      <c r="Y19" s="189">
        <v>0</v>
      </c>
      <c r="Z19" s="189">
        <v>2313083.81</v>
      </c>
      <c r="AA19" s="189">
        <v>2043459.17</v>
      </c>
      <c r="AB19" s="189">
        <v>2043459.17</v>
      </c>
      <c r="AC19" s="189">
        <v>114740.7</v>
      </c>
      <c r="AD19" s="189">
        <v>4964848.33</v>
      </c>
      <c r="AE19" s="189">
        <v>3465203.89</v>
      </c>
      <c r="AF19" s="189">
        <v>3465203.89</v>
      </c>
      <c r="AG19" s="189">
        <v>468.45</v>
      </c>
      <c r="AH19" s="189">
        <v>12158201.26</v>
      </c>
      <c r="AI19" s="189">
        <v>11300033.6</v>
      </c>
      <c r="AJ19" s="189">
        <v>11241236.960000001</v>
      </c>
      <c r="AK19" s="189">
        <v>246092.64</v>
      </c>
      <c r="AL19" s="189">
        <v>3153520.43</v>
      </c>
      <c r="AM19" s="189">
        <v>633811.64</v>
      </c>
      <c r="AN19" s="189">
        <v>0</v>
      </c>
      <c r="AO19" s="189">
        <v>564.86</v>
      </c>
      <c r="AP19" s="189">
        <v>2678968.7200000002</v>
      </c>
      <c r="AQ19" s="189">
        <v>0</v>
      </c>
      <c r="AR19" s="189">
        <v>1967573.9</v>
      </c>
      <c r="AS19" s="189">
        <v>56865.66</v>
      </c>
      <c r="AT19" s="189">
        <v>13908933.619999999</v>
      </c>
      <c r="AU19" s="189">
        <v>13842563.560000001</v>
      </c>
      <c r="AV19" s="189">
        <v>13842563.560000001</v>
      </c>
      <c r="AW19" s="189">
        <v>4862</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0</v>
      </c>
      <c r="BO19" s="189">
        <v>0</v>
      </c>
      <c r="BP19" s="189">
        <v>0</v>
      </c>
      <c r="BQ19" s="189">
        <v>0</v>
      </c>
      <c r="BR19" s="189">
        <v>0</v>
      </c>
      <c r="BS19" s="189">
        <v>0</v>
      </c>
      <c r="BT19" s="189">
        <v>0</v>
      </c>
      <c r="BU19" s="189">
        <v>0</v>
      </c>
      <c r="BV19" s="189">
        <v>0</v>
      </c>
      <c r="BW19" s="189">
        <v>0</v>
      </c>
      <c r="BX19" s="189">
        <v>0</v>
      </c>
      <c r="BY19" s="189">
        <v>0</v>
      </c>
      <c r="BZ19" s="189">
        <v>0</v>
      </c>
      <c r="CA19" s="189">
        <v>0</v>
      </c>
      <c r="CB19" s="189">
        <v>0</v>
      </c>
      <c r="CC19" s="189">
        <v>0</v>
      </c>
      <c r="CD19" s="189">
        <v>0</v>
      </c>
      <c r="CE19" s="189">
        <v>0</v>
      </c>
    </row>
    <row r="20" spans="1:83">
      <c r="A20" s="189" t="s">
        <v>207</v>
      </c>
      <c r="B20" s="189">
        <v>2036689776.8</v>
      </c>
      <c r="C20" s="189">
        <v>1592330366.9200001</v>
      </c>
      <c r="D20" s="189">
        <v>105645952.98999999</v>
      </c>
      <c r="E20" s="189">
        <v>80884127.310000002</v>
      </c>
      <c r="F20" s="189">
        <v>197477853.40000001</v>
      </c>
      <c r="G20" s="189">
        <v>155401655.09</v>
      </c>
      <c r="H20" s="189">
        <v>114471409.86</v>
      </c>
      <c r="I20" s="189">
        <v>23249035.640000001</v>
      </c>
      <c r="J20" s="189">
        <v>86344319.370000005</v>
      </c>
      <c r="K20" s="189">
        <v>74581555.159999996</v>
      </c>
      <c r="L20" s="189">
        <v>54226431.939999998</v>
      </c>
      <c r="M20" s="189">
        <v>31802908.09</v>
      </c>
      <c r="N20" s="189">
        <v>113035469.48999999</v>
      </c>
      <c r="O20" s="189">
        <v>101770643.18000001</v>
      </c>
      <c r="P20" s="189">
        <v>73460083.760000005</v>
      </c>
      <c r="Q20" s="189">
        <v>40717881.210000001</v>
      </c>
      <c r="R20" s="189">
        <v>138764372.81999999</v>
      </c>
      <c r="S20" s="189">
        <v>115331405</v>
      </c>
      <c r="T20" s="189">
        <v>79096559.540000007</v>
      </c>
      <c r="U20" s="189">
        <v>44976587.490000002</v>
      </c>
      <c r="V20" s="189">
        <v>139281266.87</v>
      </c>
      <c r="W20" s="189">
        <v>112724652.42</v>
      </c>
      <c r="X20" s="189">
        <v>82153198.900000006</v>
      </c>
      <c r="Y20" s="189">
        <v>50351560.420000002</v>
      </c>
      <c r="Z20" s="189">
        <v>79868406.260000005</v>
      </c>
      <c r="AA20" s="189">
        <v>58056706.810000002</v>
      </c>
      <c r="AB20" s="189">
        <v>51183051.270000003</v>
      </c>
      <c r="AC20" s="189">
        <v>37833869.810000002</v>
      </c>
      <c r="AD20" s="189">
        <v>64733135.840000004</v>
      </c>
      <c r="AE20" s="189">
        <v>53840163.799999997</v>
      </c>
      <c r="AF20" s="189">
        <v>38709045.229999997</v>
      </c>
      <c r="AG20" s="189">
        <v>29699870.199999999</v>
      </c>
      <c r="AH20" s="189">
        <v>48840827.43</v>
      </c>
      <c r="AI20" s="189">
        <v>35948890.899999999</v>
      </c>
      <c r="AJ20" s="189">
        <v>28419160.66</v>
      </c>
      <c r="AK20" s="189">
        <v>28237713.199999999</v>
      </c>
      <c r="AL20" s="189">
        <v>33806060.990000002</v>
      </c>
      <c r="AM20" s="189">
        <v>29491360.309999999</v>
      </c>
      <c r="AN20" s="189">
        <v>19671241.5</v>
      </c>
      <c r="AO20" s="189">
        <v>13048300.26</v>
      </c>
      <c r="AP20" s="189">
        <v>32656171.59</v>
      </c>
      <c r="AQ20" s="189">
        <v>23537275.91</v>
      </c>
      <c r="AR20" s="189">
        <v>20765010.18</v>
      </c>
      <c r="AS20" s="189">
        <v>19679816.25</v>
      </c>
      <c r="AT20" s="189">
        <v>21536417.129999999</v>
      </c>
      <c r="AU20" s="189">
        <v>5971395.5099999998</v>
      </c>
      <c r="AV20" s="189">
        <v>-3848598.68</v>
      </c>
      <c r="AW20" s="189">
        <v>3803968.84</v>
      </c>
      <c r="AX20" s="189">
        <v>32630143.579999998</v>
      </c>
      <c r="AY20" s="189">
        <v>27521917.620000001</v>
      </c>
      <c r="AZ20" s="189">
        <v>20484735.57</v>
      </c>
      <c r="BA20" s="189">
        <v>3609425.72</v>
      </c>
      <c r="BB20" s="189">
        <v>4125231.53</v>
      </c>
      <c r="BC20" s="189">
        <v>9138667.5600000005</v>
      </c>
      <c r="BD20" s="189">
        <v>8918177.6999999993</v>
      </c>
      <c r="BE20" s="189">
        <v>5540073.8600000003</v>
      </c>
      <c r="BF20" s="189">
        <v>4506857.16</v>
      </c>
      <c r="BG20" s="189">
        <v>6196105.6399999997</v>
      </c>
      <c r="BH20" s="189">
        <v>5656066.0700000003</v>
      </c>
      <c r="BI20" s="189">
        <v>2891990.45</v>
      </c>
      <c r="BJ20" s="189">
        <v>1586763.94</v>
      </c>
      <c r="BK20" s="189">
        <v>-27875236.539999999</v>
      </c>
      <c r="BL20" s="189">
        <v>-14877348.300000001</v>
      </c>
      <c r="BM20" s="189">
        <v>-5381226.0700000003</v>
      </c>
      <c r="BN20" s="189">
        <v>-63919722.979999997</v>
      </c>
      <c r="BO20" s="189">
        <v>-27199139.989999998</v>
      </c>
      <c r="BP20" s="189">
        <v>-9550720.5299999993</v>
      </c>
      <c r="BQ20" s="189">
        <v>93214.89</v>
      </c>
      <c r="BR20" s="189">
        <v>-39847351.799999997</v>
      </c>
      <c r="BS20" s="189">
        <v>7187036.0800000001</v>
      </c>
      <c r="BT20" s="189">
        <v>53522581.159999996</v>
      </c>
      <c r="BU20" s="189">
        <v>12369253.300000001</v>
      </c>
      <c r="BV20" s="189">
        <v>25874989.920000002</v>
      </c>
      <c r="BW20" s="189">
        <v>12217018.48</v>
      </c>
      <c r="BX20" s="189">
        <v>28944890.190000001</v>
      </c>
      <c r="BY20" s="189">
        <v>14065029.9</v>
      </c>
      <c r="BZ20" s="189">
        <v>36110736.859999999</v>
      </c>
      <c r="CA20" s="189">
        <v>18477549.870000001</v>
      </c>
      <c r="CB20" s="189">
        <v>31028147.649999999</v>
      </c>
      <c r="CC20" s="189">
        <v>16509762.710000001</v>
      </c>
      <c r="CD20" s="189">
        <v>30016207.940000001</v>
      </c>
      <c r="CE20" s="189">
        <v>0</v>
      </c>
    </row>
    <row r="21" spans="1:83">
      <c r="A21" s="189" t="s">
        <v>208</v>
      </c>
      <c r="B21" s="189">
        <v>452461796.32999998</v>
      </c>
      <c r="C21" s="189">
        <v>340215168.69999999</v>
      </c>
      <c r="D21" s="189">
        <v>34282287.950000003</v>
      </c>
      <c r="E21" s="189">
        <v>23972240.73</v>
      </c>
      <c r="F21" s="189">
        <v>54031766.439999998</v>
      </c>
      <c r="G21" s="189">
        <v>45853772.200000003</v>
      </c>
      <c r="H21" s="189">
        <v>33330274.780000001</v>
      </c>
      <c r="I21" s="189">
        <v>6054997.7599999998</v>
      </c>
      <c r="J21" s="189">
        <v>23905475.600000001</v>
      </c>
      <c r="K21" s="189">
        <v>20012383.920000002</v>
      </c>
      <c r="L21" s="189">
        <v>14180752.26</v>
      </c>
      <c r="M21" s="189">
        <v>7921444.4800000004</v>
      </c>
      <c r="N21" s="189">
        <v>28550519.530000001</v>
      </c>
      <c r="O21" s="189">
        <v>25473728.359999999</v>
      </c>
      <c r="P21" s="189">
        <v>18568079.350000001</v>
      </c>
      <c r="Q21" s="189">
        <v>10252245.289999999</v>
      </c>
      <c r="R21" s="189">
        <v>34847594.359999999</v>
      </c>
      <c r="S21" s="189">
        <v>28092146.300000001</v>
      </c>
      <c r="T21" s="189">
        <v>20177594.719999999</v>
      </c>
      <c r="U21" s="189">
        <v>11305047.810000001</v>
      </c>
      <c r="V21" s="189">
        <v>28876557.469999999</v>
      </c>
      <c r="W21" s="189">
        <v>24600915.370000001</v>
      </c>
      <c r="X21" s="189">
        <v>16884488.02</v>
      </c>
      <c r="Y21" s="189">
        <v>8793023.4900000002</v>
      </c>
      <c r="Z21" s="189">
        <v>20178036.760000002</v>
      </c>
      <c r="AA21" s="189">
        <v>16292657.68</v>
      </c>
      <c r="AB21" s="189">
        <v>12928237.48</v>
      </c>
      <c r="AC21" s="189">
        <v>9502588.6199999992</v>
      </c>
      <c r="AD21" s="189">
        <v>17718063.43</v>
      </c>
      <c r="AE21" s="189">
        <v>13613279.27</v>
      </c>
      <c r="AF21" s="189">
        <v>9775934.6600000001</v>
      </c>
      <c r="AG21" s="189">
        <v>7453329.4699999997</v>
      </c>
      <c r="AH21" s="189">
        <v>10842258.98</v>
      </c>
      <c r="AI21" s="189">
        <v>7798910.2800000003</v>
      </c>
      <c r="AJ21" s="189">
        <v>5846727.6100000003</v>
      </c>
      <c r="AK21" s="189">
        <v>7097504.2800000003</v>
      </c>
      <c r="AL21" s="189">
        <v>9135226.6799999997</v>
      </c>
      <c r="AM21" s="189">
        <v>7431686.8600000003</v>
      </c>
      <c r="AN21" s="189">
        <v>4779689.05</v>
      </c>
      <c r="AO21" s="189">
        <v>3530300.9</v>
      </c>
      <c r="AP21" s="189">
        <v>4833540.62</v>
      </c>
      <c r="AQ21" s="189">
        <v>2167674.1800000002</v>
      </c>
      <c r="AR21" s="189">
        <v>1304464.5900000001</v>
      </c>
      <c r="AS21" s="189">
        <v>1845980.08</v>
      </c>
      <c r="AT21" s="189">
        <v>5954007.2599999998</v>
      </c>
      <c r="AU21" s="189">
        <v>1987668.79</v>
      </c>
      <c r="AV21" s="189">
        <v>-1243976.33</v>
      </c>
      <c r="AW21" s="189">
        <v>1255345.23</v>
      </c>
      <c r="AX21" s="189">
        <v>2462033.11</v>
      </c>
      <c r="AY21" s="189">
        <v>52016.01</v>
      </c>
      <c r="AZ21" s="189">
        <v>52016.01</v>
      </c>
      <c r="BA21" s="189">
        <v>0</v>
      </c>
      <c r="BB21" s="189">
        <v>48677.07</v>
      </c>
      <c r="BC21" s="189">
        <v>0</v>
      </c>
      <c r="BD21" s="189">
        <v>0</v>
      </c>
      <c r="BE21" s="189">
        <v>0</v>
      </c>
      <c r="BF21" s="189">
        <v>0</v>
      </c>
      <c r="BG21" s="189">
        <v>0</v>
      </c>
      <c r="BH21" s="189">
        <v>0</v>
      </c>
      <c r="BI21" s="189">
        <v>0</v>
      </c>
      <c r="BJ21" s="189">
        <v>6311.75</v>
      </c>
      <c r="BK21" s="189">
        <v>6311.75</v>
      </c>
      <c r="BL21" s="189">
        <v>6311.75</v>
      </c>
      <c r="BM21" s="189">
        <v>6311.75</v>
      </c>
      <c r="BN21" s="189">
        <v>38183.86</v>
      </c>
      <c r="BO21" s="189">
        <v>0</v>
      </c>
      <c r="BP21" s="189">
        <v>92477.19</v>
      </c>
      <c r="BQ21" s="189">
        <v>0</v>
      </c>
      <c r="BR21" s="189">
        <v>11007.36</v>
      </c>
      <c r="BS21" s="189">
        <v>2371721.91</v>
      </c>
      <c r="BT21" s="189">
        <v>8650186.2100000009</v>
      </c>
      <c r="BU21" s="189">
        <v>3091853.59</v>
      </c>
      <c r="BV21" s="189">
        <v>4582242.9400000004</v>
      </c>
      <c r="BW21" s="189">
        <v>1832552.77</v>
      </c>
      <c r="BX21" s="189">
        <v>6323681.9000000004</v>
      </c>
      <c r="BY21" s="189">
        <v>1509754.49</v>
      </c>
      <c r="BZ21" s="189">
        <v>11918748.050000001</v>
      </c>
      <c r="CA21" s="189">
        <v>6097591.46</v>
      </c>
      <c r="CB21" s="189">
        <v>10239288.720000001</v>
      </c>
      <c r="CC21" s="189">
        <v>5448221.6900000004</v>
      </c>
      <c r="CD21" s="189">
        <v>9905348.6199999992</v>
      </c>
      <c r="CE21" s="189">
        <v>0</v>
      </c>
    </row>
    <row r="22" spans="1:83">
      <c r="A22" s="189" t="s">
        <v>209</v>
      </c>
      <c r="B22" s="189">
        <v>1584227980.47</v>
      </c>
      <c r="C22" s="189">
        <v>1252115198.22</v>
      </c>
      <c r="D22" s="189">
        <v>71363665.040000007</v>
      </c>
      <c r="E22" s="189">
        <v>56911886.579999998</v>
      </c>
      <c r="F22" s="189">
        <v>143446086.96000001</v>
      </c>
      <c r="G22" s="189">
        <v>109547882.89</v>
      </c>
      <c r="H22" s="189">
        <v>81141135.079999998</v>
      </c>
      <c r="I22" s="189">
        <v>17194037.879999999</v>
      </c>
      <c r="J22" s="189">
        <v>62438843.770000003</v>
      </c>
      <c r="K22" s="189">
        <v>54569171.240000002</v>
      </c>
      <c r="L22" s="189">
        <v>40045679.68</v>
      </c>
      <c r="M22" s="189">
        <v>23881463.609999999</v>
      </c>
      <c r="N22" s="189">
        <v>84484949.959999993</v>
      </c>
      <c r="O22" s="189">
        <v>76296914.819999993</v>
      </c>
      <c r="P22" s="189">
        <v>54892004.409999996</v>
      </c>
      <c r="Q22" s="189">
        <v>30465635.920000002</v>
      </c>
      <c r="R22" s="189">
        <v>103916778.45999999</v>
      </c>
      <c r="S22" s="189">
        <v>87239258.700000003</v>
      </c>
      <c r="T22" s="189">
        <v>58918964.82</v>
      </c>
      <c r="U22" s="189">
        <v>33671539.68</v>
      </c>
      <c r="V22" s="189">
        <v>110404709.40000001</v>
      </c>
      <c r="W22" s="189">
        <v>88123737.049999997</v>
      </c>
      <c r="X22" s="189">
        <v>65268710.880000003</v>
      </c>
      <c r="Y22" s="189">
        <v>41558536.93</v>
      </c>
      <c r="Z22" s="189">
        <v>59690369.5</v>
      </c>
      <c r="AA22" s="189">
        <v>48183018.789999999</v>
      </c>
      <c r="AB22" s="189">
        <v>38254813.789999999</v>
      </c>
      <c r="AC22" s="189">
        <v>28331281.190000001</v>
      </c>
      <c r="AD22" s="189">
        <v>47015072.409999996</v>
      </c>
      <c r="AE22" s="189">
        <v>40226884.530000001</v>
      </c>
      <c r="AF22" s="189">
        <v>28933110.57</v>
      </c>
      <c r="AG22" s="189">
        <v>22246540.73</v>
      </c>
      <c r="AH22" s="189">
        <v>37998568.450000003</v>
      </c>
      <c r="AI22" s="189">
        <v>28149980.620000001</v>
      </c>
      <c r="AJ22" s="189">
        <v>22572433.050000001</v>
      </c>
      <c r="AK22" s="189">
        <v>21140208.920000002</v>
      </c>
      <c r="AL22" s="189">
        <v>24670834.309999999</v>
      </c>
      <c r="AM22" s="189">
        <v>22059673.449999999</v>
      </c>
      <c r="AN22" s="189">
        <v>14891552.449999999</v>
      </c>
      <c r="AO22" s="189">
        <v>9517999.3599999994</v>
      </c>
      <c r="AP22" s="189">
        <v>27822630.969999999</v>
      </c>
      <c r="AQ22" s="189">
        <v>21369601.73</v>
      </c>
      <c r="AR22" s="189">
        <v>19460545.59</v>
      </c>
      <c r="AS22" s="189">
        <v>17833836.170000002</v>
      </c>
      <c r="AT22" s="189">
        <v>15582409.869999999</v>
      </c>
      <c r="AU22" s="189">
        <v>3983726.72</v>
      </c>
      <c r="AV22" s="189">
        <v>-2604622.35</v>
      </c>
      <c r="AW22" s="189">
        <v>2548623.61</v>
      </c>
      <c r="AX22" s="189">
        <v>30168110.469999999</v>
      </c>
      <c r="AY22" s="189">
        <v>27469901.609999999</v>
      </c>
      <c r="AZ22" s="189">
        <v>20432719.559999999</v>
      </c>
      <c r="BA22" s="189">
        <v>3609425.72</v>
      </c>
      <c r="BB22" s="189">
        <v>4076554.46</v>
      </c>
      <c r="BC22" s="189">
        <v>9138667.5600000005</v>
      </c>
      <c r="BD22" s="189">
        <v>8918177.6999999993</v>
      </c>
      <c r="BE22" s="189">
        <v>5540073.8600000003</v>
      </c>
      <c r="BF22" s="189">
        <v>4506857.16</v>
      </c>
      <c r="BG22" s="189">
        <v>6196105.6399999997</v>
      </c>
      <c r="BH22" s="189">
        <v>5656066.0700000003</v>
      </c>
      <c r="BI22" s="189">
        <v>2891990.45</v>
      </c>
      <c r="BJ22" s="189">
        <v>1580452.19</v>
      </c>
      <c r="BK22" s="189">
        <v>-27881548.289999999</v>
      </c>
      <c r="BL22" s="189">
        <v>-14883660.050000001</v>
      </c>
      <c r="BM22" s="189">
        <v>-5387537.8200000003</v>
      </c>
      <c r="BN22" s="189">
        <v>-63957906.840000004</v>
      </c>
      <c r="BO22" s="189">
        <v>-27199139.989999998</v>
      </c>
      <c r="BP22" s="189">
        <v>-9643197.7200000007</v>
      </c>
      <c r="BQ22" s="189">
        <v>93214.89</v>
      </c>
      <c r="BR22" s="189">
        <v>-44469219.770000003</v>
      </c>
      <c r="BS22" s="189">
        <v>4815314.17</v>
      </c>
      <c r="BT22" s="189">
        <v>44872394.950000003</v>
      </c>
      <c r="BU22" s="189">
        <v>9277399.7100000009</v>
      </c>
      <c r="BV22" s="189">
        <v>21292746.98</v>
      </c>
      <c r="BW22" s="189">
        <v>10384465.710000001</v>
      </c>
      <c r="BX22" s="189">
        <v>22621208.289999999</v>
      </c>
      <c r="BY22" s="189">
        <v>12555275.41</v>
      </c>
      <c r="BZ22" s="189">
        <v>24191988.809999999</v>
      </c>
      <c r="CA22" s="189">
        <v>12379958.41</v>
      </c>
      <c r="CB22" s="189">
        <v>20788858.93</v>
      </c>
      <c r="CC22" s="189">
        <v>11061541.02</v>
      </c>
      <c r="CD22" s="189">
        <v>20110859.32</v>
      </c>
      <c r="CE22" s="189">
        <v>0</v>
      </c>
    </row>
    <row r="23" spans="1:83">
      <c r="A23" s="189" t="s">
        <v>210</v>
      </c>
      <c r="B23" s="189">
        <v>1584227980.47</v>
      </c>
      <c r="C23" s="189">
        <v>1252115198.22</v>
      </c>
      <c r="D23" s="189">
        <v>71363665.040000007</v>
      </c>
      <c r="E23" s="189">
        <v>56911886.579999998</v>
      </c>
      <c r="F23" s="189">
        <v>143446086.96000001</v>
      </c>
      <c r="G23" s="189">
        <v>109547882.89</v>
      </c>
      <c r="H23" s="189">
        <v>81141135.079999998</v>
      </c>
      <c r="I23" s="189">
        <v>17194037.879999999</v>
      </c>
      <c r="J23" s="189">
        <v>62438843.770000003</v>
      </c>
      <c r="K23" s="189">
        <v>54569171.240000002</v>
      </c>
      <c r="L23" s="189">
        <v>40045679.68</v>
      </c>
      <c r="M23" s="189">
        <v>23881463.609999999</v>
      </c>
      <c r="N23" s="189">
        <v>84484949.959999993</v>
      </c>
      <c r="O23" s="189">
        <v>76296914.819999993</v>
      </c>
      <c r="P23" s="189">
        <v>54892004.409999996</v>
      </c>
      <c r="Q23" s="189">
        <v>30465635.920000002</v>
      </c>
      <c r="R23" s="189">
        <v>103916778.45999999</v>
      </c>
      <c r="S23" s="189">
        <v>87239258.700000003</v>
      </c>
      <c r="T23" s="189">
        <v>58918964.82</v>
      </c>
      <c r="U23" s="189">
        <v>33671539.68</v>
      </c>
      <c r="V23" s="189">
        <v>110444163.39</v>
      </c>
      <c r="W23" s="189">
        <v>88163191.040000007</v>
      </c>
      <c r="X23" s="189">
        <v>65308164.869999997</v>
      </c>
      <c r="Y23" s="189">
        <v>41597990.920000002</v>
      </c>
      <c r="Z23" s="189">
        <v>59690376.5</v>
      </c>
      <c r="AA23" s="189">
        <v>43969055.520000003</v>
      </c>
      <c r="AB23" s="189">
        <v>38254813.789999999</v>
      </c>
      <c r="AC23" s="189">
        <v>28331283.670000002</v>
      </c>
      <c r="AD23" s="189">
        <v>47015070.649999999</v>
      </c>
      <c r="AE23" s="189">
        <v>40226884.530000001</v>
      </c>
      <c r="AF23" s="189">
        <v>28933110.57</v>
      </c>
      <c r="AG23" s="189">
        <v>22246540.73</v>
      </c>
      <c r="AH23" s="189">
        <v>37955888.5</v>
      </c>
      <c r="AI23" s="189">
        <v>28150023.57</v>
      </c>
      <c r="AJ23" s="189">
        <v>22572476</v>
      </c>
      <c r="AK23" s="189">
        <v>21140208.920000002</v>
      </c>
      <c r="AL23" s="189">
        <v>24671496.449999999</v>
      </c>
      <c r="AM23" s="189">
        <v>22059673.449999999</v>
      </c>
      <c r="AN23" s="189">
        <v>14891552.449999999</v>
      </c>
      <c r="AO23" s="189">
        <v>9517999.3599999994</v>
      </c>
      <c r="AP23" s="189">
        <v>27822750.16</v>
      </c>
      <c r="AQ23" s="189">
        <v>21369601.73</v>
      </c>
      <c r="AR23" s="189">
        <v>19359348.109999999</v>
      </c>
      <c r="AS23" s="189">
        <v>17833836.170000002</v>
      </c>
      <c r="AT23" s="189">
        <v>15578889.42</v>
      </c>
      <c r="AU23" s="189">
        <v>3982888.9</v>
      </c>
      <c r="AV23" s="189">
        <v>-2605105.33</v>
      </c>
      <c r="AW23" s="189">
        <v>2548731.21</v>
      </c>
      <c r="AX23" s="189">
        <v>30158169.559999999</v>
      </c>
      <c r="AY23" s="189">
        <v>27501055.039999999</v>
      </c>
      <c r="AZ23" s="189">
        <v>20463799.27</v>
      </c>
      <c r="BA23" s="189">
        <v>3614173.44</v>
      </c>
      <c r="BB23" s="189">
        <v>4192297.01</v>
      </c>
      <c r="BC23" s="189">
        <v>9203416.9600000009</v>
      </c>
      <c r="BD23" s="189">
        <v>8941174.9299999997</v>
      </c>
      <c r="BE23" s="189">
        <v>5557547.4900000002</v>
      </c>
      <c r="BF23" s="189">
        <v>4602748.5999999996</v>
      </c>
      <c r="BG23" s="189">
        <v>6222731.2999999998</v>
      </c>
      <c r="BH23" s="189">
        <v>5673526.54</v>
      </c>
      <c r="BI23" s="189">
        <v>2900848.94</v>
      </c>
      <c r="BJ23" s="189">
        <v>1893120.64</v>
      </c>
      <c r="BK23" s="189">
        <v>-27762845.969999999</v>
      </c>
      <c r="BL23" s="189">
        <v>-14801541.710000001</v>
      </c>
      <c r="BM23" s="189">
        <v>-5381245.9000000004</v>
      </c>
      <c r="BN23" s="189">
        <v>-63858576.859999999</v>
      </c>
      <c r="BO23" s="189">
        <v>-26355397.18</v>
      </c>
      <c r="BP23" s="189">
        <v>-9541896.6899999995</v>
      </c>
      <c r="BQ23" s="189">
        <v>159426.59</v>
      </c>
      <c r="BR23" s="189">
        <v>-44310229.25</v>
      </c>
      <c r="BS23" s="189">
        <v>4815314.17</v>
      </c>
      <c r="BT23" s="189">
        <v>44872394.950000003</v>
      </c>
      <c r="BU23" s="189">
        <v>9277399.7100000009</v>
      </c>
      <c r="BV23" s="189">
        <v>21292746.98</v>
      </c>
      <c r="BW23" s="189">
        <v>10384465.710000001</v>
      </c>
      <c r="BX23" s="189">
        <v>22621208.289999999</v>
      </c>
      <c r="BY23" s="189">
        <v>12555275.41</v>
      </c>
      <c r="BZ23" s="189">
        <v>24191988.809999999</v>
      </c>
      <c r="CA23" s="189">
        <v>12379958.41</v>
      </c>
      <c r="CB23" s="189">
        <v>20788858.93</v>
      </c>
      <c r="CC23" s="189">
        <v>11061541.02</v>
      </c>
      <c r="CD23" s="189">
        <v>20110859.32</v>
      </c>
      <c r="CE23" s="189">
        <v>0</v>
      </c>
    </row>
    <row r="24" spans="1:83">
      <c r="A24" s="189" t="s">
        <v>211</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-39453.99</v>
      </c>
      <c r="W24" s="189">
        <v>-39453.99</v>
      </c>
      <c r="X24" s="189">
        <v>-39453.99</v>
      </c>
      <c r="Y24" s="189">
        <v>-39453.99</v>
      </c>
      <c r="Z24" s="189">
        <v>-7</v>
      </c>
      <c r="AA24" s="189">
        <v>0</v>
      </c>
      <c r="AB24" s="189">
        <v>0</v>
      </c>
      <c r="AC24" s="189">
        <v>-2.48</v>
      </c>
      <c r="AD24" s="189">
        <v>1.76</v>
      </c>
      <c r="AE24" s="189">
        <v>0</v>
      </c>
      <c r="AF24" s="189">
        <v>0</v>
      </c>
      <c r="AG24" s="189">
        <v>0</v>
      </c>
      <c r="AH24" s="189">
        <v>42679.95</v>
      </c>
      <c r="AI24" s="189">
        <v>-42.95</v>
      </c>
      <c r="AJ24" s="189">
        <v>-42.95</v>
      </c>
      <c r="AK24" s="189">
        <v>0</v>
      </c>
      <c r="AL24" s="189">
        <v>-662.14</v>
      </c>
      <c r="AM24" s="189">
        <v>0</v>
      </c>
      <c r="AN24" s="189">
        <v>0</v>
      </c>
      <c r="AO24" s="189">
        <v>0</v>
      </c>
      <c r="AP24" s="189">
        <v>-119.19</v>
      </c>
      <c r="AQ24" s="189">
        <v>0</v>
      </c>
      <c r="AR24" s="189">
        <v>101197.48</v>
      </c>
      <c r="AS24" s="189">
        <v>0</v>
      </c>
      <c r="AT24" s="189">
        <v>3520.45</v>
      </c>
      <c r="AU24" s="189">
        <v>837.82</v>
      </c>
      <c r="AV24" s="189">
        <v>482.98</v>
      </c>
      <c r="AW24" s="189">
        <v>-107.6</v>
      </c>
      <c r="AX24" s="189">
        <v>9940.91</v>
      </c>
      <c r="AY24" s="189">
        <v>-31153.43</v>
      </c>
      <c r="AZ24" s="189">
        <v>-31079.71</v>
      </c>
      <c r="BA24" s="189">
        <v>-4747.72</v>
      </c>
      <c r="BB24" s="189">
        <v>-115742.55</v>
      </c>
      <c r="BC24" s="189">
        <v>-64749.4</v>
      </c>
      <c r="BD24" s="189">
        <v>-22997.23</v>
      </c>
      <c r="BE24" s="189">
        <v>-17473.63</v>
      </c>
      <c r="BF24" s="189">
        <v>-95891.44</v>
      </c>
      <c r="BG24" s="189">
        <v>-26625.66</v>
      </c>
      <c r="BH24" s="189">
        <v>-17460.47</v>
      </c>
      <c r="BI24" s="189">
        <v>-8858.49</v>
      </c>
      <c r="BJ24" s="189">
        <v>-312668.45</v>
      </c>
      <c r="BK24" s="189">
        <v>-118702.32</v>
      </c>
      <c r="BL24" s="189">
        <v>-82118.34</v>
      </c>
      <c r="BM24" s="189">
        <v>-6291.92</v>
      </c>
      <c r="BN24" s="189">
        <v>-99329.98</v>
      </c>
      <c r="BO24" s="189">
        <v>-843742.81</v>
      </c>
      <c r="BP24" s="189">
        <v>-101301.03</v>
      </c>
      <c r="BQ24" s="189">
        <v>-66211.7</v>
      </c>
      <c r="BR24" s="189">
        <v>-158990.51999999999</v>
      </c>
      <c r="BS24" s="189">
        <v>0</v>
      </c>
      <c r="BT24" s="189">
        <v>0</v>
      </c>
      <c r="BU24" s="189">
        <v>0</v>
      </c>
      <c r="BV24" s="189">
        <v>0</v>
      </c>
      <c r="BW24" s="189">
        <v>0</v>
      </c>
      <c r="BX24" s="189">
        <v>0</v>
      </c>
      <c r="BY24" s="189">
        <v>0</v>
      </c>
      <c r="BZ24" s="189">
        <v>0</v>
      </c>
      <c r="CA24" s="189">
        <v>0</v>
      </c>
      <c r="CB24" s="189">
        <v>0</v>
      </c>
      <c r="CC24" s="189">
        <v>0</v>
      </c>
      <c r="CD24" s="189">
        <v>0</v>
      </c>
      <c r="CE24" s="189">
        <v>0</v>
      </c>
    </row>
    <row r="25" spans="1:83">
      <c r="A25" s="189" t="s">
        <v>212</v>
      </c>
    </row>
    <row r="26" spans="1:83">
      <c r="A26" s="189" t="s">
        <v>213</v>
      </c>
      <c r="B26" s="189">
        <v>2.0230000000000001</v>
      </c>
      <c r="C26" s="189">
        <v>1.599</v>
      </c>
      <c r="D26" s="189">
        <v>9.0999999999999998E-2</v>
      </c>
      <c r="E26" s="189">
        <v>7.2999999999999995E-2</v>
      </c>
      <c r="F26" s="189">
        <v>0.183</v>
      </c>
      <c r="G26" s="189">
        <v>0.14000000000000001</v>
      </c>
      <c r="H26" s="189">
        <v>0.104</v>
      </c>
      <c r="I26" s="189">
        <v>4.7E-2</v>
      </c>
      <c r="J26" s="189">
        <v>0.16900000000000001</v>
      </c>
      <c r="K26" s="189">
        <v>0.14799999999999999</v>
      </c>
      <c r="L26" s="189">
        <v>0.109</v>
      </c>
      <c r="M26" s="189">
        <v>6.5000000000000002E-2</v>
      </c>
      <c r="N26" s="189">
        <v>0.22900000000000001</v>
      </c>
      <c r="O26" s="189">
        <v>0.20699999999999999</v>
      </c>
      <c r="P26" s="189">
        <v>0.14899999999999999</v>
      </c>
      <c r="Q26" s="189">
        <v>8.3000000000000004E-2</v>
      </c>
      <c r="R26" s="189">
        <v>0.28199999999999997</v>
      </c>
      <c r="S26" s="189">
        <v>0.23699999999999999</v>
      </c>
      <c r="T26" s="189">
        <v>0.16</v>
      </c>
      <c r="U26" s="189">
        <v>9.0999999999999998E-2</v>
      </c>
      <c r="V26" s="189">
        <v>0.29899999999999999</v>
      </c>
      <c r="W26" s="189">
        <v>0.23899999999999999</v>
      </c>
      <c r="X26" s="189">
        <v>0.17699999999999999</v>
      </c>
      <c r="Y26" s="189">
        <v>0.113</v>
      </c>
      <c r="Z26" s="189">
        <v>0.22700000000000001</v>
      </c>
      <c r="AA26" s="189">
        <v>0.17</v>
      </c>
      <c r="AB26" s="189">
        <v>0.14599999999999999</v>
      </c>
      <c r="AC26" s="189">
        <v>0.11</v>
      </c>
      <c r="AD26" s="189">
        <v>0.17899999999999999</v>
      </c>
      <c r="AE26" s="189">
        <v>0.153</v>
      </c>
      <c r="AF26" s="189">
        <v>0.11</v>
      </c>
      <c r="AG26" s="189">
        <v>8.5000000000000006E-2</v>
      </c>
      <c r="AH26" s="189">
        <v>0.14399999999999999</v>
      </c>
      <c r="AI26" s="189">
        <v>0.107</v>
      </c>
      <c r="AJ26" s="189">
        <v>8.5999999999999993E-2</v>
      </c>
      <c r="AK26" s="189">
        <v>0.08</v>
      </c>
      <c r="AL26" s="189">
        <v>9.4E-2</v>
      </c>
      <c r="AM26" s="189">
        <v>8.4000000000000005E-2</v>
      </c>
      <c r="AN26" s="189">
        <v>0.06</v>
      </c>
      <c r="AO26" s="189">
        <v>3.5999999999999997E-2</v>
      </c>
      <c r="AP26" s="189">
        <v>0.106</v>
      </c>
      <c r="AQ26" s="189">
        <v>8.1000000000000003E-2</v>
      </c>
      <c r="AR26" s="189">
        <v>7.3999999999999996E-2</v>
      </c>
      <c r="AS26" s="189">
        <v>6.8000000000000005E-2</v>
      </c>
      <c r="AT26" s="189">
        <v>5.8999999999999997E-2</v>
      </c>
      <c r="AU26" s="189">
        <v>1.4999999999999999E-2</v>
      </c>
      <c r="AV26" s="189">
        <v>-0.01</v>
      </c>
      <c r="AW26" s="189">
        <v>9.7000000000000003E-3</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v>0</v>
      </c>
    </row>
    <row r="27" spans="1:83">
      <c r="A27" s="189" t="s">
        <v>214</v>
      </c>
      <c r="B27" s="189">
        <v>2.0230000000000001</v>
      </c>
      <c r="C27" s="189">
        <v>1.599</v>
      </c>
      <c r="D27" s="189">
        <v>9.0999999999999998E-2</v>
      </c>
      <c r="E27" s="189">
        <v>7.2999999999999995E-2</v>
      </c>
      <c r="F27" s="189">
        <v>0.183</v>
      </c>
      <c r="G27" s="189">
        <v>0.14000000000000001</v>
      </c>
      <c r="H27" s="189">
        <v>0.104</v>
      </c>
      <c r="I27" s="189">
        <v>4.7E-2</v>
      </c>
      <c r="J27" s="189">
        <v>0.16900000000000001</v>
      </c>
      <c r="K27" s="189">
        <v>0.14799999999999999</v>
      </c>
      <c r="L27" s="189">
        <v>0.109</v>
      </c>
      <c r="M27" s="189">
        <v>6.5000000000000002E-2</v>
      </c>
      <c r="N27" s="189">
        <v>0.22900000000000001</v>
      </c>
      <c r="O27" s="189">
        <v>0.20699999999999999</v>
      </c>
      <c r="P27" s="189">
        <v>0.14899999999999999</v>
      </c>
      <c r="Q27" s="189">
        <v>8.3000000000000004E-2</v>
      </c>
      <c r="R27" s="189">
        <v>0.28199999999999997</v>
      </c>
      <c r="S27" s="189">
        <v>0.23699999999999999</v>
      </c>
      <c r="T27" s="189">
        <v>0.16</v>
      </c>
      <c r="U27" s="189">
        <v>9.0999999999999998E-2</v>
      </c>
      <c r="V27" s="189">
        <v>0.29899999999999999</v>
      </c>
      <c r="W27" s="189">
        <v>0.23899999999999999</v>
      </c>
      <c r="X27" s="189">
        <v>0.17699999999999999</v>
      </c>
      <c r="Y27" s="189">
        <v>0.113</v>
      </c>
      <c r="Z27" s="189">
        <v>0.22700000000000001</v>
      </c>
      <c r="AA27" s="189">
        <v>0.183</v>
      </c>
      <c r="AB27" s="189">
        <v>0.14599999999999999</v>
      </c>
      <c r="AC27" s="189">
        <v>0.11</v>
      </c>
      <c r="AD27" s="189">
        <v>0.17899999999999999</v>
      </c>
      <c r="AE27" s="189">
        <v>0.153</v>
      </c>
      <c r="AF27" s="189">
        <v>0.11</v>
      </c>
      <c r="AG27" s="189">
        <v>8.5000000000000006E-2</v>
      </c>
      <c r="AH27" s="189">
        <v>0.14399999999999999</v>
      </c>
      <c r="AI27" s="189">
        <v>0.107</v>
      </c>
      <c r="AJ27" s="189">
        <v>8.5999999999999993E-2</v>
      </c>
      <c r="AK27" s="189">
        <v>0.08</v>
      </c>
      <c r="AL27" s="189">
        <v>9.4E-2</v>
      </c>
      <c r="AM27" s="189">
        <v>8.4000000000000005E-2</v>
      </c>
      <c r="AN27" s="189">
        <v>0.06</v>
      </c>
      <c r="AO27" s="189">
        <v>3.5999999999999997E-2</v>
      </c>
      <c r="AP27" s="189">
        <v>0.106</v>
      </c>
      <c r="AQ27" s="189">
        <v>8.1000000000000003E-2</v>
      </c>
      <c r="AR27" s="189">
        <v>7.3999999999999996E-2</v>
      </c>
      <c r="AS27" s="189">
        <v>6.8000000000000005E-2</v>
      </c>
      <c r="AT27" s="189">
        <v>5.8999999999999997E-2</v>
      </c>
      <c r="AU27" s="189">
        <v>1.4999999999999999E-2</v>
      </c>
      <c r="AV27" s="189">
        <v>-0.01</v>
      </c>
      <c r="AW27" s="189">
        <v>9.7000000000000003E-3</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0</v>
      </c>
      <c r="BT27" s="189">
        <v>0</v>
      </c>
      <c r="BU27" s="189">
        <v>0</v>
      </c>
      <c r="BV27" s="189">
        <v>0</v>
      </c>
      <c r="BW27" s="189">
        <v>0</v>
      </c>
      <c r="BX27" s="189">
        <v>0</v>
      </c>
      <c r="BY27" s="189">
        <v>0</v>
      </c>
      <c r="BZ27" s="189">
        <v>0</v>
      </c>
      <c r="CA27" s="189">
        <v>0</v>
      </c>
      <c r="CB27" s="189">
        <v>0</v>
      </c>
      <c r="CC27" s="189">
        <v>0</v>
      </c>
      <c r="CD27" s="189">
        <v>0</v>
      </c>
      <c r="CE27" s="189">
        <v>0</v>
      </c>
    </row>
    <row r="28" spans="1:83">
      <c r="A28" s="189" t="s">
        <v>215</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-46084140.880000003</v>
      </c>
      <c r="AI28" s="189">
        <v>0</v>
      </c>
      <c r="AJ28" s="189">
        <v>-19168593.579999998</v>
      </c>
      <c r="AK28" s="189">
        <v>-1864358.89</v>
      </c>
      <c r="AL28" s="189">
        <v>27054445.82</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v>0</v>
      </c>
    </row>
    <row r="29" spans="1:83">
      <c r="A29" s="189" t="s">
        <v>216</v>
      </c>
      <c r="B29" s="189">
        <v>1584227980.47</v>
      </c>
      <c r="C29" s="189">
        <v>1252115198.22</v>
      </c>
      <c r="D29" s="189">
        <v>71363665.040000007</v>
      </c>
      <c r="E29" s="189">
        <v>56911886.579999998</v>
      </c>
      <c r="F29" s="189">
        <v>143446086.96000001</v>
      </c>
      <c r="G29" s="189">
        <v>109547882.89</v>
      </c>
      <c r="H29" s="189">
        <v>81141135.079999998</v>
      </c>
      <c r="I29" s="189">
        <v>17194037.879999999</v>
      </c>
      <c r="J29" s="189">
        <v>62438843.770000003</v>
      </c>
      <c r="K29" s="189">
        <v>54569171.240000002</v>
      </c>
      <c r="L29" s="189">
        <v>40045679.68</v>
      </c>
      <c r="M29" s="189">
        <v>23881463.609999999</v>
      </c>
      <c r="N29" s="189">
        <v>84484949.959999993</v>
      </c>
      <c r="O29" s="189">
        <v>76296914.819999993</v>
      </c>
      <c r="P29" s="189">
        <v>54892004.409999996</v>
      </c>
      <c r="Q29" s="189">
        <v>30465635.920000002</v>
      </c>
      <c r="R29" s="189">
        <v>103916778.45999999</v>
      </c>
      <c r="S29" s="189">
        <v>87239258.700000003</v>
      </c>
      <c r="T29" s="189">
        <v>58918964.82</v>
      </c>
      <c r="U29" s="189">
        <v>33671539.68</v>
      </c>
      <c r="V29" s="189">
        <v>110404709.40000001</v>
      </c>
      <c r="W29" s="189">
        <v>88123737.049999997</v>
      </c>
      <c r="X29" s="189">
        <v>65308164.869999997</v>
      </c>
      <c r="Y29" s="189">
        <v>41558536.93</v>
      </c>
      <c r="Z29" s="189">
        <v>59690369.5</v>
      </c>
      <c r="AA29" s="189">
        <v>48183018.789999999</v>
      </c>
      <c r="AB29" s="189">
        <v>38254813.789999999</v>
      </c>
      <c r="AC29" s="189">
        <v>28331281.190000001</v>
      </c>
      <c r="AD29" s="189">
        <v>47015072.409999996</v>
      </c>
      <c r="AE29" s="189">
        <v>40226884.530000001</v>
      </c>
      <c r="AF29" s="189">
        <v>28933110.57</v>
      </c>
      <c r="AG29" s="189">
        <v>22246540.73</v>
      </c>
      <c r="AH29" s="189">
        <v>-8085572.4299999997</v>
      </c>
      <c r="AI29" s="189">
        <v>28149980.620000001</v>
      </c>
      <c r="AJ29" s="189">
        <v>3403839.47</v>
      </c>
      <c r="AK29" s="189">
        <v>19275850.030000001</v>
      </c>
      <c r="AL29" s="189">
        <v>51725280.130000003</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v>0</v>
      </c>
    </row>
    <row r="30" spans="1:83">
      <c r="A30" s="189" t="s">
        <v>217</v>
      </c>
      <c r="B30" s="189">
        <v>1584227980.47</v>
      </c>
      <c r="C30" s="189">
        <v>1252115198.22</v>
      </c>
      <c r="D30" s="189">
        <v>71363665.040000007</v>
      </c>
      <c r="E30" s="189">
        <v>56911886.579999998</v>
      </c>
      <c r="F30" s="189">
        <v>143446086.96000001</v>
      </c>
      <c r="G30" s="189">
        <v>109547882.89</v>
      </c>
      <c r="H30" s="189">
        <v>81141135.079999998</v>
      </c>
      <c r="I30" s="189">
        <v>17194037.879999999</v>
      </c>
      <c r="J30" s="189">
        <v>62438843.770000003</v>
      </c>
      <c r="K30" s="189">
        <v>54569171.240000002</v>
      </c>
      <c r="L30" s="189">
        <v>40045679.68</v>
      </c>
      <c r="M30" s="189">
        <v>23881463.609999999</v>
      </c>
      <c r="N30" s="189">
        <v>84484949.959999993</v>
      </c>
      <c r="O30" s="189">
        <v>76296914.819999993</v>
      </c>
      <c r="P30" s="189">
        <v>54892004.409999996</v>
      </c>
      <c r="Q30" s="189">
        <v>30465635.920000002</v>
      </c>
      <c r="R30" s="189">
        <v>103916778.45999999</v>
      </c>
      <c r="S30" s="189">
        <v>87239258.700000003</v>
      </c>
      <c r="T30" s="189">
        <v>58918964.82</v>
      </c>
      <c r="U30" s="189">
        <v>33671539.68</v>
      </c>
      <c r="V30" s="189">
        <v>110444163.39</v>
      </c>
      <c r="W30" s="189">
        <v>88163191.040000007</v>
      </c>
      <c r="X30" s="189">
        <v>65308164.869999997</v>
      </c>
      <c r="Y30" s="189">
        <v>41597990.920000002</v>
      </c>
      <c r="Z30" s="189">
        <v>59690376.5</v>
      </c>
      <c r="AA30" s="189">
        <v>48183018.789999999</v>
      </c>
      <c r="AB30" s="189">
        <v>38254813.789999999</v>
      </c>
      <c r="AC30" s="189">
        <v>28331283.670000002</v>
      </c>
      <c r="AD30" s="189">
        <v>47015070.649999999</v>
      </c>
      <c r="AE30" s="189">
        <v>40226884.530000001</v>
      </c>
      <c r="AF30" s="189">
        <v>28933110.57</v>
      </c>
      <c r="AG30" s="189">
        <v>22246540.73</v>
      </c>
      <c r="AH30" s="189">
        <v>-8128252.3799999999</v>
      </c>
      <c r="AI30" s="189">
        <v>28150023.57</v>
      </c>
      <c r="AJ30" s="189">
        <v>3403882.42</v>
      </c>
      <c r="AK30" s="189">
        <v>19275850.030000001</v>
      </c>
      <c r="AL30" s="189">
        <v>51725942.270000003</v>
      </c>
      <c r="AM30" s="189">
        <v>0</v>
      </c>
      <c r="AN30" s="189">
        <v>0</v>
      </c>
      <c r="AO30" s="189">
        <v>0</v>
      </c>
      <c r="AP30" s="189">
        <v>0</v>
      </c>
      <c r="AQ30" s="189">
        <v>0</v>
      </c>
      <c r="AR30" s="189">
        <v>0</v>
      </c>
      <c r="AS30" s="189">
        <v>0</v>
      </c>
      <c r="AT30" s="189">
        <v>0</v>
      </c>
      <c r="AU30" s="189">
        <v>0</v>
      </c>
      <c r="AV30" s="189">
        <v>0</v>
      </c>
      <c r="AW30" s="189">
        <v>0</v>
      </c>
      <c r="AX30" s="189">
        <v>0</v>
      </c>
      <c r="AY30" s="189">
        <v>0</v>
      </c>
      <c r="AZ30" s="189">
        <v>0</v>
      </c>
      <c r="BA30" s="189">
        <v>0</v>
      </c>
      <c r="BB30" s="189">
        <v>0</v>
      </c>
      <c r="BC30" s="189">
        <v>0</v>
      </c>
      <c r="BD30" s="189">
        <v>0</v>
      </c>
      <c r="BE30" s="189">
        <v>0</v>
      </c>
      <c r="BF30" s="189">
        <v>0</v>
      </c>
      <c r="BG30" s="189">
        <v>0</v>
      </c>
      <c r="BH30" s="189">
        <v>0</v>
      </c>
      <c r="BI30" s="189">
        <v>0</v>
      </c>
      <c r="BJ30" s="189">
        <v>0</v>
      </c>
      <c r="BK30" s="189">
        <v>0</v>
      </c>
      <c r="BL30" s="189">
        <v>0</v>
      </c>
      <c r="BM30" s="189">
        <v>0</v>
      </c>
      <c r="BN30" s="189">
        <v>0</v>
      </c>
      <c r="BO30" s="189">
        <v>0</v>
      </c>
      <c r="BP30" s="189">
        <v>0</v>
      </c>
      <c r="BQ30" s="189">
        <v>0</v>
      </c>
      <c r="BR30" s="189">
        <v>0</v>
      </c>
      <c r="BS30" s="189">
        <v>0</v>
      </c>
      <c r="BT30" s="189">
        <v>0</v>
      </c>
      <c r="BU30" s="189">
        <v>0</v>
      </c>
      <c r="BV30" s="189">
        <v>0</v>
      </c>
      <c r="BW30" s="189">
        <v>0</v>
      </c>
      <c r="BX30" s="189">
        <v>0</v>
      </c>
      <c r="BY30" s="189">
        <v>0</v>
      </c>
      <c r="BZ30" s="189">
        <v>0</v>
      </c>
      <c r="CA30" s="189">
        <v>0</v>
      </c>
      <c r="CB30" s="189">
        <v>0</v>
      </c>
      <c r="CC30" s="189">
        <v>0</v>
      </c>
      <c r="CD30" s="189">
        <v>0</v>
      </c>
      <c r="CE30" s="189">
        <v>0</v>
      </c>
    </row>
    <row r="31" spans="1:83">
      <c r="A31" s="189" t="s">
        <v>218</v>
      </c>
      <c r="B31" s="189">
        <v>0</v>
      </c>
      <c r="C31" s="189">
        <v>0</v>
      </c>
      <c r="D31" s="189">
        <v>0</v>
      </c>
      <c r="E31" s="189">
        <v>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-39453.99</v>
      </c>
      <c r="W31" s="189">
        <v>-39453.99</v>
      </c>
      <c r="X31" s="189">
        <v>-39453.99</v>
      </c>
      <c r="Y31" s="189">
        <v>-39453.99</v>
      </c>
      <c r="Z31" s="189">
        <v>-7</v>
      </c>
      <c r="AA31" s="189">
        <v>0</v>
      </c>
      <c r="AB31" s="189">
        <v>0</v>
      </c>
      <c r="AC31" s="189">
        <v>-2.48</v>
      </c>
      <c r="AD31" s="189">
        <v>1.76</v>
      </c>
      <c r="AE31" s="189">
        <v>0</v>
      </c>
      <c r="AF31" s="189">
        <v>0</v>
      </c>
      <c r="AG31" s="189">
        <v>0</v>
      </c>
      <c r="AH31" s="189">
        <v>42679.95</v>
      </c>
      <c r="AI31" s="189">
        <v>-42.95</v>
      </c>
      <c r="AJ31" s="189">
        <v>-42.95</v>
      </c>
      <c r="AK31" s="189">
        <v>0</v>
      </c>
      <c r="AL31" s="189">
        <v>-662.14</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c r="BW31" s="189">
        <v>0</v>
      </c>
      <c r="BX31" s="189">
        <v>0</v>
      </c>
      <c r="BY31" s="189">
        <v>0</v>
      </c>
      <c r="BZ31" s="189">
        <v>0</v>
      </c>
      <c r="CA31" s="189">
        <v>0</v>
      </c>
      <c r="CB31" s="189">
        <v>0</v>
      </c>
      <c r="CC31" s="189">
        <v>0</v>
      </c>
      <c r="CD31" s="189">
        <v>0</v>
      </c>
      <c r="CE31" s="189">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BW77"/>
  <sheetViews>
    <sheetView workbookViewId="0">
      <selection activeCell="E7" sqref="E7"/>
    </sheetView>
  </sheetViews>
  <sheetFormatPr defaultRowHeight="13.5"/>
  <cols>
    <col min="1" max="1" width="54.625" style="189" bestFit="1" customWidth="1"/>
    <col min="2" max="2" width="13.875" style="189" bestFit="1" customWidth="1"/>
    <col min="3" max="5" width="13.875" style="189" hidden="1" customWidth="1"/>
    <col min="6" max="6" width="13.875" style="189" bestFit="1" customWidth="1"/>
    <col min="7" max="9" width="13.875" style="189" hidden="1" customWidth="1"/>
    <col min="10" max="10" width="13.875" style="189" bestFit="1" customWidth="1"/>
    <col min="11" max="13" width="13.875" style="189" hidden="1" customWidth="1"/>
    <col min="14" max="14" width="13.875" style="189" bestFit="1" customWidth="1"/>
    <col min="15" max="17" width="13.875" style="189" hidden="1" customWidth="1"/>
    <col min="18" max="18" width="13.875" style="189" bestFit="1" customWidth="1"/>
    <col min="19" max="21" width="13.875" style="189" hidden="1" customWidth="1"/>
    <col min="22" max="22" width="13.875" style="189" bestFit="1" customWidth="1"/>
    <col min="23" max="24" width="13.875" style="189" hidden="1" customWidth="1"/>
    <col min="25" max="25" width="12.75" style="189" hidden="1" customWidth="1"/>
    <col min="26" max="26" width="13.875" style="189" bestFit="1" customWidth="1"/>
    <col min="27" max="29" width="13.875" style="189" hidden="1" customWidth="1"/>
    <col min="30" max="30" width="13.875" style="189" bestFit="1" customWidth="1"/>
    <col min="31" max="33" width="13.875" style="189" hidden="1" customWidth="1"/>
    <col min="34" max="34" width="13.875" style="189" bestFit="1" customWidth="1"/>
    <col min="35" max="37" width="13.875" style="189" hidden="1" customWidth="1"/>
    <col min="38" max="38" width="13.875" style="189" bestFit="1" customWidth="1"/>
    <col min="39" max="40" width="13.875" style="189" hidden="1" customWidth="1"/>
    <col min="41" max="41" width="12.75" style="189" hidden="1" customWidth="1"/>
    <col min="42" max="42" width="13.875" style="189" bestFit="1" customWidth="1"/>
    <col min="43" max="45" width="13.875" style="189" hidden="1" customWidth="1"/>
    <col min="46" max="46" width="12.75" style="189" bestFit="1" customWidth="1"/>
    <col min="47" max="49" width="13.875" style="189" hidden="1" customWidth="1"/>
    <col min="50" max="50" width="13.875" style="189" bestFit="1" customWidth="1"/>
    <col min="51" max="53" width="13.875" style="189" hidden="1" customWidth="1"/>
    <col min="54" max="54" width="13.875" style="189" bestFit="1" customWidth="1"/>
    <col min="55" max="56" width="13.875" style="189" hidden="1" customWidth="1"/>
    <col min="57" max="57" width="12.75" style="189" hidden="1" customWidth="1"/>
    <col min="58" max="58" width="13.875" style="189" bestFit="1" customWidth="1"/>
    <col min="59" max="61" width="13.875" style="189" hidden="1" customWidth="1"/>
    <col min="62" max="62" width="13.875" style="189" bestFit="1" customWidth="1"/>
    <col min="63" max="65" width="13.875" style="189" hidden="1" customWidth="1"/>
    <col min="66" max="66" width="13.875" style="189" bestFit="1" customWidth="1"/>
    <col min="67" max="67" width="13.875" style="189" hidden="1" customWidth="1"/>
    <col min="68" max="68" width="13.875" style="189" bestFit="1" customWidth="1"/>
    <col min="69" max="69" width="13.875" style="189" hidden="1" customWidth="1"/>
    <col min="70" max="70" width="13.875" style="189" bestFit="1" customWidth="1"/>
    <col min="71" max="71" width="13.875" style="189" hidden="1" customWidth="1"/>
    <col min="72" max="73" width="13.875" style="189" bestFit="1" customWidth="1"/>
    <col min="74" max="74" width="13.875" style="189" hidden="1" customWidth="1"/>
    <col min="75" max="75" width="9.5" style="189" hidden="1" customWidth="1"/>
    <col min="76" max="16384" width="9" style="189"/>
  </cols>
  <sheetData>
    <row r="1" spans="1:75">
      <c r="A1" s="189">
        <v>600738</v>
      </c>
      <c r="B1" s="189">
        <v>20181231</v>
      </c>
      <c r="C1" s="189">
        <v>20180930</v>
      </c>
      <c r="D1" s="189">
        <v>20180630</v>
      </c>
      <c r="E1" s="189">
        <v>20180331</v>
      </c>
      <c r="F1" s="189">
        <v>20171231</v>
      </c>
      <c r="G1" s="189">
        <v>20170930</v>
      </c>
      <c r="H1" s="189">
        <v>20170630</v>
      </c>
      <c r="I1" s="189">
        <v>20170331</v>
      </c>
      <c r="J1" s="189">
        <v>20161231</v>
      </c>
      <c r="K1" s="189">
        <v>20160930</v>
      </c>
      <c r="L1" s="189">
        <v>20160630</v>
      </c>
      <c r="M1" s="189">
        <v>20160331</v>
      </c>
      <c r="N1" s="189">
        <v>20151231</v>
      </c>
      <c r="O1" s="189">
        <v>20150930</v>
      </c>
      <c r="P1" s="189">
        <v>20150630</v>
      </c>
      <c r="Q1" s="189">
        <v>20150331</v>
      </c>
      <c r="R1" s="189">
        <v>20141231</v>
      </c>
      <c r="S1" s="189">
        <v>20140930</v>
      </c>
      <c r="T1" s="189">
        <v>20140630</v>
      </c>
      <c r="U1" s="189">
        <v>20140331</v>
      </c>
      <c r="V1" s="189">
        <v>20131231</v>
      </c>
      <c r="W1" s="189">
        <v>20130930</v>
      </c>
      <c r="X1" s="189">
        <v>20130630</v>
      </c>
      <c r="Y1" s="189">
        <v>20130331</v>
      </c>
      <c r="Z1" s="189">
        <v>20121231</v>
      </c>
      <c r="AA1" s="189">
        <v>20120930</v>
      </c>
      <c r="AB1" s="189">
        <v>20120630</v>
      </c>
      <c r="AC1" s="189">
        <v>20120331</v>
      </c>
      <c r="AD1" s="189">
        <v>20111231</v>
      </c>
      <c r="AE1" s="189">
        <v>20110930</v>
      </c>
      <c r="AF1" s="189">
        <v>20110630</v>
      </c>
      <c r="AG1" s="189">
        <v>20110331</v>
      </c>
      <c r="AH1" s="189">
        <v>20101231</v>
      </c>
      <c r="AI1" s="189">
        <v>20100930</v>
      </c>
      <c r="AJ1" s="189">
        <v>20100630</v>
      </c>
      <c r="AK1" s="189">
        <v>20100331</v>
      </c>
      <c r="AL1" s="189">
        <v>20091231</v>
      </c>
      <c r="AM1" s="189">
        <v>20090930</v>
      </c>
      <c r="AN1" s="189">
        <v>20090630</v>
      </c>
      <c r="AO1" s="189">
        <v>20090331</v>
      </c>
      <c r="AP1" s="189">
        <v>20081231</v>
      </c>
      <c r="AQ1" s="189">
        <v>20080930</v>
      </c>
      <c r="AR1" s="189">
        <v>20080630</v>
      </c>
      <c r="AS1" s="189">
        <v>20080331</v>
      </c>
      <c r="AT1" s="189">
        <v>20071231</v>
      </c>
      <c r="AU1" s="189">
        <v>20070930</v>
      </c>
      <c r="AV1" s="189">
        <v>20070630</v>
      </c>
      <c r="AW1" s="189">
        <v>20070331</v>
      </c>
      <c r="AX1" s="189">
        <v>20061231</v>
      </c>
      <c r="AY1" s="189">
        <v>20060930</v>
      </c>
      <c r="AZ1" s="189">
        <v>20060630</v>
      </c>
      <c r="BA1" s="189">
        <v>20060331</v>
      </c>
      <c r="BB1" s="189">
        <v>20051231</v>
      </c>
      <c r="BC1" s="189">
        <v>20050930</v>
      </c>
      <c r="BD1" s="189">
        <v>20050630</v>
      </c>
      <c r="BE1" s="189">
        <v>20050331</v>
      </c>
      <c r="BF1" s="189">
        <v>20041231</v>
      </c>
      <c r="BG1" s="189">
        <v>20040930</v>
      </c>
      <c r="BH1" s="189">
        <v>20040630</v>
      </c>
      <c r="BI1" s="189">
        <v>20040331</v>
      </c>
      <c r="BJ1" s="189">
        <v>20031231</v>
      </c>
      <c r="BK1" s="189">
        <v>20030930</v>
      </c>
      <c r="BL1" s="189">
        <v>20030630</v>
      </c>
      <c r="BM1" s="189">
        <v>20030331</v>
      </c>
      <c r="BN1" s="189">
        <v>20021231</v>
      </c>
      <c r="BO1" s="189">
        <v>20020630</v>
      </c>
      <c r="BP1" s="189">
        <v>20011231</v>
      </c>
      <c r="BQ1" s="189">
        <v>20010630</v>
      </c>
      <c r="BR1" s="189">
        <v>20001231</v>
      </c>
      <c r="BS1" s="189">
        <v>20000630</v>
      </c>
      <c r="BT1" s="189">
        <v>19991231</v>
      </c>
      <c r="BU1" s="189">
        <v>19981231</v>
      </c>
      <c r="BV1" s="189">
        <v>19980630</v>
      </c>
      <c r="BW1" s="189">
        <v>19700101</v>
      </c>
    </row>
    <row r="2" spans="1:75">
      <c r="A2" s="189" t="s">
        <v>105</v>
      </c>
      <c r="B2" s="189" t="s">
        <v>106</v>
      </c>
      <c r="C2" s="189" t="s">
        <v>106</v>
      </c>
      <c r="D2" s="189" t="s">
        <v>106</v>
      </c>
      <c r="E2" s="189" t="s">
        <v>106</v>
      </c>
      <c r="F2" s="189" t="s">
        <v>106</v>
      </c>
      <c r="G2" s="189" t="s">
        <v>106</v>
      </c>
      <c r="H2" s="189" t="s">
        <v>106</v>
      </c>
      <c r="I2" s="189" t="s">
        <v>106</v>
      </c>
      <c r="J2" s="189" t="s">
        <v>106</v>
      </c>
      <c r="K2" s="189" t="s">
        <v>106</v>
      </c>
      <c r="L2" s="189" t="s">
        <v>106</v>
      </c>
      <c r="M2" s="189" t="s">
        <v>106</v>
      </c>
      <c r="N2" s="189" t="s">
        <v>106</v>
      </c>
      <c r="O2" s="189" t="s">
        <v>106</v>
      </c>
      <c r="P2" s="189" t="s">
        <v>106</v>
      </c>
      <c r="Q2" s="189" t="s">
        <v>106</v>
      </c>
      <c r="R2" s="189" t="s">
        <v>106</v>
      </c>
      <c r="S2" s="189" t="s">
        <v>106</v>
      </c>
      <c r="T2" s="189" t="s">
        <v>106</v>
      </c>
      <c r="U2" s="189" t="s">
        <v>106</v>
      </c>
      <c r="V2" s="189" t="s">
        <v>106</v>
      </c>
      <c r="W2" s="189" t="s">
        <v>106</v>
      </c>
      <c r="X2" s="189" t="s">
        <v>106</v>
      </c>
      <c r="Y2" s="189" t="s">
        <v>106</v>
      </c>
      <c r="Z2" s="189" t="s">
        <v>106</v>
      </c>
      <c r="AA2" s="189" t="s">
        <v>106</v>
      </c>
      <c r="AB2" s="189" t="s">
        <v>106</v>
      </c>
      <c r="AC2" s="189" t="s">
        <v>106</v>
      </c>
      <c r="AD2" s="189" t="s">
        <v>106</v>
      </c>
      <c r="AE2" s="189" t="s">
        <v>106</v>
      </c>
      <c r="AF2" s="189" t="s">
        <v>106</v>
      </c>
      <c r="AG2" s="189" t="s">
        <v>106</v>
      </c>
      <c r="AH2" s="189" t="s">
        <v>106</v>
      </c>
      <c r="AI2" s="189" t="s">
        <v>106</v>
      </c>
      <c r="AJ2" s="189" t="s">
        <v>106</v>
      </c>
      <c r="AK2" s="189" t="s">
        <v>106</v>
      </c>
      <c r="AL2" s="189" t="s">
        <v>106</v>
      </c>
      <c r="AM2" s="189" t="s">
        <v>106</v>
      </c>
      <c r="AN2" s="189" t="s">
        <v>106</v>
      </c>
      <c r="AO2" s="189" t="s">
        <v>106</v>
      </c>
      <c r="AP2" s="189" t="s">
        <v>106</v>
      </c>
      <c r="AQ2" s="189" t="s">
        <v>106</v>
      </c>
      <c r="AR2" s="189" t="s">
        <v>106</v>
      </c>
      <c r="AS2" s="189" t="s">
        <v>106</v>
      </c>
      <c r="AT2" s="189" t="s">
        <v>106</v>
      </c>
      <c r="AU2" s="189" t="s">
        <v>106</v>
      </c>
      <c r="AV2" s="189" t="s">
        <v>106</v>
      </c>
      <c r="AW2" s="189" t="s">
        <v>106</v>
      </c>
      <c r="AX2" s="189" t="s">
        <v>106</v>
      </c>
      <c r="AY2" s="189" t="s">
        <v>106</v>
      </c>
      <c r="AZ2" s="189" t="s">
        <v>106</v>
      </c>
      <c r="BA2" s="189" t="s">
        <v>106</v>
      </c>
      <c r="BB2" s="189" t="s">
        <v>106</v>
      </c>
      <c r="BC2" s="189" t="s">
        <v>106</v>
      </c>
      <c r="BD2" s="189" t="s">
        <v>106</v>
      </c>
      <c r="BE2" s="189" t="s">
        <v>106</v>
      </c>
      <c r="BF2" s="189" t="s">
        <v>106</v>
      </c>
      <c r="BG2" s="189" t="s">
        <v>106</v>
      </c>
      <c r="BH2" s="189" t="s">
        <v>106</v>
      </c>
      <c r="BI2" s="189" t="s">
        <v>106</v>
      </c>
      <c r="BJ2" s="189" t="s">
        <v>106</v>
      </c>
      <c r="BK2" s="189" t="s">
        <v>106</v>
      </c>
      <c r="BL2" s="189" t="s">
        <v>106</v>
      </c>
      <c r="BM2" s="189" t="s">
        <v>106</v>
      </c>
      <c r="BN2" s="189" t="s">
        <v>106</v>
      </c>
      <c r="BO2" s="189" t="s">
        <v>106</v>
      </c>
      <c r="BP2" s="189" t="s">
        <v>106</v>
      </c>
      <c r="BQ2" s="189" t="s">
        <v>106</v>
      </c>
      <c r="BR2" s="189" t="s">
        <v>106</v>
      </c>
      <c r="BS2" s="189" t="s">
        <v>106</v>
      </c>
      <c r="BT2" s="189" t="s">
        <v>106</v>
      </c>
      <c r="BU2" s="189" t="s">
        <v>106</v>
      </c>
      <c r="BV2" s="189" t="s">
        <v>106</v>
      </c>
    </row>
    <row r="3" spans="1:75">
      <c r="A3" s="189" t="s">
        <v>219</v>
      </c>
    </row>
    <row r="4" spans="1:75">
      <c r="A4" s="189" t="s">
        <v>220</v>
      </c>
      <c r="B4" s="189">
        <v>1706461177.6600001</v>
      </c>
      <c r="C4" s="189">
        <v>1345591286</v>
      </c>
      <c r="D4" s="189">
        <v>960902469.15999997</v>
      </c>
      <c r="E4" s="189">
        <v>502129074.5</v>
      </c>
      <c r="F4" s="189">
        <v>1854695286.51</v>
      </c>
      <c r="G4" s="189">
        <v>1415745837.46</v>
      </c>
      <c r="H4" s="189">
        <v>992885418.52999997</v>
      </c>
      <c r="I4" s="189">
        <v>379287796.31999999</v>
      </c>
      <c r="J4" s="189">
        <v>1352379046.9000001</v>
      </c>
      <c r="K4" s="189">
        <v>902730926.16999996</v>
      </c>
      <c r="L4" s="189">
        <v>551603610.97000003</v>
      </c>
      <c r="M4" s="189">
        <v>313949469.05000001</v>
      </c>
      <c r="N4" s="189">
        <v>1187969733.3399999</v>
      </c>
      <c r="O4" s="189">
        <v>898431218.70000005</v>
      </c>
      <c r="P4" s="189">
        <v>594780250.76999998</v>
      </c>
      <c r="Q4" s="189">
        <v>336274637.14999998</v>
      </c>
      <c r="R4" s="189">
        <v>1269794497.3399999</v>
      </c>
      <c r="S4" s="189">
        <v>966469664.73000002</v>
      </c>
      <c r="T4" s="189">
        <v>623054859.25</v>
      </c>
      <c r="U4" s="189">
        <v>355580427.99000001</v>
      </c>
      <c r="V4" s="189">
        <v>1549930391.8900001</v>
      </c>
      <c r="W4" s="189">
        <v>1181608398.8800001</v>
      </c>
      <c r="X4" s="189">
        <v>804235621.72000003</v>
      </c>
      <c r="Y4" s="189">
        <v>479853655.19999999</v>
      </c>
      <c r="Z4" s="189">
        <v>1588293330.6400001</v>
      </c>
      <c r="AA4" s="189">
        <v>1164008880.4000001</v>
      </c>
      <c r="AB4" s="189">
        <v>770117632.57000005</v>
      </c>
      <c r="AC4" s="189">
        <v>463274652.42000002</v>
      </c>
      <c r="AD4" s="189">
        <v>1491876696.71</v>
      </c>
      <c r="AE4" s="189">
        <v>1042254980.58</v>
      </c>
      <c r="AF4" s="189">
        <v>723669659.73000002</v>
      </c>
      <c r="AG4" s="189">
        <v>440220999.01999998</v>
      </c>
      <c r="AH4" s="189">
        <v>1167944105.49</v>
      </c>
      <c r="AI4" s="189">
        <v>790906852.47000003</v>
      </c>
      <c r="AJ4" s="189">
        <v>516242600.10000002</v>
      </c>
      <c r="AK4" s="189">
        <v>315802120.52999997</v>
      </c>
      <c r="AL4" s="189">
        <v>896334541.71000004</v>
      </c>
      <c r="AM4" s="189">
        <v>628122786.38</v>
      </c>
      <c r="AN4" s="189">
        <v>404840640.72000003</v>
      </c>
      <c r="AO4" s="189">
        <v>246176806.00999999</v>
      </c>
      <c r="AP4" s="189">
        <v>785787795.63999999</v>
      </c>
      <c r="AQ4" s="189">
        <v>536274470.64999998</v>
      </c>
      <c r="AR4" s="189">
        <v>353416959.31</v>
      </c>
      <c r="AS4" s="189">
        <v>237834482.71000001</v>
      </c>
      <c r="AT4" s="189">
        <v>665661981.5</v>
      </c>
      <c r="AU4" s="189">
        <v>480540722.01999998</v>
      </c>
      <c r="AV4" s="189">
        <v>312698625.39999998</v>
      </c>
      <c r="AW4" s="189">
        <v>196936331.5</v>
      </c>
      <c r="AX4" s="189">
        <v>542731181.20000005</v>
      </c>
      <c r="AY4" s="189">
        <v>379473755.38</v>
      </c>
      <c r="AZ4" s="189">
        <v>262300275.38999999</v>
      </c>
      <c r="BA4" s="189">
        <v>157319141.09999999</v>
      </c>
      <c r="BB4" s="189">
        <v>548411846.47000003</v>
      </c>
      <c r="BC4" s="189">
        <v>385593744.38999999</v>
      </c>
      <c r="BD4" s="189">
        <v>259027204.63999999</v>
      </c>
      <c r="BE4" s="189">
        <v>167388533.16</v>
      </c>
      <c r="BF4" s="189">
        <v>508655500.73000002</v>
      </c>
      <c r="BG4" s="189">
        <v>368786800.36000001</v>
      </c>
      <c r="BH4" s="189">
        <v>250667333.13</v>
      </c>
      <c r="BI4" s="189">
        <v>150106785.18000001</v>
      </c>
      <c r="BJ4" s="189">
        <v>591677194.90999997</v>
      </c>
      <c r="BK4" s="189">
        <v>463615838.31999999</v>
      </c>
      <c r="BL4" s="189">
        <v>311532812.50999999</v>
      </c>
      <c r="BM4" s="189">
        <v>182650685.00999999</v>
      </c>
      <c r="BN4" s="189">
        <v>624585951.97000003</v>
      </c>
      <c r="BO4" s="189">
        <v>343319999.75999999</v>
      </c>
      <c r="BP4" s="189">
        <v>775324123.12</v>
      </c>
      <c r="BQ4" s="189">
        <v>392138915.56</v>
      </c>
      <c r="BR4" s="189">
        <v>724909129.05999994</v>
      </c>
      <c r="BS4" s="189">
        <v>329810414.02999997</v>
      </c>
      <c r="BT4" s="189">
        <v>699908397.16999996</v>
      </c>
      <c r="BU4" s="189">
        <v>615396993.21000004</v>
      </c>
      <c r="BV4" s="189">
        <v>325789207.05000001</v>
      </c>
      <c r="BW4" s="189">
        <v>0</v>
      </c>
    </row>
    <row r="5" spans="1:75">
      <c r="A5" s="189" t="s">
        <v>221</v>
      </c>
      <c r="B5" s="189">
        <v>440000</v>
      </c>
      <c r="C5" s="189">
        <v>735443.35</v>
      </c>
      <c r="D5" s="189">
        <v>734543.1</v>
      </c>
      <c r="E5" s="189">
        <v>4276.1400000000003</v>
      </c>
      <c r="F5" s="189">
        <v>640000</v>
      </c>
      <c r="G5" s="189">
        <v>640000</v>
      </c>
      <c r="H5" s="189">
        <v>640406.06000000006</v>
      </c>
      <c r="I5" s="189">
        <v>0</v>
      </c>
      <c r="J5" s="189">
        <v>0</v>
      </c>
      <c r="K5" s="189">
        <v>517150.84</v>
      </c>
      <c r="L5" s="189">
        <v>0</v>
      </c>
      <c r="M5" s="189">
        <v>0</v>
      </c>
      <c r="N5" s="189">
        <v>0</v>
      </c>
      <c r="O5" s="189">
        <v>671054.18000000005</v>
      </c>
      <c r="P5" s="189">
        <v>24259.8</v>
      </c>
      <c r="Q5" s="189">
        <v>0</v>
      </c>
      <c r="R5" s="189">
        <v>0</v>
      </c>
      <c r="S5" s="189">
        <v>0</v>
      </c>
      <c r="T5" s="189">
        <v>0</v>
      </c>
      <c r="U5" s="189">
        <v>0</v>
      </c>
      <c r="V5" s="189">
        <v>0</v>
      </c>
      <c r="W5" s="189">
        <v>0</v>
      </c>
      <c r="X5" s="189">
        <v>0</v>
      </c>
      <c r="Y5" s="189">
        <v>0</v>
      </c>
      <c r="Z5" s="189">
        <v>0</v>
      </c>
      <c r="AA5" s="189">
        <v>0</v>
      </c>
      <c r="AB5" s="189">
        <v>0</v>
      </c>
      <c r="AC5" s="189">
        <v>0</v>
      </c>
      <c r="AD5" s="189">
        <v>0</v>
      </c>
      <c r="AE5" s="189">
        <v>0</v>
      </c>
      <c r="AF5" s="189">
        <v>0</v>
      </c>
      <c r="AG5" s="189">
        <v>0</v>
      </c>
      <c r="AH5" s="189">
        <v>9639.0300000000007</v>
      </c>
      <c r="AI5" s="189">
        <v>0</v>
      </c>
      <c r="AJ5" s="189">
        <v>0</v>
      </c>
      <c r="AK5" s="189">
        <v>0</v>
      </c>
      <c r="AL5" s="189">
        <v>0</v>
      </c>
      <c r="AM5" s="189">
        <v>0</v>
      </c>
      <c r="AN5" s="189">
        <v>0</v>
      </c>
      <c r="AO5" s="189">
        <v>0</v>
      </c>
      <c r="AP5" s="189">
        <v>0</v>
      </c>
      <c r="AQ5" s="189">
        <v>0</v>
      </c>
      <c r="AR5" s="189">
        <v>0</v>
      </c>
      <c r="AS5" s="189">
        <v>0</v>
      </c>
      <c r="AT5" s="189">
        <v>0</v>
      </c>
      <c r="AU5" s="189">
        <v>0</v>
      </c>
      <c r="AV5" s="189">
        <v>0</v>
      </c>
      <c r="AW5" s="189">
        <v>0</v>
      </c>
      <c r="AX5" s="189">
        <v>0</v>
      </c>
      <c r="AY5" s="189">
        <v>0</v>
      </c>
      <c r="AZ5" s="189">
        <v>0</v>
      </c>
      <c r="BA5" s="189">
        <v>0</v>
      </c>
      <c r="BB5" s="189">
        <v>0</v>
      </c>
      <c r="BC5" s="189">
        <v>0</v>
      </c>
      <c r="BD5" s="189">
        <v>0</v>
      </c>
      <c r="BE5" s="189">
        <v>0</v>
      </c>
      <c r="BF5" s="189">
        <v>0</v>
      </c>
      <c r="BG5" s="189">
        <v>0</v>
      </c>
      <c r="BH5" s="189">
        <v>0</v>
      </c>
      <c r="BI5" s="189">
        <v>0</v>
      </c>
      <c r="BJ5" s="189">
        <v>35997420.880000003</v>
      </c>
      <c r="BK5" s="189">
        <v>1666770.77</v>
      </c>
      <c r="BL5" s="189">
        <v>436628.61</v>
      </c>
      <c r="BM5" s="189">
        <v>0</v>
      </c>
      <c r="BN5" s="189">
        <v>13572846.109999999</v>
      </c>
      <c r="BO5" s="189">
        <v>1686722.76</v>
      </c>
      <c r="BP5" s="189">
        <v>3847390.97</v>
      </c>
      <c r="BQ5" s="189">
        <v>1883618.31</v>
      </c>
      <c r="BR5" s="189">
        <v>14322399.18</v>
      </c>
      <c r="BS5" s="189">
        <v>991082.35</v>
      </c>
      <c r="BT5" s="189">
        <v>4540918.6399999997</v>
      </c>
      <c r="BU5" s="189">
        <v>113045967.95</v>
      </c>
      <c r="BV5" s="189">
        <v>57067340.560000002</v>
      </c>
      <c r="BW5" s="189">
        <v>0</v>
      </c>
    </row>
    <row r="6" spans="1:75">
      <c r="A6" s="189" t="s">
        <v>222</v>
      </c>
      <c r="B6" s="189">
        <v>24310679.760000002</v>
      </c>
      <c r="C6" s="189">
        <v>30503773.199999999</v>
      </c>
      <c r="D6" s="189">
        <v>17478513.960000001</v>
      </c>
      <c r="E6" s="189">
        <v>12430250.449999999</v>
      </c>
      <c r="F6" s="189">
        <v>28677455.120000001</v>
      </c>
      <c r="G6" s="189">
        <v>32956725.02</v>
      </c>
      <c r="H6" s="189">
        <v>18313881.050000001</v>
      </c>
      <c r="I6" s="189">
        <v>4791010.8899999997</v>
      </c>
      <c r="J6" s="189">
        <v>24845602.510000002</v>
      </c>
      <c r="K6" s="189">
        <v>49359410.759999998</v>
      </c>
      <c r="L6" s="189">
        <v>7418969.3499999996</v>
      </c>
      <c r="M6" s="189">
        <v>10329423.68</v>
      </c>
      <c r="N6" s="189">
        <v>16751947.039999999</v>
      </c>
      <c r="O6" s="189">
        <v>19415620.550000001</v>
      </c>
      <c r="P6" s="189">
        <v>15980721.050000001</v>
      </c>
      <c r="Q6" s="189">
        <v>4208140.33</v>
      </c>
      <c r="R6" s="189">
        <v>26797626.02</v>
      </c>
      <c r="S6" s="189">
        <v>26078815.41</v>
      </c>
      <c r="T6" s="189">
        <v>10939645.68</v>
      </c>
      <c r="U6" s="189">
        <v>3620486.14</v>
      </c>
      <c r="V6" s="189">
        <v>32801139.449999999</v>
      </c>
      <c r="W6" s="189">
        <v>23150878.52</v>
      </c>
      <c r="X6" s="189">
        <v>16352859.85</v>
      </c>
      <c r="Y6" s="189">
        <v>7499204.1600000001</v>
      </c>
      <c r="Z6" s="189">
        <v>13597023.34</v>
      </c>
      <c r="AA6" s="189">
        <v>18443054.420000002</v>
      </c>
      <c r="AB6" s="189">
        <v>9267143.8300000001</v>
      </c>
      <c r="AC6" s="189">
        <v>2721414.85</v>
      </c>
      <c r="AD6" s="189">
        <v>10500102.09</v>
      </c>
      <c r="AE6" s="189">
        <v>5252354.29</v>
      </c>
      <c r="AF6" s="189">
        <v>6257935.0599999996</v>
      </c>
      <c r="AG6" s="189">
        <v>3792223.99</v>
      </c>
      <c r="AH6" s="189">
        <v>18045836.440000001</v>
      </c>
      <c r="AI6" s="189">
        <v>16932998.530000001</v>
      </c>
      <c r="AJ6" s="189">
        <v>6655543.5800000001</v>
      </c>
      <c r="AK6" s="189">
        <v>4528230.75</v>
      </c>
      <c r="AL6" s="189">
        <v>8208731.1699999999</v>
      </c>
      <c r="AM6" s="189">
        <v>7628579.9500000002</v>
      </c>
      <c r="AN6" s="189">
        <v>5875546.79</v>
      </c>
      <c r="AO6" s="189">
        <v>4806526.26</v>
      </c>
      <c r="AP6" s="189">
        <v>10211588.939999999</v>
      </c>
      <c r="AQ6" s="189">
        <v>6820925.9400000004</v>
      </c>
      <c r="AR6" s="189">
        <v>4757709.3099999996</v>
      </c>
      <c r="AS6" s="189">
        <v>3122119.62</v>
      </c>
      <c r="AT6" s="189">
        <v>12423170.880000001</v>
      </c>
      <c r="AU6" s="189">
        <v>5203089.5</v>
      </c>
      <c r="AV6" s="189">
        <v>3406239.99</v>
      </c>
      <c r="AW6" s="189">
        <v>2652126.75</v>
      </c>
      <c r="AX6" s="189">
        <v>18487805.989999998</v>
      </c>
      <c r="AY6" s="189">
        <v>8840251.5800000001</v>
      </c>
      <c r="AZ6" s="189">
        <v>7517522.7400000002</v>
      </c>
      <c r="BA6" s="189">
        <v>3976365.23</v>
      </c>
      <c r="BB6" s="189">
        <v>28249099.420000002</v>
      </c>
      <c r="BC6" s="189">
        <v>1080096.04</v>
      </c>
      <c r="BD6" s="189">
        <v>1704449.99</v>
      </c>
      <c r="BE6" s="189">
        <v>1799011.55</v>
      </c>
      <c r="BF6" s="189">
        <v>6309008.5300000003</v>
      </c>
      <c r="BG6" s="189">
        <v>3067553.16</v>
      </c>
      <c r="BH6" s="189">
        <v>2324537.94</v>
      </c>
      <c r="BI6" s="189">
        <v>3868307.09</v>
      </c>
      <c r="BJ6" s="189">
        <v>1256895.6499999999</v>
      </c>
      <c r="BK6" s="189">
        <v>3565726.07</v>
      </c>
      <c r="BL6" s="189">
        <v>2588422.25</v>
      </c>
      <c r="BM6" s="189">
        <v>17589250.780000001</v>
      </c>
      <c r="BN6" s="189">
        <v>3039957.42</v>
      </c>
      <c r="BO6" s="189">
        <v>14089843.16</v>
      </c>
      <c r="BP6" s="189">
        <v>525581.81000000006</v>
      </c>
      <c r="BQ6" s="189">
        <v>4670136.5599999996</v>
      </c>
      <c r="BR6" s="189">
        <v>44439676.670000002</v>
      </c>
      <c r="BS6" s="189">
        <v>830218.78</v>
      </c>
      <c r="BT6" s="189">
        <v>1143370.58</v>
      </c>
      <c r="BU6" s="189">
        <v>1685972.72</v>
      </c>
      <c r="BV6" s="189">
        <v>522833.56</v>
      </c>
      <c r="BW6" s="189">
        <v>0</v>
      </c>
    </row>
    <row r="7" spans="1:75">
      <c r="A7" s="189" t="s">
        <v>223</v>
      </c>
      <c r="B7" s="189">
        <v>1731211857.4200001</v>
      </c>
      <c r="C7" s="189">
        <v>1376830502.55</v>
      </c>
      <c r="D7" s="189">
        <v>979115526.22000003</v>
      </c>
      <c r="E7" s="189">
        <v>514563601.08999997</v>
      </c>
      <c r="F7" s="189">
        <v>1884012741.6300001</v>
      </c>
      <c r="G7" s="189">
        <v>1449342562.48</v>
      </c>
      <c r="H7" s="189">
        <v>1011839705.64</v>
      </c>
      <c r="I7" s="189">
        <v>384078807.20999998</v>
      </c>
      <c r="J7" s="189">
        <v>1377224649.4100001</v>
      </c>
      <c r="K7" s="189">
        <v>952607487.76999998</v>
      </c>
      <c r="L7" s="189">
        <v>559022580.32000005</v>
      </c>
      <c r="M7" s="189">
        <v>324278892.73000002</v>
      </c>
      <c r="N7" s="189">
        <v>1204721680.3800001</v>
      </c>
      <c r="O7" s="189">
        <v>918517893.42999995</v>
      </c>
      <c r="P7" s="189">
        <v>610785231.62</v>
      </c>
      <c r="Q7" s="189">
        <v>340482777.48000002</v>
      </c>
      <c r="R7" s="189">
        <v>1296592123.3599999</v>
      </c>
      <c r="S7" s="189">
        <v>992548480.13999999</v>
      </c>
      <c r="T7" s="189">
        <v>633994504.92999995</v>
      </c>
      <c r="U7" s="189">
        <v>359200914.13</v>
      </c>
      <c r="V7" s="189">
        <v>1582731531.3399999</v>
      </c>
      <c r="W7" s="189">
        <v>1204759277.4000001</v>
      </c>
      <c r="X7" s="189">
        <v>820588481.57000005</v>
      </c>
      <c r="Y7" s="189">
        <v>487352859.36000001</v>
      </c>
      <c r="Z7" s="189">
        <v>1601890353.98</v>
      </c>
      <c r="AA7" s="189">
        <v>1182451934.8199999</v>
      </c>
      <c r="AB7" s="189">
        <v>779384776.39999998</v>
      </c>
      <c r="AC7" s="189">
        <v>465996067.26999998</v>
      </c>
      <c r="AD7" s="189">
        <v>1502376798.8</v>
      </c>
      <c r="AE7" s="189">
        <v>1047507334.87</v>
      </c>
      <c r="AF7" s="189">
        <v>729927594.78999996</v>
      </c>
      <c r="AG7" s="189">
        <v>444013223.00999999</v>
      </c>
      <c r="AH7" s="189">
        <v>1185999580.96</v>
      </c>
      <c r="AI7" s="189">
        <v>807839851</v>
      </c>
      <c r="AJ7" s="189">
        <v>522898143.68000001</v>
      </c>
      <c r="AK7" s="189">
        <v>320330351.27999997</v>
      </c>
      <c r="AL7" s="189">
        <v>904543272.88</v>
      </c>
      <c r="AM7" s="189">
        <v>635751366.33000004</v>
      </c>
      <c r="AN7" s="189">
        <v>410716187.50999999</v>
      </c>
      <c r="AO7" s="189">
        <v>250983332.27000001</v>
      </c>
      <c r="AP7" s="189">
        <v>795999384.58000004</v>
      </c>
      <c r="AQ7" s="189">
        <v>543095396.59000003</v>
      </c>
      <c r="AR7" s="189">
        <v>358174668.62</v>
      </c>
      <c r="AS7" s="189">
        <v>240956602.33000001</v>
      </c>
      <c r="AT7" s="189">
        <v>678085152.38</v>
      </c>
      <c r="AU7" s="189">
        <v>485743811.51999998</v>
      </c>
      <c r="AV7" s="189">
        <v>316104865.38999999</v>
      </c>
      <c r="AW7" s="189">
        <v>199588458.25</v>
      </c>
      <c r="AX7" s="189">
        <v>561218987.19000006</v>
      </c>
      <c r="AY7" s="189">
        <v>388314006.95999998</v>
      </c>
      <c r="AZ7" s="189">
        <v>269817798.13</v>
      </c>
      <c r="BA7" s="189">
        <v>161295506.33000001</v>
      </c>
      <c r="BB7" s="189">
        <v>576660945.88999999</v>
      </c>
      <c r="BC7" s="189">
        <v>386673840.43000001</v>
      </c>
      <c r="BD7" s="189">
        <v>260731654.63</v>
      </c>
      <c r="BE7" s="189">
        <v>169187544.71000001</v>
      </c>
      <c r="BF7" s="189">
        <v>514964509.25999999</v>
      </c>
      <c r="BG7" s="189">
        <v>371854353.51999998</v>
      </c>
      <c r="BH7" s="189">
        <v>252991871.06999999</v>
      </c>
      <c r="BI7" s="189">
        <v>153975092.27000001</v>
      </c>
      <c r="BJ7" s="189">
        <v>628931511.44000006</v>
      </c>
      <c r="BK7" s="189">
        <v>468848335.16000003</v>
      </c>
      <c r="BL7" s="189">
        <v>314548863.37</v>
      </c>
      <c r="BM7" s="189">
        <v>200239935.78999999</v>
      </c>
      <c r="BN7" s="189">
        <v>641198755.5</v>
      </c>
      <c r="BO7" s="189">
        <v>359096565.68000001</v>
      </c>
      <c r="BP7" s="189">
        <v>779697095.89999998</v>
      </c>
      <c r="BQ7" s="189">
        <v>398692670.43000001</v>
      </c>
      <c r="BR7" s="189">
        <v>783671204.90999997</v>
      </c>
      <c r="BS7" s="189">
        <v>331631715.16000003</v>
      </c>
      <c r="BT7" s="189">
        <v>705592686.38999999</v>
      </c>
      <c r="BU7" s="189">
        <v>730128933.88</v>
      </c>
      <c r="BV7" s="189">
        <v>383379381.17000002</v>
      </c>
      <c r="BW7" s="189">
        <v>0</v>
      </c>
    </row>
    <row r="8" spans="1:75">
      <c r="A8" s="189" t="s">
        <v>224</v>
      </c>
      <c r="B8" s="189">
        <v>1248877244.8199999</v>
      </c>
      <c r="C8" s="189">
        <v>1019621923.37</v>
      </c>
      <c r="D8" s="189">
        <v>696985134.89999998</v>
      </c>
      <c r="E8" s="189">
        <v>439531256.18000001</v>
      </c>
      <c r="F8" s="189">
        <v>1281126739.76</v>
      </c>
      <c r="G8" s="189">
        <v>1007426315.23</v>
      </c>
      <c r="H8" s="189">
        <v>662275475.14999998</v>
      </c>
      <c r="I8" s="189">
        <v>423978386.16000003</v>
      </c>
      <c r="J8" s="189">
        <v>1150685525</v>
      </c>
      <c r="K8" s="189">
        <v>878845872.04999995</v>
      </c>
      <c r="L8" s="189">
        <v>613555571.64999998</v>
      </c>
      <c r="M8" s="189">
        <v>368099711.89999998</v>
      </c>
      <c r="N8" s="189">
        <v>1145407151.9400001</v>
      </c>
      <c r="O8" s="189">
        <v>881631679.80999994</v>
      </c>
      <c r="P8" s="189">
        <v>611363289.32000005</v>
      </c>
      <c r="Q8" s="189">
        <v>354006087.24000001</v>
      </c>
      <c r="R8" s="189">
        <v>1180508640.52</v>
      </c>
      <c r="S8" s="189">
        <v>927163184.21000004</v>
      </c>
      <c r="T8" s="189">
        <v>595701156.65999997</v>
      </c>
      <c r="U8" s="189">
        <v>356201946.75999999</v>
      </c>
      <c r="V8" s="189">
        <v>1302165024.5599999</v>
      </c>
      <c r="W8" s="189">
        <v>1028818607.0599999</v>
      </c>
      <c r="X8" s="189">
        <v>730763348.22000003</v>
      </c>
      <c r="Y8" s="189">
        <v>370993061.92000002</v>
      </c>
      <c r="Z8" s="189">
        <v>1262229809.75</v>
      </c>
      <c r="AA8" s="189">
        <v>975863061.23000002</v>
      </c>
      <c r="AB8" s="189">
        <v>674815055.37</v>
      </c>
      <c r="AC8" s="189">
        <v>375247379.69</v>
      </c>
      <c r="AD8" s="189">
        <v>1133967289.8499999</v>
      </c>
      <c r="AE8" s="189">
        <v>839660412.23000002</v>
      </c>
      <c r="AF8" s="189">
        <v>600607534.73000002</v>
      </c>
      <c r="AG8" s="189">
        <v>357230888.64999998</v>
      </c>
      <c r="AH8" s="189">
        <v>833991536.63999999</v>
      </c>
      <c r="AI8" s="189">
        <v>609204183.92999995</v>
      </c>
      <c r="AJ8" s="189">
        <v>398858825.10000002</v>
      </c>
      <c r="AK8" s="189">
        <v>230084743.34999999</v>
      </c>
      <c r="AL8" s="189">
        <v>633888177.98000002</v>
      </c>
      <c r="AM8" s="189">
        <v>472223139.20999998</v>
      </c>
      <c r="AN8" s="189">
        <v>320278917.93000001</v>
      </c>
      <c r="AO8" s="189">
        <v>175494091.50999999</v>
      </c>
      <c r="AP8" s="189">
        <v>573718833.36000001</v>
      </c>
      <c r="AQ8" s="189">
        <v>448731688.33999997</v>
      </c>
      <c r="AR8" s="189">
        <v>316075206.13999999</v>
      </c>
      <c r="AS8" s="189">
        <v>182540350.80000001</v>
      </c>
      <c r="AT8" s="189">
        <v>479786211.26999998</v>
      </c>
      <c r="AU8" s="189">
        <v>359918115.24000001</v>
      </c>
      <c r="AV8" s="189">
        <v>237735816.24000001</v>
      </c>
      <c r="AW8" s="189">
        <v>112030979.68000001</v>
      </c>
      <c r="AX8" s="189">
        <v>408069482.35000002</v>
      </c>
      <c r="AY8" s="189">
        <v>298784790.75999999</v>
      </c>
      <c r="AZ8" s="189">
        <v>199187475.12</v>
      </c>
      <c r="BA8" s="189">
        <v>97907364.569999993</v>
      </c>
      <c r="BB8" s="189">
        <v>378814562.81</v>
      </c>
      <c r="BC8" s="189">
        <v>284420065.81999999</v>
      </c>
      <c r="BD8" s="189">
        <v>185445031.47999999</v>
      </c>
      <c r="BE8" s="189">
        <v>86615437.290000007</v>
      </c>
      <c r="BF8" s="189">
        <v>347260330.43000001</v>
      </c>
      <c r="BG8" s="189">
        <v>268459945.08999997</v>
      </c>
      <c r="BH8" s="189">
        <v>179464239.71000001</v>
      </c>
      <c r="BI8" s="189">
        <v>94461511.959999993</v>
      </c>
      <c r="BJ8" s="189">
        <v>480705470.99000001</v>
      </c>
      <c r="BK8" s="189">
        <v>365003437.22000003</v>
      </c>
      <c r="BL8" s="189">
        <v>247344128</v>
      </c>
      <c r="BM8" s="189">
        <v>123773572.53</v>
      </c>
      <c r="BN8" s="189">
        <v>528052949.80000001</v>
      </c>
      <c r="BO8" s="189">
        <v>303600456.61000001</v>
      </c>
      <c r="BP8" s="189">
        <v>661389882.88999999</v>
      </c>
      <c r="BQ8" s="189">
        <v>326486917.63999999</v>
      </c>
      <c r="BR8" s="189">
        <v>614151272.37</v>
      </c>
      <c r="BS8" s="189">
        <v>272519552.69999999</v>
      </c>
      <c r="BT8" s="189">
        <v>557191361.37</v>
      </c>
      <c r="BU8" s="189">
        <v>476770148.50999999</v>
      </c>
      <c r="BV8" s="189">
        <v>250710303.86000001</v>
      </c>
      <c r="BW8" s="189">
        <v>0</v>
      </c>
    </row>
    <row r="9" spans="1:75">
      <c r="A9" s="189" t="s">
        <v>225</v>
      </c>
      <c r="B9" s="189">
        <v>112735251.36</v>
      </c>
      <c r="C9" s="189">
        <v>89185735.900000006</v>
      </c>
      <c r="D9" s="189">
        <v>64050945.140000001</v>
      </c>
      <c r="E9" s="189">
        <v>54458671.380000003</v>
      </c>
      <c r="F9" s="189">
        <v>93061732.530000001</v>
      </c>
      <c r="G9" s="189">
        <v>72143451.189999998</v>
      </c>
      <c r="H9" s="189">
        <v>52513153.390000001</v>
      </c>
      <c r="I9" s="189">
        <v>29304776.260000002</v>
      </c>
      <c r="J9" s="189">
        <v>68753556.260000005</v>
      </c>
      <c r="K9" s="189">
        <v>55939821.840000004</v>
      </c>
      <c r="L9" s="189">
        <v>40658910.810000002</v>
      </c>
      <c r="M9" s="189">
        <v>27874763.530000001</v>
      </c>
      <c r="N9" s="189">
        <v>69014005.150000006</v>
      </c>
      <c r="O9" s="189">
        <v>56290320.75</v>
      </c>
      <c r="P9" s="189">
        <v>42285763.530000001</v>
      </c>
      <c r="Q9" s="189">
        <v>28817991.550000001</v>
      </c>
      <c r="R9" s="189">
        <v>72697490.319999993</v>
      </c>
      <c r="S9" s="189">
        <v>59601559.210000001</v>
      </c>
      <c r="T9" s="189">
        <v>44905694.020000003</v>
      </c>
      <c r="U9" s="189">
        <v>30780348.91</v>
      </c>
      <c r="V9" s="189">
        <v>70260590.400000006</v>
      </c>
      <c r="W9" s="189">
        <v>55162839.810000002</v>
      </c>
      <c r="X9" s="189">
        <v>41702211.619999997</v>
      </c>
      <c r="Y9" s="189">
        <v>28236946.879999999</v>
      </c>
      <c r="Z9" s="189">
        <v>59420471.670000002</v>
      </c>
      <c r="AA9" s="189">
        <v>45580811.670000002</v>
      </c>
      <c r="AB9" s="189">
        <v>34241165.640000001</v>
      </c>
      <c r="AC9" s="189">
        <v>22083977.649999999</v>
      </c>
      <c r="AD9" s="189">
        <v>49878171.299999997</v>
      </c>
      <c r="AE9" s="189">
        <v>36563358.68</v>
      </c>
      <c r="AF9" s="189">
        <v>28613061.210000001</v>
      </c>
      <c r="AG9" s="189">
        <v>20005432.559999999</v>
      </c>
      <c r="AH9" s="189">
        <v>33344297.359999999</v>
      </c>
      <c r="AI9" s="189">
        <v>27733566.239999998</v>
      </c>
      <c r="AJ9" s="189">
        <v>19499155.859999999</v>
      </c>
      <c r="AK9" s="189">
        <v>6399856.75</v>
      </c>
      <c r="AL9" s="189">
        <v>27350041.969999999</v>
      </c>
      <c r="AM9" s="189">
        <v>21135951.100000001</v>
      </c>
      <c r="AN9" s="189">
        <v>15400563.720000001</v>
      </c>
      <c r="AO9" s="189">
        <v>10835805.710000001</v>
      </c>
      <c r="AP9" s="189">
        <v>27117504.82</v>
      </c>
      <c r="AQ9" s="189">
        <v>21715729.800000001</v>
      </c>
      <c r="AR9" s="189">
        <v>15625612.99</v>
      </c>
      <c r="AS9" s="189">
        <v>9337333.1600000001</v>
      </c>
      <c r="AT9" s="189">
        <v>20840610.649999999</v>
      </c>
      <c r="AU9" s="189">
        <v>15890555.119999999</v>
      </c>
      <c r="AV9" s="189">
        <v>12027687.859999999</v>
      </c>
      <c r="AW9" s="189">
        <v>4395254.9000000004</v>
      </c>
      <c r="AX9" s="189">
        <v>19467554.25</v>
      </c>
      <c r="AY9" s="189">
        <v>14269693.59</v>
      </c>
      <c r="AZ9" s="189">
        <v>12189055.359999999</v>
      </c>
      <c r="BA9" s="189">
        <v>7181619.3200000003</v>
      </c>
      <c r="BB9" s="189">
        <v>18777084.699999999</v>
      </c>
      <c r="BC9" s="189">
        <v>14430919.35</v>
      </c>
      <c r="BD9" s="189">
        <v>10660084.560000001</v>
      </c>
      <c r="BE9" s="189">
        <v>6186365.1699999999</v>
      </c>
      <c r="BF9" s="189">
        <v>23374549.219999999</v>
      </c>
      <c r="BG9" s="189">
        <v>17652779.670000002</v>
      </c>
      <c r="BH9" s="189">
        <v>12716130.98</v>
      </c>
      <c r="BI9" s="189">
        <v>7862366.46</v>
      </c>
      <c r="BJ9" s="189">
        <v>32128610.73</v>
      </c>
      <c r="BK9" s="189">
        <v>26070386</v>
      </c>
      <c r="BL9" s="189">
        <v>15967472.49</v>
      </c>
      <c r="BM9" s="189">
        <v>9324146.7899999991</v>
      </c>
      <c r="BN9" s="189">
        <v>33689194.649999999</v>
      </c>
      <c r="BO9" s="189">
        <v>17753274.66</v>
      </c>
      <c r="BP9" s="189">
        <v>44120655.490000002</v>
      </c>
      <c r="BQ9" s="189">
        <v>20884668.940000001</v>
      </c>
      <c r="BR9" s="189">
        <v>37737492.770000003</v>
      </c>
      <c r="BS9" s="189">
        <v>14245120.689999999</v>
      </c>
      <c r="BT9" s="189">
        <v>38175300.100000001</v>
      </c>
      <c r="BU9" s="189">
        <v>25502732.16</v>
      </c>
      <c r="BV9" s="189">
        <v>17062051.84</v>
      </c>
      <c r="BW9" s="189">
        <v>0</v>
      </c>
    </row>
    <row r="10" spans="1:75">
      <c r="A10" s="189" t="s">
        <v>226</v>
      </c>
      <c r="B10" s="189">
        <v>180325495.68000001</v>
      </c>
      <c r="C10" s="189">
        <v>161761456.78999999</v>
      </c>
      <c r="D10" s="189">
        <v>134996530.33000001</v>
      </c>
      <c r="E10" s="189">
        <v>38505016.68</v>
      </c>
      <c r="F10" s="189">
        <v>199785076.87</v>
      </c>
      <c r="G10" s="189">
        <v>167840448.12</v>
      </c>
      <c r="H10" s="189">
        <v>116738382.63</v>
      </c>
      <c r="I10" s="189">
        <v>26148372.829999998</v>
      </c>
      <c r="J10" s="189">
        <v>84560039.719999999</v>
      </c>
      <c r="K10" s="189">
        <v>56144000.109999999</v>
      </c>
      <c r="L10" s="189">
        <v>35657912.68</v>
      </c>
      <c r="M10" s="189">
        <v>18762721.559999999</v>
      </c>
      <c r="N10" s="189">
        <v>89181320.629999995</v>
      </c>
      <c r="O10" s="189">
        <v>68504732.930000007</v>
      </c>
      <c r="P10" s="189">
        <v>46547851.43</v>
      </c>
      <c r="Q10" s="189">
        <v>28478937.789999999</v>
      </c>
      <c r="R10" s="189">
        <v>110195175.38</v>
      </c>
      <c r="S10" s="189">
        <v>88237355.159999996</v>
      </c>
      <c r="T10" s="189">
        <v>64100610.689999998</v>
      </c>
      <c r="U10" s="189">
        <v>24286040</v>
      </c>
      <c r="V10" s="189">
        <v>100364952.89</v>
      </c>
      <c r="W10" s="189">
        <v>84251859.370000005</v>
      </c>
      <c r="X10" s="189">
        <v>65451962.439999998</v>
      </c>
      <c r="Y10" s="189">
        <v>26418325.75</v>
      </c>
      <c r="Z10" s="189">
        <v>81053369.969999999</v>
      </c>
      <c r="AA10" s="189">
        <v>67567991.299999997</v>
      </c>
      <c r="AB10" s="189">
        <v>54745893.969999999</v>
      </c>
      <c r="AC10" s="189">
        <v>29044569.68</v>
      </c>
      <c r="AD10" s="189">
        <v>63740323.710000001</v>
      </c>
      <c r="AE10" s="189">
        <v>39205167.909999996</v>
      </c>
      <c r="AF10" s="189">
        <v>31452654.690000001</v>
      </c>
      <c r="AG10" s="189">
        <v>22045729.690000001</v>
      </c>
      <c r="AH10" s="189">
        <v>49685507.590000004</v>
      </c>
      <c r="AI10" s="189">
        <v>37386240.229999997</v>
      </c>
      <c r="AJ10" s="189">
        <v>21723336.199999999</v>
      </c>
      <c r="AK10" s="189">
        <v>17249169.02</v>
      </c>
      <c r="AL10" s="189">
        <v>34932022.210000001</v>
      </c>
      <c r="AM10" s="189">
        <v>24027072.449999999</v>
      </c>
      <c r="AN10" s="189">
        <v>18830562.140000001</v>
      </c>
      <c r="AO10" s="189">
        <v>13604307.23</v>
      </c>
      <c r="AP10" s="189">
        <v>25088116.460000001</v>
      </c>
      <c r="AQ10" s="189">
        <v>18592298.09</v>
      </c>
      <c r="AR10" s="189">
        <v>14139493.07</v>
      </c>
      <c r="AS10" s="189">
        <v>10885802.939999999</v>
      </c>
      <c r="AT10" s="189">
        <v>29421525.739999998</v>
      </c>
      <c r="AU10" s="189">
        <v>21597892.550000001</v>
      </c>
      <c r="AV10" s="189">
        <v>17880446.440000001</v>
      </c>
      <c r="AW10" s="189">
        <v>15046698.33</v>
      </c>
      <c r="AX10" s="189">
        <v>24056239.170000002</v>
      </c>
      <c r="AY10" s="189">
        <v>17603409.289999999</v>
      </c>
      <c r="AZ10" s="189">
        <v>14105906.720000001</v>
      </c>
      <c r="BA10" s="189">
        <v>11678454.890000001</v>
      </c>
      <c r="BB10" s="189">
        <v>24110952.140000001</v>
      </c>
      <c r="BC10" s="189">
        <v>16705288.199999999</v>
      </c>
      <c r="BD10" s="189">
        <v>14278644.08</v>
      </c>
      <c r="BE10" s="189">
        <v>11963022.140000001</v>
      </c>
      <c r="BF10" s="189">
        <v>20902250.91</v>
      </c>
      <c r="BG10" s="189">
        <v>14494013.1</v>
      </c>
      <c r="BH10" s="189">
        <v>12235847.85</v>
      </c>
      <c r="BI10" s="189">
        <v>8508321.1400000006</v>
      </c>
      <c r="BJ10" s="189">
        <v>14810492.380000001</v>
      </c>
      <c r="BK10" s="189">
        <v>12667571.109999999</v>
      </c>
      <c r="BL10" s="189">
        <v>10897993.039999999</v>
      </c>
      <c r="BM10" s="189">
        <v>8942974.6999999993</v>
      </c>
      <c r="BN10" s="189">
        <v>18995618.07</v>
      </c>
      <c r="BO10" s="189">
        <v>11066427.189999999</v>
      </c>
      <c r="BP10" s="189">
        <v>27460239.149999999</v>
      </c>
      <c r="BQ10" s="189">
        <v>16412303.640000001</v>
      </c>
      <c r="BR10" s="189">
        <v>39736598.859999999</v>
      </c>
      <c r="BS10" s="189">
        <v>18225866.91</v>
      </c>
      <c r="BT10" s="189">
        <v>35898612.340000004</v>
      </c>
      <c r="BU10" s="189">
        <v>123943582.09</v>
      </c>
      <c r="BV10" s="189">
        <v>58535624</v>
      </c>
      <c r="BW10" s="189">
        <v>0</v>
      </c>
    </row>
    <row r="11" spans="1:75">
      <c r="A11" s="189" t="s">
        <v>227</v>
      </c>
      <c r="B11" s="189">
        <v>61169436.590000004</v>
      </c>
      <c r="C11" s="189">
        <v>78588885.890000001</v>
      </c>
      <c r="D11" s="189">
        <v>47693601.810000002</v>
      </c>
      <c r="E11" s="189">
        <v>29050210.809999999</v>
      </c>
      <c r="F11" s="189">
        <v>61981016.119999997</v>
      </c>
      <c r="G11" s="189">
        <v>67306049.579999998</v>
      </c>
      <c r="H11" s="189">
        <v>38044069.469999999</v>
      </c>
      <c r="I11" s="189">
        <v>10457249.529999999</v>
      </c>
      <c r="J11" s="189">
        <v>37425950.32</v>
      </c>
      <c r="K11" s="189">
        <v>57964935.93</v>
      </c>
      <c r="L11" s="189">
        <v>21389822.559999999</v>
      </c>
      <c r="M11" s="189">
        <v>10603170.74</v>
      </c>
      <c r="N11" s="189">
        <v>32458647.170000002</v>
      </c>
      <c r="O11" s="189">
        <v>29035219.18</v>
      </c>
      <c r="P11" s="189">
        <v>19428251.719999999</v>
      </c>
      <c r="Q11" s="189">
        <v>10056417.640000001</v>
      </c>
      <c r="R11" s="189">
        <v>54057742.299999997</v>
      </c>
      <c r="S11" s="189">
        <v>32308222.23</v>
      </c>
      <c r="T11" s="189">
        <v>33162696.760000002</v>
      </c>
      <c r="U11" s="189">
        <v>14076096.73</v>
      </c>
      <c r="V11" s="189">
        <v>72686913.620000005</v>
      </c>
      <c r="W11" s="189">
        <v>54102068.210000001</v>
      </c>
      <c r="X11" s="189">
        <v>28078205.84</v>
      </c>
      <c r="Y11" s="189">
        <v>8228562.2300000004</v>
      </c>
      <c r="Z11" s="189">
        <v>47333907.799999997</v>
      </c>
      <c r="AA11" s="189">
        <v>46504279.229999997</v>
      </c>
      <c r="AB11" s="189">
        <v>25501240.989999998</v>
      </c>
      <c r="AC11" s="189">
        <v>10259102.869999999</v>
      </c>
      <c r="AD11" s="189">
        <v>48690842.340000004</v>
      </c>
      <c r="AE11" s="189">
        <v>30368962.510000002</v>
      </c>
      <c r="AF11" s="189">
        <v>29761189.550000001</v>
      </c>
      <c r="AG11" s="189">
        <v>16141359.130000001</v>
      </c>
      <c r="AH11" s="189">
        <v>72821307.799999997</v>
      </c>
      <c r="AI11" s="189">
        <v>57152498.579999998</v>
      </c>
      <c r="AJ11" s="189">
        <v>17439068.539999999</v>
      </c>
      <c r="AK11" s="189">
        <v>9273718.5800000001</v>
      </c>
      <c r="AL11" s="189">
        <v>26686160.120000001</v>
      </c>
      <c r="AM11" s="189">
        <v>36925684.609999999</v>
      </c>
      <c r="AN11" s="189">
        <v>23784593.16</v>
      </c>
      <c r="AO11" s="189">
        <v>9793969.2400000002</v>
      </c>
      <c r="AP11" s="189">
        <v>35561778.539999999</v>
      </c>
      <c r="AQ11" s="189">
        <v>22480350.620000001</v>
      </c>
      <c r="AR11" s="189">
        <v>18255253.699999999</v>
      </c>
      <c r="AS11" s="189">
        <v>9304665.7599999998</v>
      </c>
      <c r="AT11" s="189">
        <v>33273287.760000002</v>
      </c>
      <c r="AU11" s="189">
        <v>16580899.289999999</v>
      </c>
      <c r="AV11" s="189">
        <v>15874536.800000001</v>
      </c>
      <c r="AW11" s="189">
        <v>8139267.1900000004</v>
      </c>
      <c r="AX11" s="189">
        <v>43881935.789999999</v>
      </c>
      <c r="AY11" s="189">
        <v>30594859.440000001</v>
      </c>
      <c r="AZ11" s="189">
        <v>27374816.649999999</v>
      </c>
      <c r="BA11" s="189">
        <v>5663298.7000000002</v>
      </c>
      <c r="BB11" s="189">
        <v>24067446.07</v>
      </c>
      <c r="BC11" s="189">
        <v>22391096.239999998</v>
      </c>
      <c r="BD11" s="189">
        <v>45362258.340000004</v>
      </c>
      <c r="BE11" s="189">
        <v>5570629.96</v>
      </c>
      <c r="BF11" s="189">
        <v>24547670.300000001</v>
      </c>
      <c r="BG11" s="189">
        <v>10726576.119999999</v>
      </c>
      <c r="BH11" s="189">
        <v>8738091.5399999991</v>
      </c>
      <c r="BI11" s="189">
        <v>6334574.46</v>
      </c>
      <c r="BJ11" s="189">
        <v>29795485.379999999</v>
      </c>
      <c r="BK11" s="189">
        <v>28056922.440000001</v>
      </c>
      <c r="BL11" s="189">
        <v>21233679.649999999</v>
      </c>
      <c r="BM11" s="189">
        <v>20225358.649999999</v>
      </c>
      <c r="BN11" s="189">
        <v>35326779.880000003</v>
      </c>
      <c r="BO11" s="189">
        <v>8133542.4699999997</v>
      </c>
      <c r="BP11" s="189">
        <v>50476741.799999997</v>
      </c>
      <c r="BQ11" s="189">
        <v>21617085.82</v>
      </c>
      <c r="BR11" s="189">
        <v>25555732.489999998</v>
      </c>
      <c r="BS11" s="189">
        <v>11112645.08</v>
      </c>
      <c r="BT11" s="189">
        <v>28778895.440000001</v>
      </c>
      <c r="BU11" s="189">
        <v>34623259.18</v>
      </c>
      <c r="BV11" s="189">
        <v>20928911.629999999</v>
      </c>
      <c r="BW11" s="189">
        <v>0</v>
      </c>
    </row>
    <row r="12" spans="1:75">
      <c r="A12" s="189" t="s">
        <v>228</v>
      </c>
      <c r="B12" s="189">
        <v>1603107428.45</v>
      </c>
      <c r="C12" s="189">
        <v>1349158001.95</v>
      </c>
      <c r="D12" s="189">
        <v>943726212.17999995</v>
      </c>
      <c r="E12" s="189">
        <v>561545155.04999995</v>
      </c>
      <c r="F12" s="189">
        <v>1635954565.28</v>
      </c>
      <c r="G12" s="189">
        <v>1314716264.1199999</v>
      </c>
      <c r="H12" s="189">
        <v>869571080.63999999</v>
      </c>
      <c r="I12" s="189">
        <v>489888784.77999997</v>
      </c>
      <c r="J12" s="189">
        <v>1341425071.3</v>
      </c>
      <c r="K12" s="189">
        <v>1048894629.9299999</v>
      </c>
      <c r="L12" s="189">
        <v>711262217.70000005</v>
      </c>
      <c r="M12" s="189">
        <v>425340367.73000002</v>
      </c>
      <c r="N12" s="189">
        <v>1336061124.8900001</v>
      </c>
      <c r="O12" s="189">
        <v>1035461952.67</v>
      </c>
      <c r="P12" s="189">
        <v>719625156</v>
      </c>
      <c r="Q12" s="189">
        <v>421359434.22000003</v>
      </c>
      <c r="R12" s="189">
        <v>1417459048.52</v>
      </c>
      <c r="S12" s="189">
        <v>1107310320.8099999</v>
      </c>
      <c r="T12" s="189">
        <v>737870158.13</v>
      </c>
      <c r="U12" s="189">
        <v>425344432.39999998</v>
      </c>
      <c r="V12" s="189">
        <v>1545477481.47</v>
      </c>
      <c r="W12" s="189">
        <v>1222335374.45</v>
      </c>
      <c r="X12" s="189">
        <v>865995728.12</v>
      </c>
      <c r="Y12" s="189">
        <v>433876896.77999997</v>
      </c>
      <c r="Z12" s="189">
        <v>1450037559.1900001</v>
      </c>
      <c r="AA12" s="189">
        <v>1135516143.4300001</v>
      </c>
      <c r="AB12" s="189">
        <v>789303355.97000003</v>
      </c>
      <c r="AC12" s="189">
        <v>436635029.88999999</v>
      </c>
      <c r="AD12" s="189">
        <v>1296276627.2</v>
      </c>
      <c r="AE12" s="189">
        <v>945797901.33000004</v>
      </c>
      <c r="AF12" s="189">
        <v>690434440.17999995</v>
      </c>
      <c r="AG12" s="189">
        <v>415423410.02999997</v>
      </c>
      <c r="AH12" s="189">
        <v>989842649.38999999</v>
      </c>
      <c r="AI12" s="189">
        <v>731476488.98000002</v>
      </c>
      <c r="AJ12" s="189">
        <v>457520385.69999999</v>
      </c>
      <c r="AK12" s="189">
        <v>263007487.69999999</v>
      </c>
      <c r="AL12" s="189">
        <v>722856402.27999997</v>
      </c>
      <c r="AM12" s="189">
        <v>554311847.37</v>
      </c>
      <c r="AN12" s="189">
        <v>378294636.94999999</v>
      </c>
      <c r="AO12" s="189">
        <v>209728173.69</v>
      </c>
      <c r="AP12" s="189">
        <v>661486233.17999995</v>
      </c>
      <c r="AQ12" s="189">
        <v>511520066.85000002</v>
      </c>
      <c r="AR12" s="189">
        <v>364095565.89999998</v>
      </c>
      <c r="AS12" s="189">
        <v>212068152.66</v>
      </c>
      <c r="AT12" s="189">
        <v>563321635.41999996</v>
      </c>
      <c r="AU12" s="189">
        <v>413987462.19999999</v>
      </c>
      <c r="AV12" s="189">
        <v>283518487.33999997</v>
      </c>
      <c r="AW12" s="189">
        <v>139612200.09999999</v>
      </c>
      <c r="AX12" s="189">
        <v>495475211.56</v>
      </c>
      <c r="AY12" s="189">
        <v>361252753.07999998</v>
      </c>
      <c r="AZ12" s="189">
        <v>252857253.84999999</v>
      </c>
      <c r="BA12" s="189">
        <v>122430737.48</v>
      </c>
      <c r="BB12" s="189">
        <v>445770045.72000003</v>
      </c>
      <c r="BC12" s="189">
        <v>337947369.61000001</v>
      </c>
      <c r="BD12" s="189">
        <v>255746018.46000001</v>
      </c>
      <c r="BE12" s="189">
        <v>110335454.56</v>
      </c>
      <c r="BF12" s="189">
        <v>416084800.86000001</v>
      </c>
      <c r="BG12" s="189">
        <v>311333313.98000002</v>
      </c>
      <c r="BH12" s="189">
        <v>213154310.08000001</v>
      </c>
      <c r="BI12" s="189">
        <v>117166774.02</v>
      </c>
      <c r="BJ12" s="189">
        <v>557440059.48000002</v>
      </c>
      <c r="BK12" s="189">
        <v>431798316.76999998</v>
      </c>
      <c r="BL12" s="189">
        <v>295443273.18000001</v>
      </c>
      <c r="BM12" s="189">
        <v>162266052.66999999</v>
      </c>
      <c r="BN12" s="189">
        <v>616064542.39999998</v>
      </c>
      <c r="BO12" s="189">
        <v>340553700.93000001</v>
      </c>
      <c r="BP12" s="189">
        <v>783447519.33000004</v>
      </c>
      <c r="BQ12" s="189">
        <v>385400976.04000002</v>
      </c>
      <c r="BR12" s="189">
        <v>717181096.49000001</v>
      </c>
      <c r="BS12" s="189">
        <v>316103185.38</v>
      </c>
      <c r="BT12" s="189">
        <v>660044169.25</v>
      </c>
      <c r="BU12" s="189">
        <v>660839721.94000006</v>
      </c>
      <c r="BV12" s="189">
        <v>347236891.32999998</v>
      </c>
      <c r="BW12" s="189">
        <v>0</v>
      </c>
    </row>
    <row r="13" spans="1:75">
      <c r="A13" s="189" t="s">
        <v>229</v>
      </c>
      <c r="B13" s="189">
        <v>128104428.97</v>
      </c>
      <c r="C13" s="189">
        <v>27672500.600000001</v>
      </c>
      <c r="D13" s="189">
        <v>35389314.039999999</v>
      </c>
      <c r="E13" s="189">
        <v>-46981553.960000001</v>
      </c>
      <c r="F13" s="189">
        <v>248058176.34999999</v>
      </c>
      <c r="G13" s="189">
        <v>134626298.36000001</v>
      </c>
      <c r="H13" s="189">
        <v>142268625</v>
      </c>
      <c r="I13" s="189">
        <v>-105809977.56999999</v>
      </c>
      <c r="J13" s="189">
        <v>35799578.109999999</v>
      </c>
      <c r="K13" s="189">
        <v>-96287142.159999996</v>
      </c>
      <c r="L13" s="189">
        <v>-152239637.38</v>
      </c>
      <c r="M13" s="189">
        <v>-101061475</v>
      </c>
      <c r="N13" s="189">
        <v>-131339444.51000001</v>
      </c>
      <c r="O13" s="189">
        <v>-116944059.23999999</v>
      </c>
      <c r="P13" s="189">
        <v>-108839924.38</v>
      </c>
      <c r="Q13" s="189">
        <v>-80876656.739999995</v>
      </c>
      <c r="R13" s="189">
        <v>-120866925.16</v>
      </c>
      <c r="S13" s="189">
        <v>-114761840.67</v>
      </c>
      <c r="T13" s="189">
        <v>-103875653.2</v>
      </c>
      <c r="U13" s="189">
        <v>-66143518.270000003</v>
      </c>
      <c r="V13" s="189">
        <v>37254049.869999997</v>
      </c>
      <c r="W13" s="189">
        <v>-17576097.050000001</v>
      </c>
      <c r="X13" s="189">
        <v>-45407246.549999997</v>
      </c>
      <c r="Y13" s="189">
        <v>53475962.579999998</v>
      </c>
      <c r="Z13" s="189">
        <v>151852794.78999999</v>
      </c>
      <c r="AA13" s="189">
        <v>57754723.630000003</v>
      </c>
      <c r="AB13" s="189">
        <v>-9918579.5700000003</v>
      </c>
      <c r="AC13" s="189">
        <v>29361037.379999999</v>
      </c>
      <c r="AD13" s="189">
        <v>206100171.59999999</v>
      </c>
      <c r="AE13" s="189">
        <v>101709433.54000001</v>
      </c>
      <c r="AF13" s="189">
        <v>39493154.609999999</v>
      </c>
      <c r="AG13" s="189">
        <v>28589812.98</v>
      </c>
      <c r="AH13" s="189">
        <v>196156931.56999999</v>
      </c>
      <c r="AI13" s="189">
        <v>76363362.019999996</v>
      </c>
      <c r="AJ13" s="189">
        <v>65377757.979999997</v>
      </c>
      <c r="AK13" s="189">
        <v>57322863.579999998</v>
      </c>
      <c r="AL13" s="189">
        <v>181686870.59999999</v>
      </c>
      <c r="AM13" s="189">
        <v>81439518.959999993</v>
      </c>
      <c r="AN13" s="189">
        <v>32421550.559999999</v>
      </c>
      <c r="AO13" s="189">
        <v>41255158.579999998</v>
      </c>
      <c r="AP13" s="189">
        <v>134513151.40000001</v>
      </c>
      <c r="AQ13" s="189">
        <v>31575329.739999998</v>
      </c>
      <c r="AR13" s="189">
        <v>-5920897.2800000003</v>
      </c>
      <c r="AS13" s="189">
        <v>28888449.670000002</v>
      </c>
      <c r="AT13" s="189">
        <v>114763516.95999999</v>
      </c>
      <c r="AU13" s="189">
        <v>71756349.319999993</v>
      </c>
      <c r="AV13" s="189">
        <v>32586378.050000001</v>
      </c>
      <c r="AW13" s="189">
        <v>59976258.149999999</v>
      </c>
      <c r="AX13" s="189">
        <v>65743775.630000003</v>
      </c>
      <c r="AY13" s="189">
        <v>27061253.879999999</v>
      </c>
      <c r="AZ13" s="189">
        <v>16960544.280000001</v>
      </c>
      <c r="BA13" s="189">
        <v>38864768.850000001</v>
      </c>
      <c r="BB13" s="189">
        <v>130890900.17</v>
      </c>
      <c r="BC13" s="189">
        <v>48726470.82</v>
      </c>
      <c r="BD13" s="189">
        <v>4985636.17</v>
      </c>
      <c r="BE13" s="189">
        <v>58852090.149999999</v>
      </c>
      <c r="BF13" s="189">
        <v>98879708.400000006</v>
      </c>
      <c r="BG13" s="189">
        <v>60521039.539999999</v>
      </c>
      <c r="BH13" s="189">
        <v>39837560.990000002</v>
      </c>
      <c r="BI13" s="189">
        <v>36808318.25</v>
      </c>
      <c r="BJ13" s="189">
        <v>71491451.959999993</v>
      </c>
      <c r="BK13" s="189">
        <v>37050018.390000001</v>
      </c>
      <c r="BL13" s="189">
        <v>19105590.190000001</v>
      </c>
      <c r="BM13" s="189">
        <v>37973883.119999997</v>
      </c>
      <c r="BN13" s="189">
        <v>25134213.100000001</v>
      </c>
      <c r="BO13" s="189">
        <v>18542864.75</v>
      </c>
      <c r="BP13" s="189">
        <v>-3750423.43</v>
      </c>
      <c r="BQ13" s="189">
        <v>13291694.390000001</v>
      </c>
      <c r="BR13" s="189">
        <v>66490108.420000002</v>
      </c>
      <c r="BS13" s="189">
        <v>15528529.779999999</v>
      </c>
      <c r="BT13" s="189">
        <v>45548517.140000001</v>
      </c>
      <c r="BU13" s="189">
        <v>69289211.939999998</v>
      </c>
      <c r="BV13" s="189">
        <v>36142489.840000004</v>
      </c>
      <c r="BW13" s="189">
        <v>0</v>
      </c>
    </row>
    <row r="14" spans="1:75">
      <c r="A14" s="189" t="s">
        <v>230</v>
      </c>
    </row>
    <row r="15" spans="1:75">
      <c r="A15" s="189" t="s">
        <v>231</v>
      </c>
      <c r="B15" s="189">
        <v>0</v>
      </c>
      <c r="C15" s="189">
        <v>1657082176.45</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2718244.07</v>
      </c>
      <c r="AI15" s="189">
        <v>2718244.07</v>
      </c>
      <c r="AJ15" s="189">
        <v>0</v>
      </c>
      <c r="AK15" s="189">
        <v>0</v>
      </c>
      <c r="AL15" s="189">
        <v>0</v>
      </c>
      <c r="AM15" s="189">
        <v>0</v>
      </c>
      <c r="AN15" s="189">
        <v>0</v>
      </c>
      <c r="AO15" s="189">
        <v>0</v>
      </c>
      <c r="AP15" s="189">
        <v>0</v>
      </c>
      <c r="AQ15" s="189">
        <v>0</v>
      </c>
      <c r="AR15" s="189">
        <v>0</v>
      </c>
      <c r="AS15" s="189">
        <v>0</v>
      </c>
      <c r="AT15" s="189">
        <v>63000000.5</v>
      </c>
      <c r="AU15" s="189">
        <v>0</v>
      </c>
      <c r="AV15" s="189">
        <v>0</v>
      </c>
      <c r="AW15" s="189">
        <v>0</v>
      </c>
      <c r="AX15" s="189">
        <v>0</v>
      </c>
      <c r="AY15" s="189">
        <v>0</v>
      </c>
      <c r="AZ15" s="189">
        <v>0</v>
      </c>
      <c r="BA15" s="189">
        <v>0</v>
      </c>
      <c r="BB15" s="189">
        <v>0</v>
      </c>
      <c r="BC15" s="189">
        <v>0</v>
      </c>
      <c r="BD15" s="189">
        <v>0</v>
      </c>
      <c r="BE15" s="189">
        <v>0</v>
      </c>
      <c r="BF15" s="189">
        <v>12487805.970000001</v>
      </c>
      <c r="BG15" s="189">
        <v>1301277</v>
      </c>
      <c r="BH15" s="189">
        <v>1301277</v>
      </c>
      <c r="BI15" s="189">
        <v>1301028</v>
      </c>
      <c r="BJ15" s="189">
        <v>16097015.439999999</v>
      </c>
      <c r="BK15" s="189">
        <v>13826710.99</v>
      </c>
      <c r="BL15" s="189">
        <v>13740312.82</v>
      </c>
      <c r="BM15" s="189">
        <v>341000</v>
      </c>
      <c r="BN15" s="189">
        <v>308400.84000000003</v>
      </c>
      <c r="BO15" s="189">
        <v>3517.61</v>
      </c>
      <c r="BP15" s="189">
        <v>180000</v>
      </c>
      <c r="BQ15" s="189">
        <v>0</v>
      </c>
      <c r="BR15" s="189">
        <v>196778320.66999999</v>
      </c>
      <c r="BS15" s="189">
        <v>3254912.3</v>
      </c>
      <c r="BT15" s="189">
        <v>0</v>
      </c>
      <c r="BU15" s="189">
        <v>0</v>
      </c>
      <c r="BV15" s="189">
        <v>0</v>
      </c>
      <c r="BW15" s="189">
        <v>0</v>
      </c>
    </row>
    <row r="16" spans="1:75">
      <c r="A16" s="189" t="s">
        <v>232</v>
      </c>
      <c r="B16" s="189">
        <v>0</v>
      </c>
      <c r="C16" s="189">
        <v>0</v>
      </c>
      <c r="D16" s="189">
        <v>0</v>
      </c>
      <c r="E16" s="189">
        <v>0</v>
      </c>
      <c r="F16" s="189">
        <v>-373500.09</v>
      </c>
      <c r="G16" s="189">
        <v>0</v>
      </c>
      <c r="H16" s="189">
        <v>0</v>
      </c>
      <c r="I16" s="189">
        <v>0</v>
      </c>
      <c r="J16" s="189">
        <v>0</v>
      </c>
      <c r="K16" s="189">
        <v>0</v>
      </c>
      <c r="L16" s="189">
        <v>0</v>
      </c>
      <c r="M16" s="189">
        <v>0</v>
      </c>
      <c r="N16" s="189">
        <v>955750</v>
      </c>
      <c r="O16" s="189">
        <v>955750</v>
      </c>
      <c r="P16" s="189">
        <v>0</v>
      </c>
      <c r="Q16" s="189">
        <v>0</v>
      </c>
      <c r="R16" s="189">
        <v>4829200</v>
      </c>
      <c r="S16" s="189">
        <v>4829200</v>
      </c>
      <c r="T16" s="189">
        <v>0</v>
      </c>
      <c r="U16" s="189">
        <v>0</v>
      </c>
      <c r="V16" s="189">
        <v>625000</v>
      </c>
      <c r="W16" s="189">
        <v>625000</v>
      </c>
      <c r="X16" s="189">
        <v>0</v>
      </c>
      <c r="Y16" s="189">
        <v>0</v>
      </c>
      <c r="Z16" s="189">
        <v>3750000</v>
      </c>
      <c r="AA16" s="189">
        <v>3750000</v>
      </c>
      <c r="AB16" s="189">
        <v>0</v>
      </c>
      <c r="AC16" s="189">
        <v>0</v>
      </c>
      <c r="AD16" s="189">
        <v>0</v>
      </c>
      <c r="AE16" s="189">
        <v>0</v>
      </c>
      <c r="AF16" s="189">
        <v>0</v>
      </c>
      <c r="AG16" s="189">
        <v>0</v>
      </c>
      <c r="AH16" s="189">
        <v>1911360</v>
      </c>
      <c r="AI16" s="189">
        <v>1911360</v>
      </c>
      <c r="AJ16" s="189">
        <v>0</v>
      </c>
      <c r="AK16" s="189">
        <v>0</v>
      </c>
      <c r="AL16" s="189">
        <v>0</v>
      </c>
      <c r="AM16" s="189">
        <v>0</v>
      </c>
      <c r="AN16" s="189">
        <v>0</v>
      </c>
      <c r="AO16" s="189">
        <v>0</v>
      </c>
      <c r="AP16" s="189">
        <v>0</v>
      </c>
      <c r="AQ16" s="189">
        <v>0</v>
      </c>
      <c r="AR16" s="189">
        <v>0</v>
      </c>
      <c r="AS16" s="189">
        <v>0</v>
      </c>
      <c r="AT16" s="189">
        <v>1041131.02</v>
      </c>
      <c r="AU16" s="189">
        <v>597493.51</v>
      </c>
      <c r="AV16" s="189">
        <v>259994.55</v>
      </c>
      <c r="AW16" s="189">
        <v>0</v>
      </c>
      <c r="AX16" s="189">
        <v>521280</v>
      </c>
      <c r="AY16" s="189">
        <v>521280</v>
      </c>
      <c r="AZ16" s="189">
        <v>521280</v>
      </c>
      <c r="BA16" s="189">
        <v>0</v>
      </c>
      <c r="BB16" s="189">
        <v>0</v>
      </c>
      <c r="BC16" s="189">
        <v>0</v>
      </c>
      <c r="BD16" s="189">
        <v>0</v>
      </c>
      <c r="BE16" s="189">
        <v>0</v>
      </c>
      <c r="BF16" s="189">
        <v>0</v>
      </c>
      <c r="BG16" s="189">
        <v>0</v>
      </c>
      <c r="BH16" s="189">
        <v>0</v>
      </c>
      <c r="BI16" s="189">
        <v>0</v>
      </c>
      <c r="BJ16" s="189">
        <v>525642.92000000004</v>
      </c>
      <c r="BK16" s="189">
        <v>2031.6</v>
      </c>
      <c r="BL16" s="189">
        <v>2031.6</v>
      </c>
      <c r="BM16" s="189">
        <v>2031.6</v>
      </c>
      <c r="BN16" s="189">
        <v>0</v>
      </c>
      <c r="BO16" s="189">
        <v>0</v>
      </c>
      <c r="BP16" s="189">
        <v>3238200</v>
      </c>
      <c r="BQ16" s="189">
        <v>0</v>
      </c>
      <c r="BR16" s="189">
        <v>454912.14</v>
      </c>
      <c r="BS16" s="189">
        <v>0</v>
      </c>
      <c r="BT16" s="189">
        <v>0</v>
      </c>
      <c r="BU16" s="189">
        <v>0</v>
      </c>
      <c r="BV16" s="189">
        <v>0</v>
      </c>
      <c r="BW16" s="189">
        <v>0</v>
      </c>
    </row>
    <row r="17" spans="1:75">
      <c r="A17" s="189" t="s">
        <v>233</v>
      </c>
      <c r="B17" s="189">
        <v>809805.8</v>
      </c>
      <c r="C17" s="189">
        <v>9805.7999999999993</v>
      </c>
      <c r="D17" s="189">
        <v>9805.7999999999993</v>
      </c>
      <c r="E17" s="189">
        <v>0</v>
      </c>
      <c r="F17" s="189">
        <v>1065698.99</v>
      </c>
      <c r="G17" s="189">
        <v>170600</v>
      </c>
      <c r="H17" s="189">
        <v>0</v>
      </c>
      <c r="I17" s="189">
        <v>0</v>
      </c>
      <c r="J17" s="189">
        <v>12747.57</v>
      </c>
      <c r="K17" s="189">
        <v>0</v>
      </c>
      <c r="L17" s="189">
        <v>12747.57</v>
      </c>
      <c r="M17" s="189">
        <v>0</v>
      </c>
      <c r="N17" s="189">
        <v>4573736.45</v>
      </c>
      <c r="O17" s="189">
        <v>0</v>
      </c>
      <c r="P17" s="189">
        <v>0</v>
      </c>
      <c r="Q17" s="189">
        <v>0</v>
      </c>
      <c r="R17" s="189">
        <v>18889</v>
      </c>
      <c r="S17" s="189">
        <v>17000</v>
      </c>
      <c r="T17" s="189">
        <v>17000</v>
      </c>
      <c r="U17" s="189">
        <v>0</v>
      </c>
      <c r="V17" s="189">
        <v>670076.92000000004</v>
      </c>
      <c r="W17" s="189">
        <v>753811.74</v>
      </c>
      <c r="X17" s="189">
        <v>62000</v>
      </c>
      <c r="Y17" s="189">
        <v>0</v>
      </c>
      <c r="Z17" s="189">
        <v>2753079.97</v>
      </c>
      <c r="AA17" s="189">
        <v>1429170.4</v>
      </c>
      <c r="AB17" s="189">
        <v>1274992.3999999999</v>
      </c>
      <c r="AC17" s="189">
        <v>12384</v>
      </c>
      <c r="AD17" s="189">
        <v>12967257.42</v>
      </c>
      <c r="AE17" s="189">
        <v>8431589</v>
      </c>
      <c r="AF17" s="189">
        <v>6273589</v>
      </c>
      <c r="AG17" s="189">
        <v>4002000</v>
      </c>
      <c r="AH17" s="189">
        <v>39442781.829999998</v>
      </c>
      <c r="AI17" s="189">
        <v>7083800</v>
      </c>
      <c r="AJ17" s="189">
        <v>6959949.5800000001</v>
      </c>
      <c r="AK17" s="189">
        <v>53800</v>
      </c>
      <c r="AL17" s="189">
        <v>92411.8</v>
      </c>
      <c r="AM17" s="189">
        <v>4411.8</v>
      </c>
      <c r="AN17" s="189">
        <v>580</v>
      </c>
      <c r="AO17" s="189">
        <v>350</v>
      </c>
      <c r="AP17" s="189">
        <v>312000</v>
      </c>
      <c r="AQ17" s="189">
        <v>318500</v>
      </c>
      <c r="AR17" s="189">
        <v>317700</v>
      </c>
      <c r="AS17" s="189">
        <v>3800</v>
      </c>
      <c r="AT17" s="189">
        <v>160371.79999999999</v>
      </c>
      <c r="AU17" s="189">
        <v>86181.8</v>
      </c>
      <c r="AV17" s="189">
        <v>26770</v>
      </c>
      <c r="AW17" s="189">
        <v>6770</v>
      </c>
      <c r="AX17" s="189">
        <v>56574692.210000001</v>
      </c>
      <c r="AY17" s="189">
        <v>17160574</v>
      </c>
      <c r="AZ17" s="189">
        <v>1149285</v>
      </c>
      <c r="BA17" s="189">
        <v>0</v>
      </c>
      <c r="BB17" s="189">
        <v>750100</v>
      </c>
      <c r="BC17" s="189">
        <v>201965.94</v>
      </c>
      <c r="BD17" s="189">
        <v>201965.94</v>
      </c>
      <c r="BE17" s="189">
        <v>201965.94</v>
      </c>
      <c r="BF17" s="189">
        <v>3488482.99</v>
      </c>
      <c r="BG17" s="189">
        <v>1169011</v>
      </c>
      <c r="BH17" s="189">
        <v>801833</v>
      </c>
      <c r="BI17" s="189">
        <v>53333</v>
      </c>
      <c r="BJ17" s="189">
        <v>11108217.77</v>
      </c>
      <c r="BK17" s="189">
        <v>10998728.859999999</v>
      </c>
      <c r="BL17" s="189">
        <v>8215646.6200000001</v>
      </c>
      <c r="BM17" s="189">
        <v>8158646.6200000001</v>
      </c>
      <c r="BN17" s="189">
        <v>117079</v>
      </c>
      <c r="BO17" s="189">
        <v>232444</v>
      </c>
      <c r="BP17" s="189">
        <v>467911</v>
      </c>
      <c r="BQ17" s="189">
        <v>368626</v>
      </c>
      <c r="BR17" s="189">
        <v>8998299.5</v>
      </c>
      <c r="BS17" s="189">
        <v>67654.45</v>
      </c>
      <c r="BT17" s="189">
        <v>2030823.57</v>
      </c>
      <c r="BU17" s="189">
        <v>0</v>
      </c>
      <c r="BV17" s="189">
        <v>0</v>
      </c>
      <c r="BW17" s="189">
        <v>0</v>
      </c>
    </row>
    <row r="18" spans="1:75">
      <c r="A18" s="189" t="s">
        <v>234</v>
      </c>
      <c r="B18" s="189">
        <v>2344622661.02</v>
      </c>
      <c r="C18" s="189">
        <v>0</v>
      </c>
      <c r="D18" s="189">
        <v>0</v>
      </c>
      <c r="E18" s="189">
        <v>0</v>
      </c>
      <c r="F18" s="189">
        <v>0</v>
      </c>
      <c r="G18" s="189">
        <v>0</v>
      </c>
      <c r="H18" s="189">
        <v>0</v>
      </c>
      <c r="I18" s="189">
        <v>0</v>
      </c>
      <c r="J18" s="189">
        <v>0</v>
      </c>
      <c r="K18" s="189">
        <v>0</v>
      </c>
      <c r="L18" s="189">
        <v>0</v>
      </c>
      <c r="M18" s="189">
        <v>0</v>
      </c>
      <c r="N18" s="189">
        <v>0</v>
      </c>
      <c r="O18" s="189">
        <v>0</v>
      </c>
      <c r="P18" s="189">
        <v>0</v>
      </c>
      <c r="Q18" s="189">
        <v>0</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c r="AW18" s="189">
        <v>0</v>
      </c>
      <c r="AX18" s="189">
        <v>0</v>
      </c>
      <c r="AY18" s="189">
        <v>0</v>
      </c>
      <c r="AZ18" s="189">
        <v>0</v>
      </c>
      <c r="BA18" s="189">
        <v>0</v>
      </c>
      <c r="BB18" s="189">
        <v>0</v>
      </c>
      <c r="BC18" s="189">
        <v>0</v>
      </c>
      <c r="BD18" s="189">
        <v>0</v>
      </c>
      <c r="BE18" s="189">
        <v>0</v>
      </c>
      <c r="BF18" s="189">
        <v>0</v>
      </c>
      <c r="BG18" s="189">
        <v>0</v>
      </c>
      <c r="BH18" s="189">
        <v>0</v>
      </c>
      <c r="BI18" s="189">
        <v>0</v>
      </c>
      <c r="BJ18" s="189">
        <v>0</v>
      </c>
      <c r="BK18" s="189">
        <v>0</v>
      </c>
      <c r="BL18" s="189">
        <v>0</v>
      </c>
      <c r="BM18" s="189">
        <v>0</v>
      </c>
      <c r="BN18" s="189">
        <v>0</v>
      </c>
      <c r="BO18" s="189">
        <v>0</v>
      </c>
      <c r="BP18" s="189">
        <v>0</v>
      </c>
      <c r="BQ18" s="189">
        <v>0</v>
      </c>
      <c r="BR18" s="189">
        <v>0</v>
      </c>
      <c r="BS18" s="189">
        <v>0</v>
      </c>
      <c r="BT18" s="189">
        <v>0</v>
      </c>
      <c r="BU18" s="189">
        <v>0</v>
      </c>
      <c r="BV18" s="189">
        <v>0</v>
      </c>
      <c r="BW18" s="189">
        <v>0</v>
      </c>
    </row>
    <row r="19" spans="1:75">
      <c r="A19" s="189" t="s">
        <v>235</v>
      </c>
      <c r="B19" s="189">
        <v>60960000</v>
      </c>
      <c r="C19" s="189">
        <v>120565646</v>
      </c>
      <c r="D19" s="189">
        <v>60000000</v>
      </c>
      <c r="E19" s="189">
        <v>0</v>
      </c>
      <c r="F19" s="189">
        <v>0</v>
      </c>
      <c r="G19" s="189">
        <v>0</v>
      </c>
      <c r="H19" s="189">
        <v>0</v>
      </c>
      <c r="I19" s="189">
        <v>0</v>
      </c>
      <c r="J19" s="189">
        <v>0</v>
      </c>
      <c r="K19" s="189">
        <v>0</v>
      </c>
      <c r="L19" s="189">
        <v>0</v>
      </c>
      <c r="M19" s="189">
        <v>0</v>
      </c>
      <c r="N19" s="189">
        <v>0</v>
      </c>
      <c r="O19" s="189">
        <v>0</v>
      </c>
      <c r="P19" s="189">
        <v>0</v>
      </c>
      <c r="Q19" s="189">
        <v>0</v>
      </c>
      <c r="R19" s="189">
        <v>0</v>
      </c>
      <c r="S19" s="189">
        <v>0</v>
      </c>
      <c r="T19" s="189">
        <v>0</v>
      </c>
      <c r="U19" s="189">
        <v>0</v>
      </c>
      <c r="V19" s="189">
        <v>0</v>
      </c>
      <c r="W19" s="189">
        <v>324714.87</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c r="AW19" s="189">
        <v>0</v>
      </c>
      <c r="AX19" s="189">
        <v>0</v>
      </c>
      <c r="AY19" s="189">
        <v>0</v>
      </c>
      <c r="AZ19" s="189">
        <v>0</v>
      </c>
      <c r="BA19" s="189">
        <v>0</v>
      </c>
      <c r="BB19" s="189">
        <v>0</v>
      </c>
      <c r="BC19" s="189">
        <v>0</v>
      </c>
      <c r="BD19" s="189">
        <v>0</v>
      </c>
      <c r="BE19" s="189">
        <v>0</v>
      </c>
      <c r="BF19" s="189">
        <v>0</v>
      </c>
      <c r="BG19" s="189">
        <v>0</v>
      </c>
      <c r="BH19" s="189">
        <v>0</v>
      </c>
      <c r="BI19" s="189">
        <v>0</v>
      </c>
      <c r="BJ19" s="189">
        <v>0</v>
      </c>
      <c r="BK19" s="189">
        <v>0</v>
      </c>
      <c r="BL19" s="189">
        <v>0</v>
      </c>
      <c r="BM19" s="189">
        <v>0</v>
      </c>
      <c r="BN19" s="189">
        <v>226687.5</v>
      </c>
      <c r="BO19" s="189">
        <v>0</v>
      </c>
      <c r="BP19" s="189">
        <v>0</v>
      </c>
      <c r="BQ19" s="189">
        <v>0</v>
      </c>
      <c r="BR19" s="189">
        <v>0</v>
      </c>
      <c r="BS19" s="189">
        <v>0</v>
      </c>
      <c r="BT19" s="189">
        <v>0</v>
      </c>
      <c r="BU19" s="189">
        <v>7090145.25</v>
      </c>
      <c r="BV19" s="189">
        <v>0</v>
      </c>
      <c r="BW19" s="189">
        <v>0</v>
      </c>
    </row>
    <row r="20" spans="1:75">
      <c r="A20" s="189" t="s">
        <v>236</v>
      </c>
      <c r="B20" s="189">
        <v>2406392466.8200002</v>
      </c>
      <c r="C20" s="189">
        <v>1777657628.25</v>
      </c>
      <c r="D20" s="189">
        <v>60009805.799999997</v>
      </c>
      <c r="E20" s="189">
        <v>0</v>
      </c>
      <c r="F20" s="189">
        <v>692198.9</v>
      </c>
      <c r="G20" s="189">
        <v>170600</v>
      </c>
      <c r="H20" s="189">
        <v>0</v>
      </c>
      <c r="I20" s="189">
        <v>0</v>
      </c>
      <c r="J20" s="189">
        <v>12747.57</v>
      </c>
      <c r="K20" s="189">
        <v>0</v>
      </c>
      <c r="L20" s="189">
        <v>12747.57</v>
      </c>
      <c r="M20" s="189">
        <v>0</v>
      </c>
      <c r="N20" s="189">
        <v>5529486.4500000002</v>
      </c>
      <c r="O20" s="189">
        <v>955750</v>
      </c>
      <c r="P20" s="189">
        <v>0</v>
      </c>
      <c r="Q20" s="189">
        <v>0</v>
      </c>
      <c r="R20" s="189">
        <v>4848089</v>
      </c>
      <c r="S20" s="189">
        <v>4846200</v>
      </c>
      <c r="T20" s="189">
        <v>17000</v>
      </c>
      <c r="U20" s="189">
        <v>0</v>
      </c>
      <c r="V20" s="189">
        <v>1295076.92</v>
      </c>
      <c r="W20" s="189">
        <v>1703526.61</v>
      </c>
      <c r="X20" s="189">
        <v>62000</v>
      </c>
      <c r="Y20" s="189">
        <v>0</v>
      </c>
      <c r="Z20" s="189">
        <v>6503079.9699999997</v>
      </c>
      <c r="AA20" s="189">
        <v>5179170.4000000004</v>
      </c>
      <c r="AB20" s="189">
        <v>1274992.3999999999</v>
      </c>
      <c r="AC20" s="189">
        <v>12384</v>
      </c>
      <c r="AD20" s="189">
        <v>12967257.42</v>
      </c>
      <c r="AE20" s="189">
        <v>8431589</v>
      </c>
      <c r="AF20" s="189">
        <v>6273589</v>
      </c>
      <c r="AG20" s="189">
        <v>4002000</v>
      </c>
      <c r="AH20" s="189">
        <v>44072385.899999999</v>
      </c>
      <c r="AI20" s="189">
        <v>11713404.07</v>
      </c>
      <c r="AJ20" s="189">
        <v>6959949.5800000001</v>
      </c>
      <c r="AK20" s="189">
        <v>53800</v>
      </c>
      <c r="AL20" s="189">
        <v>92411.8</v>
      </c>
      <c r="AM20" s="189">
        <v>4411.8</v>
      </c>
      <c r="AN20" s="189">
        <v>580</v>
      </c>
      <c r="AO20" s="189">
        <v>350</v>
      </c>
      <c r="AP20" s="189">
        <v>312000</v>
      </c>
      <c r="AQ20" s="189">
        <v>318500</v>
      </c>
      <c r="AR20" s="189">
        <v>317700</v>
      </c>
      <c r="AS20" s="189">
        <v>3800</v>
      </c>
      <c r="AT20" s="189">
        <v>64201503.32</v>
      </c>
      <c r="AU20" s="189">
        <v>683675.31</v>
      </c>
      <c r="AV20" s="189">
        <v>286764.55</v>
      </c>
      <c r="AW20" s="189">
        <v>6770</v>
      </c>
      <c r="AX20" s="189">
        <v>57095972.210000001</v>
      </c>
      <c r="AY20" s="189">
        <v>17681854</v>
      </c>
      <c r="AZ20" s="189">
        <v>1670565</v>
      </c>
      <c r="BA20" s="189">
        <v>0</v>
      </c>
      <c r="BB20" s="189">
        <v>750100</v>
      </c>
      <c r="BC20" s="189">
        <v>201965.94</v>
      </c>
      <c r="BD20" s="189">
        <v>201965.94</v>
      </c>
      <c r="BE20" s="189">
        <v>201965.94</v>
      </c>
      <c r="BF20" s="189">
        <v>15976288.960000001</v>
      </c>
      <c r="BG20" s="189">
        <v>2470288</v>
      </c>
      <c r="BH20" s="189">
        <v>2103110</v>
      </c>
      <c r="BI20" s="189">
        <v>1354361</v>
      </c>
      <c r="BJ20" s="189">
        <v>27730876.129999999</v>
      </c>
      <c r="BK20" s="189">
        <v>24827471.449999999</v>
      </c>
      <c r="BL20" s="189">
        <v>21957991.039999999</v>
      </c>
      <c r="BM20" s="189">
        <v>8501678.2200000007</v>
      </c>
      <c r="BN20" s="189">
        <v>652167.34</v>
      </c>
      <c r="BO20" s="189">
        <v>235961.61</v>
      </c>
      <c r="BP20" s="189">
        <v>3886111</v>
      </c>
      <c r="BQ20" s="189">
        <v>368626</v>
      </c>
      <c r="BR20" s="189">
        <v>206231532.31</v>
      </c>
      <c r="BS20" s="189">
        <v>3322566.75</v>
      </c>
      <c r="BT20" s="189">
        <v>2030823.57</v>
      </c>
      <c r="BU20" s="189">
        <v>7090145.25</v>
      </c>
      <c r="BV20" s="189">
        <v>0</v>
      </c>
      <c r="BW20" s="189">
        <v>0</v>
      </c>
    </row>
    <row r="21" spans="1:75">
      <c r="A21" s="189" t="s">
        <v>237</v>
      </c>
      <c r="B21" s="189">
        <v>89010940.959999993</v>
      </c>
      <c r="C21" s="189">
        <v>57854081.880000003</v>
      </c>
      <c r="D21" s="189">
        <v>44786896.880000003</v>
      </c>
      <c r="E21" s="189">
        <v>28964050.609999999</v>
      </c>
      <c r="F21" s="189">
        <v>58939277.100000001</v>
      </c>
      <c r="G21" s="189">
        <v>27480909.27</v>
      </c>
      <c r="H21" s="189">
        <v>7317557.21</v>
      </c>
      <c r="I21" s="189">
        <v>367656.47</v>
      </c>
      <c r="J21" s="189">
        <v>40667935.149999999</v>
      </c>
      <c r="K21" s="189">
        <v>35325353.060000002</v>
      </c>
      <c r="L21" s="189">
        <v>31460788.739999998</v>
      </c>
      <c r="M21" s="189">
        <v>22736651.5</v>
      </c>
      <c r="N21" s="189">
        <v>39483256.460000001</v>
      </c>
      <c r="O21" s="189">
        <v>19082770.25</v>
      </c>
      <c r="P21" s="189">
        <v>13631603.199999999</v>
      </c>
      <c r="Q21" s="189">
        <v>6864789.4699999997</v>
      </c>
      <c r="R21" s="189">
        <v>35250347</v>
      </c>
      <c r="S21" s="189">
        <v>24068727.59</v>
      </c>
      <c r="T21" s="189">
        <v>7501969.8099999996</v>
      </c>
      <c r="U21" s="189">
        <v>3572091.75</v>
      </c>
      <c r="V21" s="189">
        <v>25495626.07</v>
      </c>
      <c r="W21" s="189">
        <v>10706017.460000001</v>
      </c>
      <c r="X21" s="189">
        <v>8251243.0899999999</v>
      </c>
      <c r="Y21" s="189">
        <v>6441828.9699999997</v>
      </c>
      <c r="Z21" s="189">
        <v>40801542.609999999</v>
      </c>
      <c r="AA21" s="189">
        <v>25212051.199999999</v>
      </c>
      <c r="AB21" s="189">
        <v>13240798.869999999</v>
      </c>
      <c r="AC21" s="189">
        <v>5199848.0999999996</v>
      </c>
      <c r="AD21" s="189">
        <v>27474414.469999999</v>
      </c>
      <c r="AE21" s="189">
        <v>21700316.18</v>
      </c>
      <c r="AF21" s="189">
        <v>13230731.49</v>
      </c>
      <c r="AG21" s="189">
        <v>3294792.99</v>
      </c>
      <c r="AH21" s="189">
        <v>46768301.020000003</v>
      </c>
      <c r="AI21" s="189">
        <v>38378608.490000002</v>
      </c>
      <c r="AJ21" s="189">
        <v>23046753.73</v>
      </c>
      <c r="AK21" s="189">
        <v>7259614.5599999996</v>
      </c>
      <c r="AL21" s="189">
        <v>45625333.979999997</v>
      </c>
      <c r="AM21" s="189">
        <v>18286552.77</v>
      </c>
      <c r="AN21" s="189">
        <v>11841641.82</v>
      </c>
      <c r="AO21" s="189">
        <v>8901282.75</v>
      </c>
      <c r="AP21" s="189">
        <v>92672758.200000003</v>
      </c>
      <c r="AQ21" s="189">
        <v>88023556.590000004</v>
      </c>
      <c r="AR21" s="189">
        <v>81461824.379999995</v>
      </c>
      <c r="AS21" s="189">
        <v>26293899.390000001</v>
      </c>
      <c r="AT21" s="189">
        <v>69810646.120000005</v>
      </c>
      <c r="AU21" s="189">
        <v>46386128.579999998</v>
      </c>
      <c r="AV21" s="189">
        <v>36935926.609999999</v>
      </c>
      <c r="AW21" s="189">
        <v>27793009.07</v>
      </c>
      <c r="AX21" s="189">
        <v>57783102.969999999</v>
      </c>
      <c r="AY21" s="189">
        <v>23627461.210000001</v>
      </c>
      <c r="AZ21" s="189">
        <v>11818697.439999999</v>
      </c>
      <c r="BA21" s="189">
        <v>7699396.2199999997</v>
      </c>
      <c r="BB21" s="189">
        <v>29784900.879999999</v>
      </c>
      <c r="BC21" s="189">
        <v>9011723.2599999998</v>
      </c>
      <c r="BD21" s="189">
        <v>4435513.26</v>
      </c>
      <c r="BE21" s="189">
        <v>1168239.71</v>
      </c>
      <c r="BF21" s="189">
        <v>11959980.41</v>
      </c>
      <c r="BG21" s="189">
        <v>1920314.21</v>
      </c>
      <c r="BH21" s="189">
        <v>1424579.21</v>
      </c>
      <c r="BI21" s="189">
        <v>815421.71</v>
      </c>
      <c r="BJ21" s="189">
        <v>5229843.6100000003</v>
      </c>
      <c r="BK21" s="189">
        <v>2570089.7599999998</v>
      </c>
      <c r="BL21" s="189">
        <v>1813102.99</v>
      </c>
      <c r="BM21" s="189">
        <v>1270871.55</v>
      </c>
      <c r="BN21" s="189">
        <v>7684392.9900000002</v>
      </c>
      <c r="BO21" s="189">
        <v>2915283.06</v>
      </c>
      <c r="BP21" s="189">
        <v>29095938.66</v>
      </c>
      <c r="BQ21" s="189">
        <v>17135747.940000001</v>
      </c>
      <c r="BR21" s="189">
        <v>9668797.5</v>
      </c>
      <c r="BS21" s="189">
        <v>186646</v>
      </c>
      <c r="BT21" s="189">
        <v>45302723.469999999</v>
      </c>
      <c r="BU21" s="189">
        <v>60688134.270000003</v>
      </c>
      <c r="BV21" s="189">
        <v>32960538.469999999</v>
      </c>
      <c r="BW21" s="189">
        <v>0</v>
      </c>
    </row>
    <row r="22" spans="1:75">
      <c r="A22" s="189" t="s">
        <v>238</v>
      </c>
      <c r="B22" s="189">
        <v>0</v>
      </c>
      <c r="C22" s="189">
        <v>0</v>
      </c>
      <c r="D22" s="189">
        <v>0</v>
      </c>
      <c r="E22" s="189">
        <v>0</v>
      </c>
      <c r="F22" s="189">
        <v>0</v>
      </c>
      <c r="G22" s="189">
        <v>389560200</v>
      </c>
      <c r="H22" s="189">
        <v>0</v>
      </c>
      <c r="I22" s="189">
        <v>0</v>
      </c>
      <c r="J22" s="189">
        <v>0</v>
      </c>
      <c r="K22" s="189">
        <v>0</v>
      </c>
      <c r="L22" s="189">
        <v>0</v>
      </c>
      <c r="M22" s="189">
        <v>0</v>
      </c>
      <c r="N22" s="189">
        <v>29542520</v>
      </c>
      <c r="O22" s="189">
        <v>0</v>
      </c>
      <c r="P22" s="189">
        <v>0</v>
      </c>
      <c r="Q22" s="189">
        <v>0</v>
      </c>
      <c r="R22" s="189">
        <v>0</v>
      </c>
      <c r="S22" s="189">
        <v>0</v>
      </c>
      <c r="T22" s="189">
        <v>0</v>
      </c>
      <c r="U22" s="189">
        <v>0</v>
      </c>
      <c r="V22" s="189">
        <v>27039600</v>
      </c>
      <c r="W22" s="189">
        <v>27039600</v>
      </c>
      <c r="X22" s="189">
        <v>0</v>
      </c>
      <c r="Y22" s="189">
        <v>0</v>
      </c>
      <c r="Z22" s="189">
        <v>0</v>
      </c>
      <c r="AA22" s="189">
        <v>0</v>
      </c>
      <c r="AB22" s="189">
        <v>0</v>
      </c>
      <c r="AC22" s="189">
        <v>0</v>
      </c>
      <c r="AD22" s="189">
        <v>0</v>
      </c>
      <c r="AE22" s="189">
        <v>0</v>
      </c>
      <c r="AF22" s="189">
        <v>0</v>
      </c>
      <c r="AG22" s="189">
        <v>0</v>
      </c>
      <c r="AH22" s="189">
        <v>59500000</v>
      </c>
      <c r="AI22" s="189">
        <v>0</v>
      </c>
      <c r="AJ22" s="189">
        <v>0</v>
      </c>
      <c r="AK22" s="189">
        <v>0</v>
      </c>
      <c r="AL22" s="189">
        <v>0</v>
      </c>
      <c r="AM22" s="189">
        <v>0</v>
      </c>
      <c r="AN22" s="189">
        <v>0</v>
      </c>
      <c r="AO22" s="189">
        <v>0</v>
      </c>
      <c r="AP22" s="189">
        <v>0</v>
      </c>
      <c r="AQ22" s="189">
        <v>0</v>
      </c>
      <c r="AR22" s="189">
        <v>0</v>
      </c>
      <c r="AS22" s="189">
        <v>0</v>
      </c>
      <c r="AT22" s="189">
        <v>63000000.5</v>
      </c>
      <c r="AU22" s="189">
        <v>0</v>
      </c>
      <c r="AV22" s="189">
        <v>0</v>
      </c>
      <c r="AW22" s="189">
        <v>1500000</v>
      </c>
      <c r="AX22" s="189">
        <v>0</v>
      </c>
      <c r="AY22" s="189">
        <v>0</v>
      </c>
      <c r="AZ22" s="189">
        <v>0</v>
      </c>
      <c r="BA22" s="189">
        <v>0</v>
      </c>
      <c r="BB22" s="189">
        <v>0</v>
      </c>
      <c r="BC22" s="189">
        <v>50000000</v>
      </c>
      <c r="BD22" s="189">
        <v>50000000</v>
      </c>
      <c r="BE22" s="189">
        <v>0</v>
      </c>
      <c r="BF22" s="189">
        <v>0</v>
      </c>
      <c r="BG22" s="189">
        <v>0</v>
      </c>
      <c r="BH22" s="189">
        <v>0</v>
      </c>
      <c r="BI22" s="189">
        <v>0</v>
      </c>
      <c r="BJ22" s="189">
        <v>0</v>
      </c>
      <c r="BK22" s="189">
        <v>0</v>
      </c>
      <c r="BL22" s="189">
        <v>0</v>
      </c>
      <c r="BM22" s="189">
        <v>5000000</v>
      </c>
      <c r="BN22" s="189">
        <v>300000</v>
      </c>
      <c r="BO22" s="189">
        <v>0</v>
      </c>
      <c r="BP22" s="189">
        <v>39705072.689999998</v>
      </c>
      <c r="BQ22" s="189">
        <v>8000000</v>
      </c>
      <c r="BR22" s="189">
        <v>162965838.77000001</v>
      </c>
      <c r="BS22" s="189">
        <v>0</v>
      </c>
      <c r="BT22" s="189">
        <v>60000000</v>
      </c>
      <c r="BU22" s="189">
        <v>0</v>
      </c>
      <c r="BV22" s="189">
        <v>0</v>
      </c>
      <c r="BW22" s="189">
        <v>0</v>
      </c>
    </row>
    <row r="23" spans="1:75">
      <c r="A23" s="189" t="s">
        <v>239</v>
      </c>
      <c r="B23" s="189">
        <v>0</v>
      </c>
      <c r="C23" s="189">
        <v>0</v>
      </c>
      <c r="D23" s="189">
        <v>0</v>
      </c>
      <c r="E23" s="189">
        <v>0</v>
      </c>
      <c r="F23" s="189">
        <v>389560200</v>
      </c>
      <c r="G23" s="189">
        <v>0</v>
      </c>
      <c r="H23" s="189">
        <v>0</v>
      </c>
      <c r="I23" s="189">
        <v>0</v>
      </c>
      <c r="J23" s="189">
        <v>0</v>
      </c>
      <c r="K23" s="189">
        <v>0</v>
      </c>
      <c r="L23" s="189">
        <v>0</v>
      </c>
      <c r="M23" s="189">
        <v>0</v>
      </c>
      <c r="N23" s="189">
        <v>0</v>
      </c>
      <c r="O23" s="189">
        <v>0</v>
      </c>
      <c r="P23" s="189">
        <v>0</v>
      </c>
      <c r="Q23" s="189">
        <v>0</v>
      </c>
      <c r="R23" s="189">
        <v>0</v>
      </c>
      <c r="S23" s="189">
        <v>0</v>
      </c>
      <c r="T23" s="189">
        <v>0</v>
      </c>
      <c r="U23" s="189">
        <v>0</v>
      </c>
      <c r="V23" s="189">
        <v>0</v>
      </c>
      <c r="W23" s="189">
        <v>0</v>
      </c>
      <c r="X23" s="189">
        <v>0</v>
      </c>
      <c r="Y23" s="189">
        <v>0</v>
      </c>
      <c r="Z23" s="189">
        <v>0</v>
      </c>
      <c r="AA23" s="189">
        <v>0</v>
      </c>
      <c r="AB23" s="189">
        <v>0</v>
      </c>
      <c r="AC23" s="189">
        <v>0</v>
      </c>
      <c r="AD23" s="189">
        <v>0</v>
      </c>
      <c r="AE23" s="189">
        <v>0</v>
      </c>
      <c r="AF23" s="189">
        <v>0</v>
      </c>
      <c r="AG23" s="189">
        <v>0</v>
      </c>
      <c r="AH23" s="189">
        <v>0</v>
      </c>
      <c r="AI23" s="189">
        <v>0</v>
      </c>
      <c r="AJ23" s="189">
        <v>0</v>
      </c>
      <c r="AK23" s="189">
        <v>0</v>
      </c>
      <c r="AL23" s="189">
        <v>0</v>
      </c>
      <c r="AM23" s="189">
        <v>0</v>
      </c>
      <c r="AN23" s="189">
        <v>0</v>
      </c>
      <c r="AO23" s="189">
        <v>0</v>
      </c>
      <c r="AP23" s="189">
        <v>0</v>
      </c>
      <c r="AQ23" s="189">
        <v>0</v>
      </c>
      <c r="AR23" s="189">
        <v>0</v>
      </c>
      <c r="AS23" s="189">
        <v>0</v>
      </c>
      <c r="AT23" s="189">
        <v>0</v>
      </c>
      <c r="AU23" s="189">
        <v>0</v>
      </c>
      <c r="AV23" s="189">
        <v>0</v>
      </c>
      <c r="AW23" s="189">
        <v>0</v>
      </c>
      <c r="AX23" s="189">
        <v>0</v>
      </c>
      <c r="AY23" s="189">
        <v>0</v>
      </c>
      <c r="AZ23" s="189">
        <v>0</v>
      </c>
      <c r="BA23" s="189">
        <v>0</v>
      </c>
      <c r="BB23" s="189">
        <v>0</v>
      </c>
      <c r="BC23" s="189">
        <v>0</v>
      </c>
      <c r="BD23" s="189">
        <v>0</v>
      </c>
      <c r="BE23" s="189">
        <v>0</v>
      </c>
      <c r="BF23" s="189">
        <v>0</v>
      </c>
      <c r="BG23" s="189">
        <v>0</v>
      </c>
      <c r="BH23" s="189">
        <v>0</v>
      </c>
      <c r="BI23" s="189">
        <v>0</v>
      </c>
      <c r="BJ23" s="189">
        <v>0</v>
      </c>
      <c r="BK23" s="189">
        <v>0</v>
      </c>
      <c r="BL23" s="189">
        <v>0</v>
      </c>
      <c r="BM23" s="189">
        <v>0</v>
      </c>
      <c r="BN23" s="189">
        <v>0</v>
      </c>
      <c r="BO23" s="189">
        <v>0</v>
      </c>
      <c r="BP23" s="189">
        <v>0</v>
      </c>
      <c r="BQ23" s="189">
        <v>0</v>
      </c>
      <c r="BR23" s="189">
        <v>0</v>
      </c>
      <c r="BS23" s="189">
        <v>0</v>
      </c>
      <c r="BT23" s="189">
        <v>0</v>
      </c>
      <c r="BU23" s="189">
        <v>0</v>
      </c>
      <c r="BV23" s="189">
        <v>0</v>
      </c>
      <c r="BW23" s="189">
        <v>0</v>
      </c>
    </row>
    <row r="24" spans="1:75">
      <c r="A24" s="189" t="s">
        <v>240</v>
      </c>
      <c r="B24" s="189">
        <v>0</v>
      </c>
      <c r="C24" s="189">
        <v>0</v>
      </c>
      <c r="D24" s="189">
        <v>0</v>
      </c>
      <c r="E24" s="189">
        <v>0</v>
      </c>
      <c r="F24" s="189">
        <v>0</v>
      </c>
      <c r="G24" s="189">
        <v>0</v>
      </c>
      <c r="H24" s="189">
        <v>0</v>
      </c>
      <c r="I24" s="189">
        <v>0</v>
      </c>
      <c r="J24" s="189">
        <v>0</v>
      </c>
      <c r="K24" s="189">
        <v>0</v>
      </c>
      <c r="L24" s="189">
        <v>0</v>
      </c>
      <c r="M24" s="189">
        <v>0</v>
      </c>
      <c r="N24" s="189">
        <v>0</v>
      </c>
      <c r="O24" s="189">
        <v>0</v>
      </c>
      <c r="P24" s="189">
        <v>0</v>
      </c>
      <c r="Q24" s="189">
        <v>0</v>
      </c>
      <c r="R24" s="189">
        <v>0</v>
      </c>
      <c r="S24" s="189">
        <v>0</v>
      </c>
      <c r="T24" s="189">
        <v>0</v>
      </c>
      <c r="U24" s="189">
        <v>0</v>
      </c>
      <c r="V24" s="189">
        <v>8200000</v>
      </c>
      <c r="W24" s="189">
        <v>71763.17</v>
      </c>
      <c r="X24" s="189">
        <v>71763.17</v>
      </c>
      <c r="Y24" s="189">
        <v>0</v>
      </c>
      <c r="Z24" s="189">
        <v>0</v>
      </c>
      <c r="AA24" s="189">
        <v>0</v>
      </c>
      <c r="AB24" s="189">
        <v>0</v>
      </c>
      <c r="AC24" s="189">
        <v>0</v>
      </c>
      <c r="AD24" s="189">
        <v>0</v>
      </c>
      <c r="AE24" s="189">
        <v>0</v>
      </c>
      <c r="AF24" s="189">
        <v>0</v>
      </c>
      <c r="AG24" s="189">
        <v>51706.21</v>
      </c>
      <c r="AH24" s="189">
        <v>0</v>
      </c>
      <c r="AI24" s="189">
        <v>2586801.63</v>
      </c>
      <c r="AJ24" s="189">
        <v>0</v>
      </c>
      <c r="AK24" s="189">
        <v>0</v>
      </c>
      <c r="AL24" s="189">
        <v>0</v>
      </c>
      <c r="AM24" s="189">
        <v>0</v>
      </c>
      <c r="AN24" s="189">
        <v>0</v>
      </c>
      <c r="AO24" s="189">
        <v>0</v>
      </c>
      <c r="AP24" s="189">
        <v>0</v>
      </c>
      <c r="AQ24" s="189">
        <v>0</v>
      </c>
      <c r="AR24" s="189">
        <v>0</v>
      </c>
      <c r="AS24" s="189">
        <v>0</v>
      </c>
      <c r="AT24" s="189">
        <v>0</v>
      </c>
      <c r="AU24" s="189">
        <v>0</v>
      </c>
      <c r="AV24" s="189">
        <v>0</v>
      </c>
      <c r="AW24" s="189">
        <v>0</v>
      </c>
      <c r="AX24" s="189">
        <v>0</v>
      </c>
      <c r="AY24" s="189">
        <v>0</v>
      </c>
      <c r="AZ24" s="189">
        <v>0</v>
      </c>
      <c r="BA24" s="189">
        <v>0</v>
      </c>
      <c r="BB24" s="189">
        <v>0</v>
      </c>
      <c r="BC24" s="189">
        <v>0</v>
      </c>
      <c r="BD24" s="189">
        <v>0</v>
      </c>
      <c r="BE24" s="189">
        <v>0</v>
      </c>
      <c r="BF24" s="189">
        <v>0</v>
      </c>
      <c r="BG24" s="189">
        <v>0</v>
      </c>
      <c r="BH24" s="189">
        <v>0</v>
      </c>
      <c r="BI24" s="189">
        <v>0</v>
      </c>
      <c r="BJ24" s="189">
        <v>0</v>
      </c>
      <c r="BK24" s="189">
        <v>0</v>
      </c>
      <c r="BL24" s="189">
        <v>0</v>
      </c>
      <c r="BM24" s="189">
        <v>0</v>
      </c>
      <c r="BN24" s="189">
        <v>0</v>
      </c>
      <c r="BO24" s="189">
        <v>0</v>
      </c>
      <c r="BP24" s="189">
        <v>0</v>
      </c>
      <c r="BQ24" s="189">
        <v>0</v>
      </c>
      <c r="BR24" s="189">
        <v>0</v>
      </c>
      <c r="BS24" s="189">
        <v>288640.5</v>
      </c>
      <c r="BT24" s="189">
        <v>0</v>
      </c>
      <c r="BU24" s="189">
        <v>3127220.93</v>
      </c>
      <c r="BV24" s="189">
        <v>0</v>
      </c>
      <c r="BW24" s="189">
        <v>0</v>
      </c>
    </row>
    <row r="25" spans="1:75">
      <c r="A25" s="189" t="s">
        <v>241</v>
      </c>
      <c r="B25" s="189">
        <v>89010940.959999993</v>
      </c>
      <c r="C25" s="189">
        <v>57854081.880000003</v>
      </c>
      <c r="D25" s="189">
        <v>44786896.880000003</v>
      </c>
      <c r="E25" s="189">
        <v>28964050.609999999</v>
      </c>
      <c r="F25" s="189">
        <v>448499477.10000002</v>
      </c>
      <c r="G25" s="189">
        <v>417041109.26999998</v>
      </c>
      <c r="H25" s="189">
        <v>7317557.21</v>
      </c>
      <c r="I25" s="189">
        <v>367656.47</v>
      </c>
      <c r="J25" s="189">
        <v>40667935.149999999</v>
      </c>
      <c r="K25" s="189">
        <v>35325353.060000002</v>
      </c>
      <c r="L25" s="189">
        <v>31460788.739999998</v>
      </c>
      <c r="M25" s="189">
        <v>22736651.5</v>
      </c>
      <c r="N25" s="189">
        <v>69025776.459999993</v>
      </c>
      <c r="O25" s="189">
        <v>19082770.25</v>
      </c>
      <c r="P25" s="189">
        <v>13631603.199999999</v>
      </c>
      <c r="Q25" s="189">
        <v>6864789.4699999997</v>
      </c>
      <c r="R25" s="189">
        <v>35250347</v>
      </c>
      <c r="S25" s="189">
        <v>24068727.59</v>
      </c>
      <c r="T25" s="189">
        <v>7501969.8099999996</v>
      </c>
      <c r="U25" s="189">
        <v>3572091.75</v>
      </c>
      <c r="V25" s="189">
        <v>60735226.07</v>
      </c>
      <c r="W25" s="189">
        <v>37817380.630000003</v>
      </c>
      <c r="X25" s="189">
        <v>8323006.2599999998</v>
      </c>
      <c r="Y25" s="189">
        <v>6441828.9699999997</v>
      </c>
      <c r="Z25" s="189">
        <v>40801542.609999999</v>
      </c>
      <c r="AA25" s="189">
        <v>25212051.199999999</v>
      </c>
      <c r="AB25" s="189">
        <v>13240798.869999999</v>
      </c>
      <c r="AC25" s="189">
        <v>5199848.0999999996</v>
      </c>
      <c r="AD25" s="189">
        <v>27474414.469999999</v>
      </c>
      <c r="AE25" s="189">
        <v>21700316.18</v>
      </c>
      <c r="AF25" s="189">
        <v>13230731.49</v>
      </c>
      <c r="AG25" s="189">
        <v>3346499.2</v>
      </c>
      <c r="AH25" s="189">
        <v>106268301.02</v>
      </c>
      <c r="AI25" s="189">
        <v>40965410.119999997</v>
      </c>
      <c r="AJ25" s="189">
        <v>23046753.73</v>
      </c>
      <c r="AK25" s="189">
        <v>7259614.5599999996</v>
      </c>
      <c r="AL25" s="189">
        <v>45625333.979999997</v>
      </c>
      <c r="AM25" s="189">
        <v>18286552.77</v>
      </c>
      <c r="AN25" s="189">
        <v>11841641.82</v>
      </c>
      <c r="AO25" s="189">
        <v>8901282.75</v>
      </c>
      <c r="AP25" s="189">
        <v>92672758.200000003</v>
      </c>
      <c r="AQ25" s="189">
        <v>88023556.590000004</v>
      </c>
      <c r="AR25" s="189">
        <v>81461824.379999995</v>
      </c>
      <c r="AS25" s="189">
        <v>26293899.390000001</v>
      </c>
      <c r="AT25" s="189">
        <v>132810646.62</v>
      </c>
      <c r="AU25" s="189">
        <v>46386128.579999998</v>
      </c>
      <c r="AV25" s="189">
        <v>36935926.609999999</v>
      </c>
      <c r="AW25" s="189">
        <v>29293009.07</v>
      </c>
      <c r="AX25" s="189">
        <v>57783102.969999999</v>
      </c>
      <c r="AY25" s="189">
        <v>23627461.210000001</v>
      </c>
      <c r="AZ25" s="189">
        <v>11818697.439999999</v>
      </c>
      <c r="BA25" s="189">
        <v>7699396.2199999997</v>
      </c>
      <c r="BB25" s="189">
        <v>29784900.879999999</v>
      </c>
      <c r="BC25" s="189">
        <v>59011723.259999998</v>
      </c>
      <c r="BD25" s="189">
        <v>54435513.259999998</v>
      </c>
      <c r="BE25" s="189">
        <v>1168239.71</v>
      </c>
      <c r="BF25" s="189">
        <v>11959980.41</v>
      </c>
      <c r="BG25" s="189">
        <v>1920314.21</v>
      </c>
      <c r="BH25" s="189">
        <v>1424579.21</v>
      </c>
      <c r="BI25" s="189">
        <v>815421.71</v>
      </c>
      <c r="BJ25" s="189">
        <v>5229843.6100000003</v>
      </c>
      <c r="BK25" s="189">
        <v>2570089.7599999998</v>
      </c>
      <c r="BL25" s="189">
        <v>1813102.99</v>
      </c>
      <c r="BM25" s="189">
        <v>6270871.5499999998</v>
      </c>
      <c r="BN25" s="189">
        <v>7984392.9900000002</v>
      </c>
      <c r="BO25" s="189">
        <v>2915283.06</v>
      </c>
      <c r="BP25" s="189">
        <v>68801011.349999994</v>
      </c>
      <c r="BQ25" s="189">
        <v>25135747.940000001</v>
      </c>
      <c r="BR25" s="189">
        <v>172634636.27000001</v>
      </c>
      <c r="BS25" s="189">
        <v>475286.5</v>
      </c>
      <c r="BT25" s="189">
        <v>75302723.469999999</v>
      </c>
      <c r="BU25" s="189">
        <v>63815355.200000003</v>
      </c>
      <c r="BV25" s="189">
        <v>32960538.469999999</v>
      </c>
      <c r="BW25" s="189">
        <v>0</v>
      </c>
    </row>
    <row r="26" spans="1:75">
      <c r="A26" s="189" t="s">
        <v>242</v>
      </c>
      <c r="B26" s="189">
        <v>2317381525.8600001</v>
      </c>
      <c r="C26" s="189">
        <v>1719803546.3699999</v>
      </c>
      <c r="D26" s="189">
        <v>15222908.92</v>
      </c>
      <c r="E26" s="189">
        <v>-28964050.609999999</v>
      </c>
      <c r="F26" s="189">
        <v>-447807278.19999999</v>
      </c>
      <c r="G26" s="189">
        <v>-416870509.26999998</v>
      </c>
      <c r="H26" s="189">
        <v>-7317557.21</v>
      </c>
      <c r="I26" s="189">
        <v>-367656.47</v>
      </c>
      <c r="J26" s="189">
        <v>-40655187.579999998</v>
      </c>
      <c r="K26" s="189">
        <v>-35325353.060000002</v>
      </c>
      <c r="L26" s="189">
        <v>-31448041.170000002</v>
      </c>
      <c r="M26" s="189">
        <v>-22736651.5</v>
      </c>
      <c r="N26" s="189">
        <v>-63496290.009999998</v>
      </c>
      <c r="O26" s="189">
        <v>-18127020.25</v>
      </c>
      <c r="P26" s="189">
        <v>-13631603.199999999</v>
      </c>
      <c r="Q26" s="189">
        <v>-6864789.4699999997</v>
      </c>
      <c r="R26" s="189">
        <v>-30402258</v>
      </c>
      <c r="S26" s="189">
        <v>-19222527.59</v>
      </c>
      <c r="T26" s="189">
        <v>-7484969.8099999996</v>
      </c>
      <c r="U26" s="189">
        <v>-3572091.75</v>
      </c>
      <c r="V26" s="189">
        <v>-59440149.149999999</v>
      </c>
      <c r="W26" s="189">
        <v>-36113854.020000003</v>
      </c>
      <c r="X26" s="189">
        <v>-8261006.2599999998</v>
      </c>
      <c r="Y26" s="189">
        <v>-6441828.9699999997</v>
      </c>
      <c r="Z26" s="189">
        <v>-34298462.640000001</v>
      </c>
      <c r="AA26" s="189">
        <v>-26374651.039999999</v>
      </c>
      <c r="AB26" s="189">
        <v>-11965806.470000001</v>
      </c>
      <c r="AC26" s="189">
        <v>-5187464.0999999996</v>
      </c>
      <c r="AD26" s="189">
        <v>-14507157.050000001</v>
      </c>
      <c r="AE26" s="189">
        <v>-13268727.18</v>
      </c>
      <c r="AF26" s="189">
        <v>-6957142.4900000002</v>
      </c>
      <c r="AG26" s="189">
        <v>655500.80000000005</v>
      </c>
      <c r="AH26" s="189">
        <v>-62195915.119999997</v>
      </c>
      <c r="AI26" s="189">
        <v>-29252006.050000001</v>
      </c>
      <c r="AJ26" s="189">
        <v>-16086804.15</v>
      </c>
      <c r="AK26" s="189">
        <v>-7205814.5599999996</v>
      </c>
      <c r="AL26" s="189">
        <v>-45532922.18</v>
      </c>
      <c r="AM26" s="189">
        <v>-18282140.969999999</v>
      </c>
      <c r="AN26" s="189">
        <v>-11841061.82</v>
      </c>
      <c r="AO26" s="189">
        <v>-8900932.75</v>
      </c>
      <c r="AP26" s="189">
        <v>-92360758.200000003</v>
      </c>
      <c r="AQ26" s="189">
        <v>-87705056.590000004</v>
      </c>
      <c r="AR26" s="189">
        <v>-81144124.379999995</v>
      </c>
      <c r="AS26" s="189">
        <v>-26290099.390000001</v>
      </c>
      <c r="AT26" s="189">
        <v>-68609143.299999997</v>
      </c>
      <c r="AU26" s="189">
        <v>-45702453.270000003</v>
      </c>
      <c r="AV26" s="189">
        <v>-36649162.060000002</v>
      </c>
      <c r="AW26" s="189">
        <v>-29286239.07</v>
      </c>
      <c r="AX26" s="189">
        <v>-687130.76</v>
      </c>
      <c r="AY26" s="189">
        <v>-5945607.21</v>
      </c>
      <c r="AZ26" s="189">
        <v>-10148132.439999999</v>
      </c>
      <c r="BA26" s="189">
        <v>-7699396.2199999997</v>
      </c>
      <c r="BB26" s="189">
        <v>-29034800.879999999</v>
      </c>
      <c r="BC26" s="189">
        <v>-58809757.32</v>
      </c>
      <c r="BD26" s="189">
        <v>-54233547.32</v>
      </c>
      <c r="BE26" s="189">
        <v>-966273.77</v>
      </c>
      <c r="BF26" s="189">
        <v>4016308.55</v>
      </c>
      <c r="BG26" s="189">
        <v>549973.79</v>
      </c>
      <c r="BH26" s="189">
        <v>678530.79</v>
      </c>
      <c r="BI26" s="189">
        <v>538939.29</v>
      </c>
      <c r="BJ26" s="189">
        <v>22501032.52</v>
      </c>
      <c r="BK26" s="189">
        <v>22257381.690000001</v>
      </c>
      <c r="BL26" s="189">
        <v>20144888.050000001</v>
      </c>
      <c r="BM26" s="189">
        <v>2230806.67</v>
      </c>
      <c r="BN26" s="189">
        <v>-7332225.6500000004</v>
      </c>
      <c r="BO26" s="189">
        <v>-2679321.4500000002</v>
      </c>
      <c r="BP26" s="189">
        <v>-64914900.350000001</v>
      </c>
      <c r="BQ26" s="189">
        <v>-24767121.940000001</v>
      </c>
      <c r="BR26" s="189">
        <v>33596896.039999999</v>
      </c>
      <c r="BS26" s="189">
        <v>2847280.25</v>
      </c>
      <c r="BT26" s="189">
        <v>-73271899.900000006</v>
      </c>
      <c r="BU26" s="189">
        <v>-56725209.950000003</v>
      </c>
      <c r="BV26" s="189">
        <v>-32960538.469999999</v>
      </c>
      <c r="BW26" s="189">
        <v>0</v>
      </c>
    </row>
    <row r="27" spans="1:75">
      <c r="A27" s="189" t="s">
        <v>243</v>
      </c>
    </row>
    <row r="28" spans="1:75">
      <c r="A28" s="189" t="s">
        <v>244</v>
      </c>
      <c r="B28" s="189">
        <v>0</v>
      </c>
      <c r="C28" s="189">
        <v>0</v>
      </c>
      <c r="D28" s="189">
        <v>0</v>
      </c>
      <c r="E28" s="189">
        <v>0</v>
      </c>
      <c r="F28" s="189">
        <v>395435396.73000002</v>
      </c>
      <c r="G28" s="189">
        <v>395435396.73000002</v>
      </c>
      <c r="H28" s="189">
        <v>395435396.73000002</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50000000</v>
      </c>
      <c r="BD28" s="189">
        <v>50000000</v>
      </c>
      <c r="BE28" s="189">
        <v>0</v>
      </c>
      <c r="BF28" s="189">
        <v>0</v>
      </c>
      <c r="BG28" s="189">
        <v>0</v>
      </c>
      <c r="BH28" s="189">
        <v>0</v>
      </c>
      <c r="BI28" s="189">
        <v>0</v>
      </c>
      <c r="BJ28" s="189">
        <v>413000000</v>
      </c>
      <c r="BK28" s="189">
        <v>0</v>
      </c>
      <c r="BL28" s="189">
        <v>0</v>
      </c>
      <c r="BM28" s="189">
        <v>0</v>
      </c>
      <c r="BN28" s="189">
        <v>0</v>
      </c>
      <c r="BO28" s="189">
        <v>0</v>
      </c>
      <c r="BP28" s="189">
        <v>0</v>
      </c>
      <c r="BQ28" s="189">
        <v>0</v>
      </c>
      <c r="BR28" s="189">
        <v>0</v>
      </c>
      <c r="BS28" s="189">
        <v>0</v>
      </c>
      <c r="BT28" s="189">
        <v>72737508.5</v>
      </c>
      <c r="BU28" s="189">
        <v>0</v>
      </c>
      <c r="BV28" s="189">
        <v>0</v>
      </c>
      <c r="BW28" s="189">
        <v>0</v>
      </c>
    </row>
    <row r="29" spans="1:75">
      <c r="A29" s="189" t="s">
        <v>245</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row>
    <row r="30" spans="1:75">
      <c r="A30" s="189" t="s">
        <v>246</v>
      </c>
      <c r="B30" s="189">
        <v>470000000</v>
      </c>
      <c r="C30" s="189">
        <v>370000000</v>
      </c>
      <c r="D30" s="189">
        <v>200000000</v>
      </c>
      <c r="E30" s="189">
        <v>100000000</v>
      </c>
      <c r="F30" s="189">
        <v>350000000</v>
      </c>
      <c r="G30" s="189">
        <v>300000000</v>
      </c>
      <c r="H30" s="189">
        <v>200000000</v>
      </c>
      <c r="I30" s="189">
        <v>100000000</v>
      </c>
      <c r="J30" s="189">
        <v>385000000</v>
      </c>
      <c r="K30" s="189">
        <v>250000000</v>
      </c>
      <c r="L30" s="189">
        <v>50000000</v>
      </c>
      <c r="M30" s="189">
        <v>50000000</v>
      </c>
      <c r="N30" s="189">
        <v>351007700</v>
      </c>
      <c r="O30" s="189">
        <v>300000000</v>
      </c>
      <c r="P30" s="189">
        <v>200000000</v>
      </c>
      <c r="Q30" s="189">
        <v>0</v>
      </c>
      <c r="R30" s="189">
        <v>302707480</v>
      </c>
      <c r="S30" s="189">
        <v>300620000</v>
      </c>
      <c r="T30" s="189">
        <v>100000000</v>
      </c>
      <c r="U30" s="189">
        <v>0</v>
      </c>
      <c r="V30" s="189">
        <v>0</v>
      </c>
      <c r="W30" s="189">
        <v>0</v>
      </c>
      <c r="X30" s="189">
        <v>0</v>
      </c>
      <c r="Y30" s="189">
        <v>0</v>
      </c>
      <c r="Z30" s="189">
        <v>0</v>
      </c>
      <c r="AA30" s="189">
        <v>0</v>
      </c>
      <c r="AB30" s="189">
        <v>0</v>
      </c>
      <c r="AC30" s="189">
        <v>0</v>
      </c>
      <c r="AD30" s="189">
        <v>0</v>
      </c>
      <c r="AE30" s="189">
        <v>0</v>
      </c>
      <c r="AF30" s="189">
        <v>0</v>
      </c>
      <c r="AG30" s="189">
        <v>0</v>
      </c>
      <c r="AH30" s="189">
        <v>100000000</v>
      </c>
      <c r="AI30" s="189">
        <v>100000000</v>
      </c>
      <c r="AJ30" s="189">
        <v>100000000</v>
      </c>
      <c r="AK30" s="189">
        <v>50000000</v>
      </c>
      <c r="AL30" s="189">
        <v>250000000</v>
      </c>
      <c r="AM30" s="189">
        <v>250000000</v>
      </c>
      <c r="AN30" s="189">
        <v>200000000</v>
      </c>
      <c r="AO30" s="189">
        <v>150000000</v>
      </c>
      <c r="AP30" s="189">
        <v>325000000</v>
      </c>
      <c r="AQ30" s="189">
        <v>325000000</v>
      </c>
      <c r="AR30" s="189">
        <v>165000000</v>
      </c>
      <c r="AS30" s="189">
        <v>115000000</v>
      </c>
      <c r="AT30" s="189">
        <v>338000000</v>
      </c>
      <c r="AU30" s="189">
        <v>270000000</v>
      </c>
      <c r="AV30" s="189">
        <v>50000000</v>
      </c>
      <c r="AW30" s="189">
        <v>0</v>
      </c>
      <c r="AX30" s="189">
        <v>288000000</v>
      </c>
      <c r="AY30" s="189">
        <v>220000000</v>
      </c>
      <c r="AZ30" s="189">
        <v>10000000</v>
      </c>
      <c r="BA30" s="189">
        <v>0</v>
      </c>
      <c r="BB30" s="189">
        <v>318000000</v>
      </c>
      <c r="BC30" s="189">
        <v>0</v>
      </c>
      <c r="BD30" s="189">
        <v>0</v>
      </c>
      <c r="BE30" s="189">
        <v>0</v>
      </c>
      <c r="BF30" s="189">
        <v>67000000</v>
      </c>
      <c r="BG30" s="189">
        <v>395000000</v>
      </c>
      <c r="BH30" s="189">
        <v>113000000</v>
      </c>
      <c r="BI30" s="189">
        <v>65000000</v>
      </c>
      <c r="BJ30" s="189">
        <v>0</v>
      </c>
      <c r="BK30" s="189">
        <v>290700000</v>
      </c>
      <c r="BL30" s="189">
        <v>132000000</v>
      </c>
      <c r="BM30" s="189">
        <v>200000</v>
      </c>
      <c r="BN30" s="189">
        <v>299730000</v>
      </c>
      <c r="BO30" s="189">
        <v>216090000</v>
      </c>
      <c r="BP30" s="189">
        <v>395378106.31</v>
      </c>
      <c r="BQ30" s="189">
        <v>211000000</v>
      </c>
      <c r="BR30" s="189">
        <v>342430000</v>
      </c>
      <c r="BS30" s="189">
        <v>11410000</v>
      </c>
      <c r="BT30" s="189">
        <v>79366000</v>
      </c>
      <c r="BU30" s="189">
        <v>514088480</v>
      </c>
      <c r="BV30" s="189">
        <v>135730000</v>
      </c>
      <c r="BW30" s="189">
        <v>0</v>
      </c>
    </row>
    <row r="31" spans="1:75">
      <c r="A31" s="189" t="s">
        <v>247</v>
      </c>
      <c r="B31" s="189">
        <v>0</v>
      </c>
      <c r="C31" s="189">
        <v>0</v>
      </c>
      <c r="D31" s="189">
        <v>0</v>
      </c>
      <c r="E31" s="189">
        <v>0</v>
      </c>
      <c r="F31" s="189">
        <v>0</v>
      </c>
      <c r="G31" s="189">
        <v>0</v>
      </c>
      <c r="H31" s="189">
        <v>0</v>
      </c>
      <c r="I31" s="189">
        <v>0</v>
      </c>
      <c r="J31" s="189">
        <v>0</v>
      </c>
      <c r="K31" s="189">
        <v>0</v>
      </c>
      <c r="L31" s="189">
        <v>0</v>
      </c>
      <c r="M31" s="189">
        <v>0</v>
      </c>
      <c r="N31" s="189">
        <v>0</v>
      </c>
      <c r="O31" s="189">
        <v>0</v>
      </c>
      <c r="P31" s="189">
        <v>0</v>
      </c>
      <c r="Q31" s="189">
        <v>0</v>
      </c>
      <c r="R31" s="189">
        <v>0</v>
      </c>
      <c r="S31" s="189">
        <v>0</v>
      </c>
      <c r="T31" s="189">
        <v>0</v>
      </c>
      <c r="U31" s="189">
        <v>0</v>
      </c>
      <c r="V31" s="189">
        <v>0</v>
      </c>
      <c r="W31" s="189">
        <v>0</v>
      </c>
      <c r="X31" s="189">
        <v>0</v>
      </c>
      <c r="Y31" s="189">
        <v>0</v>
      </c>
      <c r="Z31" s="189">
        <v>0</v>
      </c>
      <c r="AA31" s="189">
        <v>0</v>
      </c>
      <c r="AB31" s="189">
        <v>0</v>
      </c>
      <c r="AC31" s="189">
        <v>0</v>
      </c>
      <c r="AD31" s="189">
        <v>0</v>
      </c>
      <c r="AE31" s="189">
        <v>0</v>
      </c>
      <c r="AF31" s="189">
        <v>0</v>
      </c>
      <c r="AG31" s="189">
        <v>0</v>
      </c>
      <c r="AH31" s="189">
        <v>0</v>
      </c>
      <c r="AI31" s="189">
        <v>0</v>
      </c>
      <c r="AJ31" s="189">
        <v>0</v>
      </c>
      <c r="AK31" s="189">
        <v>0</v>
      </c>
      <c r="AL31" s="189">
        <v>0</v>
      </c>
      <c r="AM31" s="189">
        <v>0</v>
      </c>
      <c r="AN31" s="189">
        <v>0</v>
      </c>
      <c r="AO31" s="189">
        <v>0</v>
      </c>
      <c r="AP31" s="189">
        <v>0</v>
      </c>
      <c r="AQ31" s="189">
        <v>0</v>
      </c>
      <c r="AR31" s="189">
        <v>0</v>
      </c>
      <c r="AS31" s="189">
        <v>0</v>
      </c>
      <c r="AT31" s="189">
        <v>0</v>
      </c>
      <c r="AU31" s="189">
        <v>0</v>
      </c>
      <c r="AV31" s="189">
        <v>0</v>
      </c>
      <c r="AW31" s="189">
        <v>0</v>
      </c>
      <c r="AX31" s="189">
        <v>0</v>
      </c>
      <c r="AY31" s="189">
        <v>0</v>
      </c>
      <c r="AZ31" s="189">
        <v>0</v>
      </c>
      <c r="BA31" s="189">
        <v>0</v>
      </c>
      <c r="BB31" s="189">
        <v>0</v>
      </c>
      <c r="BC31" s="189">
        <v>0</v>
      </c>
      <c r="BD31" s="189">
        <v>0</v>
      </c>
      <c r="BE31" s="189">
        <v>0</v>
      </c>
      <c r="BF31" s="189">
        <v>0</v>
      </c>
      <c r="BG31" s="189">
        <v>0</v>
      </c>
      <c r="BH31" s="189">
        <v>0</v>
      </c>
      <c r="BI31" s="189">
        <v>0</v>
      </c>
      <c r="BJ31" s="189">
        <v>0</v>
      </c>
      <c r="BK31" s="189">
        <v>0</v>
      </c>
      <c r="BL31" s="189">
        <v>0</v>
      </c>
      <c r="BM31" s="189">
        <v>0</v>
      </c>
      <c r="BN31" s="189">
        <v>0</v>
      </c>
      <c r="BO31" s="189">
        <v>0</v>
      </c>
      <c r="BP31" s="189">
        <v>0</v>
      </c>
      <c r="BQ31" s="189">
        <v>0</v>
      </c>
      <c r="BR31" s="189">
        <v>0</v>
      </c>
      <c r="BS31" s="189">
        <v>0</v>
      </c>
      <c r="BT31" s="189">
        <v>0</v>
      </c>
      <c r="BU31" s="189">
        <v>0</v>
      </c>
      <c r="BV31" s="189">
        <v>0</v>
      </c>
      <c r="BW31" s="189">
        <v>0</v>
      </c>
    </row>
    <row r="32" spans="1:75">
      <c r="A32" s="189" t="s">
        <v>248</v>
      </c>
      <c r="B32" s="189">
        <v>239681109.83000001</v>
      </c>
      <c r="C32" s="189">
        <v>239681109.83000001</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2217.89</v>
      </c>
      <c r="BP32" s="189">
        <v>1620731.62</v>
      </c>
      <c r="BQ32" s="189">
        <v>0</v>
      </c>
      <c r="BR32" s="189">
        <v>0</v>
      </c>
      <c r="BS32" s="189">
        <v>584368.54</v>
      </c>
      <c r="BT32" s="189">
        <v>500000</v>
      </c>
      <c r="BU32" s="189">
        <v>0</v>
      </c>
      <c r="BV32" s="189">
        <v>0</v>
      </c>
      <c r="BW32" s="189">
        <v>0</v>
      </c>
    </row>
    <row r="33" spans="1:75">
      <c r="A33" s="189" t="s">
        <v>249</v>
      </c>
      <c r="B33" s="189">
        <v>709681109.83000004</v>
      </c>
      <c r="C33" s="189">
        <v>609681109.83000004</v>
      </c>
      <c r="D33" s="189">
        <v>200000000</v>
      </c>
      <c r="E33" s="189">
        <v>100000000</v>
      </c>
      <c r="F33" s="189">
        <v>745435396.73000002</v>
      </c>
      <c r="G33" s="189">
        <v>695435396.73000002</v>
      </c>
      <c r="H33" s="189">
        <v>595435396.73000002</v>
      </c>
      <c r="I33" s="189">
        <v>100000000</v>
      </c>
      <c r="J33" s="189">
        <v>385000000</v>
      </c>
      <c r="K33" s="189">
        <v>250000000</v>
      </c>
      <c r="L33" s="189">
        <v>50000000</v>
      </c>
      <c r="M33" s="189">
        <v>50000000</v>
      </c>
      <c r="N33" s="189">
        <v>351007700</v>
      </c>
      <c r="O33" s="189">
        <v>300000000</v>
      </c>
      <c r="P33" s="189">
        <v>200000000</v>
      </c>
      <c r="Q33" s="189">
        <v>0</v>
      </c>
      <c r="R33" s="189">
        <v>302707480</v>
      </c>
      <c r="S33" s="189">
        <v>300620000</v>
      </c>
      <c r="T33" s="189">
        <v>100000000</v>
      </c>
      <c r="U33" s="189">
        <v>0</v>
      </c>
      <c r="V33" s="189">
        <v>0</v>
      </c>
      <c r="W33" s="189">
        <v>0</v>
      </c>
      <c r="X33" s="189">
        <v>0</v>
      </c>
      <c r="Y33" s="189">
        <v>0</v>
      </c>
      <c r="Z33" s="189">
        <v>0</v>
      </c>
      <c r="AA33" s="189">
        <v>0</v>
      </c>
      <c r="AB33" s="189">
        <v>0</v>
      </c>
      <c r="AC33" s="189">
        <v>0</v>
      </c>
      <c r="AD33" s="189">
        <v>0</v>
      </c>
      <c r="AE33" s="189">
        <v>0</v>
      </c>
      <c r="AF33" s="189">
        <v>0</v>
      </c>
      <c r="AG33" s="189">
        <v>0</v>
      </c>
      <c r="AH33" s="189">
        <v>100000000</v>
      </c>
      <c r="AI33" s="189">
        <v>100000000</v>
      </c>
      <c r="AJ33" s="189">
        <v>100000000</v>
      </c>
      <c r="AK33" s="189">
        <v>50000000</v>
      </c>
      <c r="AL33" s="189">
        <v>250000000</v>
      </c>
      <c r="AM33" s="189">
        <v>250000000</v>
      </c>
      <c r="AN33" s="189">
        <v>200000000</v>
      </c>
      <c r="AO33" s="189">
        <v>150000000</v>
      </c>
      <c r="AP33" s="189">
        <v>325000000</v>
      </c>
      <c r="AQ33" s="189">
        <v>325000000</v>
      </c>
      <c r="AR33" s="189">
        <v>165000000</v>
      </c>
      <c r="AS33" s="189">
        <v>115000000</v>
      </c>
      <c r="AT33" s="189">
        <v>338000000</v>
      </c>
      <c r="AU33" s="189">
        <v>270000000</v>
      </c>
      <c r="AV33" s="189">
        <v>50000000</v>
      </c>
      <c r="AW33" s="189">
        <v>0</v>
      </c>
      <c r="AX33" s="189">
        <v>288000000</v>
      </c>
      <c r="AY33" s="189">
        <v>220000000</v>
      </c>
      <c r="AZ33" s="189">
        <v>10000000</v>
      </c>
      <c r="BA33" s="189">
        <v>0</v>
      </c>
      <c r="BB33" s="189">
        <v>318000000</v>
      </c>
      <c r="BC33" s="189">
        <v>50000000</v>
      </c>
      <c r="BD33" s="189">
        <v>50000000</v>
      </c>
      <c r="BE33" s="189">
        <v>0</v>
      </c>
      <c r="BF33" s="189">
        <v>67000000</v>
      </c>
      <c r="BG33" s="189">
        <v>395000000</v>
      </c>
      <c r="BH33" s="189">
        <v>113000000</v>
      </c>
      <c r="BI33" s="189">
        <v>65000000</v>
      </c>
      <c r="BJ33" s="189">
        <v>413000000</v>
      </c>
      <c r="BK33" s="189">
        <v>290700000</v>
      </c>
      <c r="BL33" s="189">
        <v>132000000</v>
      </c>
      <c r="BM33" s="189">
        <v>200000</v>
      </c>
      <c r="BN33" s="189">
        <v>299730000</v>
      </c>
      <c r="BO33" s="189">
        <v>216092217.88999999</v>
      </c>
      <c r="BP33" s="189">
        <v>396998837.93000001</v>
      </c>
      <c r="BQ33" s="189">
        <v>211000000</v>
      </c>
      <c r="BR33" s="189">
        <v>342430000</v>
      </c>
      <c r="BS33" s="189">
        <v>11994368.539999999</v>
      </c>
      <c r="BT33" s="189">
        <v>152603508.5</v>
      </c>
      <c r="BU33" s="189">
        <v>514088480</v>
      </c>
      <c r="BV33" s="189">
        <v>135730000</v>
      </c>
      <c r="BW33" s="189">
        <v>0</v>
      </c>
    </row>
    <row r="34" spans="1:75">
      <c r="A34" s="189" t="s">
        <v>250</v>
      </c>
      <c r="B34" s="189">
        <v>1117400000</v>
      </c>
      <c r="C34" s="189">
        <v>757400000</v>
      </c>
      <c r="D34" s="189">
        <v>152500000</v>
      </c>
      <c r="E34" s="189">
        <v>22500000</v>
      </c>
      <c r="F34" s="189">
        <v>466350000</v>
      </c>
      <c r="G34" s="189">
        <v>363750000</v>
      </c>
      <c r="H34" s="189">
        <v>242500000</v>
      </c>
      <c r="I34" s="189">
        <v>100000000</v>
      </c>
      <c r="J34" s="189">
        <v>351694800</v>
      </c>
      <c r="K34" s="189">
        <v>301694800</v>
      </c>
      <c r="L34" s="189">
        <v>0</v>
      </c>
      <c r="M34" s="189">
        <v>0</v>
      </c>
      <c r="N34" s="189">
        <v>202020380</v>
      </c>
      <c r="O34" s="189">
        <v>200000000</v>
      </c>
      <c r="P34" s="189">
        <v>0</v>
      </c>
      <c r="Q34" s="189">
        <v>0</v>
      </c>
      <c r="R34" s="189">
        <v>100000000</v>
      </c>
      <c r="S34" s="189">
        <v>100000000</v>
      </c>
      <c r="T34" s="189">
        <v>0</v>
      </c>
      <c r="U34" s="189">
        <v>0</v>
      </c>
      <c r="V34" s="189">
        <v>50000000</v>
      </c>
      <c r="W34" s="189">
        <v>50000000</v>
      </c>
      <c r="X34" s="189">
        <v>50000000</v>
      </c>
      <c r="Y34" s="189">
        <v>50000000</v>
      </c>
      <c r="Z34" s="189">
        <v>0</v>
      </c>
      <c r="AA34" s="189">
        <v>0</v>
      </c>
      <c r="AB34" s="189">
        <v>0</v>
      </c>
      <c r="AC34" s="189">
        <v>0</v>
      </c>
      <c r="AD34" s="189">
        <v>50000000</v>
      </c>
      <c r="AE34" s="189">
        <v>50000000</v>
      </c>
      <c r="AF34" s="189">
        <v>50000000</v>
      </c>
      <c r="AG34" s="189">
        <v>50000000</v>
      </c>
      <c r="AH34" s="189">
        <v>180000000</v>
      </c>
      <c r="AI34" s="189">
        <v>180000000</v>
      </c>
      <c r="AJ34" s="189">
        <v>180000000</v>
      </c>
      <c r="AK34" s="189">
        <v>130000000</v>
      </c>
      <c r="AL34" s="189">
        <v>330000000</v>
      </c>
      <c r="AM34" s="189">
        <v>260000000</v>
      </c>
      <c r="AN34" s="189">
        <v>260000000</v>
      </c>
      <c r="AO34" s="189">
        <v>140000000</v>
      </c>
      <c r="AP34" s="189">
        <v>373000000</v>
      </c>
      <c r="AQ34" s="189">
        <v>343000000</v>
      </c>
      <c r="AR34" s="189">
        <v>148000000</v>
      </c>
      <c r="AS34" s="189">
        <v>38000000</v>
      </c>
      <c r="AT34" s="189">
        <v>318000000</v>
      </c>
      <c r="AU34" s="189">
        <v>250000000</v>
      </c>
      <c r="AV34" s="189">
        <v>20000000</v>
      </c>
      <c r="AW34" s="189">
        <v>10000000</v>
      </c>
      <c r="AX34" s="189">
        <v>308000000</v>
      </c>
      <c r="AY34" s="189">
        <v>240000000</v>
      </c>
      <c r="AZ34" s="189">
        <v>10000000</v>
      </c>
      <c r="BA34" s="189">
        <v>10000000</v>
      </c>
      <c r="BB34" s="189">
        <v>350000000</v>
      </c>
      <c r="BC34" s="189">
        <v>32000000</v>
      </c>
      <c r="BD34" s="189">
        <v>20000000</v>
      </c>
      <c r="BE34" s="189">
        <v>20000000</v>
      </c>
      <c r="BF34" s="189">
        <v>127000000</v>
      </c>
      <c r="BG34" s="189">
        <v>418000000</v>
      </c>
      <c r="BH34" s="189">
        <v>150000000</v>
      </c>
      <c r="BI34" s="189">
        <v>93000000</v>
      </c>
      <c r="BJ34" s="189">
        <v>466930000</v>
      </c>
      <c r="BK34" s="189">
        <v>296145672.88</v>
      </c>
      <c r="BL34" s="189">
        <v>152500000</v>
      </c>
      <c r="BM34" s="189">
        <v>19500000</v>
      </c>
      <c r="BN34" s="189">
        <v>311430000</v>
      </c>
      <c r="BO34" s="189">
        <v>232000000</v>
      </c>
      <c r="BP34" s="189">
        <v>355510000</v>
      </c>
      <c r="BQ34" s="189">
        <v>191000000</v>
      </c>
      <c r="BR34" s="189">
        <v>335760000</v>
      </c>
      <c r="BS34" s="189">
        <v>20060000</v>
      </c>
      <c r="BT34" s="189">
        <v>75000000</v>
      </c>
      <c r="BU34" s="189">
        <v>482930000</v>
      </c>
      <c r="BV34" s="189">
        <v>114740000</v>
      </c>
      <c r="BW34" s="189">
        <v>0</v>
      </c>
    </row>
    <row r="35" spans="1:75">
      <c r="A35" s="189" t="s">
        <v>550</v>
      </c>
      <c r="B35" s="189">
        <v>457001696.22000003</v>
      </c>
      <c r="C35" s="189">
        <v>134564220.28</v>
      </c>
      <c r="D35" s="189">
        <v>115950301.61</v>
      </c>
      <c r="E35" s="189">
        <v>18709299.609999999</v>
      </c>
      <c r="F35" s="189">
        <v>100540231.23</v>
      </c>
      <c r="G35" s="189">
        <v>79663351.930000007</v>
      </c>
      <c r="H35" s="189">
        <v>63379103.299999997</v>
      </c>
      <c r="I35" s="189">
        <v>4441239.58</v>
      </c>
      <c r="J35" s="189">
        <v>18884186.989999998</v>
      </c>
      <c r="K35" s="189">
        <v>13780080.380000001</v>
      </c>
      <c r="L35" s="189">
        <v>7180254.1600000001</v>
      </c>
      <c r="M35" s="189">
        <v>4643964.9400000004</v>
      </c>
      <c r="N35" s="189">
        <v>14350345.42</v>
      </c>
      <c r="O35" s="189">
        <v>7675352.2699999996</v>
      </c>
      <c r="P35" s="189">
        <v>6426481.0099999998</v>
      </c>
      <c r="Q35" s="189">
        <v>2975553</v>
      </c>
      <c r="R35" s="189">
        <v>41673447.030000001</v>
      </c>
      <c r="S35" s="189">
        <v>37407858.700000003</v>
      </c>
      <c r="T35" s="189">
        <v>35825832.700000003</v>
      </c>
      <c r="U35" s="189">
        <v>0</v>
      </c>
      <c r="V35" s="189">
        <v>44751892.939999998</v>
      </c>
      <c r="W35" s="189">
        <v>44740740.240000002</v>
      </c>
      <c r="X35" s="189">
        <v>44740740.240000002</v>
      </c>
      <c r="Y35" s="189">
        <v>476625</v>
      </c>
      <c r="Z35" s="189">
        <v>3031375</v>
      </c>
      <c r="AA35" s="189">
        <v>2275187.5</v>
      </c>
      <c r="AB35" s="189">
        <v>1510437.5</v>
      </c>
      <c r="AC35" s="189">
        <v>745437.5</v>
      </c>
      <c r="AD35" s="189">
        <v>2810702.12</v>
      </c>
      <c r="AE35" s="189">
        <v>2077989.62</v>
      </c>
      <c r="AF35" s="189">
        <v>1406587.5</v>
      </c>
      <c r="AG35" s="189">
        <v>732924.19</v>
      </c>
      <c r="AH35" s="189">
        <v>6770479.6299999999</v>
      </c>
      <c r="AI35" s="189">
        <v>3824615</v>
      </c>
      <c r="AJ35" s="189">
        <v>3327892.5</v>
      </c>
      <c r="AK35" s="189">
        <v>1542923.33</v>
      </c>
      <c r="AL35" s="189">
        <v>13757937.5</v>
      </c>
      <c r="AM35" s="189">
        <v>10886041.5</v>
      </c>
      <c r="AN35" s="189">
        <v>8427762.5</v>
      </c>
      <c r="AO35" s="189">
        <v>4511043.33</v>
      </c>
      <c r="AP35" s="189">
        <v>24971934.399999999</v>
      </c>
      <c r="AQ35" s="189">
        <v>18946568.57</v>
      </c>
      <c r="AR35" s="189">
        <v>12919080.859999999</v>
      </c>
      <c r="AS35" s="189">
        <v>5927171.9199999999</v>
      </c>
      <c r="AT35" s="189">
        <v>21752554.84</v>
      </c>
      <c r="AU35" s="189">
        <v>15467571.25</v>
      </c>
      <c r="AV35" s="189">
        <v>9597969.25</v>
      </c>
      <c r="AW35" s="189">
        <v>4950203.34</v>
      </c>
      <c r="AX35" s="189">
        <v>19198044.34</v>
      </c>
      <c r="AY35" s="189">
        <v>14230906.67</v>
      </c>
      <c r="AZ35" s="189">
        <v>9331118</v>
      </c>
      <c r="BA35" s="189">
        <v>4624714.33</v>
      </c>
      <c r="BB35" s="189">
        <v>19312417.800000001</v>
      </c>
      <c r="BC35" s="189">
        <v>13300852.66</v>
      </c>
      <c r="BD35" s="189">
        <v>9583937</v>
      </c>
      <c r="BE35" s="189">
        <v>4755685</v>
      </c>
      <c r="BF35" s="189">
        <v>22516105.18</v>
      </c>
      <c r="BG35" s="189">
        <v>17139114.969999999</v>
      </c>
      <c r="BH35" s="189">
        <v>11962537.779999999</v>
      </c>
      <c r="BI35" s="189">
        <v>5641064.1500000004</v>
      </c>
      <c r="BJ35" s="189">
        <v>27362206.699999999</v>
      </c>
      <c r="BK35" s="189">
        <v>21941533.41</v>
      </c>
      <c r="BL35" s="189">
        <v>14356145.119999999</v>
      </c>
      <c r="BM35" s="189">
        <v>7446343.6200000001</v>
      </c>
      <c r="BN35" s="189">
        <v>29281045.969999999</v>
      </c>
      <c r="BO35" s="189">
        <v>14918837.65</v>
      </c>
      <c r="BP35" s="189">
        <v>30072584.449999999</v>
      </c>
      <c r="BQ35" s="189">
        <v>15614984.869999999</v>
      </c>
      <c r="BR35" s="189">
        <v>27624273.699999999</v>
      </c>
      <c r="BS35" s="189">
        <v>12461488.6</v>
      </c>
      <c r="BT35" s="189">
        <v>29485810.370000001</v>
      </c>
      <c r="BU35" s="189">
        <v>36698845.990000002</v>
      </c>
      <c r="BV35" s="189">
        <v>20965677.739999998</v>
      </c>
      <c r="BW35" s="189">
        <v>0</v>
      </c>
    </row>
    <row r="36" spans="1:75">
      <c r="A36" s="189" t="s">
        <v>251</v>
      </c>
      <c r="B36" s="189">
        <v>0</v>
      </c>
      <c r="C36" s="189">
        <v>0</v>
      </c>
      <c r="D36" s="189">
        <v>0</v>
      </c>
      <c r="E36" s="189">
        <v>0</v>
      </c>
      <c r="F36" s="189">
        <v>0</v>
      </c>
      <c r="G36" s="189">
        <v>0</v>
      </c>
      <c r="H36" s="189">
        <v>0</v>
      </c>
      <c r="I36" s="189">
        <v>0</v>
      </c>
      <c r="J36" s="189">
        <v>0</v>
      </c>
      <c r="K36" s="189">
        <v>0</v>
      </c>
      <c r="L36" s="189">
        <v>0</v>
      </c>
      <c r="M36" s="189">
        <v>0</v>
      </c>
      <c r="N36" s="189">
        <v>0</v>
      </c>
      <c r="O36" s="189">
        <v>0</v>
      </c>
      <c r="P36" s="189">
        <v>0</v>
      </c>
      <c r="Q36" s="189">
        <v>0</v>
      </c>
      <c r="R36" s="189">
        <v>0</v>
      </c>
      <c r="S36" s="189">
        <v>0</v>
      </c>
      <c r="T36" s="189">
        <v>0</v>
      </c>
      <c r="U36" s="189">
        <v>0</v>
      </c>
      <c r="V36" s="189">
        <v>0</v>
      </c>
      <c r="W36" s="189">
        <v>0</v>
      </c>
      <c r="X36" s="189">
        <v>0</v>
      </c>
      <c r="Y36" s="189">
        <v>0</v>
      </c>
      <c r="Z36" s="189">
        <v>0</v>
      </c>
      <c r="AA36" s="189">
        <v>0</v>
      </c>
      <c r="AB36" s="189">
        <v>0</v>
      </c>
      <c r="AC36" s="189">
        <v>0</v>
      </c>
      <c r="AD36" s="189">
        <v>0</v>
      </c>
      <c r="AE36" s="189">
        <v>0</v>
      </c>
      <c r="AF36" s="189">
        <v>0</v>
      </c>
      <c r="AG36" s="189">
        <v>0</v>
      </c>
      <c r="AH36" s="189">
        <v>0</v>
      </c>
      <c r="AI36" s="189">
        <v>0</v>
      </c>
      <c r="AJ36" s="189">
        <v>0</v>
      </c>
      <c r="AK36" s="189">
        <v>0</v>
      </c>
      <c r="AL36" s="189">
        <v>0</v>
      </c>
      <c r="AM36" s="189">
        <v>0</v>
      </c>
      <c r="AN36" s="189">
        <v>0</v>
      </c>
      <c r="AO36" s="189">
        <v>0</v>
      </c>
      <c r="AP36" s="189">
        <v>0</v>
      </c>
      <c r="AQ36" s="189">
        <v>0</v>
      </c>
      <c r="AR36" s="189">
        <v>0</v>
      </c>
      <c r="AS36" s="189">
        <v>0</v>
      </c>
      <c r="AT36" s="189">
        <v>0</v>
      </c>
      <c r="AU36" s="189">
        <v>0</v>
      </c>
      <c r="AV36" s="189">
        <v>0</v>
      </c>
      <c r="AW36" s="189">
        <v>0</v>
      </c>
      <c r="AX36" s="189">
        <v>0</v>
      </c>
      <c r="AY36" s="189">
        <v>0</v>
      </c>
      <c r="AZ36" s="189">
        <v>0</v>
      </c>
      <c r="BA36" s="189">
        <v>0</v>
      </c>
      <c r="BB36" s="189">
        <v>0</v>
      </c>
      <c r="BC36" s="189">
        <v>0</v>
      </c>
      <c r="BD36" s="189">
        <v>0</v>
      </c>
      <c r="BE36" s="189">
        <v>0</v>
      </c>
      <c r="BF36" s="189">
        <v>0</v>
      </c>
      <c r="BG36" s="189">
        <v>0</v>
      </c>
      <c r="BH36" s="189">
        <v>0</v>
      </c>
      <c r="BI36" s="189">
        <v>0</v>
      </c>
      <c r="BJ36" s="189">
        <v>0</v>
      </c>
      <c r="BK36" s="189">
        <v>0</v>
      </c>
      <c r="BL36" s="189">
        <v>0</v>
      </c>
      <c r="BM36" s="189">
        <v>0</v>
      </c>
      <c r="BN36" s="189">
        <v>0</v>
      </c>
      <c r="BO36" s="189">
        <v>0</v>
      </c>
      <c r="BP36" s="189">
        <v>0</v>
      </c>
      <c r="BQ36" s="189">
        <v>0</v>
      </c>
      <c r="BR36" s="189">
        <v>0</v>
      </c>
      <c r="BS36" s="189">
        <v>0</v>
      </c>
      <c r="BT36" s="189">
        <v>0</v>
      </c>
      <c r="BU36" s="189">
        <v>0</v>
      </c>
      <c r="BV36" s="189">
        <v>0</v>
      </c>
      <c r="BW36" s="189">
        <v>0</v>
      </c>
    </row>
    <row r="37" spans="1:75">
      <c r="A37" s="189" t="s">
        <v>252</v>
      </c>
      <c r="B37" s="189">
        <v>0</v>
      </c>
      <c r="C37" s="189">
        <v>0</v>
      </c>
      <c r="D37" s="189">
        <v>0</v>
      </c>
      <c r="E37" s="189">
        <v>0</v>
      </c>
      <c r="F37" s="189">
        <v>3084000</v>
      </c>
      <c r="G37" s="189">
        <v>3084000</v>
      </c>
      <c r="H37" s="189">
        <v>0</v>
      </c>
      <c r="I37" s="189">
        <v>0</v>
      </c>
      <c r="J37" s="189">
        <v>0</v>
      </c>
      <c r="K37" s="189">
        <v>0</v>
      </c>
      <c r="L37" s="189">
        <v>0</v>
      </c>
      <c r="M37" s="189">
        <v>0</v>
      </c>
      <c r="N37" s="189">
        <v>0</v>
      </c>
      <c r="O37" s="189">
        <v>0</v>
      </c>
      <c r="P37" s="189">
        <v>0</v>
      </c>
      <c r="Q37" s="189">
        <v>0</v>
      </c>
      <c r="R37" s="189">
        <v>0</v>
      </c>
      <c r="S37" s="189">
        <v>0</v>
      </c>
      <c r="T37" s="189">
        <v>0</v>
      </c>
      <c r="U37" s="189">
        <v>0</v>
      </c>
      <c r="V37" s="189">
        <v>0</v>
      </c>
      <c r="W37" s="189">
        <v>0</v>
      </c>
      <c r="X37" s="189">
        <v>0</v>
      </c>
      <c r="Y37" s="189">
        <v>0</v>
      </c>
      <c r="Z37" s="189">
        <v>0</v>
      </c>
      <c r="AA37" s="189">
        <v>0</v>
      </c>
      <c r="AB37" s="189">
        <v>0</v>
      </c>
      <c r="AC37" s="189">
        <v>0</v>
      </c>
      <c r="AD37" s="189">
        <v>0</v>
      </c>
      <c r="AE37" s="189">
        <v>0</v>
      </c>
      <c r="AF37" s="189">
        <v>0</v>
      </c>
      <c r="AG37" s="189">
        <v>0</v>
      </c>
      <c r="AH37" s="189">
        <v>0</v>
      </c>
      <c r="AI37" s="189">
        <v>0</v>
      </c>
      <c r="AJ37" s="189">
        <v>0</v>
      </c>
      <c r="AK37" s="189">
        <v>0</v>
      </c>
      <c r="AL37" s="189">
        <v>0</v>
      </c>
      <c r="AM37" s="189">
        <v>0</v>
      </c>
      <c r="AN37" s="189">
        <v>0</v>
      </c>
      <c r="AO37" s="189">
        <v>0</v>
      </c>
      <c r="AP37" s="189">
        <v>0</v>
      </c>
      <c r="AQ37" s="189">
        <v>0</v>
      </c>
      <c r="AR37" s="189">
        <v>0</v>
      </c>
      <c r="AS37" s="189">
        <v>0</v>
      </c>
      <c r="AT37" s="189">
        <v>0</v>
      </c>
      <c r="AU37" s="189">
        <v>0</v>
      </c>
      <c r="AV37" s="189">
        <v>0</v>
      </c>
      <c r="AW37" s="189">
        <v>0</v>
      </c>
      <c r="AX37" s="189">
        <v>0</v>
      </c>
      <c r="AY37" s="189">
        <v>0</v>
      </c>
      <c r="AZ37" s="189">
        <v>0</v>
      </c>
      <c r="BA37" s="189">
        <v>0</v>
      </c>
      <c r="BB37" s="189">
        <v>0</v>
      </c>
      <c r="BC37" s="189">
        <v>0</v>
      </c>
      <c r="BD37" s="189">
        <v>0</v>
      </c>
      <c r="BE37" s="189">
        <v>0</v>
      </c>
      <c r="BF37" s="189">
        <v>0</v>
      </c>
      <c r="BG37" s="189">
        <v>0</v>
      </c>
      <c r="BH37" s="189">
        <v>0</v>
      </c>
      <c r="BI37" s="189">
        <v>0</v>
      </c>
      <c r="BJ37" s="189">
        <v>20480</v>
      </c>
      <c r="BK37" s="189">
        <v>0</v>
      </c>
      <c r="BL37" s="189">
        <v>0</v>
      </c>
      <c r="BM37" s="189">
        <v>0</v>
      </c>
      <c r="BN37" s="189">
        <v>25870.3</v>
      </c>
      <c r="BO37" s="189">
        <v>310855.63</v>
      </c>
      <c r="BP37" s="189">
        <v>3742339.24</v>
      </c>
      <c r="BQ37" s="189">
        <v>0</v>
      </c>
      <c r="BR37" s="189">
        <v>0</v>
      </c>
      <c r="BS37" s="189">
        <v>0</v>
      </c>
      <c r="BT37" s="189">
        <v>2288074.2000000002</v>
      </c>
      <c r="BU37" s="189">
        <v>0</v>
      </c>
      <c r="BV37" s="189">
        <v>0</v>
      </c>
      <c r="BW37" s="189">
        <v>0</v>
      </c>
    </row>
    <row r="38" spans="1:75">
      <c r="A38" s="189" t="s">
        <v>253</v>
      </c>
      <c r="B38" s="189">
        <v>1574401696.22</v>
      </c>
      <c r="C38" s="189">
        <v>891964220.27999997</v>
      </c>
      <c r="D38" s="189">
        <v>268450301.61000001</v>
      </c>
      <c r="E38" s="189">
        <v>41209299.609999999</v>
      </c>
      <c r="F38" s="189">
        <v>569974231.23000002</v>
      </c>
      <c r="G38" s="189">
        <v>446497351.93000001</v>
      </c>
      <c r="H38" s="189">
        <v>305879103.30000001</v>
      </c>
      <c r="I38" s="189">
        <v>104441239.58</v>
      </c>
      <c r="J38" s="189">
        <v>370578986.99000001</v>
      </c>
      <c r="K38" s="189">
        <v>315474880.38</v>
      </c>
      <c r="L38" s="189">
        <v>7180254.1600000001</v>
      </c>
      <c r="M38" s="189">
        <v>4643964.9400000004</v>
      </c>
      <c r="N38" s="189">
        <v>216370725.41999999</v>
      </c>
      <c r="O38" s="189">
        <v>207675352.27000001</v>
      </c>
      <c r="P38" s="189">
        <v>6426481.0099999998</v>
      </c>
      <c r="Q38" s="189">
        <v>2975553</v>
      </c>
      <c r="R38" s="189">
        <v>141673447.03</v>
      </c>
      <c r="S38" s="189">
        <v>137407858.69999999</v>
      </c>
      <c r="T38" s="189">
        <v>35825832.700000003</v>
      </c>
      <c r="U38" s="189">
        <v>0</v>
      </c>
      <c r="V38" s="189">
        <v>94751892.939999998</v>
      </c>
      <c r="W38" s="189">
        <v>94740740.239999995</v>
      </c>
      <c r="X38" s="189">
        <v>94740740.239999995</v>
      </c>
      <c r="Y38" s="189">
        <v>50476625</v>
      </c>
      <c r="Z38" s="189">
        <v>3031375</v>
      </c>
      <c r="AA38" s="189">
        <v>2275187.5</v>
      </c>
      <c r="AB38" s="189">
        <v>1510437.5</v>
      </c>
      <c r="AC38" s="189">
        <v>745437.5</v>
      </c>
      <c r="AD38" s="189">
        <v>52810702.119999997</v>
      </c>
      <c r="AE38" s="189">
        <v>52077989.619999997</v>
      </c>
      <c r="AF38" s="189">
        <v>51406587.5</v>
      </c>
      <c r="AG38" s="189">
        <v>50732924.189999998</v>
      </c>
      <c r="AH38" s="189">
        <v>186770479.63</v>
      </c>
      <c r="AI38" s="189">
        <v>183824615</v>
      </c>
      <c r="AJ38" s="189">
        <v>183327892.5</v>
      </c>
      <c r="AK38" s="189">
        <v>131542923.33</v>
      </c>
      <c r="AL38" s="189">
        <v>343757937.5</v>
      </c>
      <c r="AM38" s="189">
        <v>270886041.5</v>
      </c>
      <c r="AN38" s="189">
        <v>268427762.5</v>
      </c>
      <c r="AO38" s="189">
        <v>144511043.33000001</v>
      </c>
      <c r="AP38" s="189">
        <v>397971934.39999998</v>
      </c>
      <c r="AQ38" s="189">
        <v>361946568.56999999</v>
      </c>
      <c r="AR38" s="189">
        <v>160919080.86000001</v>
      </c>
      <c r="AS38" s="189">
        <v>43927171.920000002</v>
      </c>
      <c r="AT38" s="189">
        <v>339752554.83999997</v>
      </c>
      <c r="AU38" s="189">
        <v>265467571.25</v>
      </c>
      <c r="AV38" s="189">
        <v>29597969.25</v>
      </c>
      <c r="AW38" s="189">
        <v>14950203.34</v>
      </c>
      <c r="AX38" s="189">
        <v>327198044.33999997</v>
      </c>
      <c r="AY38" s="189">
        <v>254230906.66999999</v>
      </c>
      <c r="AZ38" s="189">
        <v>19331118</v>
      </c>
      <c r="BA38" s="189">
        <v>14624714.33</v>
      </c>
      <c r="BB38" s="189">
        <v>369312417.80000001</v>
      </c>
      <c r="BC38" s="189">
        <v>45300852.659999996</v>
      </c>
      <c r="BD38" s="189">
        <v>29583937</v>
      </c>
      <c r="BE38" s="189">
        <v>24755685</v>
      </c>
      <c r="BF38" s="189">
        <v>149516105.18000001</v>
      </c>
      <c r="BG38" s="189">
        <v>435139114.97000003</v>
      </c>
      <c r="BH38" s="189">
        <v>161962537.78</v>
      </c>
      <c r="BI38" s="189">
        <v>98641064.150000006</v>
      </c>
      <c r="BJ38" s="189">
        <v>494312686.69999999</v>
      </c>
      <c r="BK38" s="189">
        <v>318087206.29000002</v>
      </c>
      <c r="BL38" s="189">
        <v>166856145.12</v>
      </c>
      <c r="BM38" s="189">
        <v>26946343.620000001</v>
      </c>
      <c r="BN38" s="189">
        <v>340736916.26999998</v>
      </c>
      <c r="BO38" s="189">
        <v>247229693.28</v>
      </c>
      <c r="BP38" s="189">
        <v>389324923.69</v>
      </c>
      <c r="BQ38" s="189">
        <v>206614984.87</v>
      </c>
      <c r="BR38" s="189">
        <v>363384273.69999999</v>
      </c>
      <c r="BS38" s="189">
        <v>32521488.600000001</v>
      </c>
      <c r="BT38" s="189">
        <v>106773884.56999999</v>
      </c>
      <c r="BU38" s="189">
        <v>519628845.99000001</v>
      </c>
      <c r="BV38" s="189">
        <v>135705677.74000001</v>
      </c>
      <c r="BW38" s="189">
        <v>0</v>
      </c>
    </row>
    <row r="39" spans="1:75">
      <c r="A39" s="189" t="s">
        <v>254</v>
      </c>
      <c r="B39" s="189">
        <v>-864720586.38999999</v>
      </c>
      <c r="C39" s="189">
        <v>-282283110.44999999</v>
      </c>
      <c r="D39" s="189">
        <v>-68450301.609999999</v>
      </c>
      <c r="E39" s="189">
        <v>58790700.390000001</v>
      </c>
      <c r="F39" s="189">
        <v>175461165.5</v>
      </c>
      <c r="G39" s="189">
        <v>248938044.80000001</v>
      </c>
      <c r="H39" s="189">
        <v>289556293.43000001</v>
      </c>
      <c r="I39" s="189">
        <v>-4441239.58</v>
      </c>
      <c r="J39" s="189">
        <v>14421013.01</v>
      </c>
      <c r="K39" s="189">
        <v>-65474880.380000003</v>
      </c>
      <c r="L39" s="189">
        <v>42819745.840000004</v>
      </c>
      <c r="M39" s="189">
        <v>45356035.060000002</v>
      </c>
      <c r="N39" s="189">
        <v>134636974.58000001</v>
      </c>
      <c r="O39" s="189">
        <v>92324647.730000004</v>
      </c>
      <c r="P39" s="189">
        <v>193573518.99000001</v>
      </c>
      <c r="Q39" s="189">
        <v>-2975553</v>
      </c>
      <c r="R39" s="189">
        <v>161034032.97</v>
      </c>
      <c r="S39" s="189">
        <v>163212141.30000001</v>
      </c>
      <c r="T39" s="189">
        <v>64174167.299999997</v>
      </c>
      <c r="U39" s="189">
        <v>0</v>
      </c>
      <c r="V39" s="189">
        <v>-94751892.939999998</v>
      </c>
      <c r="W39" s="189">
        <v>-94740740.239999995</v>
      </c>
      <c r="X39" s="189">
        <v>-94740740.239999995</v>
      </c>
      <c r="Y39" s="189">
        <v>-50476625</v>
      </c>
      <c r="Z39" s="189">
        <v>-3031375</v>
      </c>
      <c r="AA39" s="189">
        <v>-2274937.5</v>
      </c>
      <c r="AB39" s="189">
        <v>-1510437.5</v>
      </c>
      <c r="AC39" s="189">
        <v>-745437.5</v>
      </c>
      <c r="AD39" s="189">
        <v>-52810702.119999997</v>
      </c>
      <c r="AE39" s="189">
        <v>-52077989.619999997</v>
      </c>
      <c r="AF39" s="189">
        <v>-51406587.5</v>
      </c>
      <c r="AG39" s="189">
        <v>-50732924.189999998</v>
      </c>
      <c r="AH39" s="189">
        <v>-86770479.629999995</v>
      </c>
      <c r="AI39" s="189">
        <v>-83824615</v>
      </c>
      <c r="AJ39" s="189">
        <v>-83327892.5</v>
      </c>
      <c r="AK39" s="189">
        <v>-81542923.329999998</v>
      </c>
      <c r="AL39" s="189">
        <v>-93757937.5</v>
      </c>
      <c r="AM39" s="189">
        <v>-20886041.5</v>
      </c>
      <c r="AN39" s="189">
        <v>-68427762.5</v>
      </c>
      <c r="AO39" s="189">
        <v>5488956.6699999999</v>
      </c>
      <c r="AP39" s="189">
        <v>-72971934.400000006</v>
      </c>
      <c r="AQ39" s="189">
        <v>-36946568.57</v>
      </c>
      <c r="AR39" s="189">
        <v>4080919.14</v>
      </c>
      <c r="AS39" s="189">
        <v>71072828.079999998</v>
      </c>
      <c r="AT39" s="189">
        <v>-1752554.84</v>
      </c>
      <c r="AU39" s="189">
        <v>4532428.75</v>
      </c>
      <c r="AV39" s="189">
        <v>20402030.75</v>
      </c>
      <c r="AW39" s="189">
        <v>-14950203.34</v>
      </c>
      <c r="AX39" s="189">
        <v>-39198044.340000004</v>
      </c>
      <c r="AY39" s="189">
        <v>-34230906.670000002</v>
      </c>
      <c r="AZ39" s="189">
        <v>-9331118</v>
      </c>
      <c r="BA39" s="189">
        <v>-14624714.33</v>
      </c>
      <c r="BB39" s="189">
        <v>-51312417.799999997</v>
      </c>
      <c r="BC39" s="189">
        <v>4699147.34</v>
      </c>
      <c r="BD39" s="189">
        <v>20416063</v>
      </c>
      <c r="BE39" s="189">
        <v>-24755685</v>
      </c>
      <c r="BF39" s="189">
        <v>-82516105.180000007</v>
      </c>
      <c r="BG39" s="189">
        <v>-40139114.969999999</v>
      </c>
      <c r="BH39" s="189">
        <v>-48962537.780000001</v>
      </c>
      <c r="BI39" s="189">
        <v>-33641064.149999999</v>
      </c>
      <c r="BJ39" s="189">
        <v>-81312686.700000003</v>
      </c>
      <c r="BK39" s="189">
        <v>-27387206.289999999</v>
      </c>
      <c r="BL39" s="189">
        <v>-34856145.119999997</v>
      </c>
      <c r="BM39" s="189">
        <v>-26746343.620000001</v>
      </c>
      <c r="BN39" s="189">
        <v>-41006916.270000003</v>
      </c>
      <c r="BO39" s="189">
        <v>-31137475.390000001</v>
      </c>
      <c r="BP39" s="189">
        <v>7673914.2400000002</v>
      </c>
      <c r="BQ39" s="189">
        <v>4385015.13</v>
      </c>
      <c r="BR39" s="189">
        <v>-20954273.699999999</v>
      </c>
      <c r="BS39" s="189">
        <v>-20527120.059999999</v>
      </c>
      <c r="BT39" s="189">
        <v>45829623.93</v>
      </c>
      <c r="BU39" s="189">
        <v>-5540365.9900000002</v>
      </c>
      <c r="BV39" s="189">
        <v>24322.26</v>
      </c>
      <c r="BW39" s="189">
        <v>0</v>
      </c>
    </row>
    <row r="40" spans="1:75">
      <c r="A40" s="189" t="s">
        <v>255</v>
      </c>
      <c r="B40" s="189">
        <v>0</v>
      </c>
      <c r="C40" s="189">
        <v>0</v>
      </c>
      <c r="D40" s="189">
        <v>0</v>
      </c>
      <c r="E40" s="189">
        <v>0</v>
      </c>
      <c r="F40" s="189">
        <v>0</v>
      </c>
      <c r="G40" s="189">
        <v>0</v>
      </c>
      <c r="H40" s="189">
        <v>0</v>
      </c>
      <c r="I40" s="189">
        <v>0</v>
      </c>
      <c r="J40" s="189">
        <v>0</v>
      </c>
      <c r="K40" s="189">
        <v>0</v>
      </c>
      <c r="L40" s="189">
        <v>0</v>
      </c>
      <c r="M40" s="189">
        <v>0</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0</v>
      </c>
      <c r="BD40" s="189">
        <v>0</v>
      </c>
      <c r="BE40" s="189">
        <v>0</v>
      </c>
      <c r="BF40" s="189">
        <v>0</v>
      </c>
      <c r="BG40" s="189">
        <v>0</v>
      </c>
      <c r="BH40" s="189">
        <v>0</v>
      </c>
      <c r="BI40" s="189">
        <v>0</v>
      </c>
      <c r="BJ40" s="189">
        <v>0</v>
      </c>
      <c r="BK40" s="189">
        <v>0</v>
      </c>
      <c r="BL40" s="189">
        <v>0</v>
      </c>
      <c r="BM40" s="189">
        <v>0</v>
      </c>
      <c r="BN40" s="189">
        <v>0</v>
      </c>
      <c r="BO40" s="189">
        <v>-4442.97</v>
      </c>
      <c r="BP40" s="189">
        <v>-4442.97</v>
      </c>
      <c r="BQ40" s="189">
        <v>59.37</v>
      </c>
      <c r="BR40" s="189">
        <v>0</v>
      </c>
      <c r="BS40" s="189">
        <v>0</v>
      </c>
      <c r="BT40" s="189">
        <v>0</v>
      </c>
      <c r="BU40" s="189">
        <v>0</v>
      </c>
      <c r="BV40" s="189">
        <v>0</v>
      </c>
      <c r="BW40" s="189">
        <v>0</v>
      </c>
    </row>
    <row r="41" spans="1:75">
      <c r="A41" s="189" t="s">
        <v>256</v>
      </c>
      <c r="B41" s="189">
        <v>1580765368.4400001</v>
      </c>
      <c r="C41" s="189">
        <v>1465192936.52</v>
      </c>
      <c r="D41" s="189">
        <v>-17838078.649999999</v>
      </c>
      <c r="E41" s="189">
        <v>-17154904.18</v>
      </c>
      <c r="F41" s="189">
        <v>-24287936.350000001</v>
      </c>
      <c r="G41" s="189">
        <v>-33306166.109999999</v>
      </c>
      <c r="H41" s="189">
        <v>424507361.22000003</v>
      </c>
      <c r="I41" s="189">
        <v>-110618873.62</v>
      </c>
      <c r="J41" s="189">
        <v>9565403.5399999991</v>
      </c>
      <c r="K41" s="189">
        <v>-197087375.59999999</v>
      </c>
      <c r="L41" s="189">
        <v>-140867932.71000001</v>
      </c>
      <c r="M41" s="189">
        <v>-78442091.439999998</v>
      </c>
      <c r="N41" s="189">
        <v>-60198759.939999998</v>
      </c>
      <c r="O41" s="189">
        <v>-42746431.759999998</v>
      </c>
      <c r="P41" s="189">
        <v>71101991.409999996</v>
      </c>
      <c r="Q41" s="189">
        <v>-90716999.209999993</v>
      </c>
      <c r="R41" s="189">
        <v>9764849.8100000005</v>
      </c>
      <c r="S41" s="189">
        <v>29227773.039999999</v>
      </c>
      <c r="T41" s="189">
        <v>-47186455.710000001</v>
      </c>
      <c r="U41" s="189">
        <v>-69715610.019999996</v>
      </c>
      <c r="V41" s="189">
        <v>-116937992.22</v>
      </c>
      <c r="W41" s="189">
        <v>-148430691.31</v>
      </c>
      <c r="X41" s="189">
        <v>-148408993.05000001</v>
      </c>
      <c r="Y41" s="189">
        <v>-3442491.39</v>
      </c>
      <c r="Z41" s="189">
        <v>114522957.15000001</v>
      </c>
      <c r="AA41" s="189">
        <v>29105135.09</v>
      </c>
      <c r="AB41" s="189">
        <v>-23394823.539999999</v>
      </c>
      <c r="AC41" s="189">
        <v>23428135.780000001</v>
      </c>
      <c r="AD41" s="189">
        <v>138782312.43000001</v>
      </c>
      <c r="AE41" s="189">
        <v>36362716.740000002</v>
      </c>
      <c r="AF41" s="189">
        <v>-18870575.379999999</v>
      </c>
      <c r="AG41" s="189">
        <v>-21487610.41</v>
      </c>
      <c r="AH41" s="189">
        <v>47190536.82</v>
      </c>
      <c r="AI41" s="189">
        <v>-36713259.030000001</v>
      </c>
      <c r="AJ41" s="189">
        <v>-34036938.670000002</v>
      </c>
      <c r="AK41" s="189">
        <v>-31425874.309999999</v>
      </c>
      <c r="AL41" s="189">
        <v>42396010.920000002</v>
      </c>
      <c r="AM41" s="189">
        <v>42271336.490000002</v>
      </c>
      <c r="AN41" s="189">
        <v>-47847273.759999998</v>
      </c>
      <c r="AO41" s="189">
        <v>37843182.5</v>
      </c>
      <c r="AP41" s="189">
        <v>-30819541.199999999</v>
      </c>
      <c r="AQ41" s="189">
        <v>-93076295.420000002</v>
      </c>
      <c r="AR41" s="189">
        <v>-82984102.519999996</v>
      </c>
      <c r="AS41" s="189">
        <v>73671178.359999999</v>
      </c>
      <c r="AT41" s="189">
        <v>44401818.82</v>
      </c>
      <c r="AU41" s="189">
        <v>30586324.800000001</v>
      </c>
      <c r="AV41" s="189">
        <v>16339246.74</v>
      </c>
      <c r="AW41" s="189">
        <v>15739815.74</v>
      </c>
      <c r="AX41" s="189">
        <v>25858600.530000001</v>
      </c>
      <c r="AY41" s="189">
        <v>-13115260</v>
      </c>
      <c r="AZ41" s="189">
        <v>-2518706.16</v>
      </c>
      <c r="BA41" s="189">
        <v>16540658.300000001</v>
      </c>
      <c r="BB41" s="189">
        <v>50543681.490000002</v>
      </c>
      <c r="BC41" s="189">
        <v>-5384139.1600000001</v>
      </c>
      <c r="BD41" s="189">
        <v>-28831848.149999999</v>
      </c>
      <c r="BE41" s="189">
        <v>33130131.379999999</v>
      </c>
      <c r="BF41" s="189">
        <v>20379911.77</v>
      </c>
      <c r="BG41" s="189">
        <v>20931898.359999999</v>
      </c>
      <c r="BH41" s="189">
        <v>-8446446</v>
      </c>
      <c r="BI41" s="189">
        <v>3706193.39</v>
      </c>
      <c r="BJ41" s="189">
        <v>12679797.779999999</v>
      </c>
      <c r="BK41" s="189">
        <v>31920193.789999999</v>
      </c>
      <c r="BL41" s="189">
        <v>4394333.12</v>
      </c>
      <c r="BM41" s="189">
        <v>13458346.17</v>
      </c>
      <c r="BN41" s="189">
        <v>-23204928.82</v>
      </c>
      <c r="BO41" s="189">
        <v>-15278375.060000001</v>
      </c>
      <c r="BP41" s="189">
        <v>-60995852.509999998</v>
      </c>
      <c r="BQ41" s="189">
        <v>-7090353.0499999998</v>
      </c>
      <c r="BR41" s="189">
        <v>79132730.760000005</v>
      </c>
      <c r="BS41" s="189">
        <v>-2151310.0299999998</v>
      </c>
      <c r="BT41" s="189">
        <v>18106241.170000002</v>
      </c>
      <c r="BU41" s="189">
        <v>7023636</v>
      </c>
      <c r="BV41" s="189">
        <v>3206273.63</v>
      </c>
      <c r="BW41" s="189">
        <v>0</v>
      </c>
    </row>
    <row r="42" spans="1:75">
      <c r="A42" s="189" t="s">
        <v>257</v>
      </c>
      <c r="B42" s="189">
        <v>564350788.12</v>
      </c>
      <c r="C42" s="189">
        <v>564350788.12</v>
      </c>
      <c r="D42" s="189">
        <v>564350788.12</v>
      </c>
      <c r="E42" s="189">
        <v>564350788.12</v>
      </c>
      <c r="F42" s="189">
        <v>588638724.47000003</v>
      </c>
      <c r="G42" s="189">
        <v>588638724.47000003</v>
      </c>
      <c r="H42" s="189">
        <v>588638724.47000003</v>
      </c>
      <c r="I42" s="189">
        <v>506584082.50999999</v>
      </c>
      <c r="J42" s="189">
        <v>494802999.23000002</v>
      </c>
      <c r="K42" s="189">
        <v>494802999.23000002</v>
      </c>
      <c r="L42" s="189">
        <v>494802999.23000002</v>
      </c>
      <c r="M42" s="189">
        <v>508533039.95999998</v>
      </c>
      <c r="N42" s="189">
        <v>555001759.16999996</v>
      </c>
      <c r="O42" s="189">
        <v>567719426.66999996</v>
      </c>
      <c r="P42" s="189">
        <v>555001759.16999996</v>
      </c>
      <c r="Q42" s="189">
        <v>567719426.66999996</v>
      </c>
      <c r="R42" s="189">
        <v>545236909.36000001</v>
      </c>
      <c r="S42" s="189">
        <v>549633979.64999998</v>
      </c>
      <c r="T42" s="189">
        <v>545236909.36000001</v>
      </c>
      <c r="U42" s="189">
        <v>549583979.64999998</v>
      </c>
      <c r="V42" s="189">
        <v>662174901.58000004</v>
      </c>
      <c r="W42" s="189">
        <v>662174901.58000004</v>
      </c>
      <c r="X42" s="189">
        <v>662174901.58000004</v>
      </c>
      <c r="Y42" s="189">
        <v>662103138.40999997</v>
      </c>
      <c r="Z42" s="189">
        <v>379875420.54000002</v>
      </c>
      <c r="AA42" s="189">
        <v>379875420.54000002</v>
      </c>
      <c r="AB42" s="189">
        <v>379875420.54000002</v>
      </c>
      <c r="AC42" s="189">
        <v>379875420.54000002</v>
      </c>
      <c r="AD42" s="189">
        <v>241093108.11000001</v>
      </c>
      <c r="AE42" s="189">
        <v>241093108.11000001</v>
      </c>
      <c r="AF42" s="189">
        <v>241093108.11000001</v>
      </c>
      <c r="AG42" s="189">
        <v>241093108.11000001</v>
      </c>
      <c r="AH42" s="189">
        <v>193902571.28999999</v>
      </c>
      <c r="AI42" s="189">
        <v>193902571.28999999</v>
      </c>
      <c r="AJ42" s="189">
        <v>193835336.80000001</v>
      </c>
      <c r="AK42" s="189">
        <v>193835336.80000001</v>
      </c>
      <c r="AL42" s="189">
        <v>151439325.88</v>
      </c>
      <c r="AM42" s="189">
        <v>151439325.88</v>
      </c>
      <c r="AN42" s="189">
        <v>151439325.88</v>
      </c>
      <c r="AO42" s="189">
        <v>151439325.88</v>
      </c>
      <c r="AP42" s="189">
        <v>182258867.08000001</v>
      </c>
      <c r="AQ42" s="189">
        <v>182258867.08000001</v>
      </c>
      <c r="AR42" s="189">
        <v>182258867.08000001</v>
      </c>
      <c r="AS42" s="189">
        <v>182184979.30000001</v>
      </c>
      <c r="AT42" s="189">
        <v>137857048.25999999</v>
      </c>
      <c r="AU42" s="189">
        <v>137857048.25999999</v>
      </c>
      <c r="AV42" s="189">
        <v>137857048.25999999</v>
      </c>
      <c r="AW42" s="189">
        <v>137857048.25999999</v>
      </c>
      <c r="AX42" s="189">
        <v>111998447.73</v>
      </c>
      <c r="AY42" s="189">
        <v>117198447.73</v>
      </c>
      <c r="AZ42" s="189">
        <v>117198447.73</v>
      </c>
      <c r="BA42" s="189">
        <v>117198447.73</v>
      </c>
      <c r="BB42" s="189">
        <v>61454766.240000002</v>
      </c>
      <c r="BC42" s="189">
        <v>61454766.240000002</v>
      </c>
      <c r="BD42" s="189">
        <v>61454766.240000002</v>
      </c>
      <c r="BE42" s="189">
        <v>61454766.240000002</v>
      </c>
      <c r="BF42" s="189">
        <v>41074854.469999999</v>
      </c>
      <c r="BG42" s="189">
        <v>41074854.469999999</v>
      </c>
      <c r="BH42" s="189">
        <v>41074854.469999999</v>
      </c>
      <c r="BI42" s="189">
        <v>41074854.469999999</v>
      </c>
      <c r="BJ42" s="189">
        <v>30210315.129999999</v>
      </c>
      <c r="BK42" s="189">
        <v>30210315.129999999</v>
      </c>
      <c r="BL42" s="189">
        <v>30210315.129999999</v>
      </c>
      <c r="BM42" s="189">
        <v>30210315.129999999</v>
      </c>
      <c r="BN42" s="189">
        <v>53415243.950000003</v>
      </c>
      <c r="BO42" s="189">
        <v>53415243.950000003</v>
      </c>
      <c r="BP42" s="189">
        <v>114411096.45999999</v>
      </c>
      <c r="BQ42" s="189">
        <v>116708377.73999999</v>
      </c>
      <c r="BR42" s="189">
        <v>37575646.979999997</v>
      </c>
      <c r="BS42" s="189">
        <v>37575646.979999997</v>
      </c>
      <c r="BT42" s="189">
        <v>19469405.809999999</v>
      </c>
      <c r="BU42" s="189">
        <v>12445769.810000001</v>
      </c>
      <c r="BV42" s="189">
        <v>12445769.810000001</v>
      </c>
      <c r="BW42" s="189">
        <v>0</v>
      </c>
    </row>
    <row r="43" spans="1:75">
      <c r="A43" s="189" t="s">
        <v>258</v>
      </c>
      <c r="B43" s="189">
        <v>2145116156.5599999</v>
      </c>
      <c r="C43" s="189">
        <v>2029543724.6400001</v>
      </c>
      <c r="D43" s="189">
        <v>546512709.47000003</v>
      </c>
      <c r="E43" s="189">
        <v>547195883.94000006</v>
      </c>
      <c r="F43" s="189">
        <v>564350788.12</v>
      </c>
      <c r="G43" s="189">
        <v>555332558.36000001</v>
      </c>
      <c r="H43" s="189">
        <v>1013146085.6900001</v>
      </c>
      <c r="I43" s="189">
        <v>395965208.88999999</v>
      </c>
      <c r="J43" s="189">
        <v>504368402.76999998</v>
      </c>
      <c r="K43" s="189">
        <v>297715623.63</v>
      </c>
      <c r="L43" s="189">
        <v>353935066.51999998</v>
      </c>
      <c r="M43" s="189">
        <v>430090948.51999998</v>
      </c>
      <c r="N43" s="189">
        <v>494802999.23000002</v>
      </c>
      <c r="O43" s="189">
        <v>524972994.91000003</v>
      </c>
      <c r="P43" s="189">
        <v>626103750.58000004</v>
      </c>
      <c r="Q43" s="189">
        <v>477002427.45999998</v>
      </c>
      <c r="R43" s="189">
        <v>555001759.16999996</v>
      </c>
      <c r="S43" s="189">
        <v>578861752.69000006</v>
      </c>
      <c r="T43" s="189">
        <v>498050453.64999998</v>
      </c>
      <c r="U43" s="189">
        <v>479868369.63</v>
      </c>
      <c r="V43" s="189">
        <v>545236909.36000001</v>
      </c>
      <c r="W43" s="189">
        <v>513744210.26999998</v>
      </c>
      <c r="X43" s="189">
        <v>513765908.52999997</v>
      </c>
      <c r="Y43" s="189">
        <v>658660647.01999998</v>
      </c>
      <c r="Z43" s="189">
        <v>494398377.69</v>
      </c>
      <c r="AA43" s="189">
        <v>404503143.63</v>
      </c>
      <c r="AB43" s="189">
        <v>356480597</v>
      </c>
      <c r="AC43" s="189">
        <v>403303556.31999999</v>
      </c>
      <c r="AD43" s="189">
        <v>379875420.54000002</v>
      </c>
      <c r="AE43" s="189">
        <v>277455824.85000002</v>
      </c>
      <c r="AF43" s="189">
        <v>222222532.72999999</v>
      </c>
      <c r="AG43" s="189">
        <v>219605497.69999999</v>
      </c>
      <c r="AH43" s="189">
        <v>241093108.11000001</v>
      </c>
      <c r="AI43" s="189">
        <v>157189312.25999999</v>
      </c>
      <c r="AJ43" s="189">
        <v>159798398.13</v>
      </c>
      <c r="AK43" s="189">
        <v>162409462.49000001</v>
      </c>
      <c r="AL43" s="189">
        <v>193835336.80000001</v>
      </c>
      <c r="AM43" s="189">
        <v>193710662.37</v>
      </c>
      <c r="AN43" s="189">
        <v>103592052.12</v>
      </c>
      <c r="AO43" s="189">
        <v>189282508.38</v>
      </c>
      <c r="AP43" s="189">
        <v>151439325.88</v>
      </c>
      <c r="AQ43" s="189">
        <v>89182571.659999996</v>
      </c>
      <c r="AR43" s="189">
        <v>99274764.560000002</v>
      </c>
      <c r="AS43" s="189">
        <v>255856157.66</v>
      </c>
      <c r="AT43" s="189">
        <v>182258867.08000001</v>
      </c>
      <c r="AU43" s="189">
        <v>168443373.06</v>
      </c>
      <c r="AV43" s="189">
        <v>154196295</v>
      </c>
      <c r="AW43" s="189">
        <v>153596864</v>
      </c>
      <c r="AX43" s="189">
        <v>137857048.25999999</v>
      </c>
      <c r="AY43" s="189">
        <v>104083187.73</v>
      </c>
      <c r="AZ43" s="189">
        <v>114679741.56999999</v>
      </c>
      <c r="BA43" s="189">
        <v>133739106.03</v>
      </c>
      <c r="BB43" s="189">
        <v>111998447.73</v>
      </c>
      <c r="BC43" s="189">
        <v>56070627.079999998</v>
      </c>
      <c r="BD43" s="189">
        <v>32622918.09</v>
      </c>
      <c r="BE43" s="189">
        <v>94584897.620000005</v>
      </c>
      <c r="BF43" s="189">
        <v>61454766.240000002</v>
      </c>
      <c r="BG43" s="189">
        <v>62006752.829999998</v>
      </c>
      <c r="BH43" s="189">
        <v>32628408.469999999</v>
      </c>
      <c r="BI43" s="189">
        <v>44781047.859999999</v>
      </c>
      <c r="BJ43" s="189">
        <v>42890112.909999996</v>
      </c>
      <c r="BK43" s="189">
        <v>62130508.920000002</v>
      </c>
      <c r="BL43" s="189">
        <v>34604648.25</v>
      </c>
      <c r="BM43" s="189">
        <v>43668661.299999997</v>
      </c>
      <c r="BN43" s="189">
        <v>30210315.129999999</v>
      </c>
      <c r="BO43" s="189">
        <v>38136868.890000001</v>
      </c>
      <c r="BP43" s="189">
        <v>53415243.950000003</v>
      </c>
      <c r="BQ43" s="189">
        <v>109618024.69</v>
      </c>
      <c r="BR43" s="189">
        <v>116708377.73999999</v>
      </c>
      <c r="BS43" s="189">
        <v>35424336.950000003</v>
      </c>
      <c r="BT43" s="189">
        <v>37575646.979999997</v>
      </c>
      <c r="BU43" s="189">
        <v>19469405.809999999</v>
      </c>
      <c r="BV43" s="189">
        <v>15652043.439999999</v>
      </c>
      <c r="BW43" s="189">
        <v>0</v>
      </c>
    </row>
    <row r="44" spans="1:75">
      <c r="A44" s="189" t="s">
        <v>259</v>
      </c>
    </row>
    <row r="45" spans="1:75">
      <c r="A45" s="189" t="s">
        <v>260</v>
      </c>
      <c r="B45" s="189">
        <v>1584227980.47</v>
      </c>
      <c r="C45" s="189">
        <v>0</v>
      </c>
      <c r="D45" s="189">
        <v>71363665.040000007</v>
      </c>
      <c r="E45" s="189">
        <v>0</v>
      </c>
      <c r="F45" s="189">
        <v>143446086.96000001</v>
      </c>
      <c r="G45" s="189">
        <v>0</v>
      </c>
      <c r="H45" s="189">
        <v>81141135.079999998</v>
      </c>
      <c r="I45" s="189">
        <v>0</v>
      </c>
      <c r="J45" s="189">
        <v>62438843.770000003</v>
      </c>
      <c r="K45" s="189">
        <v>0</v>
      </c>
      <c r="L45" s="189">
        <v>40045679.68</v>
      </c>
      <c r="M45" s="189">
        <v>0</v>
      </c>
      <c r="N45" s="189">
        <v>84484949.959999993</v>
      </c>
      <c r="O45" s="189">
        <v>0</v>
      </c>
      <c r="P45" s="189">
        <v>54892004.409999996</v>
      </c>
      <c r="Q45" s="189">
        <v>0</v>
      </c>
      <c r="R45" s="189">
        <v>103916778.45999999</v>
      </c>
      <c r="S45" s="189">
        <v>0</v>
      </c>
      <c r="T45" s="189">
        <v>58918964.82</v>
      </c>
      <c r="U45" s="189">
        <v>0</v>
      </c>
      <c r="V45" s="189">
        <v>110404709.40000001</v>
      </c>
      <c r="W45" s="189">
        <v>0</v>
      </c>
      <c r="X45" s="189">
        <v>65268710.880000003</v>
      </c>
      <c r="Y45" s="189">
        <v>0</v>
      </c>
      <c r="Z45" s="189">
        <v>59690369.5</v>
      </c>
      <c r="AA45" s="189">
        <v>0</v>
      </c>
      <c r="AB45" s="189">
        <v>38254813.789999999</v>
      </c>
      <c r="AC45" s="189">
        <v>28331281.190000001</v>
      </c>
      <c r="AD45" s="189">
        <v>47015072.409999996</v>
      </c>
      <c r="AE45" s="189">
        <v>0</v>
      </c>
      <c r="AF45" s="189">
        <v>28933110.57</v>
      </c>
      <c r="AG45" s="189">
        <v>0</v>
      </c>
      <c r="AH45" s="189">
        <v>37998568.450000003</v>
      </c>
      <c r="AI45" s="189">
        <v>0</v>
      </c>
      <c r="AJ45" s="189">
        <v>22572433.050000001</v>
      </c>
      <c r="AK45" s="189">
        <v>0</v>
      </c>
      <c r="AL45" s="189">
        <v>24670834.309999999</v>
      </c>
      <c r="AM45" s="189">
        <v>0</v>
      </c>
      <c r="AN45" s="189">
        <v>14891552.449999999</v>
      </c>
      <c r="AO45" s="189">
        <v>0</v>
      </c>
      <c r="AP45" s="189">
        <v>27822630.969999999</v>
      </c>
      <c r="AQ45" s="189">
        <v>0</v>
      </c>
      <c r="AR45" s="189">
        <v>19460545.59</v>
      </c>
      <c r="AS45" s="189">
        <v>0</v>
      </c>
      <c r="AT45" s="189">
        <v>15578889.42</v>
      </c>
      <c r="AU45" s="189">
        <v>0</v>
      </c>
      <c r="AV45" s="189">
        <v>-2604622.35</v>
      </c>
      <c r="AW45" s="189">
        <v>0</v>
      </c>
      <c r="AX45" s="189">
        <v>30158169.559999999</v>
      </c>
      <c r="AY45" s="189">
        <v>27501055.039999999</v>
      </c>
      <c r="AZ45" s="189">
        <v>20463799.27</v>
      </c>
      <c r="BA45" s="189">
        <v>3614173.44</v>
      </c>
      <c r="BB45" s="189">
        <v>4192297.01</v>
      </c>
      <c r="BC45" s="189">
        <v>9203416.9600000009</v>
      </c>
      <c r="BD45" s="189">
        <v>8941174.9299999997</v>
      </c>
      <c r="BE45" s="189">
        <v>5557547.4900000002</v>
      </c>
      <c r="BF45" s="189">
        <v>5098780.9400000004</v>
      </c>
      <c r="BG45" s="189">
        <v>6222731.2999999998</v>
      </c>
      <c r="BH45" s="189">
        <v>5673526.54</v>
      </c>
      <c r="BI45" s="189">
        <v>2900848.94</v>
      </c>
      <c r="BJ45" s="189">
        <v>1893120.64</v>
      </c>
      <c r="BK45" s="189">
        <v>-27762845.969999999</v>
      </c>
      <c r="BL45" s="189">
        <v>-14801541.710000001</v>
      </c>
      <c r="BM45" s="189">
        <v>-5381245.9000000004</v>
      </c>
      <c r="BN45" s="189">
        <v>-63858576.859999999</v>
      </c>
      <c r="BO45" s="189">
        <v>-9541896.6899999995</v>
      </c>
      <c r="BP45" s="189">
        <v>-39699368.640000001</v>
      </c>
      <c r="BQ45" s="189">
        <v>4815314.17</v>
      </c>
      <c r="BR45" s="189">
        <v>52153318.710000001</v>
      </c>
      <c r="BS45" s="189">
        <v>9277399.7100000009</v>
      </c>
      <c r="BT45" s="189">
        <v>21292746.98</v>
      </c>
      <c r="BU45" s="189">
        <v>22621208.289999999</v>
      </c>
      <c r="BV45" s="189">
        <v>12555275.41</v>
      </c>
      <c r="BW45" s="189">
        <v>0</v>
      </c>
    </row>
    <row r="46" spans="1:75">
      <c r="A46" s="189" t="s">
        <v>187</v>
      </c>
      <c r="B46" s="189">
        <v>0</v>
      </c>
      <c r="C46" s="189">
        <v>0</v>
      </c>
      <c r="D46" s="189">
        <v>0</v>
      </c>
      <c r="E46" s="189">
        <v>0</v>
      </c>
      <c r="F46" s="189">
        <v>0</v>
      </c>
      <c r="G46" s="189">
        <v>0</v>
      </c>
      <c r="H46" s="189">
        <v>0</v>
      </c>
      <c r="I46" s="189">
        <v>0</v>
      </c>
      <c r="J46" s="189">
        <v>0</v>
      </c>
      <c r="K46" s="189">
        <v>0</v>
      </c>
      <c r="L46" s="189">
        <v>0</v>
      </c>
      <c r="M46" s="189">
        <v>0</v>
      </c>
      <c r="N46" s="189">
        <v>0</v>
      </c>
      <c r="O46" s="189">
        <v>0</v>
      </c>
      <c r="P46" s="189">
        <v>0</v>
      </c>
      <c r="Q46" s="189">
        <v>0</v>
      </c>
      <c r="R46" s="189">
        <v>0</v>
      </c>
      <c r="S46" s="189">
        <v>0</v>
      </c>
      <c r="T46" s="189">
        <v>0</v>
      </c>
      <c r="U46" s="189">
        <v>0</v>
      </c>
      <c r="V46" s="189">
        <v>0</v>
      </c>
      <c r="W46" s="189">
        <v>0</v>
      </c>
      <c r="X46" s="189">
        <v>0</v>
      </c>
      <c r="Y46" s="189">
        <v>0</v>
      </c>
      <c r="Z46" s="189">
        <v>0</v>
      </c>
      <c r="AA46" s="189">
        <v>0</v>
      </c>
      <c r="AB46" s="189">
        <v>0</v>
      </c>
      <c r="AC46" s="189">
        <v>0</v>
      </c>
      <c r="AD46" s="189">
        <v>0</v>
      </c>
      <c r="AE46" s="189">
        <v>0</v>
      </c>
      <c r="AF46" s="189">
        <v>0</v>
      </c>
      <c r="AG46" s="189">
        <v>0</v>
      </c>
      <c r="AH46" s="189">
        <v>0</v>
      </c>
      <c r="AI46" s="189">
        <v>0</v>
      </c>
      <c r="AJ46" s="189">
        <v>0</v>
      </c>
      <c r="AK46" s="189">
        <v>0</v>
      </c>
      <c r="AL46" s="189">
        <v>0</v>
      </c>
      <c r="AM46" s="189">
        <v>0</v>
      </c>
      <c r="AN46" s="189">
        <v>0</v>
      </c>
      <c r="AO46" s="189">
        <v>0</v>
      </c>
      <c r="AP46" s="189">
        <v>0</v>
      </c>
      <c r="AQ46" s="189">
        <v>0</v>
      </c>
      <c r="AR46" s="189">
        <v>0</v>
      </c>
      <c r="AS46" s="189">
        <v>0</v>
      </c>
      <c r="AT46" s="189">
        <v>3520.45</v>
      </c>
      <c r="AU46" s="189">
        <v>0</v>
      </c>
      <c r="AV46" s="189">
        <v>0</v>
      </c>
      <c r="AW46" s="189">
        <v>0</v>
      </c>
      <c r="AX46" s="189">
        <v>9940.91</v>
      </c>
      <c r="AY46" s="189">
        <v>-31153.43</v>
      </c>
      <c r="AZ46" s="189">
        <v>-31079.71</v>
      </c>
      <c r="BA46" s="189">
        <v>-4747.72</v>
      </c>
      <c r="BB46" s="189">
        <v>-115742.55</v>
      </c>
      <c r="BC46" s="189">
        <v>-64749.4</v>
      </c>
      <c r="BD46" s="189">
        <v>-22997.23</v>
      </c>
      <c r="BE46" s="189">
        <v>-17473.63</v>
      </c>
      <c r="BF46" s="189">
        <v>-95891.44</v>
      </c>
      <c r="BG46" s="189">
        <v>-26625.66</v>
      </c>
      <c r="BH46" s="189">
        <v>-17460.47</v>
      </c>
      <c r="BI46" s="189">
        <v>-8858.49</v>
      </c>
      <c r="BJ46" s="189">
        <v>-312668.45</v>
      </c>
      <c r="BK46" s="189">
        <v>-118702.32</v>
      </c>
      <c r="BL46" s="189">
        <v>0</v>
      </c>
      <c r="BM46" s="189">
        <v>-6291.92</v>
      </c>
      <c r="BN46" s="189">
        <v>-99329.98</v>
      </c>
      <c r="BO46" s="189">
        <v>0</v>
      </c>
      <c r="BP46" s="189">
        <v>0</v>
      </c>
      <c r="BQ46" s="189">
        <v>0</v>
      </c>
      <c r="BR46" s="189">
        <v>0</v>
      </c>
      <c r="BS46" s="189">
        <v>0</v>
      </c>
      <c r="BT46" s="189">
        <v>0</v>
      </c>
      <c r="BU46" s="189">
        <v>0</v>
      </c>
      <c r="BV46" s="189">
        <v>0</v>
      </c>
      <c r="BW46" s="189">
        <v>0</v>
      </c>
    </row>
    <row r="47" spans="1:75">
      <c r="A47" s="189" t="s">
        <v>261</v>
      </c>
      <c r="B47" s="189">
        <v>0</v>
      </c>
      <c r="C47" s="189">
        <v>0</v>
      </c>
      <c r="D47" s="189">
        <v>0</v>
      </c>
      <c r="E47" s="189">
        <v>0</v>
      </c>
      <c r="F47" s="189">
        <v>0</v>
      </c>
      <c r="G47" s="189">
        <v>0</v>
      </c>
      <c r="H47" s="189">
        <v>0</v>
      </c>
      <c r="I47" s="189">
        <v>0</v>
      </c>
      <c r="J47" s="189">
        <v>0</v>
      </c>
      <c r="K47" s="189">
        <v>0</v>
      </c>
      <c r="L47" s="189">
        <v>0</v>
      </c>
      <c r="M47" s="189">
        <v>0</v>
      </c>
      <c r="N47" s="189">
        <v>0</v>
      </c>
      <c r="O47" s="189">
        <v>0</v>
      </c>
      <c r="P47" s="189">
        <v>0</v>
      </c>
      <c r="Q47" s="189">
        <v>0</v>
      </c>
      <c r="R47" s="189">
        <v>0</v>
      </c>
      <c r="S47" s="189">
        <v>0</v>
      </c>
      <c r="T47" s="189">
        <v>0</v>
      </c>
      <c r="U47" s="189">
        <v>0</v>
      </c>
      <c r="V47" s="189">
        <v>0</v>
      </c>
      <c r="W47" s="189">
        <v>0</v>
      </c>
      <c r="X47" s="189">
        <v>0</v>
      </c>
      <c r="Y47" s="189">
        <v>0</v>
      </c>
      <c r="Z47" s="189">
        <v>0</v>
      </c>
      <c r="AA47" s="189">
        <v>0</v>
      </c>
      <c r="AB47" s="189">
        <v>0</v>
      </c>
      <c r="AC47" s="189">
        <v>0</v>
      </c>
      <c r="AD47" s="189">
        <v>0</v>
      </c>
      <c r="AE47" s="189">
        <v>0</v>
      </c>
      <c r="AF47" s="189">
        <v>0</v>
      </c>
      <c r="AG47" s="189">
        <v>0</v>
      </c>
      <c r="AH47" s="189">
        <v>0</v>
      </c>
      <c r="AI47" s="189">
        <v>0</v>
      </c>
      <c r="AJ47" s="189">
        <v>0</v>
      </c>
      <c r="AK47" s="189">
        <v>0</v>
      </c>
      <c r="AL47" s="189">
        <v>0</v>
      </c>
      <c r="AM47" s="189">
        <v>0</v>
      </c>
      <c r="AN47" s="189">
        <v>0</v>
      </c>
      <c r="AO47" s="189">
        <v>0</v>
      </c>
      <c r="AP47" s="189">
        <v>0</v>
      </c>
      <c r="AQ47" s="189">
        <v>0</v>
      </c>
      <c r="AR47" s="189">
        <v>0</v>
      </c>
      <c r="AS47" s="189">
        <v>0</v>
      </c>
      <c r="AT47" s="189">
        <v>0</v>
      </c>
      <c r="AU47" s="189">
        <v>0</v>
      </c>
      <c r="AV47" s="189">
        <v>0</v>
      </c>
      <c r="AW47" s="189">
        <v>0</v>
      </c>
      <c r="AX47" s="189">
        <v>0</v>
      </c>
      <c r="AY47" s="189">
        <v>0</v>
      </c>
      <c r="AZ47" s="189">
        <v>0</v>
      </c>
      <c r="BA47" s="189">
        <v>0</v>
      </c>
      <c r="BB47" s="189">
        <v>0</v>
      </c>
      <c r="BC47" s="189">
        <v>0</v>
      </c>
      <c r="BD47" s="189">
        <v>0</v>
      </c>
      <c r="BE47" s="189">
        <v>0</v>
      </c>
      <c r="BF47" s="189">
        <v>0</v>
      </c>
      <c r="BG47" s="189">
        <v>0</v>
      </c>
      <c r="BH47" s="189">
        <v>0</v>
      </c>
      <c r="BI47" s="189">
        <v>0</v>
      </c>
      <c r="BJ47" s="189">
        <v>0</v>
      </c>
      <c r="BK47" s="189">
        <v>0</v>
      </c>
      <c r="BL47" s="189">
        <v>0</v>
      </c>
      <c r="BM47" s="189">
        <v>0</v>
      </c>
      <c r="BN47" s="189">
        <v>0</v>
      </c>
      <c r="BO47" s="189">
        <v>0</v>
      </c>
      <c r="BP47" s="189">
        <v>0</v>
      </c>
      <c r="BQ47" s="189">
        <v>0</v>
      </c>
      <c r="BR47" s="189">
        <v>0</v>
      </c>
      <c r="BS47" s="189">
        <v>0</v>
      </c>
      <c r="BT47" s="189">
        <v>0</v>
      </c>
      <c r="BU47" s="189">
        <v>0</v>
      </c>
      <c r="BV47" s="189">
        <v>0</v>
      </c>
      <c r="BW47" s="189">
        <v>0</v>
      </c>
    </row>
    <row r="48" spans="1:75">
      <c r="A48" s="189" t="s">
        <v>262</v>
      </c>
      <c r="B48" s="189">
        <v>3664918.69</v>
      </c>
      <c r="C48" s="189">
        <v>0</v>
      </c>
      <c r="D48" s="189">
        <v>0</v>
      </c>
      <c r="E48" s="189">
        <v>0</v>
      </c>
      <c r="F48" s="189">
        <v>752451.15</v>
      </c>
      <c r="G48" s="189">
        <v>0</v>
      </c>
      <c r="H48" s="189">
        <v>9790</v>
      </c>
      <c r="I48" s="189">
        <v>0</v>
      </c>
      <c r="J48" s="189">
        <v>1790832.56</v>
      </c>
      <c r="K48" s="189">
        <v>0</v>
      </c>
      <c r="L48" s="189">
        <v>236073.48</v>
      </c>
      <c r="M48" s="189">
        <v>0</v>
      </c>
      <c r="N48" s="189">
        <v>1653478.01</v>
      </c>
      <c r="O48" s="189">
        <v>0</v>
      </c>
      <c r="P48" s="189">
        <v>0</v>
      </c>
      <c r="Q48" s="189">
        <v>0</v>
      </c>
      <c r="R48" s="189">
        <v>790872.63</v>
      </c>
      <c r="S48" s="189">
        <v>0</v>
      </c>
      <c r="T48" s="189">
        <v>0</v>
      </c>
      <c r="U48" s="189">
        <v>0</v>
      </c>
      <c r="V48" s="189">
        <v>-1832.17</v>
      </c>
      <c r="W48" s="189">
        <v>0</v>
      </c>
      <c r="X48" s="189">
        <v>0</v>
      </c>
      <c r="Y48" s="189">
        <v>0</v>
      </c>
      <c r="Z48" s="189">
        <v>5940057.7800000003</v>
      </c>
      <c r="AA48" s="189">
        <v>0</v>
      </c>
      <c r="AB48" s="189">
        <v>0</v>
      </c>
      <c r="AC48" s="189">
        <v>121169.97</v>
      </c>
      <c r="AD48" s="189">
        <v>482450.6</v>
      </c>
      <c r="AE48" s="189">
        <v>0</v>
      </c>
      <c r="AF48" s="189">
        <v>0</v>
      </c>
      <c r="AG48" s="189">
        <v>0</v>
      </c>
      <c r="AH48" s="189">
        <v>193452.97</v>
      </c>
      <c r="AI48" s="189">
        <v>0</v>
      </c>
      <c r="AJ48" s="189">
        <v>0</v>
      </c>
      <c r="AK48" s="189">
        <v>0</v>
      </c>
      <c r="AL48" s="189">
        <v>199262.07999999999</v>
      </c>
      <c r="AM48" s="189">
        <v>0</v>
      </c>
      <c r="AN48" s="189">
        <v>0</v>
      </c>
      <c r="AO48" s="189">
        <v>0</v>
      </c>
      <c r="AP48" s="189">
        <v>461945.9</v>
      </c>
      <c r="AQ48" s="189">
        <v>0</v>
      </c>
      <c r="AR48" s="189">
        <v>0</v>
      </c>
      <c r="AS48" s="189">
        <v>0</v>
      </c>
      <c r="AT48" s="189">
        <v>79777.259999999995</v>
      </c>
      <c r="AU48" s="189">
        <v>0</v>
      </c>
      <c r="AV48" s="189">
        <v>-258961.26</v>
      </c>
      <c r="AW48" s="189">
        <v>0</v>
      </c>
      <c r="AX48" s="189">
        <v>111980.15</v>
      </c>
      <c r="AY48" s="189">
        <v>0</v>
      </c>
      <c r="AZ48" s="189">
        <v>0</v>
      </c>
      <c r="BA48" s="189">
        <v>0</v>
      </c>
      <c r="BB48" s="189">
        <v>22367501.010000002</v>
      </c>
      <c r="BC48" s="189">
        <v>5456191.2599999998</v>
      </c>
      <c r="BD48" s="189">
        <v>3016249.86</v>
      </c>
      <c r="BE48" s="189">
        <v>1532938.13</v>
      </c>
      <c r="BF48" s="189">
        <v>6706162.4100000001</v>
      </c>
      <c r="BG48" s="189">
        <v>541364.76</v>
      </c>
      <c r="BH48" s="189">
        <v>541364.76</v>
      </c>
      <c r="BI48" s="189">
        <v>0</v>
      </c>
      <c r="BJ48" s="189">
        <v>3310443.59</v>
      </c>
      <c r="BK48" s="189">
        <v>3226291.65</v>
      </c>
      <c r="BL48" s="189">
        <v>121522.2</v>
      </c>
      <c r="BM48" s="189">
        <v>-480206.12</v>
      </c>
      <c r="BN48" s="189">
        <v>11393238.960000001</v>
      </c>
      <c r="BO48" s="189">
        <v>108322.34</v>
      </c>
      <c r="BP48" s="189">
        <v>6398135.7199999997</v>
      </c>
      <c r="BQ48" s="189">
        <v>-1007399.91</v>
      </c>
      <c r="BR48" s="189">
        <v>643201.4</v>
      </c>
      <c r="BS48" s="189">
        <v>1316332.67</v>
      </c>
      <c r="BT48" s="189">
        <v>121504.94</v>
      </c>
      <c r="BU48" s="189">
        <v>0</v>
      </c>
      <c r="BV48" s="189">
        <v>0</v>
      </c>
      <c r="BW48" s="189">
        <v>0</v>
      </c>
    </row>
    <row r="49" spans="1:75">
      <c r="A49" s="189" t="s">
        <v>263</v>
      </c>
      <c r="B49" s="189">
        <v>149347648.58000001</v>
      </c>
      <c r="C49" s="189">
        <v>0</v>
      </c>
      <c r="D49" s="189">
        <v>61660789.75</v>
      </c>
      <c r="E49" s="189">
        <v>0</v>
      </c>
      <c r="F49" s="189">
        <v>149878144.34999999</v>
      </c>
      <c r="G49" s="189">
        <v>0</v>
      </c>
      <c r="H49" s="189">
        <v>68794281.900000006</v>
      </c>
      <c r="I49" s="189">
        <v>0</v>
      </c>
      <c r="J49" s="189">
        <v>57457244.640000001</v>
      </c>
      <c r="K49" s="189">
        <v>0</v>
      </c>
      <c r="L49" s="189">
        <v>27283553.989999998</v>
      </c>
      <c r="M49" s="189">
        <v>0</v>
      </c>
      <c r="N49" s="189">
        <v>53101067.539999999</v>
      </c>
      <c r="O49" s="189">
        <v>0</v>
      </c>
      <c r="P49" s="189">
        <v>22825754.440000001</v>
      </c>
      <c r="Q49" s="189">
        <v>0</v>
      </c>
      <c r="R49" s="189">
        <v>55297361.380000003</v>
      </c>
      <c r="S49" s="189">
        <v>0</v>
      </c>
      <c r="T49" s="189">
        <v>24254023.399999999</v>
      </c>
      <c r="U49" s="189">
        <v>0</v>
      </c>
      <c r="V49" s="189">
        <v>66355050.140000001</v>
      </c>
      <c r="W49" s="189">
        <v>0</v>
      </c>
      <c r="X49" s="189">
        <v>31132334.199999999</v>
      </c>
      <c r="Y49" s="189">
        <v>0</v>
      </c>
      <c r="Z49" s="189">
        <v>51643410.969999999</v>
      </c>
      <c r="AA49" s="189">
        <v>0</v>
      </c>
      <c r="AB49" s="189">
        <v>22618096.609999999</v>
      </c>
      <c r="AC49" s="189">
        <v>12204814.43</v>
      </c>
      <c r="AD49" s="189">
        <v>49797719.109999999</v>
      </c>
      <c r="AE49" s="189">
        <v>0</v>
      </c>
      <c r="AF49" s="189">
        <v>25191259.649999999</v>
      </c>
      <c r="AG49" s="189">
        <v>0</v>
      </c>
      <c r="AH49" s="189">
        <v>49579368.700000003</v>
      </c>
      <c r="AI49" s="189">
        <v>0</v>
      </c>
      <c r="AJ49" s="189">
        <v>23952504.829999998</v>
      </c>
      <c r="AK49" s="189">
        <v>0</v>
      </c>
      <c r="AL49" s="189">
        <v>47455643.140000001</v>
      </c>
      <c r="AM49" s="189">
        <v>0</v>
      </c>
      <c r="AN49" s="189">
        <v>24285461.27</v>
      </c>
      <c r="AO49" s="189">
        <v>0</v>
      </c>
      <c r="AP49" s="189">
        <v>38344084.259999998</v>
      </c>
      <c r="AQ49" s="189">
        <v>0</v>
      </c>
      <c r="AR49" s="189">
        <v>18497768.309999999</v>
      </c>
      <c r="AS49" s="189">
        <v>0</v>
      </c>
      <c r="AT49" s="189">
        <v>34777814.439999998</v>
      </c>
      <c r="AU49" s="189">
        <v>0</v>
      </c>
      <c r="AV49" s="189">
        <v>17857138.260000002</v>
      </c>
      <c r="AW49" s="189">
        <v>0</v>
      </c>
      <c r="AX49" s="189">
        <v>32367521.059999999</v>
      </c>
      <c r="AY49" s="189">
        <v>22430765.899999999</v>
      </c>
      <c r="AZ49" s="189">
        <v>15174736.289999999</v>
      </c>
      <c r="BA49" s="189">
        <v>7633124.8099999996</v>
      </c>
      <c r="BB49" s="189">
        <v>33216198.539999999</v>
      </c>
      <c r="BC49" s="189">
        <v>24921024.739999998</v>
      </c>
      <c r="BD49" s="189">
        <v>15733045.529999999</v>
      </c>
      <c r="BE49" s="189">
        <v>7903984.1200000001</v>
      </c>
      <c r="BF49" s="189">
        <v>36395589.350000001</v>
      </c>
      <c r="BG49" s="189">
        <v>26722746.91</v>
      </c>
      <c r="BH49" s="189">
        <v>18027092.969999999</v>
      </c>
      <c r="BI49" s="189">
        <v>9236470.2599999998</v>
      </c>
      <c r="BJ49" s="189">
        <v>38140267.93</v>
      </c>
      <c r="BK49" s="189">
        <v>26958750.460000001</v>
      </c>
      <c r="BL49" s="189">
        <v>17604928.329999998</v>
      </c>
      <c r="BM49" s="189">
        <v>8953115.8599999994</v>
      </c>
      <c r="BN49" s="189">
        <v>35626999.619999997</v>
      </c>
      <c r="BO49" s="189">
        <v>15435840.18</v>
      </c>
      <c r="BP49" s="189">
        <v>25422247.460000001</v>
      </c>
      <c r="BQ49" s="189">
        <v>12802984.52</v>
      </c>
      <c r="BR49" s="189">
        <v>25149796.989999998</v>
      </c>
      <c r="BS49" s="189">
        <v>11727018.91</v>
      </c>
      <c r="BT49" s="189">
        <v>29788723.109999999</v>
      </c>
      <c r="BU49" s="189">
        <v>14051786.890000001</v>
      </c>
      <c r="BV49" s="189">
        <v>7330236.6399999997</v>
      </c>
      <c r="BW49" s="189">
        <v>0</v>
      </c>
    </row>
    <row r="50" spans="1:75">
      <c r="A50" s="189" t="s">
        <v>264</v>
      </c>
      <c r="B50" s="189">
        <v>166506.14000000001</v>
      </c>
      <c r="C50" s="189">
        <v>0</v>
      </c>
      <c r="D50" s="189">
        <v>68310.539999999994</v>
      </c>
      <c r="E50" s="189">
        <v>0</v>
      </c>
      <c r="F50" s="189">
        <v>136621.07999999999</v>
      </c>
      <c r="G50" s="189">
        <v>0</v>
      </c>
      <c r="H50" s="189">
        <v>1070459.6499999999</v>
      </c>
      <c r="I50" s="189">
        <v>0</v>
      </c>
      <c r="J50" s="189">
        <v>116659.25</v>
      </c>
      <c r="K50" s="189">
        <v>0</v>
      </c>
      <c r="L50" s="189">
        <v>51200.4</v>
      </c>
      <c r="M50" s="189">
        <v>0</v>
      </c>
      <c r="N50" s="189">
        <v>107956.32</v>
      </c>
      <c r="O50" s="189">
        <v>0</v>
      </c>
      <c r="P50" s="189">
        <v>54533.72</v>
      </c>
      <c r="Q50" s="189">
        <v>0</v>
      </c>
      <c r="R50" s="189">
        <v>82822.38</v>
      </c>
      <c r="S50" s="189">
        <v>0</v>
      </c>
      <c r="T50" s="189">
        <v>41320.019999999997</v>
      </c>
      <c r="U50" s="189">
        <v>0</v>
      </c>
      <c r="V50" s="189">
        <v>82880.210000000006</v>
      </c>
      <c r="W50" s="189">
        <v>0</v>
      </c>
      <c r="X50" s="189">
        <v>61920</v>
      </c>
      <c r="Y50" s="189">
        <v>0</v>
      </c>
      <c r="Z50" s="189">
        <v>152720.04</v>
      </c>
      <c r="AA50" s="189">
        <v>0</v>
      </c>
      <c r="AB50" s="189">
        <v>76360.02</v>
      </c>
      <c r="AC50" s="189">
        <v>38180.01</v>
      </c>
      <c r="AD50" s="189">
        <v>152720.03</v>
      </c>
      <c r="AE50" s="189">
        <v>0</v>
      </c>
      <c r="AF50" s="189">
        <v>76360.009999999995</v>
      </c>
      <c r="AG50" s="189">
        <v>0</v>
      </c>
      <c r="AH50" s="189">
        <v>137720</v>
      </c>
      <c r="AI50" s="189">
        <v>0</v>
      </c>
      <c r="AJ50" s="189">
        <v>66360</v>
      </c>
      <c r="AK50" s="189">
        <v>0</v>
      </c>
      <c r="AL50" s="189">
        <v>136305.35999999999</v>
      </c>
      <c r="AM50" s="189">
        <v>0</v>
      </c>
      <c r="AN50" s="189">
        <v>69945.36</v>
      </c>
      <c r="AO50" s="189">
        <v>0</v>
      </c>
      <c r="AP50" s="189">
        <v>67094.64</v>
      </c>
      <c r="AQ50" s="189">
        <v>0</v>
      </c>
      <c r="AR50" s="189">
        <v>93621.24</v>
      </c>
      <c r="AS50" s="189">
        <v>0</v>
      </c>
      <c r="AT50" s="189">
        <v>0</v>
      </c>
      <c r="AU50" s="189">
        <v>0</v>
      </c>
      <c r="AV50" s="189">
        <v>93621.24</v>
      </c>
      <c r="AW50" s="189">
        <v>0</v>
      </c>
      <c r="AX50" s="189">
        <v>660165</v>
      </c>
      <c r="AY50" s="189">
        <v>495123.75</v>
      </c>
      <c r="AZ50" s="189">
        <v>330082.5</v>
      </c>
      <c r="BA50" s="189">
        <v>330877.65000000002</v>
      </c>
      <c r="BB50" s="189">
        <v>1323510.6000000001</v>
      </c>
      <c r="BC50" s="189">
        <v>992632.95</v>
      </c>
      <c r="BD50" s="189">
        <v>661755.30000000005</v>
      </c>
      <c r="BE50" s="189">
        <v>330877.65000000002</v>
      </c>
      <c r="BF50" s="189">
        <v>1761066.58</v>
      </c>
      <c r="BG50" s="189">
        <v>1496494.31</v>
      </c>
      <c r="BH50" s="189">
        <v>1090616.6599999999</v>
      </c>
      <c r="BI50" s="189">
        <v>603495.15</v>
      </c>
      <c r="BJ50" s="189">
        <v>2413980.6</v>
      </c>
      <c r="BK50" s="189">
        <v>1812285.45</v>
      </c>
      <c r="BL50" s="189">
        <v>1208790.3</v>
      </c>
      <c r="BM50" s="189">
        <v>605295.15</v>
      </c>
      <c r="BN50" s="189">
        <v>2556892.56</v>
      </c>
      <c r="BO50" s="189">
        <v>1206990.3</v>
      </c>
      <c r="BP50" s="189">
        <v>2117262.9300000002</v>
      </c>
      <c r="BQ50" s="189">
        <v>1056990.3</v>
      </c>
      <c r="BR50" s="189">
        <v>1640332.86</v>
      </c>
      <c r="BS50" s="189">
        <v>373850.19</v>
      </c>
      <c r="BT50" s="189">
        <v>583242.48</v>
      </c>
      <c r="BU50" s="189">
        <v>187242.48</v>
      </c>
      <c r="BV50" s="189">
        <v>93621.24</v>
      </c>
      <c r="BW50" s="189">
        <v>0</v>
      </c>
    </row>
    <row r="51" spans="1:75">
      <c r="A51" s="189" t="s">
        <v>265</v>
      </c>
      <c r="B51" s="189">
        <v>6267662.1399999997</v>
      </c>
      <c r="C51" s="189">
        <v>0</v>
      </c>
      <c r="D51" s="189">
        <v>7893696.2599999998</v>
      </c>
      <c r="E51" s="189">
        <v>0</v>
      </c>
      <c r="F51" s="189">
        <v>6717658.5099999998</v>
      </c>
      <c r="G51" s="189">
        <v>0</v>
      </c>
      <c r="H51" s="189">
        <v>3397917.62</v>
      </c>
      <c r="I51" s="189">
        <v>0</v>
      </c>
      <c r="J51" s="189">
        <v>2039942.56</v>
      </c>
      <c r="K51" s="189">
        <v>0</v>
      </c>
      <c r="L51" s="189">
        <v>1002112.2</v>
      </c>
      <c r="M51" s="189">
        <v>0</v>
      </c>
      <c r="N51" s="189">
        <v>14427440.73</v>
      </c>
      <c r="O51" s="189">
        <v>0</v>
      </c>
      <c r="P51" s="189">
        <v>4816989.12</v>
      </c>
      <c r="Q51" s="189">
        <v>0</v>
      </c>
      <c r="R51" s="189">
        <v>4951116.55</v>
      </c>
      <c r="S51" s="189">
        <v>0</v>
      </c>
      <c r="T51" s="189">
        <v>3278199.8</v>
      </c>
      <c r="U51" s="189">
        <v>0</v>
      </c>
      <c r="V51" s="189">
        <v>4058363.73</v>
      </c>
      <c r="W51" s="189">
        <v>0</v>
      </c>
      <c r="X51" s="189">
        <v>3872560.31</v>
      </c>
      <c r="Y51" s="189">
        <v>0</v>
      </c>
      <c r="Z51" s="189">
        <v>5173032.97</v>
      </c>
      <c r="AA51" s="189">
        <v>0</v>
      </c>
      <c r="AB51" s="189">
        <v>2715104.55</v>
      </c>
      <c r="AC51" s="189">
        <v>1381643.32</v>
      </c>
      <c r="AD51" s="189">
        <v>4541559.22</v>
      </c>
      <c r="AE51" s="189">
        <v>0</v>
      </c>
      <c r="AF51" s="189">
        <v>1683169.28</v>
      </c>
      <c r="AG51" s="189">
        <v>0</v>
      </c>
      <c r="AH51" s="189">
        <v>4143119.96</v>
      </c>
      <c r="AI51" s="189">
        <v>0</v>
      </c>
      <c r="AJ51" s="189">
        <v>1805139.5</v>
      </c>
      <c r="AK51" s="189">
        <v>0</v>
      </c>
      <c r="AL51" s="189">
        <v>2477931.83</v>
      </c>
      <c r="AM51" s="189">
        <v>0</v>
      </c>
      <c r="AN51" s="189">
        <v>1127957.24</v>
      </c>
      <c r="AO51" s="189">
        <v>0</v>
      </c>
      <c r="AP51" s="189">
        <v>1561081.93</v>
      </c>
      <c r="AQ51" s="189">
        <v>0</v>
      </c>
      <c r="AR51" s="189">
        <v>554313.68999999994</v>
      </c>
      <c r="AS51" s="189">
        <v>0</v>
      </c>
      <c r="AT51" s="189">
        <v>0</v>
      </c>
      <c r="AU51" s="189">
        <v>0</v>
      </c>
      <c r="AV51" s="189">
        <v>0</v>
      </c>
      <c r="AW51" s="189">
        <v>0</v>
      </c>
      <c r="AX51" s="189">
        <v>0</v>
      </c>
      <c r="AY51" s="189">
        <v>0</v>
      </c>
      <c r="AZ51" s="189">
        <v>0</v>
      </c>
      <c r="BA51" s="189">
        <v>0</v>
      </c>
      <c r="BB51" s="189">
        <v>0</v>
      </c>
      <c r="BC51" s="189">
        <v>0</v>
      </c>
      <c r="BD51" s="189">
        <v>0</v>
      </c>
      <c r="BE51" s="189">
        <v>0</v>
      </c>
      <c r="BF51" s="189">
        <v>0</v>
      </c>
      <c r="BG51" s="189">
        <v>0</v>
      </c>
      <c r="BH51" s="189">
        <v>0</v>
      </c>
      <c r="BI51" s="189">
        <v>0</v>
      </c>
      <c r="BJ51" s="189">
        <v>38171.58</v>
      </c>
      <c r="BK51" s="189">
        <v>0</v>
      </c>
      <c r="BL51" s="189">
        <v>0</v>
      </c>
      <c r="BM51" s="189">
        <v>-10191.75</v>
      </c>
      <c r="BN51" s="189">
        <v>43049.8</v>
      </c>
      <c r="BO51" s="189">
        <v>219833.3</v>
      </c>
      <c r="BP51" s="189">
        <v>252326.05</v>
      </c>
      <c r="BQ51" s="189">
        <v>16270.62</v>
      </c>
      <c r="BR51" s="189">
        <v>0</v>
      </c>
      <c r="BS51" s="189">
        <v>0</v>
      </c>
      <c r="BT51" s="189">
        <v>0</v>
      </c>
      <c r="BU51" s="189">
        <v>0</v>
      </c>
      <c r="BV51" s="189">
        <v>0</v>
      </c>
      <c r="BW51" s="189">
        <v>0</v>
      </c>
    </row>
    <row r="52" spans="1:75">
      <c r="A52" s="189" t="s">
        <v>266</v>
      </c>
      <c r="B52" s="189">
        <v>0</v>
      </c>
      <c r="C52" s="189">
        <v>0</v>
      </c>
      <c r="D52" s="189">
        <v>0</v>
      </c>
      <c r="E52" s="189">
        <v>0</v>
      </c>
      <c r="F52" s="189">
        <v>0</v>
      </c>
      <c r="G52" s="189">
        <v>0</v>
      </c>
      <c r="H52" s="189">
        <v>0</v>
      </c>
      <c r="I52" s="189">
        <v>0</v>
      </c>
      <c r="J52" s="189">
        <v>0</v>
      </c>
      <c r="K52" s="189">
        <v>0</v>
      </c>
      <c r="L52" s="189">
        <v>0</v>
      </c>
      <c r="M52" s="189">
        <v>0</v>
      </c>
      <c r="N52" s="189">
        <v>0</v>
      </c>
      <c r="O52" s="189">
        <v>0</v>
      </c>
      <c r="P52" s="189">
        <v>0</v>
      </c>
      <c r="Q52" s="189">
        <v>0</v>
      </c>
      <c r="R52" s="189">
        <v>0</v>
      </c>
      <c r="S52" s="189">
        <v>0</v>
      </c>
      <c r="T52" s="189">
        <v>0</v>
      </c>
      <c r="U52" s="189">
        <v>0</v>
      </c>
      <c r="V52" s="189">
        <v>0</v>
      </c>
      <c r="W52" s="189">
        <v>0</v>
      </c>
      <c r="X52" s="189">
        <v>0</v>
      </c>
      <c r="Y52" s="189">
        <v>0</v>
      </c>
      <c r="Z52" s="189">
        <v>0</v>
      </c>
      <c r="AA52" s="189">
        <v>0</v>
      </c>
      <c r="AB52" s="189">
        <v>0</v>
      </c>
      <c r="AC52" s="189">
        <v>0</v>
      </c>
      <c r="AD52" s="189">
        <v>0</v>
      </c>
      <c r="AE52" s="189">
        <v>0</v>
      </c>
      <c r="AF52" s="189">
        <v>0</v>
      </c>
      <c r="AG52" s="189">
        <v>0</v>
      </c>
      <c r="AH52" s="189">
        <v>0</v>
      </c>
      <c r="AI52" s="189">
        <v>0</v>
      </c>
      <c r="AJ52" s="189">
        <v>0</v>
      </c>
      <c r="AK52" s="189">
        <v>0</v>
      </c>
      <c r="AL52" s="189">
        <v>0</v>
      </c>
      <c r="AM52" s="189">
        <v>0</v>
      </c>
      <c r="AN52" s="189">
        <v>0</v>
      </c>
      <c r="AO52" s="189">
        <v>0</v>
      </c>
      <c r="AP52" s="189">
        <v>0</v>
      </c>
      <c r="AQ52" s="189">
        <v>0</v>
      </c>
      <c r="AR52" s="189">
        <v>0</v>
      </c>
      <c r="AS52" s="189">
        <v>0</v>
      </c>
      <c r="AT52" s="189">
        <v>0</v>
      </c>
      <c r="AU52" s="189">
        <v>0</v>
      </c>
      <c r="AV52" s="189">
        <v>0</v>
      </c>
      <c r="AW52" s="189">
        <v>0</v>
      </c>
      <c r="AX52" s="189">
        <v>-40474.97</v>
      </c>
      <c r="AY52" s="189">
        <v>436786.38</v>
      </c>
      <c r="AZ52" s="189">
        <v>311591.31</v>
      </c>
      <c r="BA52" s="189">
        <v>624092.02</v>
      </c>
      <c r="BB52" s="189">
        <v>-450000.3</v>
      </c>
      <c r="BC52" s="189">
        <v>4763548.82</v>
      </c>
      <c r="BD52" s="189">
        <v>4963616</v>
      </c>
      <c r="BE52" s="189">
        <v>4781856.05</v>
      </c>
      <c r="BF52" s="189">
        <v>997982.45</v>
      </c>
      <c r="BG52" s="189">
        <v>748780.47</v>
      </c>
      <c r="BH52" s="189">
        <v>937365.97</v>
      </c>
      <c r="BI52" s="189">
        <v>555358.54</v>
      </c>
      <c r="BJ52" s="189">
        <v>187561.42</v>
      </c>
      <c r="BK52" s="189">
        <v>-130889.97</v>
      </c>
      <c r="BL52" s="189">
        <v>-344665.66</v>
      </c>
      <c r="BM52" s="189">
        <v>1067898.94</v>
      </c>
      <c r="BN52" s="189">
        <v>1449529.4</v>
      </c>
      <c r="BO52" s="189">
        <v>-364570.04</v>
      </c>
      <c r="BP52" s="189">
        <v>-2275873.23</v>
      </c>
      <c r="BQ52" s="189">
        <v>-1145908.24</v>
      </c>
      <c r="BR52" s="189">
        <v>1236177.51</v>
      </c>
      <c r="BS52" s="189">
        <v>0</v>
      </c>
      <c r="BT52" s="189">
        <v>0</v>
      </c>
      <c r="BU52" s="189">
        <v>0</v>
      </c>
      <c r="BV52" s="189">
        <v>0</v>
      </c>
      <c r="BW52" s="189">
        <v>0</v>
      </c>
    </row>
    <row r="53" spans="1:75">
      <c r="A53" s="189" t="s">
        <v>267</v>
      </c>
      <c r="B53" s="189">
        <v>0</v>
      </c>
      <c r="C53" s="189">
        <v>0</v>
      </c>
      <c r="D53" s="189">
        <v>0</v>
      </c>
      <c r="E53" s="189">
        <v>0</v>
      </c>
      <c r="F53" s="189">
        <v>0</v>
      </c>
      <c r="G53" s="189">
        <v>0</v>
      </c>
      <c r="H53" s="189">
        <v>0</v>
      </c>
      <c r="I53" s="189">
        <v>0</v>
      </c>
      <c r="J53" s="189">
        <v>0</v>
      </c>
      <c r="K53" s="189">
        <v>0</v>
      </c>
      <c r="L53" s="189">
        <v>0</v>
      </c>
      <c r="M53" s="189">
        <v>0</v>
      </c>
      <c r="N53" s="189">
        <v>0</v>
      </c>
      <c r="O53" s="189">
        <v>0</v>
      </c>
      <c r="P53" s="189">
        <v>0</v>
      </c>
      <c r="Q53" s="189">
        <v>0</v>
      </c>
      <c r="R53" s="189">
        <v>0</v>
      </c>
      <c r="S53" s="189">
        <v>0</v>
      </c>
      <c r="T53" s="189">
        <v>0</v>
      </c>
      <c r="U53" s="189">
        <v>0</v>
      </c>
      <c r="V53" s="189">
        <v>0</v>
      </c>
      <c r="W53" s="189">
        <v>0</v>
      </c>
      <c r="X53" s="189">
        <v>0</v>
      </c>
      <c r="Y53" s="189">
        <v>0</v>
      </c>
      <c r="Z53" s="189">
        <v>0</v>
      </c>
      <c r="AA53" s="189">
        <v>0</v>
      </c>
      <c r="AB53" s="189">
        <v>0</v>
      </c>
      <c r="AC53" s="189">
        <v>0</v>
      </c>
      <c r="AD53" s="189">
        <v>0</v>
      </c>
      <c r="AE53" s="189">
        <v>0</v>
      </c>
      <c r="AF53" s="189">
        <v>0</v>
      </c>
      <c r="AG53" s="189">
        <v>0</v>
      </c>
      <c r="AH53" s="189">
        <v>0</v>
      </c>
      <c r="AI53" s="189">
        <v>0</v>
      </c>
      <c r="AJ53" s="189">
        <v>0</v>
      </c>
      <c r="AK53" s="189">
        <v>0</v>
      </c>
      <c r="AL53" s="189">
        <v>0</v>
      </c>
      <c r="AM53" s="189">
        <v>0</v>
      </c>
      <c r="AN53" s="189">
        <v>0</v>
      </c>
      <c r="AO53" s="189">
        <v>0</v>
      </c>
      <c r="AP53" s="189">
        <v>0</v>
      </c>
      <c r="AQ53" s="189">
        <v>0</v>
      </c>
      <c r="AR53" s="189">
        <v>0</v>
      </c>
      <c r="AS53" s="189">
        <v>0</v>
      </c>
      <c r="AT53" s="189">
        <v>0</v>
      </c>
      <c r="AU53" s="189">
        <v>0</v>
      </c>
      <c r="AV53" s="189">
        <v>0</v>
      </c>
      <c r="AW53" s="189">
        <v>0</v>
      </c>
      <c r="AX53" s="189">
        <v>262978.95</v>
      </c>
      <c r="AY53" s="189">
        <v>3004979.79</v>
      </c>
      <c r="AZ53" s="189">
        <v>267326.86</v>
      </c>
      <c r="BA53" s="189">
        <v>2585428.89</v>
      </c>
      <c r="BB53" s="189">
        <v>-53142.74</v>
      </c>
      <c r="BC53" s="189">
        <v>236328.37</v>
      </c>
      <c r="BD53" s="189">
        <v>1378612.71</v>
      </c>
      <c r="BE53" s="189">
        <v>239978.04</v>
      </c>
      <c r="BF53" s="189">
        <v>5443.2</v>
      </c>
      <c r="BG53" s="189">
        <v>200407.35</v>
      </c>
      <c r="BH53" s="189">
        <v>225028.74</v>
      </c>
      <c r="BI53" s="189">
        <v>320888</v>
      </c>
      <c r="BJ53" s="189">
        <v>85000</v>
      </c>
      <c r="BK53" s="189">
        <v>509529.53</v>
      </c>
      <c r="BL53" s="189">
        <v>272829.53000000003</v>
      </c>
      <c r="BM53" s="189">
        <v>-3624424.91</v>
      </c>
      <c r="BN53" s="189">
        <v>-814.59</v>
      </c>
      <c r="BO53" s="189">
        <v>-1255765.93</v>
      </c>
      <c r="BP53" s="189">
        <v>1792970.47</v>
      </c>
      <c r="BQ53" s="189">
        <v>149434.62</v>
      </c>
      <c r="BR53" s="189">
        <v>0</v>
      </c>
      <c r="BS53" s="189">
        <v>0</v>
      </c>
      <c r="BT53" s="189">
        <v>0</v>
      </c>
      <c r="BU53" s="189">
        <v>0</v>
      </c>
      <c r="BV53" s="189">
        <v>0</v>
      </c>
      <c r="BW53" s="189">
        <v>0</v>
      </c>
    </row>
    <row r="54" spans="1:75">
      <c r="A54" s="189" t="s">
        <v>268</v>
      </c>
      <c r="B54" s="189">
        <v>1892802.4</v>
      </c>
      <c r="C54" s="189">
        <v>0</v>
      </c>
      <c r="D54" s="189">
        <v>2002302.36</v>
      </c>
      <c r="E54" s="189">
        <v>0</v>
      </c>
      <c r="F54" s="189">
        <v>51849.42</v>
      </c>
      <c r="G54" s="189">
        <v>0</v>
      </c>
      <c r="H54" s="189">
        <v>0</v>
      </c>
      <c r="I54" s="189">
        <v>0</v>
      </c>
      <c r="J54" s="189">
        <v>2957213.62</v>
      </c>
      <c r="K54" s="189">
        <v>0</v>
      </c>
      <c r="L54" s="189">
        <v>-5974.32</v>
      </c>
      <c r="M54" s="189">
        <v>0</v>
      </c>
      <c r="N54" s="189">
        <v>1591027.39</v>
      </c>
      <c r="O54" s="189">
        <v>0</v>
      </c>
      <c r="P54" s="189">
        <v>0</v>
      </c>
      <c r="Q54" s="189">
        <v>0</v>
      </c>
      <c r="R54" s="189">
        <v>2966273.15</v>
      </c>
      <c r="S54" s="189">
        <v>0</v>
      </c>
      <c r="T54" s="189">
        <v>16624.330000000002</v>
      </c>
      <c r="U54" s="189">
        <v>0</v>
      </c>
      <c r="V54" s="189">
        <v>1625753.52</v>
      </c>
      <c r="W54" s="189">
        <v>0</v>
      </c>
      <c r="X54" s="189">
        <v>140135.21</v>
      </c>
      <c r="Y54" s="189">
        <v>0</v>
      </c>
      <c r="Z54" s="189">
        <v>1233195.18</v>
      </c>
      <c r="AA54" s="189">
        <v>0</v>
      </c>
      <c r="AB54" s="189">
        <v>2043360.17</v>
      </c>
      <c r="AC54" s="189">
        <v>114740.7</v>
      </c>
      <c r="AD54" s="189">
        <v>4920158.99</v>
      </c>
      <c r="AE54" s="189">
        <v>0</v>
      </c>
      <c r="AF54" s="189">
        <v>3456679.18</v>
      </c>
      <c r="AG54" s="189">
        <v>0</v>
      </c>
      <c r="AH54" s="189">
        <v>10897436.99</v>
      </c>
      <c r="AI54" s="189">
        <v>0</v>
      </c>
      <c r="AJ54" s="189">
        <v>11289272.609999999</v>
      </c>
      <c r="AK54" s="189">
        <v>0</v>
      </c>
      <c r="AL54" s="189">
        <v>700307.36</v>
      </c>
      <c r="AM54" s="189">
        <v>0</v>
      </c>
      <c r="AN54" s="189">
        <v>1489.14</v>
      </c>
      <c r="AO54" s="189">
        <v>0</v>
      </c>
      <c r="AP54" s="189">
        <v>61024.94</v>
      </c>
      <c r="AQ54" s="189">
        <v>0</v>
      </c>
      <c r="AR54" s="189">
        <v>2165221.35</v>
      </c>
      <c r="AS54" s="189">
        <v>0</v>
      </c>
      <c r="AT54" s="189">
        <v>-607902.86</v>
      </c>
      <c r="AU54" s="189">
        <v>0</v>
      </c>
      <c r="AV54" s="189">
        <v>-21701</v>
      </c>
      <c r="AW54" s="189">
        <v>0</v>
      </c>
      <c r="AX54" s="189">
        <v>-3976329.75</v>
      </c>
      <c r="AY54" s="189">
        <v>-4935597.4800000004</v>
      </c>
      <c r="AZ54" s="189">
        <v>-4924308.4800000004</v>
      </c>
      <c r="BA54" s="189">
        <v>0</v>
      </c>
      <c r="BB54" s="189">
        <v>633125.19999999995</v>
      </c>
      <c r="BC54" s="189">
        <v>1067756.8600000001</v>
      </c>
      <c r="BD54" s="189">
        <v>1067756.8600000001</v>
      </c>
      <c r="BE54" s="189">
        <v>1067756.8600000001</v>
      </c>
      <c r="BF54" s="189">
        <v>5749151.0800000001</v>
      </c>
      <c r="BG54" s="189">
        <v>397644.64</v>
      </c>
      <c r="BH54" s="189">
        <v>281274.99</v>
      </c>
      <c r="BI54" s="189">
        <v>61229.23</v>
      </c>
      <c r="BJ54" s="189">
        <v>-330499.40999999997</v>
      </c>
      <c r="BK54" s="189">
        <v>-74914.960000000006</v>
      </c>
      <c r="BL54" s="189">
        <v>-276928.5</v>
      </c>
      <c r="BM54" s="189">
        <v>-273093</v>
      </c>
      <c r="BN54" s="189">
        <v>494802.18</v>
      </c>
      <c r="BO54" s="189">
        <v>47401.62</v>
      </c>
      <c r="BP54" s="189">
        <v>0</v>
      </c>
      <c r="BQ54" s="189">
        <v>66450.77</v>
      </c>
      <c r="BR54" s="189">
        <v>-18679607.050000001</v>
      </c>
      <c r="BS54" s="189">
        <v>-67654.45</v>
      </c>
      <c r="BT54" s="189">
        <v>0</v>
      </c>
      <c r="BU54" s="189">
        <v>0</v>
      </c>
      <c r="BV54" s="189">
        <v>0</v>
      </c>
      <c r="BW54" s="189">
        <v>0</v>
      </c>
    </row>
    <row r="55" spans="1:75">
      <c r="A55" s="189" t="s">
        <v>269</v>
      </c>
      <c r="B55" s="189">
        <v>1305521.32</v>
      </c>
      <c r="C55" s="189">
        <v>0</v>
      </c>
      <c r="D55" s="189">
        <v>0</v>
      </c>
      <c r="E55" s="189">
        <v>0</v>
      </c>
      <c r="F55" s="189">
        <v>3220581.04</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80905.009999999995</v>
      </c>
      <c r="W55" s="189">
        <v>0</v>
      </c>
      <c r="X55" s="189">
        <v>0</v>
      </c>
      <c r="Y55" s="189">
        <v>0</v>
      </c>
      <c r="Z55" s="189">
        <v>0</v>
      </c>
      <c r="AA55" s="189">
        <v>0</v>
      </c>
      <c r="AB55" s="189">
        <v>0</v>
      </c>
      <c r="AC55" s="189">
        <v>0</v>
      </c>
      <c r="AD55" s="189">
        <v>9444.92</v>
      </c>
      <c r="AE55" s="189">
        <v>0</v>
      </c>
      <c r="AF55" s="189">
        <v>8524.7099999999991</v>
      </c>
      <c r="AG55" s="189">
        <v>0</v>
      </c>
      <c r="AH55" s="189">
        <v>821920.72</v>
      </c>
      <c r="AI55" s="189">
        <v>0</v>
      </c>
      <c r="AJ55" s="189">
        <v>0</v>
      </c>
      <c r="AK55" s="189">
        <v>0</v>
      </c>
      <c r="AL55" s="189">
        <v>2453213.0699999998</v>
      </c>
      <c r="AM55" s="189">
        <v>0</v>
      </c>
      <c r="AN55" s="189">
        <v>0</v>
      </c>
      <c r="AO55" s="189">
        <v>0</v>
      </c>
      <c r="AP55" s="189">
        <v>2617943.7799999998</v>
      </c>
      <c r="AQ55" s="189">
        <v>0</v>
      </c>
      <c r="AR55" s="189">
        <v>1967573.9</v>
      </c>
      <c r="AS55" s="189">
        <v>0</v>
      </c>
      <c r="AT55" s="189">
        <v>13896347.84</v>
      </c>
      <c r="AU55" s="189">
        <v>0</v>
      </c>
      <c r="AV55" s="189">
        <v>13842882.880000001</v>
      </c>
      <c r="AW55" s="189">
        <v>0</v>
      </c>
      <c r="AX55" s="189">
        <v>3994475.48</v>
      </c>
      <c r="AY55" s="189">
        <v>54720.6</v>
      </c>
      <c r="AZ55" s="189">
        <v>0</v>
      </c>
      <c r="BA55" s="189">
        <v>0</v>
      </c>
      <c r="BB55" s="189">
        <v>368141.99</v>
      </c>
      <c r="BC55" s="189">
        <v>920</v>
      </c>
      <c r="BD55" s="189">
        <v>0</v>
      </c>
      <c r="BE55" s="189">
        <v>0</v>
      </c>
      <c r="BF55" s="189">
        <v>8002.23</v>
      </c>
      <c r="BG55" s="189">
        <v>0</v>
      </c>
      <c r="BH55" s="189">
        <v>0</v>
      </c>
      <c r="BI55" s="189">
        <v>0</v>
      </c>
      <c r="BJ55" s="189">
        <v>0</v>
      </c>
      <c r="BK55" s="189">
        <v>0</v>
      </c>
      <c r="BL55" s="189">
        <v>0</v>
      </c>
      <c r="BM55" s="189">
        <v>0</v>
      </c>
      <c r="BN55" s="189">
        <v>0</v>
      </c>
      <c r="BO55" s="189">
        <v>18406.11</v>
      </c>
      <c r="BP55" s="189">
        <v>460670.22</v>
      </c>
      <c r="BQ55" s="189">
        <v>388726.72</v>
      </c>
      <c r="BR55" s="189">
        <v>11231.14</v>
      </c>
      <c r="BS55" s="189">
        <v>0</v>
      </c>
      <c r="BT55" s="189">
        <v>0</v>
      </c>
      <c r="BU55" s="189">
        <v>0</v>
      </c>
      <c r="BV55" s="189">
        <v>0</v>
      </c>
      <c r="BW55" s="189">
        <v>0</v>
      </c>
    </row>
    <row r="56" spans="1:75">
      <c r="A56" s="189" t="s">
        <v>270</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row>
    <row r="57" spans="1:75">
      <c r="A57" s="189" t="s">
        <v>271</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row>
    <row r="58" spans="1:75">
      <c r="A58" s="189" t="s">
        <v>272</v>
      </c>
      <c r="B58" s="189">
        <v>0</v>
      </c>
      <c r="C58" s="189">
        <v>0</v>
      </c>
      <c r="D58" s="189">
        <v>0</v>
      </c>
      <c r="E58" s="189">
        <v>0</v>
      </c>
      <c r="F58" s="189">
        <v>0</v>
      </c>
      <c r="G58" s="189">
        <v>0</v>
      </c>
      <c r="H58" s="189">
        <v>0</v>
      </c>
      <c r="I58" s="189">
        <v>0</v>
      </c>
      <c r="J58" s="189">
        <v>0</v>
      </c>
      <c r="K58" s="189">
        <v>0</v>
      </c>
      <c r="L58" s="189">
        <v>0</v>
      </c>
      <c r="M58" s="189">
        <v>0</v>
      </c>
      <c r="N58" s="189">
        <v>0</v>
      </c>
      <c r="O58" s="189">
        <v>0</v>
      </c>
      <c r="P58" s="189">
        <v>0</v>
      </c>
      <c r="Q58" s="189">
        <v>0</v>
      </c>
      <c r="R58" s="189">
        <v>0</v>
      </c>
      <c r="S58" s="189">
        <v>0</v>
      </c>
      <c r="T58" s="189">
        <v>0</v>
      </c>
      <c r="U58" s="189">
        <v>0</v>
      </c>
      <c r="V58" s="189">
        <v>0</v>
      </c>
      <c r="W58" s="189">
        <v>0</v>
      </c>
      <c r="X58" s="189">
        <v>0</v>
      </c>
      <c r="Y58" s="189">
        <v>0</v>
      </c>
      <c r="Z58" s="189">
        <v>0</v>
      </c>
      <c r="AA58" s="189">
        <v>0</v>
      </c>
      <c r="AB58" s="189">
        <v>0</v>
      </c>
      <c r="AC58" s="189">
        <v>0</v>
      </c>
      <c r="AD58" s="189">
        <v>0</v>
      </c>
      <c r="AE58" s="189">
        <v>0</v>
      </c>
      <c r="AF58" s="189">
        <v>0</v>
      </c>
      <c r="AG58" s="189">
        <v>0</v>
      </c>
      <c r="AH58" s="189">
        <v>0</v>
      </c>
      <c r="AI58" s="189">
        <v>0</v>
      </c>
      <c r="AJ58" s="189">
        <v>0</v>
      </c>
      <c r="AK58" s="189">
        <v>0</v>
      </c>
      <c r="AL58" s="189">
        <v>0</v>
      </c>
      <c r="AM58" s="189">
        <v>0</v>
      </c>
      <c r="AN58" s="189">
        <v>0</v>
      </c>
      <c r="AO58" s="189">
        <v>0</v>
      </c>
      <c r="AP58" s="189">
        <v>0</v>
      </c>
      <c r="AQ58" s="189">
        <v>0</v>
      </c>
      <c r="AR58" s="189">
        <v>0</v>
      </c>
      <c r="AS58" s="189">
        <v>0</v>
      </c>
      <c r="AT58" s="189">
        <v>0</v>
      </c>
      <c r="AU58" s="189">
        <v>0</v>
      </c>
      <c r="AV58" s="189">
        <v>0</v>
      </c>
      <c r="AW58" s="189">
        <v>0</v>
      </c>
      <c r="AX58" s="189">
        <v>0</v>
      </c>
      <c r="AY58" s="189">
        <v>0</v>
      </c>
      <c r="AZ58" s="189">
        <v>0</v>
      </c>
      <c r="BA58" s="189">
        <v>0</v>
      </c>
      <c r="BB58" s="189">
        <v>0</v>
      </c>
      <c r="BC58" s="189">
        <v>0</v>
      </c>
      <c r="BD58" s="189">
        <v>0</v>
      </c>
      <c r="BE58" s="189">
        <v>0</v>
      </c>
      <c r="BF58" s="189">
        <v>0</v>
      </c>
      <c r="BG58" s="189">
        <v>0</v>
      </c>
      <c r="BH58" s="189">
        <v>0</v>
      </c>
      <c r="BI58" s="189">
        <v>0</v>
      </c>
      <c r="BJ58" s="189">
        <v>0</v>
      </c>
      <c r="BK58" s="189">
        <v>0</v>
      </c>
      <c r="BL58" s="189">
        <v>0</v>
      </c>
      <c r="BM58" s="189">
        <v>0</v>
      </c>
      <c r="BN58" s="189">
        <v>0</v>
      </c>
      <c r="BO58" s="189">
        <v>0</v>
      </c>
      <c r="BP58" s="189">
        <v>0</v>
      </c>
      <c r="BQ58" s="189">
        <v>0</v>
      </c>
      <c r="BR58" s="189">
        <v>0</v>
      </c>
      <c r="BS58" s="189">
        <v>0</v>
      </c>
      <c r="BT58" s="189">
        <v>0</v>
      </c>
      <c r="BU58" s="189">
        <v>0</v>
      </c>
      <c r="BV58" s="189">
        <v>0</v>
      </c>
      <c r="BW58" s="189">
        <v>0</v>
      </c>
    </row>
    <row r="59" spans="1:75">
      <c r="A59" s="189" t="s">
        <v>197</v>
      </c>
      <c r="B59" s="189">
        <v>64981459.399999999</v>
      </c>
      <c r="C59" s="189">
        <v>0</v>
      </c>
      <c r="D59" s="189">
        <v>36560034.700000003</v>
      </c>
      <c r="E59" s="189">
        <v>0</v>
      </c>
      <c r="F59" s="189">
        <v>74549833.390000001</v>
      </c>
      <c r="G59" s="189">
        <v>0</v>
      </c>
      <c r="H59" s="189">
        <v>36337171.310000002</v>
      </c>
      <c r="I59" s="189">
        <v>0</v>
      </c>
      <c r="J59" s="189">
        <v>18030727.260000002</v>
      </c>
      <c r="K59" s="189">
        <v>0</v>
      </c>
      <c r="L59" s="189">
        <v>9580954.8699999992</v>
      </c>
      <c r="M59" s="189">
        <v>0</v>
      </c>
      <c r="N59" s="189">
        <v>15174215.699999999</v>
      </c>
      <c r="O59" s="189">
        <v>0</v>
      </c>
      <c r="P59" s="189">
        <v>7495530.0499999998</v>
      </c>
      <c r="Q59" s="189">
        <v>0</v>
      </c>
      <c r="R59" s="189">
        <v>5016921.66</v>
      </c>
      <c r="S59" s="189">
        <v>0</v>
      </c>
      <c r="T59" s="189">
        <v>849876.37</v>
      </c>
      <c r="U59" s="189">
        <v>0</v>
      </c>
      <c r="V59" s="189">
        <v>476625</v>
      </c>
      <c r="W59" s="189">
        <v>0</v>
      </c>
      <c r="X59" s="189">
        <v>1636018.28</v>
      </c>
      <c r="Y59" s="189">
        <v>0</v>
      </c>
      <c r="Z59" s="189">
        <v>3039937.5</v>
      </c>
      <c r="AA59" s="189">
        <v>0</v>
      </c>
      <c r="AB59" s="189">
        <v>1772506.36</v>
      </c>
      <c r="AC59" s="189">
        <v>754000</v>
      </c>
      <c r="AD59" s="189">
        <v>2750739.62</v>
      </c>
      <c r="AE59" s="189">
        <v>0</v>
      </c>
      <c r="AF59" s="189">
        <v>1630063.33</v>
      </c>
      <c r="AG59" s="189">
        <v>0</v>
      </c>
      <c r="AH59" s="189">
        <v>6378677.1299999999</v>
      </c>
      <c r="AI59" s="189">
        <v>0</v>
      </c>
      <c r="AJ59" s="189">
        <v>2793252.5</v>
      </c>
      <c r="AK59" s="189">
        <v>0</v>
      </c>
      <c r="AL59" s="189">
        <v>13757937.5</v>
      </c>
      <c r="AM59" s="189">
        <v>0</v>
      </c>
      <c r="AN59" s="189">
        <v>8258576.9699999997</v>
      </c>
      <c r="AO59" s="189">
        <v>0</v>
      </c>
      <c r="AP59" s="189">
        <v>24971934.399999999</v>
      </c>
      <c r="AQ59" s="189">
        <v>0</v>
      </c>
      <c r="AR59" s="189">
        <v>12972152.130000001</v>
      </c>
      <c r="AS59" s="189">
        <v>0</v>
      </c>
      <c r="AT59" s="189">
        <v>21752554.84</v>
      </c>
      <c r="AU59" s="189">
        <v>0</v>
      </c>
      <c r="AV59" s="189">
        <v>10414121.92</v>
      </c>
      <c r="AW59" s="189">
        <v>0</v>
      </c>
      <c r="AX59" s="189">
        <v>19198044.34</v>
      </c>
      <c r="AY59" s="189">
        <v>14230906.67</v>
      </c>
      <c r="AZ59" s="189">
        <v>9277812</v>
      </c>
      <c r="BA59" s="189">
        <v>4624714.33</v>
      </c>
      <c r="BB59" s="189">
        <v>19286223.210000001</v>
      </c>
      <c r="BC59" s="189">
        <v>14277285.83</v>
      </c>
      <c r="BD59" s="189">
        <v>9584103.0800000001</v>
      </c>
      <c r="BE59" s="189">
        <v>4853712.33</v>
      </c>
      <c r="BF59" s="189">
        <v>22569774.920000002</v>
      </c>
      <c r="BG59" s="189">
        <v>17097178.109999999</v>
      </c>
      <c r="BH59" s="189">
        <v>11962521.210000001</v>
      </c>
      <c r="BI59" s="189">
        <v>5652934.3399999999</v>
      </c>
      <c r="BJ59" s="189">
        <v>27213016.140000001</v>
      </c>
      <c r="BK59" s="189">
        <v>22407857.199999999</v>
      </c>
      <c r="BL59" s="189">
        <v>14802997.109999999</v>
      </c>
      <c r="BM59" s="189">
        <v>8645663.3200000003</v>
      </c>
      <c r="BN59" s="189">
        <v>29146478.309999999</v>
      </c>
      <c r="BO59" s="189">
        <v>13801427.220000001</v>
      </c>
      <c r="BP59" s="189">
        <v>28479582.969999999</v>
      </c>
      <c r="BQ59" s="189">
        <v>12836085.66</v>
      </c>
      <c r="BR59" s="189">
        <v>26061779.699999999</v>
      </c>
      <c r="BS59" s="189">
        <v>12759034.49</v>
      </c>
      <c r="BT59" s="189">
        <v>21672424.699999999</v>
      </c>
      <c r="BU59" s="189">
        <v>24380904.510000002</v>
      </c>
      <c r="BV59" s="189">
        <v>11280993.73</v>
      </c>
      <c r="BW59" s="189">
        <v>0</v>
      </c>
    </row>
    <row r="60" spans="1:75">
      <c r="A60" s="189" t="s">
        <v>273</v>
      </c>
      <c r="B60" s="189">
        <v>-1846187716.4200001</v>
      </c>
      <c r="C60" s="189">
        <v>0</v>
      </c>
      <c r="D60" s="189">
        <v>0</v>
      </c>
      <c r="E60" s="189">
        <v>0</v>
      </c>
      <c r="F60" s="189">
        <v>0</v>
      </c>
      <c r="G60" s="189">
        <v>0</v>
      </c>
      <c r="H60" s="189">
        <v>0</v>
      </c>
      <c r="I60" s="189">
        <v>0</v>
      </c>
      <c r="J60" s="189">
        <v>0</v>
      </c>
      <c r="K60" s="189">
        <v>0</v>
      </c>
      <c r="L60" s="189">
        <v>0</v>
      </c>
      <c r="M60" s="189">
        <v>0</v>
      </c>
      <c r="N60" s="189">
        <v>-955750</v>
      </c>
      <c r="O60" s="189">
        <v>0</v>
      </c>
      <c r="P60" s="189">
        <v>0</v>
      </c>
      <c r="Q60" s="189">
        <v>0</v>
      </c>
      <c r="R60" s="189">
        <v>-4829200</v>
      </c>
      <c r="S60" s="189">
        <v>0</v>
      </c>
      <c r="T60" s="189">
        <v>0</v>
      </c>
      <c r="U60" s="189">
        <v>0</v>
      </c>
      <c r="V60" s="189">
        <v>-625000</v>
      </c>
      <c r="W60" s="189">
        <v>0</v>
      </c>
      <c r="X60" s="189">
        <v>0</v>
      </c>
      <c r="Y60" s="189">
        <v>0</v>
      </c>
      <c r="Z60" s="189">
        <v>-3750000</v>
      </c>
      <c r="AA60" s="189">
        <v>0</v>
      </c>
      <c r="AB60" s="189">
        <v>0</v>
      </c>
      <c r="AC60" s="189">
        <v>0</v>
      </c>
      <c r="AD60" s="189">
        <v>0</v>
      </c>
      <c r="AE60" s="189">
        <v>0</v>
      </c>
      <c r="AF60" s="189">
        <v>0</v>
      </c>
      <c r="AG60" s="189">
        <v>0</v>
      </c>
      <c r="AH60" s="189">
        <v>-5367333.3499999996</v>
      </c>
      <c r="AI60" s="189">
        <v>0</v>
      </c>
      <c r="AJ60" s="189">
        <v>-5108833.7</v>
      </c>
      <c r="AK60" s="189">
        <v>0</v>
      </c>
      <c r="AL60" s="189">
        <v>257351.65</v>
      </c>
      <c r="AM60" s="189">
        <v>0</v>
      </c>
      <c r="AN60" s="189">
        <v>-603902.77</v>
      </c>
      <c r="AO60" s="189">
        <v>0</v>
      </c>
      <c r="AP60" s="189">
        <v>-14236997.41</v>
      </c>
      <c r="AQ60" s="189">
        <v>0</v>
      </c>
      <c r="AR60" s="189">
        <v>-15597802.74</v>
      </c>
      <c r="AS60" s="189">
        <v>0</v>
      </c>
      <c r="AT60" s="189">
        <v>-6078444.2599999998</v>
      </c>
      <c r="AU60" s="189">
        <v>0</v>
      </c>
      <c r="AV60" s="189">
        <v>-1082858.17</v>
      </c>
      <c r="AW60" s="189">
        <v>0</v>
      </c>
      <c r="AX60" s="189">
        <v>-2473905.91</v>
      </c>
      <c r="AY60" s="189">
        <v>-61418.26</v>
      </c>
      <c r="AZ60" s="189">
        <v>-380039.99</v>
      </c>
      <c r="BA60" s="189">
        <v>1546402.37</v>
      </c>
      <c r="BB60" s="189">
        <v>811144.49</v>
      </c>
      <c r="BC60" s="189">
        <v>2006478.82</v>
      </c>
      <c r="BD60" s="189">
        <v>440429.37</v>
      </c>
      <c r="BE60" s="189">
        <v>1247584.1100000001</v>
      </c>
      <c r="BF60" s="189">
        <v>3967561.42</v>
      </c>
      <c r="BG60" s="189">
        <v>261312.94</v>
      </c>
      <c r="BH60" s="189">
        <v>-173901.5</v>
      </c>
      <c r="BI60" s="189">
        <v>-135884.13</v>
      </c>
      <c r="BJ60" s="189">
        <v>-586554.26</v>
      </c>
      <c r="BK60" s="189">
        <v>-885635.35</v>
      </c>
      <c r="BL60" s="189">
        <v>-870605.37</v>
      </c>
      <c r="BM60" s="189">
        <v>-542065.75</v>
      </c>
      <c r="BN60" s="189">
        <v>17215676.059999999</v>
      </c>
      <c r="BO60" s="189">
        <v>2189005.8199999998</v>
      </c>
      <c r="BP60" s="189">
        <v>3705459.53</v>
      </c>
      <c r="BQ60" s="189">
        <v>0</v>
      </c>
      <c r="BR60" s="189">
        <v>-3922226.1</v>
      </c>
      <c r="BS60" s="189">
        <v>-3254912.3</v>
      </c>
      <c r="BT60" s="189">
        <v>3250510.98</v>
      </c>
      <c r="BU60" s="189">
        <v>2745614.49</v>
      </c>
      <c r="BV60" s="189">
        <v>0</v>
      </c>
      <c r="BW60" s="189">
        <v>0</v>
      </c>
    </row>
    <row r="61" spans="1:75">
      <c r="A61" s="189" t="s">
        <v>274</v>
      </c>
      <c r="B61" s="189">
        <v>-3934032.64</v>
      </c>
      <c r="C61" s="189">
        <v>0</v>
      </c>
      <c r="D61" s="189">
        <v>-719411.24</v>
      </c>
      <c r="E61" s="189">
        <v>0</v>
      </c>
      <c r="F61" s="189">
        <v>-20442044.920000002</v>
      </c>
      <c r="G61" s="189">
        <v>0</v>
      </c>
      <c r="H61" s="189">
        <v>-2447.5</v>
      </c>
      <c r="I61" s="189">
        <v>0</v>
      </c>
      <c r="J61" s="189">
        <v>633989.85</v>
      </c>
      <c r="K61" s="189">
        <v>0</v>
      </c>
      <c r="L61" s="189">
        <v>-59018.37</v>
      </c>
      <c r="M61" s="189">
        <v>0</v>
      </c>
      <c r="N61" s="189">
        <v>-294642.21999999997</v>
      </c>
      <c r="O61" s="189">
        <v>0</v>
      </c>
      <c r="P61" s="189">
        <v>-1694010.27</v>
      </c>
      <c r="Q61" s="189">
        <v>0</v>
      </c>
      <c r="R61" s="189">
        <v>579734.97</v>
      </c>
      <c r="S61" s="189">
        <v>0</v>
      </c>
      <c r="T61" s="189">
        <v>0</v>
      </c>
      <c r="U61" s="189">
        <v>0</v>
      </c>
      <c r="V61" s="189">
        <v>-188326</v>
      </c>
      <c r="W61" s="189">
        <v>0</v>
      </c>
      <c r="X61" s="189">
        <v>0</v>
      </c>
      <c r="Y61" s="189">
        <v>0</v>
      </c>
      <c r="Z61" s="189">
        <v>-475039.22</v>
      </c>
      <c r="AA61" s="189">
        <v>0</v>
      </c>
      <c r="AB61" s="189">
        <v>0</v>
      </c>
      <c r="AC61" s="189">
        <v>-82322.820000000007</v>
      </c>
      <c r="AD61" s="189">
        <v>126846.48</v>
      </c>
      <c r="AE61" s="189">
        <v>0</v>
      </c>
      <c r="AF61" s="189">
        <v>0</v>
      </c>
      <c r="AG61" s="189">
        <v>0</v>
      </c>
      <c r="AH61" s="189">
        <v>-429438.61</v>
      </c>
      <c r="AI61" s="189">
        <v>0</v>
      </c>
      <c r="AJ61" s="189">
        <v>0</v>
      </c>
      <c r="AK61" s="189">
        <v>0</v>
      </c>
      <c r="AL61" s="189">
        <v>1391187.77</v>
      </c>
      <c r="AM61" s="189">
        <v>0</v>
      </c>
      <c r="AN61" s="189">
        <v>0</v>
      </c>
      <c r="AO61" s="189">
        <v>0</v>
      </c>
      <c r="AP61" s="189">
        <v>-121150.85</v>
      </c>
      <c r="AQ61" s="189">
        <v>0</v>
      </c>
      <c r="AR61" s="189">
        <v>0</v>
      </c>
      <c r="AS61" s="189">
        <v>0</v>
      </c>
      <c r="AT61" s="189">
        <v>490803.53</v>
      </c>
      <c r="AU61" s="189">
        <v>0</v>
      </c>
      <c r="AV61" s="189">
        <v>-1340655.74</v>
      </c>
      <c r="AW61" s="189">
        <v>0</v>
      </c>
      <c r="AX61" s="189">
        <v>0</v>
      </c>
      <c r="AY61" s="189">
        <v>0</v>
      </c>
      <c r="AZ61" s="189">
        <v>0</v>
      </c>
      <c r="BA61" s="189">
        <v>0</v>
      </c>
      <c r="BB61" s="189">
        <v>0</v>
      </c>
      <c r="BC61" s="189">
        <v>0</v>
      </c>
      <c r="BD61" s="189">
        <v>0</v>
      </c>
      <c r="BE61" s="189">
        <v>0</v>
      </c>
      <c r="BF61" s="189">
        <v>0</v>
      </c>
      <c r="BG61" s="189">
        <v>0</v>
      </c>
      <c r="BH61" s="189">
        <v>0</v>
      </c>
      <c r="BI61" s="189">
        <v>0</v>
      </c>
      <c r="BJ61" s="189">
        <v>0</v>
      </c>
      <c r="BK61" s="189">
        <v>0</v>
      </c>
      <c r="BL61" s="189">
        <v>0</v>
      </c>
      <c r="BM61" s="189">
        <v>0</v>
      </c>
      <c r="BN61" s="189">
        <v>0</v>
      </c>
      <c r="BO61" s="189">
        <v>0</v>
      </c>
      <c r="BP61" s="189">
        <v>0</v>
      </c>
      <c r="BQ61" s="189">
        <v>0</v>
      </c>
      <c r="BR61" s="189">
        <v>0</v>
      </c>
      <c r="BS61" s="189">
        <v>0</v>
      </c>
      <c r="BT61" s="189">
        <v>0</v>
      </c>
      <c r="BU61" s="189">
        <v>0</v>
      </c>
      <c r="BV61" s="189">
        <v>0</v>
      </c>
      <c r="BW61" s="189">
        <v>0</v>
      </c>
    </row>
    <row r="62" spans="1:75">
      <c r="A62" s="189" t="s">
        <v>275</v>
      </c>
      <c r="B62" s="189">
        <v>33998569.719999999</v>
      </c>
      <c r="C62" s="189">
        <v>0</v>
      </c>
      <c r="D62" s="189">
        <v>0</v>
      </c>
      <c r="E62" s="189">
        <v>0</v>
      </c>
      <c r="F62" s="189">
        <v>0</v>
      </c>
      <c r="G62" s="189">
        <v>0</v>
      </c>
      <c r="H62" s="189">
        <v>0</v>
      </c>
      <c r="I62" s="189">
        <v>0</v>
      </c>
      <c r="J62" s="189">
        <v>0</v>
      </c>
      <c r="K62" s="189">
        <v>0</v>
      </c>
      <c r="L62" s="189">
        <v>0</v>
      </c>
      <c r="M62" s="189">
        <v>0</v>
      </c>
      <c r="N62" s="189">
        <v>0</v>
      </c>
      <c r="O62" s="189">
        <v>0</v>
      </c>
      <c r="P62" s="189">
        <v>0</v>
      </c>
      <c r="Q62" s="189">
        <v>0</v>
      </c>
      <c r="R62" s="189">
        <v>0</v>
      </c>
      <c r="S62" s="189">
        <v>0</v>
      </c>
      <c r="T62" s="189">
        <v>0</v>
      </c>
      <c r="U62" s="189">
        <v>0</v>
      </c>
      <c r="V62" s="189">
        <v>0</v>
      </c>
      <c r="W62" s="189">
        <v>0</v>
      </c>
      <c r="X62" s="189">
        <v>0</v>
      </c>
      <c r="Y62" s="189">
        <v>0</v>
      </c>
      <c r="Z62" s="189">
        <v>0</v>
      </c>
      <c r="AA62" s="189">
        <v>0</v>
      </c>
      <c r="AB62" s="189">
        <v>0</v>
      </c>
      <c r="AC62" s="189">
        <v>0</v>
      </c>
      <c r="AD62" s="189">
        <v>0</v>
      </c>
      <c r="AE62" s="189">
        <v>0</v>
      </c>
      <c r="AF62" s="189">
        <v>0</v>
      </c>
      <c r="AG62" s="189">
        <v>0</v>
      </c>
      <c r="AH62" s="189">
        <v>0</v>
      </c>
      <c r="AI62" s="189">
        <v>0</v>
      </c>
      <c r="AJ62" s="189">
        <v>0</v>
      </c>
      <c r="AK62" s="189">
        <v>0</v>
      </c>
      <c r="AL62" s="189">
        <v>0</v>
      </c>
      <c r="AM62" s="189">
        <v>0</v>
      </c>
      <c r="AN62" s="189">
        <v>0</v>
      </c>
      <c r="AO62" s="189">
        <v>0</v>
      </c>
      <c r="AP62" s="189">
        <v>0</v>
      </c>
      <c r="AQ62" s="189">
        <v>0</v>
      </c>
      <c r="AR62" s="189">
        <v>0</v>
      </c>
      <c r="AS62" s="189">
        <v>0</v>
      </c>
      <c r="AT62" s="189">
        <v>0</v>
      </c>
      <c r="AU62" s="189">
        <v>0</v>
      </c>
      <c r="AV62" s="189">
        <v>0</v>
      </c>
      <c r="AW62" s="189">
        <v>0</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-82118.34</v>
      </c>
      <c r="BM62" s="189">
        <v>0</v>
      </c>
      <c r="BN62" s="189">
        <v>0</v>
      </c>
      <c r="BO62" s="189">
        <v>-101301.03</v>
      </c>
      <c r="BP62" s="189">
        <v>-158990.51999999999</v>
      </c>
      <c r="BQ62" s="189">
        <v>0</v>
      </c>
      <c r="BR62" s="189">
        <v>0</v>
      </c>
      <c r="BS62" s="189">
        <v>0</v>
      </c>
      <c r="BT62" s="189">
        <v>0</v>
      </c>
      <c r="BU62" s="189">
        <v>0</v>
      </c>
      <c r="BV62" s="189">
        <v>0</v>
      </c>
      <c r="BW62" s="189">
        <v>0</v>
      </c>
    </row>
    <row r="63" spans="1:75">
      <c r="A63" s="189" t="s">
        <v>276</v>
      </c>
      <c r="B63" s="189">
        <v>-292110293.51999998</v>
      </c>
      <c r="C63" s="189">
        <v>0</v>
      </c>
      <c r="D63" s="189">
        <v>-96714553.329999998</v>
      </c>
      <c r="E63" s="189">
        <v>0</v>
      </c>
      <c r="F63" s="189">
        <v>-383468739.22000003</v>
      </c>
      <c r="G63" s="189">
        <v>0</v>
      </c>
      <c r="H63" s="189">
        <v>-73761250.049999997</v>
      </c>
      <c r="I63" s="189">
        <v>0</v>
      </c>
      <c r="J63" s="189">
        <v>-413706399.63999999</v>
      </c>
      <c r="K63" s="189">
        <v>0</v>
      </c>
      <c r="L63" s="189">
        <v>-162570699.03</v>
      </c>
      <c r="M63" s="189">
        <v>0</v>
      </c>
      <c r="N63" s="189">
        <v>-195530359.99000001</v>
      </c>
      <c r="O63" s="189">
        <v>0</v>
      </c>
      <c r="P63" s="189">
        <v>-85089766.379999995</v>
      </c>
      <c r="Q63" s="189">
        <v>0</v>
      </c>
      <c r="R63" s="189">
        <v>-147135898.52000001</v>
      </c>
      <c r="S63" s="189">
        <v>0</v>
      </c>
      <c r="T63" s="189">
        <v>-36156475.659999996</v>
      </c>
      <c r="U63" s="189">
        <v>0</v>
      </c>
      <c r="V63" s="189">
        <v>-44983050.869999997</v>
      </c>
      <c r="W63" s="189">
        <v>0</v>
      </c>
      <c r="X63" s="189">
        <v>-10188463.52</v>
      </c>
      <c r="Y63" s="189">
        <v>0</v>
      </c>
      <c r="Z63" s="189">
        <v>-28027626.920000002</v>
      </c>
      <c r="AA63" s="189">
        <v>0</v>
      </c>
      <c r="AB63" s="189">
        <v>-10436858.390000001</v>
      </c>
      <c r="AC63" s="189">
        <v>4006609.41</v>
      </c>
      <c r="AD63" s="189">
        <v>-42945772.670000002</v>
      </c>
      <c r="AE63" s="189">
        <v>0</v>
      </c>
      <c r="AF63" s="189">
        <v>2326022.83</v>
      </c>
      <c r="AG63" s="189">
        <v>0</v>
      </c>
      <c r="AH63" s="189">
        <v>-24453727.460000001</v>
      </c>
      <c r="AI63" s="189">
        <v>0</v>
      </c>
      <c r="AJ63" s="189">
        <v>-3095131.32</v>
      </c>
      <c r="AK63" s="189">
        <v>0</v>
      </c>
      <c r="AL63" s="189">
        <v>1207567.58</v>
      </c>
      <c r="AM63" s="189">
        <v>0</v>
      </c>
      <c r="AN63" s="189">
        <v>5478850.5099999998</v>
      </c>
      <c r="AO63" s="189">
        <v>0</v>
      </c>
      <c r="AP63" s="189">
        <v>-14396068.85</v>
      </c>
      <c r="AQ63" s="189">
        <v>0</v>
      </c>
      <c r="AR63" s="189">
        <v>-4842837.7300000004</v>
      </c>
      <c r="AS63" s="189">
        <v>0</v>
      </c>
      <c r="AT63" s="189">
        <v>-7179150.7199999997</v>
      </c>
      <c r="AU63" s="189">
        <v>0</v>
      </c>
      <c r="AV63" s="189">
        <v>3114126.39</v>
      </c>
      <c r="AW63" s="189">
        <v>0</v>
      </c>
      <c r="AX63" s="189">
        <v>-1843953.07</v>
      </c>
      <c r="AY63" s="189">
        <v>-1520376.07</v>
      </c>
      <c r="AZ63" s="189">
        <v>-1506945.61</v>
      </c>
      <c r="BA63" s="189">
        <v>-2179320.79</v>
      </c>
      <c r="BB63" s="189">
        <v>-3443500.41</v>
      </c>
      <c r="BC63" s="189">
        <v>22168836.09</v>
      </c>
      <c r="BD63" s="189">
        <v>31322450.870000001</v>
      </c>
      <c r="BE63" s="189">
        <v>16198113.26</v>
      </c>
      <c r="BF63" s="189">
        <v>-32987569.039999999</v>
      </c>
      <c r="BG63" s="189">
        <v>36018110.009999998</v>
      </c>
      <c r="BH63" s="189">
        <v>20581948.289999999</v>
      </c>
      <c r="BI63" s="189">
        <v>5327530.6500000004</v>
      </c>
      <c r="BJ63" s="189">
        <v>7139022.9400000004</v>
      </c>
      <c r="BK63" s="189">
        <v>42475898.990000002</v>
      </c>
      <c r="BL63" s="189">
        <v>-3192222.55</v>
      </c>
      <c r="BM63" s="189">
        <v>112971832.15000001</v>
      </c>
      <c r="BN63" s="189">
        <v>77329880.689999998</v>
      </c>
      <c r="BO63" s="189">
        <v>123060094.59</v>
      </c>
      <c r="BP63" s="189">
        <v>-83324757.730000004</v>
      </c>
      <c r="BQ63" s="189">
        <v>62716193.280000001</v>
      </c>
      <c r="BR63" s="189">
        <v>56807892.82</v>
      </c>
      <c r="BS63" s="189">
        <v>175096934.05000001</v>
      </c>
      <c r="BT63" s="189">
        <v>-195370081.15000001</v>
      </c>
      <c r="BU63" s="189">
        <v>22485984.629999999</v>
      </c>
      <c r="BV63" s="189">
        <v>6663049.1600000001</v>
      </c>
      <c r="BW63" s="189">
        <v>0</v>
      </c>
    </row>
    <row r="64" spans="1:75">
      <c r="A64" s="189" t="s">
        <v>277</v>
      </c>
      <c r="B64" s="189">
        <v>-18728155.829999998</v>
      </c>
      <c r="C64" s="189">
        <v>0</v>
      </c>
      <c r="D64" s="189">
        <v>-161001124</v>
      </c>
      <c r="E64" s="189">
        <v>0</v>
      </c>
      <c r="F64" s="189">
        <v>-24112723.93</v>
      </c>
      <c r="G64" s="189">
        <v>0</v>
      </c>
      <c r="H64" s="189">
        <v>-244165861.41999999</v>
      </c>
      <c r="I64" s="189">
        <v>0</v>
      </c>
      <c r="J64" s="189">
        <v>8808093.6999999993</v>
      </c>
      <c r="K64" s="189">
        <v>0</v>
      </c>
      <c r="L64" s="189">
        <v>1137007.72</v>
      </c>
      <c r="M64" s="189">
        <v>0</v>
      </c>
      <c r="N64" s="189">
        <v>-6887132.7999999998</v>
      </c>
      <c r="O64" s="189">
        <v>0</v>
      </c>
      <c r="P64" s="189">
        <v>-3947588.67</v>
      </c>
      <c r="Q64" s="189">
        <v>0</v>
      </c>
      <c r="R64" s="189">
        <v>9474889.3599999994</v>
      </c>
      <c r="S64" s="189">
        <v>0</v>
      </c>
      <c r="T64" s="189">
        <v>2434550.61</v>
      </c>
      <c r="U64" s="189">
        <v>0</v>
      </c>
      <c r="V64" s="189">
        <v>-14105480.58</v>
      </c>
      <c r="W64" s="189">
        <v>0</v>
      </c>
      <c r="X64" s="189">
        <v>-38109516.030000001</v>
      </c>
      <c r="Y64" s="189">
        <v>0</v>
      </c>
      <c r="Z64" s="189">
        <v>-12404685.880000001</v>
      </c>
      <c r="AA64" s="189">
        <v>0</v>
      </c>
      <c r="AB64" s="189">
        <v>-3858018.42</v>
      </c>
      <c r="AC64" s="189">
        <v>-7216580.7000000002</v>
      </c>
      <c r="AD64" s="189">
        <v>-5584449.8399999999</v>
      </c>
      <c r="AE64" s="189">
        <v>0</v>
      </c>
      <c r="AF64" s="189">
        <v>-18776158.879999999</v>
      </c>
      <c r="AG64" s="189">
        <v>0</v>
      </c>
      <c r="AH64" s="189">
        <v>-5401347.8200000003</v>
      </c>
      <c r="AI64" s="189">
        <v>0</v>
      </c>
      <c r="AJ64" s="189">
        <v>-621280.61</v>
      </c>
      <c r="AK64" s="189">
        <v>0</v>
      </c>
      <c r="AL64" s="189">
        <v>7037764.1100000003</v>
      </c>
      <c r="AM64" s="189">
        <v>0</v>
      </c>
      <c r="AN64" s="189">
        <v>-646416.19999999995</v>
      </c>
      <c r="AO64" s="189">
        <v>0</v>
      </c>
      <c r="AP64" s="189">
        <v>6718107.0300000003</v>
      </c>
      <c r="AQ64" s="189">
        <v>0</v>
      </c>
      <c r="AR64" s="189">
        <v>-4387758.96</v>
      </c>
      <c r="AS64" s="189">
        <v>0</v>
      </c>
      <c r="AT64" s="189">
        <v>39549111.549999997</v>
      </c>
      <c r="AU64" s="189">
        <v>0</v>
      </c>
      <c r="AV64" s="189">
        <v>5762277.5599999996</v>
      </c>
      <c r="AW64" s="189">
        <v>0</v>
      </c>
      <c r="AX64" s="189">
        <v>2598804.29</v>
      </c>
      <c r="AY64" s="189">
        <v>-15992483.91</v>
      </c>
      <c r="AZ64" s="189">
        <v>17541276.09</v>
      </c>
      <c r="BA64" s="189">
        <v>15950691.369999999</v>
      </c>
      <c r="BB64" s="189">
        <v>29816313.41</v>
      </c>
      <c r="BC64" s="189">
        <v>-19393194.239999998</v>
      </c>
      <c r="BD64" s="189">
        <v>-44176972.079999998</v>
      </c>
      <c r="BE64" s="189">
        <v>4909374.3</v>
      </c>
      <c r="BF64" s="189">
        <v>78226358.370000005</v>
      </c>
      <c r="BG64" s="189">
        <v>-2369011.48</v>
      </c>
      <c r="BH64" s="189">
        <v>-7042674.8899999997</v>
      </c>
      <c r="BI64" s="189">
        <v>4402296.42</v>
      </c>
      <c r="BJ64" s="189">
        <v>3856253.17</v>
      </c>
      <c r="BK64" s="189">
        <v>23308366.690000001</v>
      </c>
      <c r="BL64" s="189">
        <v>2284309.2999999998</v>
      </c>
      <c r="BM64" s="189">
        <v>-25680565.949999999</v>
      </c>
      <c r="BN64" s="189">
        <v>-30743455.09</v>
      </c>
      <c r="BO64" s="189">
        <v>12670512.32</v>
      </c>
      <c r="BP64" s="189">
        <v>26269432.149999999</v>
      </c>
      <c r="BQ64" s="189">
        <v>7009330.7699999996</v>
      </c>
      <c r="BR64" s="189">
        <v>-30199240.75</v>
      </c>
      <c r="BS64" s="189">
        <v>-19785044.879999999</v>
      </c>
      <c r="BT64" s="189">
        <v>-30732879.52</v>
      </c>
      <c r="BU64" s="189">
        <v>6821113.6500000004</v>
      </c>
      <c r="BV64" s="189">
        <v>10665970.460000001</v>
      </c>
      <c r="BW64" s="189">
        <v>0</v>
      </c>
    </row>
    <row r="65" spans="1:75">
      <c r="A65" s="189" t="s">
        <v>278</v>
      </c>
      <c r="B65" s="189">
        <v>443211558.51999998</v>
      </c>
      <c r="C65" s="189">
        <v>0</v>
      </c>
      <c r="D65" s="189">
        <v>114275603.95999999</v>
      </c>
      <c r="E65" s="189">
        <v>0</v>
      </c>
      <c r="F65" s="189">
        <v>297328458.51999998</v>
      </c>
      <c r="G65" s="189">
        <v>0</v>
      </c>
      <c r="H65" s="189">
        <v>258139043.44999999</v>
      </c>
      <c r="I65" s="189">
        <v>0</v>
      </c>
      <c r="J65" s="189">
        <v>295232430.54000002</v>
      </c>
      <c r="K65" s="189">
        <v>0</v>
      </c>
      <c r="L65" s="189">
        <v>-68940528</v>
      </c>
      <c r="M65" s="189">
        <v>0</v>
      </c>
      <c r="N65" s="189">
        <v>-98211695.150000006</v>
      </c>
      <c r="O65" s="189">
        <v>0</v>
      </c>
      <c r="P65" s="189">
        <v>-108193370.8</v>
      </c>
      <c r="Q65" s="189">
        <v>0</v>
      </c>
      <c r="R65" s="189">
        <v>-151978597.18000001</v>
      </c>
      <c r="S65" s="189">
        <v>0</v>
      </c>
      <c r="T65" s="189">
        <v>-157512736.88999999</v>
      </c>
      <c r="U65" s="189">
        <v>0</v>
      </c>
      <c r="V65" s="189">
        <v>-85926547.519999996</v>
      </c>
      <c r="W65" s="189">
        <v>0</v>
      </c>
      <c r="X65" s="189">
        <v>-99106109.819999993</v>
      </c>
      <c r="Y65" s="189">
        <v>0</v>
      </c>
      <c r="Z65" s="189">
        <v>69637422.870000005</v>
      </c>
      <c r="AA65" s="189">
        <v>0</v>
      </c>
      <c r="AB65" s="189">
        <v>-63002841.030000001</v>
      </c>
      <c r="AC65" s="189">
        <v>-10292498.130000001</v>
      </c>
      <c r="AD65" s="189">
        <v>144833682.72999999</v>
      </c>
      <c r="AE65" s="189">
        <v>0</v>
      </c>
      <c r="AF65" s="189">
        <v>-4934645.5599999996</v>
      </c>
      <c r="AG65" s="189">
        <v>0</v>
      </c>
      <c r="AH65" s="189">
        <v>121658513.89</v>
      </c>
      <c r="AI65" s="189">
        <v>0</v>
      </c>
      <c r="AJ65" s="189">
        <v>11724041.119999999</v>
      </c>
      <c r="AK65" s="189">
        <v>0</v>
      </c>
      <c r="AL65" s="189">
        <v>79941564.840000004</v>
      </c>
      <c r="AM65" s="189">
        <v>0</v>
      </c>
      <c r="AN65" s="189">
        <v>-20441963.41</v>
      </c>
      <c r="AO65" s="189">
        <v>0</v>
      </c>
      <c r="AP65" s="189">
        <v>60641520.659999996</v>
      </c>
      <c r="AQ65" s="189">
        <v>0</v>
      </c>
      <c r="AR65" s="189">
        <v>-35894209.100000001</v>
      </c>
      <c r="AS65" s="189">
        <v>0</v>
      </c>
      <c r="AT65" s="189">
        <v>2500195.4700000002</v>
      </c>
      <c r="AU65" s="189">
        <v>0</v>
      </c>
      <c r="AV65" s="189">
        <v>-13188991.68</v>
      </c>
      <c r="AW65" s="189">
        <v>0</v>
      </c>
      <c r="AX65" s="189">
        <v>-15283640.41</v>
      </c>
      <c r="AY65" s="189">
        <v>-18552055.100000001</v>
      </c>
      <c r="AZ65" s="189">
        <v>-39563706.25</v>
      </c>
      <c r="BA65" s="189">
        <v>4139332.48</v>
      </c>
      <c r="BB65" s="189">
        <v>22938830.710000001</v>
      </c>
      <c r="BC65" s="189">
        <v>-16910006.239999998</v>
      </c>
      <c r="BD65" s="189">
        <v>-27923589.030000001</v>
      </c>
      <c r="BE65" s="189">
        <v>10245841.439999999</v>
      </c>
      <c r="BF65" s="189">
        <v>-29522704.059999999</v>
      </c>
      <c r="BG65" s="189">
        <v>-26790094.120000001</v>
      </c>
      <c r="BH65" s="189">
        <v>-12249142.279999999</v>
      </c>
      <c r="BI65" s="189">
        <v>7892009.3399999999</v>
      </c>
      <c r="BJ65" s="189">
        <v>-11555663.93</v>
      </c>
      <c r="BK65" s="189">
        <v>-54675973.009999998</v>
      </c>
      <c r="BL65" s="189">
        <v>2378295.5499999998</v>
      </c>
      <c r="BM65" s="189">
        <v>-58271837</v>
      </c>
      <c r="BN65" s="189">
        <v>-55420157.960000001</v>
      </c>
      <c r="BO65" s="189">
        <v>-138951435.36000001</v>
      </c>
      <c r="BP65" s="189">
        <v>25306590.59</v>
      </c>
      <c r="BQ65" s="189">
        <v>-91254948.049999997</v>
      </c>
      <c r="BR65" s="189">
        <v>-44318020.450000003</v>
      </c>
      <c r="BS65" s="189">
        <v>-175584911.31</v>
      </c>
      <c r="BT65" s="189">
        <v>188513184.21000001</v>
      </c>
      <c r="BU65" s="189">
        <v>-17017854.199999999</v>
      </c>
      <c r="BV65" s="189">
        <v>1339249.52</v>
      </c>
      <c r="BW65" s="189">
        <v>0</v>
      </c>
    </row>
    <row r="66" spans="1:75">
      <c r="A66" s="189" t="s">
        <v>279</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0</v>
      </c>
      <c r="AI66" s="189">
        <v>0</v>
      </c>
      <c r="AJ66" s="189">
        <v>0</v>
      </c>
      <c r="AK66" s="189">
        <v>0</v>
      </c>
      <c r="AL66" s="189">
        <v>0</v>
      </c>
      <c r="AM66" s="189">
        <v>0</v>
      </c>
      <c r="AN66" s="189">
        <v>0</v>
      </c>
      <c r="AO66" s="189">
        <v>0</v>
      </c>
      <c r="AP66" s="189">
        <v>0</v>
      </c>
      <c r="AQ66" s="189">
        <v>0</v>
      </c>
      <c r="AR66" s="189">
        <v>0</v>
      </c>
      <c r="AS66" s="189">
        <v>0</v>
      </c>
      <c r="AT66" s="189">
        <v>0</v>
      </c>
      <c r="AU66" s="189">
        <v>0</v>
      </c>
      <c r="AV66" s="189">
        <v>0</v>
      </c>
      <c r="AW66" s="189">
        <v>0</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row>
    <row r="67" spans="1:75">
      <c r="A67" s="189" t="s">
        <v>280</v>
      </c>
      <c r="B67" s="189">
        <v>0</v>
      </c>
      <c r="C67" s="189">
        <v>0</v>
      </c>
      <c r="D67" s="189">
        <v>0</v>
      </c>
      <c r="E67" s="189">
        <v>0</v>
      </c>
      <c r="F67" s="189">
        <v>0</v>
      </c>
      <c r="G67" s="189">
        <v>0</v>
      </c>
      <c r="H67" s="189">
        <v>0</v>
      </c>
      <c r="I67" s="189">
        <v>0</v>
      </c>
      <c r="J67" s="189">
        <v>0</v>
      </c>
      <c r="K67" s="189">
        <v>0</v>
      </c>
      <c r="L67" s="189">
        <v>0</v>
      </c>
      <c r="M67" s="189">
        <v>0</v>
      </c>
      <c r="N67" s="189">
        <v>0</v>
      </c>
      <c r="O67" s="189">
        <v>0</v>
      </c>
      <c r="P67" s="189">
        <v>0</v>
      </c>
      <c r="Q67" s="189">
        <v>0</v>
      </c>
      <c r="R67" s="189">
        <v>0</v>
      </c>
      <c r="S67" s="189">
        <v>0</v>
      </c>
      <c r="T67" s="189">
        <v>0</v>
      </c>
      <c r="U67" s="189">
        <v>0</v>
      </c>
      <c r="V67" s="189">
        <v>0</v>
      </c>
      <c r="W67" s="189">
        <v>0</v>
      </c>
      <c r="X67" s="189">
        <v>0</v>
      </c>
      <c r="Y67" s="189">
        <v>0</v>
      </c>
      <c r="Z67" s="189">
        <v>0</v>
      </c>
      <c r="AA67" s="189">
        <v>0</v>
      </c>
      <c r="AB67" s="189">
        <v>0</v>
      </c>
      <c r="AC67" s="189">
        <v>0</v>
      </c>
      <c r="AD67" s="189">
        <v>0</v>
      </c>
      <c r="AE67" s="189">
        <v>0</v>
      </c>
      <c r="AF67" s="189">
        <v>0</v>
      </c>
      <c r="AG67" s="189">
        <v>0</v>
      </c>
      <c r="AH67" s="189">
        <v>0</v>
      </c>
      <c r="AI67" s="189">
        <v>0</v>
      </c>
      <c r="AJ67" s="189">
        <v>0</v>
      </c>
      <c r="AK67" s="189">
        <v>0</v>
      </c>
      <c r="AL67" s="189">
        <v>0</v>
      </c>
      <c r="AM67" s="189">
        <v>0</v>
      </c>
      <c r="AN67" s="189">
        <v>0</v>
      </c>
      <c r="AO67" s="189">
        <v>0</v>
      </c>
      <c r="AP67" s="189">
        <v>0</v>
      </c>
      <c r="AQ67" s="189">
        <v>0</v>
      </c>
      <c r="AR67" s="189">
        <v>0</v>
      </c>
      <c r="AS67" s="189">
        <v>0</v>
      </c>
      <c r="AT67" s="189">
        <v>0</v>
      </c>
      <c r="AU67" s="189">
        <v>0</v>
      </c>
      <c r="AV67" s="189">
        <v>0</v>
      </c>
      <c r="AW67" s="189">
        <v>0</v>
      </c>
      <c r="AX67" s="189">
        <v>0</v>
      </c>
      <c r="AY67" s="189">
        <v>0</v>
      </c>
      <c r="AZ67" s="189">
        <v>0</v>
      </c>
      <c r="BA67" s="189">
        <v>0</v>
      </c>
      <c r="BB67" s="189">
        <v>0</v>
      </c>
      <c r="BC67" s="189">
        <v>0</v>
      </c>
      <c r="BD67" s="189">
        <v>0</v>
      </c>
      <c r="BE67" s="189">
        <v>0</v>
      </c>
      <c r="BF67" s="189">
        <v>0</v>
      </c>
      <c r="BG67" s="189">
        <v>0</v>
      </c>
      <c r="BH67" s="189">
        <v>0</v>
      </c>
      <c r="BI67" s="189">
        <v>0</v>
      </c>
      <c r="BJ67" s="189">
        <v>0</v>
      </c>
      <c r="BK67" s="189">
        <v>0</v>
      </c>
      <c r="BL67" s="189">
        <v>0</v>
      </c>
      <c r="BM67" s="189">
        <v>0</v>
      </c>
      <c r="BN67" s="189">
        <v>0</v>
      </c>
      <c r="BO67" s="189">
        <v>0</v>
      </c>
      <c r="BP67" s="189">
        <v>0</v>
      </c>
      <c r="BQ67" s="189">
        <v>0</v>
      </c>
      <c r="BR67" s="189">
        <v>0</v>
      </c>
      <c r="BS67" s="189">
        <v>0</v>
      </c>
      <c r="BT67" s="189">
        <v>0</v>
      </c>
      <c r="BU67" s="189">
        <v>0</v>
      </c>
      <c r="BV67" s="189">
        <v>0</v>
      </c>
      <c r="BW67" s="189">
        <v>0</v>
      </c>
    </row>
    <row r="68" spans="1:75">
      <c r="A68" s="189" t="s">
        <v>281</v>
      </c>
      <c r="B68" s="189">
        <v>0</v>
      </c>
      <c r="C68" s="189">
        <v>0</v>
      </c>
      <c r="D68" s="189">
        <v>0</v>
      </c>
      <c r="E68" s="189">
        <v>0</v>
      </c>
      <c r="F68" s="189">
        <v>0</v>
      </c>
      <c r="G68" s="189">
        <v>0</v>
      </c>
      <c r="H68" s="189">
        <v>11308384.960000001</v>
      </c>
      <c r="I68" s="189">
        <v>0</v>
      </c>
      <c r="J68" s="189">
        <v>0</v>
      </c>
      <c r="K68" s="189">
        <v>0</v>
      </c>
      <c r="L68" s="189">
        <v>0</v>
      </c>
      <c r="M68" s="189">
        <v>0</v>
      </c>
      <c r="N68" s="189">
        <v>0</v>
      </c>
      <c r="O68" s="189">
        <v>0</v>
      </c>
      <c r="P68" s="189">
        <v>0</v>
      </c>
      <c r="Q68" s="189">
        <v>0</v>
      </c>
      <c r="R68" s="189">
        <v>0</v>
      </c>
      <c r="S68" s="189">
        <v>0</v>
      </c>
      <c r="T68" s="189">
        <v>0</v>
      </c>
      <c r="U68" s="189">
        <v>0</v>
      </c>
      <c r="V68" s="189">
        <v>0</v>
      </c>
      <c r="W68" s="189">
        <v>0</v>
      </c>
      <c r="X68" s="189">
        <v>-114836.06</v>
      </c>
      <c r="Y68" s="189">
        <v>0</v>
      </c>
      <c r="Z68" s="189">
        <v>0</v>
      </c>
      <c r="AA68" s="189">
        <v>0</v>
      </c>
      <c r="AB68" s="189">
        <v>-101103.23</v>
      </c>
      <c r="AC68" s="189">
        <v>0</v>
      </c>
      <c r="AD68" s="189">
        <v>0</v>
      </c>
      <c r="AE68" s="189">
        <v>0</v>
      </c>
      <c r="AF68" s="189">
        <v>-101230.51</v>
      </c>
      <c r="AG68" s="189">
        <v>0</v>
      </c>
      <c r="AH68" s="189">
        <v>0</v>
      </c>
      <c r="AI68" s="189">
        <v>0</v>
      </c>
      <c r="AJ68" s="189">
        <v>0</v>
      </c>
      <c r="AK68" s="189">
        <v>0</v>
      </c>
      <c r="AL68" s="189">
        <v>0</v>
      </c>
      <c r="AM68" s="189">
        <v>0</v>
      </c>
      <c r="AN68" s="189">
        <v>0</v>
      </c>
      <c r="AO68" s="189">
        <v>0</v>
      </c>
      <c r="AP68" s="189">
        <v>0</v>
      </c>
      <c r="AQ68" s="189">
        <v>0</v>
      </c>
      <c r="AR68" s="189">
        <v>-909484.96</v>
      </c>
      <c r="AS68" s="189">
        <v>0</v>
      </c>
      <c r="AT68" s="189">
        <v>0</v>
      </c>
      <c r="AU68" s="189">
        <v>0</v>
      </c>
      <c r="AV68" s="189">
        <v>0</v>
      </c>
      <c r="AW68" s="189">
        <v>0</v>
      </c>
      <c r="AX68" s="189">
        <v>0</v>
      </c>
      <c r="AY68" s="189">
        <v>0</v>
      </c>
      <c r="AZ68" s="189">
        <v>0</v>
      </c>
      <c r="BA68" s="189">
        <v>0</v>
      </c>
      <c r="BB68" s="189">
        <v>0</v>
      </c>
      <c r="BC68" s="189">
        <v>0</v>
      </c>
      <c r="BD68" s="189">
        <v>0</v>
      </c>
      <c r="BE68" s="189">
        <v>0</v>
      </c>
      <c r="BF68" s="189">
        <v>0</v>
      </c>
      <c r="BG68" s="189">
        <v>0</v>
      </c>
      <c r="BH68" s="189">
        <v>0</v>
      </c>
      <c r="BI68" s="189">
        <v>0</v>
      </c>
      <c r="BJ68" s="189">
        <v>0</v>
      </c>
      <c r="BK68" s="189">
        <v>0</v>
      </c>
      <c r="BL68" s="189">
        <v>0</v>
      </c>
      <c r="BM68" s="189">
        <v>0</v>
      </c>
      <c r="BN68" s="189">
        <v>0</v>
      </c>
      <c r="BO68" s="189">
        <v>0</v>
      </c>
      <c r="BP68" s="189">
        <v>1503888.6</v>
      </c>
      <c r="BQ68" s="189">
        <v>4842169.16</v>
      </c>
      <c r="BR68" s="189">
        <v>-94528.36</v>
      </c>
      <c r="BS68" s="189">
        <v>5737117.9900000002</v>
      </c>
      <c r="BT68" s="189">
        <v>5521136.7999999998</v>
      </c>
      <c r="BU68" s="189">
        <v>0</v>
      </c>
      <c r="BV68" s="189">
        <v>0</v>
      </c>
      <c r="BW68" s="189">
        <v>0</v>
      </c>
    </row>
    <row r="69" spans="1:75">
      <c r="A69" s="189" t="s">
        <v>282</v>
      </c>
      <c r="B69" s="189">
        <v>128104428.97</v>
      </c>
      <c r="C69" s="189">
        <v>0</v>
      </c>
      <c r="D69" s="189">
        <v>35389314.039999999</v>
      </c>
      <c r="E69" s="189">
        <v>0</v>
      </c>
      <c r="F69" s="189">
        <v>248058176.34999999</v>
      </c>
      <c r="G69" s="189">
        <v>0</v>
      </c>
      <c r="H69" s="189">
        <v>142268625</v>
      </c>
      <c r="I69" s="189">
        <v>0</v>
      </c>
      <c r="J69" s="189">
        <v>35799578.109999999</v>
      </c>
      <c r="K69" s="189">
        <v>0</v>
      </c>
      <c r="L69" s="189">
        <v>-152239637.38</v>
      </c>
      <c r="M69" s="189">
        <v>0</v>
      </c>
      <c r="N69" s="189">
        <v>-131339444.51000001</v>
      </c>
      <c r="O69" s="189">
        <v>0</v>
      </c>
      <c r="P69" s="189">
        <v>-108839924.38</v>
      </c>
      <c r="Q69" s="189">
        <v>0</v>
      </c>
      <c r="R69" s="189">
        <v>-120866925.16</v>
      </c>
      <c r="S69" s="189">
        <v>0</v>
      </c>
      <c r="T69" s="189">
        <v>-103875653.2</v>
      </c>
      <c r="U69" s="189">
        <v>0</v>
      </c>
      <c r="V69" s="189">
        <v>37254049.869999997</v>
      </c>
      <c r="W69" s="189">
        <v>0</v>
      </c>
      <c r="X69" s="189">
        <v>-45407246.549999997</v>
      </c>
      <c r="Y69" s="189">
        <v>0</v>
      </c>
      <c r="Z69" s="189">
        <v>151852794.78999999</v>
      </c>
      <c r="AA69" s="189">
        <v>0</v>
      </c>
      <c r="AB69" s="189">
        <v>-9918579.5700000003</v>
      </c>
      <c r="AC69" s="189">
        <v>29361037.379999999</v>
      </c>
      <c r="AD69" s="189">
        <v>206100171.59999999</v>
      </c>
      <c r="AE69" s="189">
        <v>0</v>
      </c>
      <c r="AF69" s="189">
        <v>39493154.609999999</v>
      </c>
      <c r="AG69" s="189">
        <v>0</v>
      </c>
      <c r="AH69" s="189">
        <v>196156931.56999999</v>
      </c>
      <c r="AI69" s="189">
        <v>0</v>
      </c>
      <c r="AJ69" s="189">
        <v>65377757.979999997</v>
      </c>
      <c r="AK69" s="189">
        <v>0</v>
      </c>
      <c r="AL69" s="189">
        <v>181686870.59999999</v>
      </c>
      <c r="AM69" s="189">
        <v>0</v>
      </c>
      <c r="AN69" s="189">
        <v>32421550.559999999</v>
      </c>
      <c r="AO69" s="189">
        <v>0</v>
      </c>
      <c r="AP69" s="189">
        <v>134513151.40000001</v>
      </c>
      <c r="AQ69" s="189">
        <v>0</v>
      </c>
      <c r="AR69" s="189">
        <v>-5920897.2800000003</v>
      </c>
      <c r="AS69" s="189">
        <v>0</v>
      </c>
      <c r="AT69" s="189">
        <v>114763516.95999999</v>
      </c>
      <c r="AU69" s="189">
        <v>0</v>
      </c>
      <c r="AV69" s="189">
        <v>32586378.050000001</v>
      </c>
      <c r="AW69" s="189">
        <v>0</v>
      </c>
      <c r="AX69" s="189">
        <v>65743775.630000003</v>
      </c>
      <c r="AY69" s="189">
        <v>27061253.879999999</v>
      </c>
      <c r="AZ69" s="189">
        <v>16960544.280000001</v>
      </c>
      <c r="BA69" s="189">
        <v>38864768.850000001</v>
      </c>
      <c r="BB69" s="189">
        <v>130890900.17</v>
      </c>
      <c r="BC69" s="189">
        <v>48726470.82</v>
      </c>
      <c r="BD69" s="189">
        <v>4985636.17</v>
      </c>
      <c r="BE69" s="189">
        <v>58852090.149999999</v>
      </c>
      <c r="BF69" s="189">
        <v>98879708.400000006</v>
      </c>
      <c r="BG69" s="189">
        <v>60521039.539999999</v>
      </c>
      <c r="BH69" s="189">
        <v>39837560.990000002</v>
      </c>
      <c r="BI69" s="189">
        <v>36808318.25</v>
      </c>
      <c r="BJ69" s="189">
        <v>71491451.959999993</v>
      </c>
      <c r="BK69" s="189">
        <v>37050018.390000001</v>
      </c>
      <c r="BL69" s="189">
        <v>19105590.190000001</v>
      </c>
      <c r="BM69" s="189">
        <v>37973883.119999997</v>
      </c>
      <c r="BN69" s="189">
        <v>25134213.100000001</v>
      </c>
      <c r="BO69" s="189">
        <v>18542864.75</v>
      </c>
      <c r="BP69" s="189">
        <v>-3750423.43</v>
      </c>
      <c r="BQ69" s="189">
        <v>13291694.390000001</v>
      </c>
      <c r="BR69" s="189">
        <v>66490108.420000002</v>
      </c>
      <c r="BS69" s="189">
        <v>15528529.779999999</v>
      </c>
      <c r="BT69" s="189">
        <v>45548517.140000001</v>
      </c>
      <c r="BU69" s="189">
        <v>69289211.939999998</v>
      </c>
      <c r="BV69" s="189">
        <v>36142489.840000004</v>
      </c>
      <c r="BW69" s="189">
        <v>0</v>
      </c>
    </row>
    <row r="70" spans="1:75">
      <c r="A70" s="189" t="s">
        <v>283</v>
      </c>
      <c r="B70" s="189">
        <v>0</v>
      </c>
      <c r="C70" s="189">
        <v>0</v>
      </c>
      <c r="D70" s="189">
        <v>0</v>
      </c>
      <c r="E70" s="189">
        <v>0</v>
      </c>
      <c r="F70" s="189">
        <v>0</v>
      </c>
      <c r="G70" s="189">
        <v>0</v>
      </c>
      <c r="H70" s="189">
        <v>0</v>
      </c>
      <c r="I70" s="189">
        <v>0</v>
      </c>
      <c r="J70" s="189">
        <v>0</v>
      </c>
      <c r="K70" s="189">
        <v>0</v>
      </c>
      <c r="L70" s="189">
        <v>0</v>
      </c>
      <c r="M70" s="189">
        <v>0</v>
      </c>
      <c r="N70" s="189">
        <v>0</v>
      </c>
      <c r="O70" s="189">
        <v>0</v>
      </c>
      <c r="P70" s="189">
        <v>0</v>
      </c>
      <c r="Q70" s="189">
        <v>0</v>
      </c>
      <c r="R70" s="189">
        <v>0</v>
      </c>
      <c r="S70" s="189">
        <v>0</v>
      </c>
      <c r="T70" s="189">
        <v>0</v>
      </c>
      <c r="U70" s="189">
        <v>0</v>
      </c>
      <c r="V70" s="189">
        <v>0</v>
      </c>
      <c r="W70" s="189">
        <v>0</v>
      </c>
      <c r="X70" s="189">
        <v>0</v>
      </c>
      <c r="Y70" s="189">
        <v>0</v>
      </c>
      <c r="Z70" s="189">
        <v>0</v>
      </c>
      <c r="AA70" s="189">
        <v>0</v>
      </c>
      <c r="AB70" s="189">
        <v>0</v>
      </c>
      <c r="AC70" s="189">
        <v>0</v>
      </c>
      <c r="AD70" s="189">
        <v>0</v>
      </c>
      <c r="AE70" s="189">
        <v>0</v>
      </c>
      <c r="AF70" s="189">
        <v>0</v>
      </c>
      <c r="AG70" s="189">
        <v>0</v>
      </c>
      <c r="AH70" s="189">
        <v>0</v>
      </c>
      <c r="AI70" s="189">
        <v>0</v>
      </c>
      <c r="AJ70" s="189">
        <v>0</v>
      </c>
      <c r="AK70" s="189">
        <v>0</v>
      </c>
      <c r="AL70" s="189">
        <v>0</v>
      </c>
      <c r="AM70" s="189">
        <v>0</v>
      </c>
      <c r="AN70" s="189">
        <v>0</v>
      </c>
      <c r="AO70" s="189">
        <v>0</v>
      </c>
      <c r="AP70" s="189">
        <v>0</v>
      </c>
      <c r="AQ70" s="189">
        <v>0</v>
      </c>
      <c r="AR70" s="189">
        <v>0</v>
      </c>
      <c r="AS70" s="189">
        <v>0</v>
      </c>
      <c r="AT70" s="189">
        <v>0</v>
      </c>
      <c r="AU70" s="189">
        <v>0</v>
      </c>
      <c r="AV70" s="189">
        <v>0</v>
      </c>
      <c r="AW70" s="189">
        <v>0</v>
      </c>
      <c r="AX70" s="189">
        <v>0</v>
      </c>
      <c r="AY70" s="189">
        <v>0</v>
      </c>
      <c r="AZ70" s="189">
        <v>0</v>
      </c>
      <c r="BA70" s="189">
        <v>0</v>
      </c>
      <c r="BB70" s="189">
        <v>0</v>
      </c>
      <c r="BC70" s="189">
        <v>0</v>
      </c>
      <c r="BD70" s="189">
        <v>0</v>
      </c>
      <c r="BE70" s="189">
        <v>0</v>
      </c>
      <c r="BF70" s="189">
        <v>0</v>
      </c>
      <c r="BG70" s="189">
        <v>0</v>
      </c>
      <c r="BH70" s="189">
        <v>0</v>
      </c>
      <c r="BI70" s="189">
        <v>0</v>
      </c>
      <c r="BJ70" s="189">
        <v>0</v>
      </c>
      <c r="BK70" s="189">
        <v>0</v>
      </c>
      <c r="BL70" s="189">
        <v>0</v>
      </c>
      <c r="BM70" s="189">
        <v>0</v>
      </c>
      <c r="BN70" s="189">
        <v>0</v>
      </c>
      <c r="BO70" s="189">
        <v>0</v>
      </c>
      <c r="BP70" s="189">
        <v>0</v>
      </c>
      <c r="BQ70" s="189">
        <v>0</v>
      </c>
      <c r="BR70" s="189">
        <v>0</v>
      </c>
      <c r="BS70" s="189">
        <v>0</v>
      </c>
      <c r="BT70" s="189">
        <v>0</v>
      </c>
      <c r="BU70" s="189">
        <v>0</v>
      </c>
      <c r="BV70" s="189">
        <v>0</v>
      </c>
      <c r="BW70" s="189">
        <v>0</v>
      </c>
    </row>
    <row r="71" spans="1:75">
      <c r="A71" s="189" t="s">
        <v>284</v>
      </c>
      <c r="B71" s="189">
        <v>0</v>
      </c>
      <c r="C71" s="189">
        <v>0</v>
      </c>
      <c r="D71" s="189">
        <v>0</v>
      </c>
      <c r="E71" s="189">
        <v>0</v>
      </c>
      <c r="F71" s="189">
        <v>0</v>
      </c>
      <c r="G71" s="189">
        <v>0</v>
      </c>
      <c r="H71" s="189">
        <v>0</v>
      </c>
      <c r="I71" s="189">
        <v>0</v>
      </c>
      <c r="J71" s="189">
        <v>0</v>
      </c>
      <c r="K71" s="189">
        <v>0</v>
      </c>
      <c r="L71" s="189">
        <v>0</v>
      </c>
      <c r="M71" s="189">
        <v>0</v>
      </c>
      <c r="N71" s="189">
        <v>0</v>
      </c>
      <c r="O71" s="189">
        <v>0</v>
      </c>
      <c r="P71" s="189">
        <v>0</v>
      </c>
      <c r="Q71" s="189">
        <v>0</v>
      </c>
      <c r="R71" s="189">
        <v>0</v>
      </c>
      <c r="S71" s="189">
        <v>0</v>
      </c>
      <c r="T71" s="189">
        <v>0</v>
      </c>
      <c r="U71" s="189">
        <v>0</v>
      </c>
      <c r="V71" s="189">
        <v>0</v>
      </c>
      <c r="W71" s="189">
        <v>0</v>
      </c>
      <c r="X71" s="189">
        <v>0</v>
      </c>
      <c r="Y71" s="189">
        <v>0</v>
      </c>
      <c r="Z71" s="189">
        <v>0</v>
      </c>
      <c r="AA71" s="189">
        <v>0</v>
      </c>
      <c r="AB71" s="189">
        <v>0</v>
      </c>
      <c r="AC71" s="189">
        <v>0</v>
      </c>
      <c r="AD71" s="189">
        <v>0</v>
      </c>
      <c r="AE71" s="189">
        <v>0</v>
      </c>
      <c r="AF71" s="189">
        <v>0</v>
      </c>
      <c r="AG71" s="189">
        <v>0</v>
      </c>
      <c r="AH71" s="189">
        <v>0</v>
      </c>
      <c r="AI71" s="189">
        <v>0</v>
      </c>
      <c r="AJ71" s="189">
        <v>0</v>
      </c>
      <c r="AK71" s="189">
        <v>0</v>
      </c>
      <c r="AL71" s="189">
        <v>0</v>
      </c>
      <c r="AM71" s="189">
        <v>0</v>
      </c>
      <c r="AN71" s="189">
        <v>0</v>
      </c>
      <c r="AO71" s="189">
        <v>0</v>
      </c>
      <c r="AP71" s="189">
        <v>0</v>
      </c>
      <c r="AQ71" s="189">
        <v>0</v>
      </c>
      <c r="AR71" s="189">
        <v>0</v>
      </c>
      <c r="AS71" s="189">
        <v>0</v>
      </c>
      <c r="AT71" s="189">
        <v>0</v>
      </c>
      <c r="AU71" s="189">
        <v>0</v>
      </c>
      <c r="AV71" s="189">
        <v>0</v>
      </c>
      <c r="AW71" s="189">
        <v>0</v>
      </c>
      <c r="AX71" s="189">
        <v>0</v>
      </c>
      <c r="AY71" s="189">
        <v>0</v>
      </c>
      <c r="AZ71" s="189">
        <v>0</v>
      </c>
      <c r="BA71" s="189">
        <v>0</v>
      </c>
      <c r="BB71" s="189">
        <v>0</v>
      </c>
      <c r="BC71" s="189">
        <v>0</v>
      </c>
      <c r="BD71" s="189">
        <v>0</v>
      </c>
      <c r="BE71" s="189">
        <v>0</v>
      </c>
      <c r="BF71" s="189">
        <v>0</v>
      </c>
      <c r="BG71" s="189">
        <v>0</v>
      </c>
      <c r="BH71" s="189">
        <v>0</v>
      </c>
      <c r="BI71" s="189">
        <v>0</v>
      </c>
      <c r="BJ71" s="189">
        <v>0</v>
      </c>
      <c r="BK71" s="189">
        <v>0</v>
      </c>
      <c r="BL71" s="189">
        <v>0</v>
      </c>
      <c r="BM71" s="189">
        <v>0</v>
      </c>
      <c r="BN71" s="189">
        <v>0</v>
      </c>
      <c r="BO71" s="189">
        <v>0</v>
      </c>
      <c r="BP71" s="189">
        <v>0</v>
      </c>
      <c r="BQ71" s="189">
        <v>0</v>
      </c>
      <c r="BR71" s="189">
        <v>0</v>
      </c>
      <c r="BS71" s="189">
        <v>0</v>
      </c>
      <c r="BT71" s="189">
        <v>0</v>
      </c>
      <c r="BU71" s="189">
        <v>0</v>
      </c>
      <c r="BV71" s="189">
        <v>0</v>
      </c>
      <c r="BW71" s="189">
        <v>0</v>
      </c>
    </row>
    <row r="72" spans="1:75">
      <c r="A72" s="189" t="s">
        <v>285</v>
      </c>
      <c r="B72" s="189">
        <v>0</v>
      </c>
      <c r="C72" s="189">
        <v>0</v>
      </c>
      <c r="D72" s="189">
        <v>0</v>
      </c>
      <c r="E72" s="189">
        <v>0</v>
      </c>
      <c r="F72" s="189">
        <v>0</v>
      </c>
      <c r="G72" s="189">
        <v>0</v>
      </c>
      <c r="H72" s="189">
        <v>0</v>
      </c>
      <c r="I72" s="189">
        <v>0</v>
      </c>
      <c r="J72" s="189">
        <v>0</v>
      </c>
      <c r="K72" s="189">
        <v>0</v>
      </c>
      <c r="L72" s="189">
        <v>0</v>
      </c>
      <c r="M72" s="189">
        <v>0</v>
      </c>
      <c r="N72" s="189">
        <v>0</v>
      </c>
      <c r="O72" s="189">
        <v>0</v>
      </c>
      <c r="P72" s="189">
        <v>0</v>
      </c>
      <c r="Q72" s="189">
        <v>0</v>
      </c>
      <c r="R72" s="189">
        <v>0</v>
      </c>
      <c r="S72" s="189">
        <v>0</v>
      </c>
      <c r="T72" s="189">
        <v>0</v>
      </c>
      <c r="U72" s="189">
        <v>0</v>
      </c>
      <c r="V72" s="189">
        <v>0</v>
      </c>
      <c r="W72" s="189">
        <v>0</v>
      </c>
      <c r="X72" s="189">
        <v>0</v>
      </c>
      <c r="Y72" s="189">
        <v>0</v>
      </c>
      <c r="Z72" s="189">
        <v>0</v>
      </c>
      <c r="AA72" s="189">
        <v>0</v>
      </c>
      <c r="AB72" s="189">
        <v>0</v>
      </c>
      <c r="AC72" s="189">
        <v>0</v>
      </c>
      <c r="AD72" s="189">
        <v>0</v>
      </c>
      <c r="AE72" s="189">
        <v>0</v>
      </c>
      <c r="AF72" s="189">
        <v>0</v>
      </c>
      <c r="AG72" s="189">
        <v>0</v>
      </c>
      <c r="AH72" s="189">
        <v>0</v>
      </c>
      <c r="AI72" s="189">
        <v>0</v>
      </c>
      <c r="AJ72" s="189">
        <v>0</v>
      </c>
      <c r="AK72" s="189">
        <v>0</v>
      </c>
      <c r="AL72" s="189">
        <v>0</v>
      </c>
      <c r="AM72" s="189">
        <v>0</v>
      </c>
      <c r="AN72" s="189">
        <v>0</v>
      </c>
      <c r="AO72" s="189">
        <v>0</v>
      </c>
      <c r="AP72" s="189">
        <v>0</v>
      </c>
      <c r="AQ72" s="189">
        <v>0</v>
      </c>
      <c r="AR72" s="189">
        <v>0</v>
      </c>
      <c r="AS72" s="189">
        <v>0</v>
      </c>
      <c r="AT72" s="189">
        <v>0</v>
      </c>
      <c r="AU72" s="189">
        <v>0</v>
      </c>
      <c r="AV72" s="189">
        <v>0</v>
      </c>
      <c r="AW72" s="189">
        <v>0</v>
      </c>
      <c r="AX72" s="189">
        <v>0</v>
      </c>
      <c r="AY72" s="189">
        <v>0</v>
      </c>
      <c r="AZ72" s="189">
        <v>0</v>
      </c>
      <c r="BA72" s="189">
        <v>0</v>
      </c>
      <c r="BB72" s="189">
        <v>0</v>
      </c>
      <c r="BC72" s="189">
        <v>0</v>
      </c>
      <c r="BD72" s="189">
        <v>0</v>
      </c>
      <c r="BE72" s="189">
        <v>0</v>
      </c>
      <c r="BF72" s="189">
        <v>0</v>
      </c>
      <c r="BG72" s="189">
        <v>0</v>
      </c>
      <c r="BH72" s="189">
        <v>0</v>
      </c>
      <c r="BI72" s="189">
        <v>0</v>
      </c>
      <c r="BJ72" s="189">
        <v>0</v>
      </c>
      <c r="BK72" s="189">
        <v>0</v>
      </c>
      <c r="BL72" s="189">
        <v>0</v>
      </c>
      <c r="BM72" s="189">
        <v>0</v>
      </c>
      <c r="BN72" s="189">
        <v>0</v>
      </c>
      <c r="BO72" s="189">
        <v>0</v>
      </c>
      <c r="BP72" s="189">
        <v>0</v>
      </c>
      <c r="BQ72" s="189">
        <v>0</v>
      </c>
      <c r="BR72" s="189">
        <v>0</v>
      </c>
      <c r="BS72" s="189">
        <v>0</v>
      </c>
      <c r="BT72" s="189">
        <v>0</v>
      </c>
      <c r="BU72" s="189">
        <v>0</v>
      </c>
      <c r="BV72" s="189">
        <v>0</v>
      </c>
      <c r="BW72" s="189">
        <v>0</v>
      </c>
    </row>
    <row r="73" spans="1:75">
      <c r="A73" s="189" t="s">
        <v>286</v>
      </c>
      <c r="B73" s="189">
        <v>2145116156.5599999</v>
      </c>
      <c r="C73" s="189">
        <v>0</v>
      </c>
      <c r="D73" s="189">
        <v>546512709.47000003</v>
      </c>
      <c r="E73" s="189">
        <v>0</v>
      </c>
      <c r="F73" s="189">
        <v>564350788.12</v>
      </c>
      <c r="G73" s="189">
        <v>0</v>
      </c>
      <c r="H73" s="189">
        <v>1013146085.6900001</v>
      </c>
      <c r="I73" s="189">
        <v>0</v>
      </c>
      <c r="J73" s="189">
        <v>504368402.76999998</v>
      </c>
      <c r="K73" s="189">
        <v>0</v>
      </c>
      <c r="L73" s="189">
        <v>353935066.51999998</v>
      </c>
      <c r="M73" s="189">
        <v>0</v>
      </c>
      <c r="N73" s="189">
        <v>494802999.23000002</v>
      </c>
      <c r="O73" s="189">
        <v>0</v>
      </c>
      <c r="P73" s="189">
        <v>626103750.58000004</v>
      </c>
      <c r="Q73" s="189">
        <v>0</v>
      </c>
      <c r="R73" s="189">
        <v>555001759.16999996</v>
      </c>
      <c r="S73" s="189">
        <v>0</v>
      </c>
      <c r="T73" s="189">
        <v>498050453.64999998</v>
      </c>
      <c r="U73" s="189">
        <v>0</v>
      </c>
      <c r="V73" s="189">
        <v>545236909.36000001</v>
      </c>
      <c r="W73" s="189">
        <v>0</v>
      </c>
      <c r="X73" s="189">
        <v>513765908.52999997</v>
      </c>
      <c r="Y73" s="189">
        <v>0</v>
      </c>
      <c r="Z73" s="189">
        <v>494398377.69</v>
      </c>
      <c r="AA73" s="189">
        <v>0</v>
      </c>
      <c r="AB73" s="189">
        <v>356480597</v>
      </c>
      <c r="AC73" s="189">
        <v>403303556.31999999</v>
      </c>
      <c r="AD73" s="189">
        <v>379875420.54000002</v>
      </c>
      <c r="AE73" s="189">
        <v>0</v>
      </c>
      <c r="AF73" s="189">
        <v>222222532.72999999</v>
      </c>
      <c r="AG73" s="189">
        <v>219605497.69999999</v>
      </c>
      <c r="AH73" s="189">
        <v>241093108.11000001</v>
      </c>
      <c r="AI73" s="189">
        <v>157189312.25999999</v>
      </c>
      <c r="AJ73" s="189">
        <v>159798398.13</v>
      </c>
      <c r="AK73" s="189">
        <v>162409462.49000001</v>
      </c>
      <c r="AL73" s="189">
        <v>193835336.80000001</v>
      </c>
      <c r="AM73" s="189">
        <v>193710662.37</v>
      </c>
      <c r="AN73" s="189">
        <v>103592052.12</v>
      </c>
      <c r="AO73" s="189">
        <v>189282508.38</v>
      </c>
      <c r="AP73" s="189">
        <v>151439325.88</v>
      </c>
      <c r="AQ73" s="189">
        <v>89182571.659999996</v>
      </c>
      <c r="AR73" s="189">
        <v>99274764.560000002</v>
      </c>
      <c r="AS73" s="189">
        <v>255856157.66</v>
      </c>
      <c r="AT73" s="189">
        <v>182258867.08000001</v>
      </c>
      <c r="AU73" s="189">
        <v>168443373.06</v>
      </c>
      <c r="AV73" s="189">
        <v>154196295</v>
      </c>
      <c r="AW73" s="189">
        <v>153596864</v>
      </c>
      <c r="AX73" s="189">
        <v>137857048.25999999</v>
      </c>
      <c r="AY73" s="189">
        <v>104083187.73</v>
      </c>
      <c r="AZ73" s="189">
        <v>114679741.56999999</v>
      </c>
      <c r="BA73" s="189">
        <v>133739106.03</v>
      </c>
      <c r="BB73" s="189">
        <v>111998447.73</v>
      </c>
      <c r="BC73" s="189">
        <v>56070627.079999998</v>
      </c>
      <c r="BD73" s="189">
        <v>32622918.09</v>
      </c>
      <c r="BE73" s="189">
        <v>94584897.620000005</v>
      </c>
      <c r="BF73" s="189">
        <v>61454766.240000002</v>
      </c>
      <c r="BG73" s="189">
        <v>62006752.829999998</v>
      </c>
      <c r="BH73" s="189">
        <v>32628408.469999999</v>
      </c>
      <c r="BI73" s="189">
        <v>44781047.859999999</v>
      </c>
      <c r="BJ73" s="189">
        <v>42890112.909999996</v>
      </c>
      <c r="BK73" s="189">
        <v>62130508.920000002</v>
      </c>
      <c r="BL73" s="189">
        <v>34604648.25</v>
      </c>
      <c r="BM73" s="189">
        <v>43668661.299999997</v>
      </c>
      <c r="BN73" s="189">
        <v>30210315.129999999</v>
      </c>
      <c r="BO73" s="189">
        <v>38136868.890000001</v>
      </c>
      <c r="BP73" s="189">
        <v>53415243.950000003</v>
      </c>
      <c r="BQ73" s="189">
        <v>109618024.69</v>
      </c>
      <c r="BR73" s="189">
        <v>116708377.73999999</v>
      </c>
      <c r="BS73" s="189">
        <v>35424336.950000003</v>
      </c>
      <c r="BT73" s="189">
        <v>37575646.979999997</v>
      </c>
      <c r="BU73" s="189">
        <v>19469405.809999999</v>
      </c>
      <c r="BV73" s="189">
        <v>15652043.439999999</v>
      </c>
      <c r="BW73" s="189">
        <v>0</v>
      </c>
    </row>
    <row r="74" spans="1:75">
      <c r="A74" s="189" t="s">
        <v>287</v>
      </c>
      <c r="B74" s="189">
        <v>564350788.12</v>
      </c>
      <c r="C74" s="189">
        <v>0</v>
      </c>
      <c r="D74" s="189">
        <v>564350788.12</v>
      </c>
      <c r="E74" s="189">
        <v>0</v>
      </c>
      <c r="F74" s="189">
        <v>588638724.47000003</v>
      </c>
      <c r="G74" s="189">
        <v>0</v>
      </c>
      <c r="H74" s="189">
        <v>588638724.47000003</v>
      </c>
      <c r="I74" s="189">
        <v>0</v>
      </c>
      <c r="J74" s="189">
        <v>494802999.23000002</v>
      </c>
      <c r="K74" s="189">
        <v>0</v>
      </c>
      <c r="L74" s="189">
        <v>494802999.23000002</v>
      </c>
      <c r="M74" s="189">
        <v>0</v>
      </c>
      <c r="N74" s="189">
        <v>555001759.16999996</v>
      </c>
      <c r="O74" s="189">
        <v>0</v>
      </c>
      <c r="P74" s="189">
        <v>555001759.16999996</v>
      </c>
      <c r="Q74" s="189">
        <v>0</v>
      </c>
      <c r="R74" s="189">
        <v>545236909.36000001</v>
      </c>
      <c r="S74" s="189">
        <v>0</v>
      </c>
      <c r="T74" s="189">
        <v>545236909.36000001</v>
      </c>
      <c r="U74" s="189">
        <v>0</v>
      </c>
      <c r="V74" s="189">
        <v>662174901.58000004</v>
      </c>
      <c r="W74" s="189">
        <v>0</v>
      </c>
      <c r="X74" s="189">
        <v>662174901.58000004</v>
      </c>
      <c r="Y74" s="189">
        <v>0</v>
      </c>
      <c r="Z74" s="189">
        <v>379875420.54000002</v>
      </c>
      <c r="AA74" s="189">
        <v>0</v>
      </c>
      <c r="AB74" s="189">
        <v>379875420.54000002</v>
      </c>
      <c r="AC74" s="189">
        <v>379875420.54000002</v>
      </c>
      <c r="AD74" s="189">
        <v>241093108.11000001</v>
      </c>
      <c r="AE74" s="189">
        <v>0</v>
      </c>
      <c r="AF74" s="189">
        <v>241093108.11000001</v>
      </c>
      <c r="AG74" s="189">
        <v>241093108.11000001</v>
      </c>
      <c r="AH74" s="189">
        <v>193902571.28999999</v>
      </c>
      <c r="AI74" s="189">
        <v>193902571.28999999</v>
      </c>
      <c r="AJ74" s="189">
        <v>193835336.80000001</v>
      </c>
      <c r="AK74" s="189">
        <v>193835336.80000001</v>
      </c>
      <c r="AL74" s="189">
        <v>151439325.88</v>
      </c>
      <c r="AM74" s="189">
        <v>151439325.88</v>
      </c>
      <c r="AN74" s="189">
        <v>151439325.88</v>
      </c>
      <c r="AO74" s="189">
        <v>151439325.88</v>
      </c>
      <c r="AP74" s="189">
        <v>182258867.08000001</v>
      </c>
      <c r="AQ74" s="189">
        <v>182258867.08000001</v>
      </c>
      <c r="AR74" s="189">
        <v>182258867.08000001</v>
      </c>
      <c r="AS74" s="189">
        <v>182184979.30000001</v>
      </c>
      <c r="AT74" s="189">
        <v>137857048.25999999</v>
      </c>
      <c r="AU74" s="189">
        <v>137857048.25999999</v>
      </c>
      <c r="AV74" s="189">
        <v>137857048.25999999</v>
      </c>
      <c r="AW74" s="189">
        <v>137857048.25999999</v>
      </c>
      <c r="AX74" s="189">
        <v>111998447.73</v>
      </c>
      <c r="AY74" s="189">
        <v>117198447.73</v>
      </c>
      <c r="AZ74" s="189">
        <v>117198447.73</v>
      </c>
      <c r="BA74" s="189">
        <v>117198447.73</v>
      </c>
      <c r="BB74" s="189">
        <v>61454766.240000002</v>
      </c>
      <c r="BC74" s="189">
        <v>61454766.240000002</v>
      </c>
      <c r="BD74" s="189">
        <v>61454766.240000002</v>
      </c>
      <c r="BE74" s="189">
        <v>61454766.240000002</v>
      </c>
      <c r="BF74" s="189">
        <v>41074854.469999999</v>
      </c>
      <c r="BG74" s="189">
        <v>41074854.469999999</v>
      </c>
      <c r="BH74" s="189">
        <v>41074854.469999999</v>
      </c>
      <c r="BI74" s="189">
        <v>41074854.469999999</v>
      </c>
      <c r="BJ74" s="189">
        <v>30210315.129999999</v>
      </c>
      <c r="BK74" s="189">
        <v>30210315.129999999</v>
      </c>
      <c r="BL74" s="189">
        <v>30210315.129999999</v>
      </c>
      <c r="BM74" s="189">
        <v>30210315.129999999</v>
      </c>
      <c r="BN74" s="189">
        <v>53415243.950000003</v>
      </c>
      <c r="BO74" s="189">
        <v>53415243.950000003</v>
      </c>
      <c r="BP74" s="189">
        <v>114411096.45999999</v>
      </c>
      <c r="BQ74" s="189">
        <v>116708377.73999999</v>
      </c>
      <c r="BR74" s="189">
        <v>37575646.979999997</v>
      </c>
      <c r="BS74" s="189">
        <v>37575646.979999997</v>
      </c>
      <c r="BT74" s="189">
        <v>19469405.809999999</v>
      </c>
      <c r="BU74" s="189">
        <v>12445769.810000001</v>
      </c>
      <c r="BV74" s="189">
        <v>12445769.810000001</v>
      </c>
      <c r="BW74" s="189">
        <v>0</v>
      </c>
    </row>
    <row r="75" spans="1:75">
      <c r="A75" s="189" t="s">
        <v>288</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c r="BW75" s="189">
        <v>0</v>
      </c>
    </row>
    <row r="76" spans="1:75">
      <c r="A76" s="189" t="s">
        <v>289</v>
      </c>
      <c r="B76" s="189">
        <v>0</v>
      </c>
      <c r="C76" s="189">
        <v>0</v>
      </c>
      <c r="D76" s="189">
        <v>0</v>
      </c>
      <c r="E76" s="189">
        <v>0</v>
      </c>
      <c r="F76" s="189">
        <v>0</v>
      </c>
      <c r="G76" s="189">
        <v>0</v>
      </c>
      <c r="H76" s="189">
        <v>0</v>
      </c>
      <c r="I76" s="189">
        <v>0</v>
      </c>
      <c r="J76" s="189">
        <v>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0</v>
      </c>
      <c r="AA76" s="189">
        <v>0</v>
      </c>
      <c r="AB76" s="189">
        <v>0</v>
      </c>
      <c r="AC76" s="189">
        <v>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0</v>
      </c>
      <c r="BL76" s="189">
        <v>0</v>
      </c>
      <c r="BM76" s="189">
        <v>0</v>
      </c>
      <c r="BN76" s="189">
        <v>0</v>
      </c>
      <c r="BO76" s="189">
        <v>0</v>
      </c>
      <c r="BP76" s="189">
        <v>0</v>
      </c>
      <c r="BQ76" s="189">
        <v>0</v>
      </c>
      <c r="BR76" s="189">
        <v>0</v>
      </c>
      <c r="BS76" s="189">
        <v>0</v>
      </c>
      <c r="BT76" s="189">
        <v>0</v>
      </c>
      <c r="BU76" s="189">
        <v>0</v>
      </c>
      <c r="BV76" s="189">
        <v>0</v>
      </c>
      <c r="BW76" s="189">
        <v>0</v>
      </c>
    </row>
    <row r="77" spans="1:75">
      <c r="A77" s="189" t="s">
        <v>290</v>
      </c>
      <c r="B77" s="189">
        <v>1580765368.4400001</v>
      </c>
      <c r="C77" s="189">
        <v>0</v>
      </c>
      <c r="D77" s="189">
        <v>-17838078.649999999</v>
      </c>
      <c r="E77" s="189">
        <v>0</v>
      </c>
      <c r="F77" s="189">
        <v>-24287936.350000001</v>
      </c>
      <c r="G77" s="189">
        <v>0</v>
      </c>
      <c r="H77" s="189">
        <v>424507361.22000003</v>
      </c>
      <c r="I77" s="189">
        <v>0</v>
      </c>
      <c r="J77" s="189">
        <v>9565403.5399999991</v>
      </c>
      <c r="K77" s="189">
        <v>0</v>
      </c>
      <c r="L77" s="189">
        <v>-140867932.71000001</v>
      </c>
      <c r="M77" s="189">
        <v>0</v>
      </c>
      <c r="N77" s="189">
        <v>-60198759.939999998</v>
      </c>
      <c r="O77" s="189">
        <v>0</v>
      </c>
      <c r="P77" s="189">
        <v>71101991.409999996</v>
      </c>
      <c r="Q77" s="189">
        <v>0</v>
      </c>
      <c r="R77" s="189">
        <v>9764849.8100000005</v>
      </c>
      <c r="S77" s="189">
        <v>0</v>
      </c>
      <c r="T77" s="189">
        <v>-47186455.710000001</v>
      </c>
      <c r="U77" s="189">
        <v>0</v>
      </c>
      <c r="V77" s="189">
        <v>-116937992.22</v>
      </c>
      <c r="W77" s="189">
        <v>0</v>
      </c>
      <c r="X77" s="189">
        <v>-148408993.05000001</v>
      </c>
      <c r="Y77" s="189">
        <v>0</v>
      </c>
      <c r="Z77" s="189">
        <v>114522957.15000001</v>
      </c>
      <c r="AA77" s="189">
        <v>0</v>
      </c>
      <c r="AB77" s="189">
        <v>-23394823.539999999</v>
      </c>
      <c r="AC77" s="189">
        <v>23428135.780000001</v>
      </c>
      <c r="AD77" s="189">
        <v>138782312.43000001</v>
      </c>
      <c r="AE77" s="189">
        <v>0</v>
      </c>
      <c r="AF77" s="189">
        <v>-18870575.379999999</v>
      </c>
      <c r="AG77" s="189">
        <v>-21487610.41</v>
      </c>
      <c r="AH77" s="189">
        <v>47190536.82</v>
      </c>
      <c r="AI77" s="189">
        <v>-36713259.030000001</v>
      </c>
      <c r="AJ77" s="189">
        <v>-34036938.670000002</v>
      </c>
      <c r="AK77" s="189">
        <v>-31425874.309999999</v>
      </c>
      <c r="AL77" s="189">
        <v>42396010.920000002</v>
      </c>
      <c r="AM77" s="189">
        <v>42271336.490000002</v>
      </c>
      <c r="AN77" s="189">
        <v>-47847273.759999998</v>
      </c>
      <c r="AO77" s="189">
        <v>37843182.5</v>
      </c>
      <c r="AP77" s="189">
        <v>-30819541.199999999</v>
      </c>
      <c r="AQ77" s="189">
        <v>-93076295.420000002</v>
      </c>
      <c r="AR77" s="189">
        <v>-82984102.519999996</v>
      </c>
      <c r="AS77" s="189">
        <v>73671178.359999999</v>
      </c>
      <c r="AT77" s="189">
        <v>44401818.82</v>
      </c>
      <c r="AU77" s="189">
        <v>30586324.800000001</v>
      </c>
      <c r="AV77" s="189">
        <v>16339246.74</v>
      </c>
      <c r="AW77" s="189">
        <v>15739815.74</v>
      </c>
      <c r="AX77" s="189">
        <v>25858600.530000001</v>
      </c>
      <c r="AY77" s="189">
        <v>-13115260</v>
      </c>
      <c r="AZ77" s="189">
        <v>-2518706.16</v>
      </c>
      <c r="BA77" s="189">
        <v>16540658.300000001</v>
      </c>
      <c r="BB77" s="189">
        <v>50543681.490000002</v>
      </c>
      <c r="BC77" s="189">
        <v>-5384139.1600000001</v>
      </c>
      <c r="BD77" s="189">
        <v>-28831848.149999999</v>
      </c>
      <c r="BE77" s="189">
        <v>33130131.379999999</v>
      </c>
      <c r="BF77" s="189">
        <v>20379911.77</v>
      </c>
      <c r="BG77" s="189">
        <v>20931898.359999999</v>
      </c>
      <c r="BH77" s="189">
        <v>-8446446</v>
      </c>
      <c r="BI77" s="189">
        <v>3706193.39</v>
      </c>
      <c r="BJ77" s="189">
        <v>12679797.779999999</v>
      </c>
      <c r="BK77" s="189">
        <v>31920193.789999999</v>
      </c>
      <c r="BL77" s="189">
        <v>4394333.12</v>
      </c>
      <c r="BM77" s="189">
        <v>13458346.17</v>
      </c>
      <c r="BN77" s="189">
        <v>-23204928.82</v>
      </c>
      <c r="BO77" s="189">
        <v>-15278375.060000001</v>
      </c>
      <c r="BP77" s="189">
        <v>-60995852.509999998</v>
      </c>
      <c r="BQ77" s="189">
        <v>-7090353.0499999998</v>
      </c>
      <c r="BR77" s="189">
        <v>79132730.760000005</v>
      </c>
      <c r="BS77" s="189">
        <v>-2151310.0299999998</v>
      </c>
      <c r="BT77" s="189">
        <v>18106241.170000002</v>
      </c>
      <c r="BU77" s="189">
        <v>7023636</v>
      </c>
      <c r="BV77" s="189">
        <v>3206273.63</v>
      </c>
      <c r="BW77" s="189">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topLeftCell="A21" workbookViewId="0">
      <selection activeCell="E69" sqref="E69"/>
    </sheetView>
  </sheetViews>
  <sheetFormatPr defaultRowHeight="13.5"/>
  <cols>
    <col min="1" max="1" width="31.875" style="17" bestFit="1" customWidth="1"/>
    <col min="2" max="2" width="19.375" bestFit="1" customWidth="1"/>
    <col min="3" max="4" width="19.375" hidden="1" customWidth="1"/>
    <col min="5" max="5" width="22" hidden="1" customWidth="1"/>
    <col min="6" max="6" width="22" bestFit="1" customWidth="1"/>
    <col min="7" max="8" width="22" hidden="1" customWidth="1"/>
    <col min="9" max="9" width="19.5" hidden="1" customWidth="1"/>
    <col min="10" max="10" width="19.5" bestFit="1" customWidth="1"/>
    <col min="11" max="13" width="19.5" hidden="1" customWidth="1"/>
    <col min="14" max="14" width="19.5" bestFit="1" customWidth="1"/>
    <col min="15" max="17" width="19.5" hidden="1" customWidth="1"/>
    <col min="18" max="18" width="19.5" bestFit="1" customWidth="1"/>
    <col min="19" max="20" width="19.5" hidden="1" customWidth="1"/>
    <col min="21" max="21" width="19.375" hidden="1" customWidth="1"/>
    <col min="22" max="22" width="19.375" bestFit="1" customWidth="1"/>
    <col min="23" max="23" width="19.375" hidden="1" customWidth="1"/>
    <col min="24" max="24" width="18.375" hidden="1" customWidth="1"/>
    <col min="25" max="25" width="19.375" hidden="1" customWidth="1"/>
    <col min="26" max="26" width="18.375" bestFit="1" customWidth="1"/>
    <col min="27" max="29" width="18.375" hidden="1" customWidth="1"/>
    <col min="30" max="30" width="18.375" bestFit="1" customWidth="1"/>
    <col min="31" max="33" width="18.375" hidden="1" customWidth="1"/>
    <col min="34" max="34" width="18.375" bestFit="1" customWidth="1"/>
    <col min="35" max="37" width="18.375" hidden="1" customWidth="1"/>
    <col min="38" max="38" width="19.5" bestFit="1" customWidth="1"/>
    <col min="39" max="41" width="19.5" hidden="1" customWidth="1"/>
    <col min="42" max="42" width="19.5" bestFit="1" customWidth="1"/>
    <col min="43" max="45" width="19.5" hidden="1" customWidth="1"/>
    <col min="46" max="46" width="19.5" bestFit="1" customWidth="1"/>
    <col min="47" max="49" width="19.5" hidden="1" customWidth="1"/>
    <col min="50" max="50" width="19.5" bestFit="1" customWidth="1"/>
    <col min="51" max="53" width="19.5" hidden="1" customWidth="1"/>
    <col min="54" max="54" width="19.5" bestFit="1" customWidth="1"/>
    <col min="55" max="57" width="19.5" hidden="1" customWidth="1"/>
    <col min="58" max="58" width="19.5" bestFit="1" customWidth="1"/>
    <col min="59" max="61" width="19.5" hidden="1" customWidth="1"/>
    <col min="62" max="62" width="19.5" bestFit="1" customWidth="1"/>
    <col min="63" max="65" width="19.5" hidden="1" customWidth="1"/>
    <col min="66" max="66" width="19.5" bestFit="1" customWidth="1"/>
    <col min="67" max="69" width="19.5" hidden="1" customWidth="1"/>
    <col min="70" max="70" width="19.5" bestFit="1" customWidth="1"/>
    <col min="71" max="71" width="19.5" hidden="1" customWidth="1"/>
    <col min="72" max="72" width="19.5" bestFit="1" customWidth="1"/>
    <col min="73" max="73" width="19.5" hidden="1" customWidth="1"/>
    <col min="74" max="74" width="19.5" bestFit="1" customWidth="1"/>
    <col min="75" max="75" width="19.5" hidden="1" customWidth="1"/>
    <col min="76" max="76" width="19.5" bestFit="1" customWidth="1"/>
    <col min="77" max="77" width="19.5" hidden="1" customWidth="1"/>
    <col min="78" max="78" width="19.5" bestFit="1" customWidth="1"/>
    <col min="79" max="79" width="17.25" hidden="1" customWidth="1"/>
    <col min="80" max="80" width="19.5" bestFit="1" customWidth="1"/>
    <col min="81" max="81" width="19.5" hidden="1" customWidth="1"/>
    <col min="82" max="82" width="19.5" bestFit="1" customWidth="1"/>
    <col min="83" max="83" width="9.5" hidden="1" customWidth="1"/>
    <col min="84" max="84" width="7.375" bestFit="1" customWidth="1"/>
    <col min="85" max="87" width="17.25" bestFit="1" customWidth="1"/>
    <col min="88" max="89" width="16.125" bestFit="1" customWidth="1"/>
    <col min="90" max="90" width="7.375" bestFit="1" customWidth="1"/>
  </cols>
  <sheetData>
    <row r="1" spans="1:90" s="41" customFormat="1" ht="14.45">
      <c r="A1" s="41">
        <v>600738</v>
      </c>
      <c r="B1" s="189">
        <v>20181231</v>
      </c>
      <c r="C1" s="189">
        <v>20180930</v>
      </c>
      <c r="D1" s="189">
        <v>20180630</v>
      </c>
      <c r="E1" s="189">
        <v>20180331</v>
      </c>
      <c r="F1" s="189">
        <v>20171231</v>
      </c>
      <c r="G1" s="189">
        <v>20170930</v>
      </c>
      <c r="H1" s="189">
        <v>20170630</v>
      </c>
      <c r="I1" s="189">
        <v>20170331</v>
      </c>
      <c r="J1" s="189">
        <v>20161231</v>
      </c>
      <c r="K1" s="189">
        <v>20160930</v>
      </c>
      <c r="L1" s="189">
        <v>20160630</v>
      </c>
      <c r="M1" s="189">
        <v>20160331</v>
      </c>
      <c r="N1" s="189">
        <v>20151231</v>
      </c>
      <c r="O1" s="189">
        <v>20150930</v>
      </c>
      <c r="P1" s="189">
        <v>20150630</v>
      </c>
      <c r="Q1" s="189">
        <v>20150331</v>
      </c>
      <c r="R1" s="189">
        <v>20141231</v>
      </c>
      <c r="S1" s="189">
        <v>20140930</v>
      </c>
      <c r="T1" s="189">
        <v>20140630</v>
      </c>
      <c r="U1" s="189">
        <v>20140331</v>
      </c>
      <c r="V1" s="189">
        <v>20131231</v>
      </c>
      <c r="W1" s="189">
        <v>20130930</v>
      </c>
      <c r="X1" s="189">
        <v>20130630</v>
      </c>
      <c r="Y1" s="189">
        <v>20130331</v>
      </c>
      <c r="Z1" s="189">
        <v>20121231</v>
      </c>
      <c r="AA1" s="189">
        <v>20120930</v>
      </c>
      <c r="AB1" s="189">
        <v>20120630</v>
      </c>
      <c r="AC1" s="189">
        <v>20120331</v>
      </c>
      <c r="AD1" s="189">
        <v>20111231</v>
      </c>
      <c r="AE1" s="189">
        <v>20110930</v>
      </c>
      <c r="AF1" s="189">
        <v>20110630</v>
      </c>
      <c r="AG1" s="189">
        <v>20110331</v>
      </c>
      <c r="AH1" s="189">
        <v>20101231</v>
      </c>
      <c r="AI1" s="189">
        <v>20100930</v>
      </c>
      <c r="AJ1" s="189">
        <v>20100630</v>
      </c>
      <c r="AK1" s="189">
        <v>20100331</v>
      </c>
      <c r="AL1" s="189">
        <v>20091231</v>
      </c>
      <c r="AM1" s="189">
        <v>20090930</v>
      </c>
      <c r="AN1" s="189">
        <v>20090630</v>
      </c>
      <c r="AO1" s="189">
        <v>20090331</v>
      </c>
      <c r="AP1" s="189">
        <v>20081231</v>
      </c>
      <c r="AQ1" s="189">
        <v>20080930</v>
      </c>
      <c r="AR1" s="189">
        <v>20080630</v>
      </c>
      <c r="AS1" s="189">
        <v>20080331</v>
      </c>
      <c r="AT1" s="189">
        <v>20071231</v>
      </c>
      <c r="AU1" s="189">
        <v>20070930</v>
      </c>
      <c r="AV1" s="189">
        <v>20070630</v>
      </c>
      <c r="AW1" s="189">
        <v>20070331</v>
      </c>
      <c r="AX1" s="189">
        <v>20061231</v>
      </c>
      <c r="AY1" s="189">
        <v>20060930</v>
      </c>
      <c r="AZ1" s="189">
        <v>20060630</v>
      </c>
      <c r="BA1" s="189">
        <v>20060331</v>
      </c>
      <c r="BB1" s="189">
        <v>20051231</v>
      </c>
      <c r="BC1" s="189">
        <v>20050930</v>
      </c>
      <c r="BD1" s="189">
        <v>20050630</v>
      </c>
      <c r="BE1" s="189">
        <v>20050331</v>
      </c>
      <c r="BF1" s="189">
        <v>20041231</v>
      </c>
      <c r="BG1" s="189">
        <v>20040930</v>
      </c>
      <c r="BH1" s="189">
        <v>20040630</v>
      </c>
      <c r="BI1" s="189">
        <v>20040331</v>
      </c>
      <c r="BJ1" s="189">
        <v>20031231</v>
      </c>
      <c r="BK1" s="189">
        <v>20030930</v>
      </c>
      <c r="BL1" s="189">
        <v>20030630</v>
      </c>
      <c r="BM1" s="189">
        <v>20030331</v>
      </c>
      <c r="BN1" s="189">
        <v>20021231</v>
      </c>
      <c r="BO1" s="189">
        <v>20020930</v>
      </c>
      <c r="BP1" s="189">
        <v>20020630</v>
      </c>
      <c r="BQ1" s="189">
        <v>20020331</v>
      </c>
      <c r="BR1" s="189">
        <v>20011231</v>
      </c>
      <c r="BS1" s="189">
        <v>20010630</v>
      </c>
      <c r="BT1" s="189">
        <v>20001231</v>
      </c>
      <c r="BU1" s="189">
        <v>20000630</v>
      </c>
      <c r="BV1" s="189">
        <v>19991231</v>
      </c>
      <c r="BW1" s="189">
        <v>19990630</v>
      </c>
      <c r="BX1" s="189">
        <v>19981231</v>
      </c>
      <c r="BY1" s="189">
        <v>19980630</v>
      </c>
      <c r="BZ1" s="189">
        <v>19971231</v>
      </c>
      <c r="CA1" s="189">
        <v>19970630</v>
      </c>
      <c r="CB1" s="189">
        <v>19961231</v>
      </c>
      <c r="CC1" s="189">
        <v>19960630</v>
      </c>
      <c r="CD1" s="189">
        <v>19951231</v>
      </c>
      <c r="CE1" s="189">
        <v>19700101</v>
      </c>
      <c r="CF1" s="189"/>
      <c r="CG1" s="189"/>
      <c r="CH1" s="189"/>
      <c r="CI1" s="189"/>
      <c r="CJ1" s="189"/>
      <c r="CK1" s="189"/>
      <c r="CL1" s="189"/>
    </row>
    <row r="2" spans="1:90">
      <c r="A2" s="20" t="s">
        <v>0</v>
      </c>
      <c r="B2" s="26"/>
      <c r="C2" s="26"/>
      <c r="D2" s="26"/>
      <c r="E2" s="26"/>
      <c r="F2" s="26"/>
      <c r="G2" s="26"/>
      <c r="H2" s="26"/>
      <c r="I2" s="26"/>
      <c r="J2" s="26"/>
      <c r="K2" s="26"/>
      <c r="L2" s="23"/>
    </row>
    <row r="3" spans="1:90">
      <c r="A3" s="20" t="s">
        <v>316</v>
      </c>
      <c r="B3" s="26"/>
      <c r="C3" s="26"/>
      <c r="D3" s="26"/>
      <c r="E3" s="26"/>
      <c r="F3" s="26"/>
      <c r="G3" s="26"/>
      <c r="H3" s="26"/>
      <c r="I3" s="26"/>
      <c r="J3" s="26"/>
      <c r="K3" s="26"/>
      <c r="L3" s="23"/>
    </row>
    <row r="4" spans="1:90">
      <c r="A4" s="17" t="s">
        <v>1</v>
      </c>
      <c r="B4" s="189">
        <v>2155521223.9499998</v>
      </c>
      <c r="C4" s="189">
        <v>2039684712.1300001</v>
      </c>
      <c r="D4" s="189">
        <v>556653696.96000004</v>
      </c>
      <c r="E4" s="189">
        <v>557236465.25</v>
      </c>
      <c r="F4" s="189">
        <v>574391369.42999995</v>
      </c>
      <c r="G4" s="189">
        <v>558981924.89999998</v>
      </c>
      <c r="H4" s="189">
        <v>1016788142.54</v>
      </c>
      <c r="I4" s="189">
        <v>395965208.88999999</v>
      </c>
      <c r="J4" s="189">
        <v>507240959.62</v>
      </c>
      <c r="K4" s="189">
        <v>311445664.36000001</v>
      </c>
      <c r="L4" s="189">
        <v>367671425.25999999</v>
      </c>
      <c r="M4" s="189">
        <v>430090948.51999998</v>
      </c>
      <c r="N4" s="189">
        <v>508533039.95999998</v>
      </c>
      <c r="O4" s="189">
        <v>524972994.91000003</v>
      </c>
      <c r="P4" s="189">
        <v>638821418.08000004</v>
      </c>
      <c r="Q4" s="189">
        <v>477002427.45999998</v>
      </c>
      <c r="R4" s="189">
        <v>567719426.66999996</v>
      </c>
      <c r="S4" s="189">
        <v>578861752.69000006</v>
      </c>
      <c r="T4" s="189">
        <v>501808367.13</v>
      </c>
      <c r="U4" s="189">
        <v>479868369.63</v>
      </c>
      <c r="V4" s="189">
        <v>549583979.64999998</v>
      </c>
      <c r="W4" s="189">
        <v>513744210.26999998</v>
      </c>
      <c r="X4" s="189">
        <v>513765908.52999997</v>
      </c>
      <c r="Y4" s="189">
        <v>658660647.01999998</v>
      </c>
      <c r="Z4" s="189">
        <v>494398377.69</v>
      </c>
      <c r="AA4" s="189">
        <v>404503143.63</v>
      </c>
      <c r="AB4" s="189">
        <v>356480597</v>
      </c>
      <c r="AC4" s="189">
        <v>403303556.31999999</v>
      </c>
      <c r="AD4" s="189">
        <v>379875420.54000002</v>
      </c>
      <c r="AE4" s="189">
        <v>277455824.85000002</v>
      </c>
      <c r="AF4" s="189">
        <v>222222532.72999999</v>
      </c>
      <c r="AG4" s="189">
        <v>219605497.69999999</v>
      </c>
      <c r="AH4" s="189">
        <v>241093108.11000001</v>
      </c>
      <c r="AI4" s="189">
        <v>157189312.25999999</v>
      </c>
      <c r="AJ4" s="189">
        <v>159798398.13</v>
      </c>
      <c r="AK4" s="189">
        <v>162409462.49000001</v>
      </c>
      <c r="AL4" s="189">
        <v>193835336.80000001</v>
      </c>
      <c r="AM4" s="189">
        <v>193710662.37</v>
      </c>
      <c r="AN4" s="189">
        <v>103592052.12</v>
      </c>
      <c r="AO4" s="189">
        <v>189282508.38</v>
      </c>
      <c r="AP4" s="189">
        <v>151439325.88</v>
      </c>
      <c r="AQ4" s="189">
        <v>89182571.659999996</v>
      </c>
      <c r="AR4" s="189">
        <v>99274764.560000002</v>
      </c>
      <c r="AS4" s="189">
        <v>255930045.44</v>
      </c>
      <c r="AT4" s="189">
        <v>182258867.08000001</v>
      </c>
      <c r="AU4" s="189">
        <v>168443373.06</v>
      </c>
      <c r="AV4" s="189">
        <v>154196295</v>
      </c>
      <c r="AW4" s="189">
        <v>153596864</v>
      </c>
      <c r="AX4" s="189">
        <v>137857048.25999999</v>
      </c>
      <c r="AY4" s="189">
        <v>104083187.73</v>
      </c>
      <c r="AZ4" s="189">
        <v>114679741.56999999</v>
      </c>
      <c r="BA4" s="189">
        <v>133739106.03</v>
      </c>
      <c r="BB4" s="189">
        <v>117198447.73</v>
      </c>
      <c r="BC4" s="189">
        <v>56070627.079999998</v>
      </c>
      <c r="BD4" s="189">
        <v>32622918.09</v>
      </c>
      <c r="BE4" s="189">
        <v>94584897.620000005</v>
      </c>
      <c r="BF4" s="189">
        <v>61454766.240000002</v>
      </c>
      <c r="BG4" s="189">
        <v>62006752.829999998</v>
      </c>
      <c r="BH4" s="189">
        <v>32628408.469999999</v>
      </c>
      <c r="BI4" s="189">
        <v>44781047.859999999</v>
      </c>
      <c r="BJ4" s="189">
        <v>41074854.469999999</v>
      </c>
      <c r="BK4" s="189">
        <v>62130508.920000002</v>
      </c>
      <c r="BL4" s="189">
        <v>34604648.25</v>
      </c>
      <c r="BM4" s="189">
        <v>43668661.299999997</v>
      </c>
      <c r="BN4" s="189">
        <v>30210315.129999999</v>
      </c>
      <c r="BO4" s="189">
        <v>28000868.899999999</v>
      </c>
      <c r="BP4" s="189">
        <v>38136868.890000001</v>
      </c>
      <c r="BQ4" s="189">
        <v>60436242.700000003</v>
      </c>
      <c r="BR4" s="189">
        <v>53415243.950000003</v>
      </c>
      <c r="BS4" s="189">
        <v>109618024.69</v>
      </c>
      <c r="BT4" s="189">
        <v>114411096.45999999</v>
      </c>
      <c r="BU4" s="189">
        <v>35424336.950000003</v>
      </c>
      <c r="BV4" s="189">
        <v>37575646.979999997</v>
      </c>
      <c r="BW4" s="189">
        <v>37029480.700000003</v>
      </c>
      <c r="BX4" s="189">
        <v>19469405.809999999</v>
      </c>
      <c r="BY4" s="189">
        <v>15652043.439999999</v>
      </c>
      <c r="BZ4" s="189">
        <v>12445769.810000001</v>
      </c>
      <c r="CA4" s="189">
        <v>0</v>
      </c>
      <c r="CB4" s="189">
        <v>31841340.420000002</v>
      </c>
      <c r="CC4" s="189">
        <v>22436951.84</v>
      </c>
      <c r="CD4" s="189">
        <v>16158482.800000001</v>
      </c>
      <c r="CE4" s="189">
        <v>0</v>
      </c>
      <c r="CF4" s="189"/>
      <c r="CG4" s="189"/>
      <c r="CH4" s="189"/>
      <c r="CI4" s="189"/>
      <c r="CJ4" s="189"/>
      <c r="CK4" s="189"/>
      <c r="CL4" s="189"/>
    </row>
    <row r="5" spans="1:90">
      <c r="A5" s="17" t="s">
        <v>2</v>
      </c>
      <c r="B5" s="189">
        <v>0</v>
      </c>
      <c r="C5" s="189">
        <v>0</v>
      </c>
      <c r="D5" s="189">
        <v>0</v>
      </c>
      <c r="E5" s="189">
        <v>0</v>
      </c>
      <c r="F5" s="189">
        <v>0</v>
      </c>
      <c r="G5" s="189">
        <v>0</v>
      </c>
      <c r="H5" s="189">
        <v>0</v>
      </c>
      <c r="I5" s="189">
        <v>0</v>
      </c>
      <c r="J5" s="189">
        <v>0</v>
      </c>
      <c r="K5" s="189">
        <v>0</v>
      </c>
      <c r="L5" s="189">
        <v>0</v>
      </c>
      <c r="M5" s="189">
        <v>0</v>
      </c>
      <c r="N5" s="189">
        <v>0</v>
      </c>
      <c r="O5" s="189">
        <v>0</v>
      </c>
      <c r="P5" s="189">
        <v>0</v>
      </c>
      <c r="Q5" s="189">
        <v>0</v>
      </c>
      <c r="R5" s="189">
        <v>0</v>
      </c>
      <c r="S5" s="189">
        <v>0</v>
      </c>
      <c r="T5" s="189">
        <v>0</v>
      </c>
      <c r="U5" s="189">
        <v>0</v>
      </c>
      <c r="V5" s="189">
        <v>0</v>
      </c>
      <c r="W5" s="189">
        <v>0</v>
      </c>
      <c r="X5" s="189">
        <v>0</v>
      </c>
      <c r="Y5" s="189">
        <v>0</v>
      </c>
      <c r="Z5" s="189">
        <v>0</v>
      </c>
      <c r="AA5" s="189">
        <v>0</v>
      </c>
      <c r="AB5" s="189">
        <v>0</v>
      </c>
      <c r="AC5" s="189">
        <v>0</v>
      </c>
      <c r="AD5" s="189">
        <v>0</v>
      </c>
      <c r="AE5" s="189">
        <v>0</v>
      </c>
      <c r="AF5" s="189">
        <v>0</v>
      </c>
      <c r="AG5" s="189">
        <v>0</v>
      </c>
      <c r="AH5" s="189">
        <v>0</v>
      </c>
      <c r="AI5" s="189">
        <v>0</v>
      </c>
      <c r="AJ5" s="189">
        <v>0</v>
      </c>
      <c r="AK5" s="189">
        <v>0</v>
      </c>
      <c r="AL5" s="189">
        <v>0</v>
      </c>
      <c r="AM5" s="189">
        <v>0</v>
      </c>
      <c r="AN5" s="189">
        <v>0</v>
      </c>
      <c r="AO5" s="189">
        <v>0</v>
      </c>
      <c r="AP5" s="189">
        <v>0</v>
      </c>
      <c r="AQ5" s="189">
        <v>0</v>
      </c>
      <c r="AR5" s="189">
        <v>0</v>
      </c>
      <c r="AS5" s="189">
        <v>0</v>
      </c>
      <c r="AT5" s="189">
        <v>0</v>
      </c>
      <c r="AU5" s="189">
        <v>0</v>
      </c>
      <c r="AV5" s="189">
        <v>0</v>
      </c>
      <c r="AW5" s="189">
        <v>1500000</v>
      </c>
      <c r="AX5" s="189">
        <v>0</v>
      </c>
      <c r="AY5" s="189">
        <v>0</v>
      </c>
      <c r="AZ5" s="189">
        <v>0</v>
      </c>
      <c r="BA5" s="189">
        <v>0</v>
      </c>
      <c r="BB5" s="189">
        <v>0</v>
      </c>
      <c r="BC5" s="189">
        <v>0</v>
      </c>
      <c r="BD5" s="189">
        <v>0</v>
      </c>
      <c r="BE5" s="189">
        <v>0</v>
      </c>
      <c r="BF5" s="189">
        <v>0</v>
      </c>
      <c r="BG5" s="189">
        <v>0</v>
      </c>
      <c r="BH5" s="189">
        <v>0</v>
      </c>
      <c r="BI5" s="189">
        <v>0</v>
      </c>
      <c r="BJ5" s="189">
        <v>0</v>
      </c>
      <c r="BK5" s="189">
        <v>0</v>
      </c>
      <c r="BL5" s="189">
        <v>0</v>
      </c>
      <c r="BM5" s="189">
        <v>12266102.84</v>
      </c>
      <c r="BN5" s="189">
        <v>12103902.33</v>
      </c>
      <c r="BO5" s="189">
        <v>15786806.16</v>
      </c>
      <c r="BP5" s="189">
        <v>20052509</v>
      </c>
      <c r="BQ5" s="189">
        <v>9589551.6899999995</v>
      </c>
      <c r="BR5" s="189">
        <v>9589551.6899999995</v>
      </c>
      <c r="BS5" s="189">
        <v>0</v>
      </c>
      <c r="BT5" s="189">
        <v>0</v>
      </c>
      <c r="BU5" s="189">
        <v>30000000</v>
      </c>
      <c r="BV5" s="189">
        <v>30000000</v>
      </c>
      <c r="BW5" s="189">
        <v>0</v>
      </c>
      <c r="BX5" s="189">
        <v>0</v>
      </c>
      <c r="BY5" s="189">
        <v>0</v>
      </c>
      <c r="BZ5" s="189">
        <v>0</v>
      </c>
      <c r="CA5" s="189">
        <v>0</v>
      </c>
      <c r="CB5" s="189">
        <v>380000</v>
      </c>
      <c r="CC5" s="189">
        <v>0</v>
      </c>
      <c r="CD5" s="189">
        <v>0</v>
      </c>
      <c r="CE5" s="189">
        <v>0</v>
      </c>
      <c r="CF5" s="189"/>
      <c r="CG5" s="189"/>
      <c r="CH5" s="189"/>
      <c r="CI5" s="189"/>
      <c r="CJ5" s="189"/>
      <c r="CK5" s="189"/>
      <c r="CL5" s="189"/>
    </row>
    <row r="6" spans="1:90">
      <c r="A6" s="17" t="s">
        <v>13</v>
      </c>
      <c r="B6" s="189">
        <v>0</v>
      </c>
      <c r="C6" s="189">
        <v>0</v>
      </c>
      <c r="D6" s="189">
        <v>0</v>
      </c>
      <c r="E6" s="189">
        <v>0</v>
      </c>
      <c r="F6" s="189">
        <v>0</v>
      </c>
      <c r="G6" s="189">
        <v>0</v>
      </c>
      <c r="H6" s="189">
        <v>0</v>
      </c>
      <c r="I6" s="189">
        <v>0</v>
      </c>
      <c r="J6" s="189">
        <v>0</v>
      </c>
      <c r="K6" s="189">
        <v>0</v>
      </c>
      <c r="L6" s="189">
        <v>0</v>
      </c>
      <c r="M6" s="189">
        <v>0</v>
      </c>
      <c r="N6" s="189">
        <v>0</v>
      </c>
      <c r="O6" s="189">
        <v>0</v>
      </c>
      <c r="P6" s="189">
        <v>0</v>
      </c>
      <c r="Q6" s="189">
        <v>0</v>
      </c>
      <c r="R6" s="189">
        <v>0</v>
      </c>
      <c r="S6" s="189">
        <v>0</v>
      </c>
      <c r="T6" s="189">
        <v>0</v>
      </c>
      <c r="U6" s="189">
        <v>0</v>
      </c>
      <c r="V6" s="189">
        <v>0</v>
      </c>
      <c r="W6" s="189">
        <v>0</v>
      </c>
      <c r="X6" s="189">
        <v>0</v>
      </c>
      <c r="Y6" s="189">
        <v>0</v>
      </c>
      <c r="Z6" s="189">
        <v>0</v>
      </c>
      <c r="AA6" s="189">
        <v>0</v>
      </c>
      <c r="AB6" s="189">
        <v>0</v>
      </c>
      <c r="AC6" s="189">
        <v>0</v>
      </c>
      <c r="AD6" s="189">
        <v>0</v>
      </c>
      <c r="AE6" s="189">
        <v>0</v>
      </c>
      <c r="AF6" s="189">
        <v>0</v>
      </c>
      <c r="AG6" s="189">
        <v>0</v>
      </c>
      <c r="AH6" s="189">
        <v>0</v>
      </c>
      <c r="AI6" s="189">
        <v>0</v>
      </c>
      <c r="AJ6" s="189">
        <v>0</v>
      </c>
      <c r="AK6" s="189">
        <v>0</v>
      </c>
      <c r="AL6" s="189">
        <v>0</v>
      </c>
      <c r="AM6" s="189">
        <v>0</v>
      </c>
      <c r="AN6" s="189">
        <v>0</v>
      </c>
      <c r="AO6" s="189">
        <v>0</v>
      </c>
      <c r="AP6" s="189">
        <v>0</v>
      </c>
      <c r="AQ6" s="189">
        <v>0</v>
      </c>
      <c r="AR6" s="189">
        <v>0</v>
      </c>
      <c r="AS6" s="189">
        <v>0</v>
      </c>
      <c r="AT6" s="189">
        <v>0</v>
      </c>
      <c r="AU6" s="189">
        <v>0</v>
      </c>
      <c r="AV6" s="189">
        <v>0</v>
      </c>
      <c r="AW6" s="189">
        <v>0</v>
      </c>
      <c r="AX6" s="189">
        <v>0</v>
      </c>
      <c r="AY6" s="189">
        <v>0</v>
      </c>
      <c r="AZ6" s="189">
        <v>0</v>
      </c>
      <c r="BA6" s="189">
        <v>0</v>
      </c>
      <c r="BB6" s="189">
        <v>0</v>
      </c>
      <c r="BC6" s="189">
        <v>0</v>
      </c>
      <c r="BD6" s="189">
        <v>0</v>
      </c>
      <c r="BE6" s="189">
        <v>0</v>
      </c>
      <c r="BF6" s="189">
        <v>0</v>
      </c>
      <c r="BG6" s="189">
        <v>0</v>
      </c>
      <c r="BH6" s="189">
        <v>0</v>
      </c>
      <c r="BI6" s="189">
        <v>0</v>
      </c>
      <c r="BJ6" s="189">
        <v>0</v>
      </c>
      <c r="BK6" s="189">
        <v>0</v>
      </c>
      <c r="BL6" s="189">
        <v>0</v>
      </c>
      <c r="BM6" s="189">
        <v>0</v>
      </c>
      <c r="BN6" s="189">
        <v>0</v>
      </c>
      <c r="BO6" s="189">
        <v>0</v>
      </c>
      <c r="BP6" s="189">
        <v>0</v>
      </c>
      <c r="BQ6" s="189">
        <v>0</v>
      </c>
      <c r="BR6" s="189">
        <v>0</v>
      </c>
      <c r="BS6" s="189">
        <v>0</v>
      </c>
      <c r="BT6" s="189">
        <v>0</v>
      </c>
      <c r="BU6" s="189">
        <v>0</v>
      </c>
      <c r="BV6" s="189">
        <v>0</v>
      </c>
      <c r="BW6" s="189">
        <v>0</v>
      </c>
      <c r="BX6" s="189">
        <v>0</v>
      </c>
      <c r="BY6" s="189">
        <v>0</v>
      </c>
      <c r="BZ6" s="189">
        <v>0</v>
      </c>
      <c r="CA6" s="189">
        <v>0</v>
      </c>
      <c r="CB6" s="189">
        <v>0</v>
      </c>
      <c r="CC6" s="189">
        <v>0</v>
      </c>
      <c r="CD6" s="189">
        <v>0</v>
      </c>
      <c r="CE6" s="189">
        <v>0</v>
      </c>
      <c r="CF6" s="189"/>
      <c r="CG6" s="189"/>
      <c r="CH6" s="189"/>
      <c r="CI6" s="189"/>
      <c r="CJ6" s="189"/>
      <c r="CK6" s="189"/>
      <c r="CL6" s="189"/>
    </row>
    <row r="7" spans="1:90">
      <c r="A7" s="17" t="s">
        <v>4</v>
      </c>
      <c r="B7" s="189">
        <v>0</v>
      </c>
      <c r="C7" s="189">
        <v>0</v>
      </c>
      <c r="D7" s="189">
        <v>0</v>
      </c>
      <c r="E7" s="189">
        <v>0</v>
      </c>
      <c r="F7" s="189">
        <v>0</v>
      </c>
      <c r="G7" s="189">
        <v>0</v>
      </c>
      <c r="H7" s="189">
        <v>0</v>
      </c>
      <c r="I7" s="189">
        <v>0</v>
      </c>
      <c r="J7" s="189">
        <v>0</v>
      </c>
      <c r="K7" s="189">
        <v>0</v>
      </c>
      <c r="L7" s="189">
        <v>0</v>
      </c>
      <c r="M7" s="189">
        <v>0</v>
      </c>
      <c r="N7" s="189">
        <v>0</v>
      </c>
      <c r="O7" s="189">
        <v>0</v>
      </c>
      <c r="P7" s="189">
        <v>0</v>
      </c>
      <c r="Q7" s="189">
        <v>0</v>
      </c>
      <c r="R7" s="189">
        <v>0</v>
      </c>
      <c r="S7" s="189">
        <v>0</v>
      </c>
      <c r="T7" s="189">
        <v>0</v>
      </c>
      <c r="U7" s="189">
        <v>0</v>
      </c>
      <c r="V7" s="189">
        <v>0</v>
      </c>
      <c r="W7" s="189">
        <v>0</v>
      </c>
      <c r="X7" s="189">
        <v>0</v>
      </c>
      <c r="Y7" s="189">
        <v>0</v>
      </c>
      <c r="Z7" s="189">
        <v>0</v>
      </c>
      <c r="AA7" s="189">
        <v>0</v>
      </c>
      <c r="AB7" s="189">
        <v>0</v>
      </c>
      <c r="AC7" s="189">
        <v>0</v>
      </c>
      <c r="AD7" s="189">
        <v>0</v>
      </c>
      <c r="AE7" s="189">
        <v>0</v>
      </c>
      <c r="AF7" s="189">
        <v>0</v>
      </c>
      <c r="AG7" s="189">
        <v>0</v>
      </c>
      <c r="AH7" s="189">
        <v>0</v>
      </c>
      <c r="AI7" s="189">
        <v>0</v>
      </c>
      <c r="AJ7" s="189">
        <v>0</v>
      </c>
      <c r="AK7" s="189">
        <v>0</v>
      </c>
      <c r="AL7" s="189">
        <v>0</v>
      </c>
      <c r="AM7" s="189">
        <v>0</v>
      </c>
      <c r="AN7" s="189">
        <v>0</v>
      </c>
      <c r="AO7" s="189">
        <v>0</v>
      </c>
      <c r="AP7" s="189">
        <v>0</v>
      </c>
      <c r="AQ7" s="189">
        <v>0</v>
      </c>
      <c r="AR7" s="189">
        <v>0</v>
      </c>
      <c r="AS7" s="189">
        <v>0</v>
      </c>
      <c r="AT7" s="189">
        <v>0</v>
      </c>
      <c r="AU7" s="189">
        <v>0</v>
      </c>
      <c r="AV7" s="189">
        <v>0</v>
      </c>
      <c r="AW7" s="189">
        <v>0</v>
      </c>
      <c r="AX7" s="189">
        <v>0</v>
      </c>
      <c r="AY7" s="189">
        <v>0</v>
      </c>
      <c r="AZ7" s="189">
        <v>0</v>
      </c>
      <c r="BA7" s="189">
        <v>0</v>
      </c>
      <c r="BB7" s="189">
        <v>0</v>
      </c>
      <c r="BC7" s="189">
        <v>0</v>
      </c>
      <c r="BD7" s="189">
        <v>0</v>
      </c>
      <c r="BE7" s="189">
        <v>0</v>
      </c>
      <c r="BF7" s="189">
        <v>0</v>
      </c>
      <c r="BG7" s="189">
        <v>0</v>
      </c>
      <c r="BH7" s="189">
        <v>0</v>
      </c>
      <c r="BI7" s="189">
        <v>0</v>
      </c>
      <c r="BJ7" s="189">
        <v>0</v>
      </c>
      <c r="BK7" s="189">
        <v>0</v>
      </c>
      <c r="BL7" s="189">
        <v>0</v>
      </c>
      <c r="BM7" s="189">
        <v>0</v>
      </c>
      <c r="BN7" s="189">
        <v>0</v>
      </c>
      <c r="BO7" s="189">
        <v>0</v>
      </c>
      <c r="BP7" s="189">
        <v>0</v>
      </c>
      <c r="BQ7" s="189">
        <v>0</v>
      </c>
      <c r="BR7" s="189">
        <v>0</v>
      </c>
      <c r="BS7" s="189">
        <v>0</v>
      </c>
      <c r="BT7" s="189">
        <v>0</v>
      </c>
      <c r="BU7" s="189">
        <v>0</v>
      </c>
      <c r="BV7" s="189">
        <v>0</v>
      </c>
      <c r="BW7" s="189">
        <v>0</v>
      </c>
      <c r="BX7" s="189">
        <v>0</v>
      </c>
      <c r="BY7" s="189">
        <v>0</v>
      </c>
      <c r="BZ7" s="189">
        <v>0</v>
      </c>
      <c r="CA7" s="189">
        <v>0</v>
      </c>
      <c r="CB7" s="189">
        <v>0</v>
      </c>
      <c r="CC7" s="189">
        <v>0</v>
      </c>
      <c r="CD7" s="189">
        <v>0</v>
      </c>
      <c r="CE7" s="189">
        <v>0</v>
      </c>
      <c r="CF7" s="189"/>
      <c r="CG7" s="189"/>
      <c r="CH7" s="189"/>
      <c r="CI7" s="189"/>
      <c r="CJ7" s="189"/>
      <c r="CK7" s="189"/>
      <c r="CL7" s="189"/>
    </row>
    <row r="8" spans="1:90">
      <c r="A8" s="17" t="s">
        <v>5</v>
      </c>
      <c r="B8" s="189">
        <v>325800124</v>
      </c>
      <c r="C8" s="189">
        <v>322590111.10000002</v>
      </c>
      <c r="D8" s="189">
        <v>116132120</v>
      </c>
      <c r="E8" s="189">
        <v>116132120</v>
      </c>
      <c r="F8" s="189">
        <v>116132120</v>
      </c>
      <c r="G8" s="189">
        <v>116132120</v>
      </c>
      <c r="H8" s="189">
        <v>116132120</v>
      </c>
      <c r="I8" s="189">
        <v>116132120</v>
      </c>
      <c r="J8" s="189">
        <v>116132120</v>
      </c>
      <c r="K8" s="189">
        <v>116132120</v>
      </c>
      <c r="L8" s="189">
        <v>116132120</v>
      </c>
      <c r="M8" s="189">
        <v>116132120</v>
      </c>
      <c r="N8" s="189">
        <v>116132120</v>
      </c>
      <c r="O8" s="189">
        <v>86589600</v>
      </c>
      <c r="P8" s="189">
        <v>86589600</v>
      </c>
      <c r="Q8" s="189">
        <v>86589600</v>
      </c>
      <c r="R8" s="189">
        <v>86589600</v>
      </c>
      <c r="S8" s="189">
        <v>86589600</v>
      </c>
      <c r="T8" s="189">
        <v>0</v>
      </c>
      <c r="U8" s="189">
        <v>0</v>
      </c>
      <c r="V8" s="189">
        <v>0</v>
      </c>
      <c r="W8" s="189">
        <v>0</v>
      </c>
      <c r="X8" s="189">
        <v>0</v>
      </c>
      <c r="Y8" s="189">
        <v>0</v>
      </c>
      <c r="Z8" s="189">
        <v>0</v>
      </c>
      <c r="AA8" s="189">
        <v>0</v>
      </c>
      <c r="AB8" s="189">
        <v>0</v>
      </c>
      <c r="AC8" s="189">
        <v>0</v>
      </c>
      <c r="AD8" s="189">
        <v>0</v>
      </c>
      <c r="AE8" s="189">
        <v>0</v>
      </c>
      <c r="AF8" s="189">
        <v>0</v>
      </c>
      <c r="AG8" s="189">
        <v>0</v>
      </c>
      <c r="AH8" s="189">
        <v>0</v>
      </c>
      <c r="AI8" s="189">
        <v>0</v>
      </c>
      <c r="AJ8" s="189">
        <v>0</v>
      </c>
      <c r="AK8" s="189">
        <v>0</v>
      </c>
      <c r="AL8" s="189">
        <v>0</v>
      </c>
      <c r="AM8" s="189">
        <v>0</v>
      </c>
      <c r="AN8" s="189">
        <v>0</v>
      </c>
      <c r="AO8" s="189">
        <v>0</v>
      </c>
      <c r="AP8" s="189">
        <v>0</v>
      </c>
      <c r="AQ8" s="189">
        <v>0</v>
      </c>
      <c r="AR8" s="189">
        <v>0</v>
      </c>
      <c r="AS8" s="189">
        <v>0</v>
      </c>
      <c r="AT8" s="189">
        <v>0</v>
      </c>
      <c r="AU8" s="189">
        <v>0</v>
      </c>
      <c r="AV8" s="189">
        <v>0</v>
      </c>
      <c r="AW8" s="189">
        <v>0</v>
      </c>
      <c r="AX8" s="189">
        <v>0</v>
      </c>
      <c r="AY8" s="189">
        <v>0</v>
      </c>
      <c r="AZ8" s="189">
        <v>0</v>
      </c>
      <c r="BA8" s="189">
        <v>0</v>
      </c>
      <c r="BB8" s="189">
        <v>0</v>
      </c>
      <c r="BC8" s="189">
        <v>0</v>
      </c>
      <c r="BD8" s="189">
        <v>0</v>
      </c>
      <c r="BE8" s="189">
        <v>0</v>
      </c>
      <c r="BF8" s="189">
        <v>0</v>
      </c>
      <c r="BG8" s="189">
        <v>0</v>
      </c>
      <c r="BH8" s="189">
        <v>0</v>
      </c>
      <c r="BI8" s="189">
        <v>0</v>
      </c>
      <c r="BJ8" s="189">
        <v>0</v>
      </c>
      <c r="BK8" s="189">
        <v>0</v>
      </c>
      <c r="BL8" s="189">
        <v>0</v>
      </c>
      <c r="BM8" s="189">
        <v>0</v>
      </c>
      <c r="BN8" s="189">
        <v>0</v>
      </c>
      <c r="BO8" s="189">
        <v>0</v>
      </c>
      <c r="BP8" s="189">
        <v>0</v>
      </c>
      <c r="BQ8" s="189">
        <v>0</v>
      </c>
      <c r="BR8" s="189">
        <v>0</v>
      </c>
      <c r="BS8" s="189">
        <v>0</v>
      </c>
      <c r="BT8" s="189">
        <v>0</v>
      </c>
      <c r="BU8" s="189">
        <v>0</v>
      </c>
      <c r="BV8" s="189">
        <v>0</v>
      </c>
      <c r="BW8" s="189">
        <v>0</v>
      </c>
      <c r="BX8" s="189">
        <v>0</v>
      </c>
      <c r="BY8" s="189">
        <v>0</v>
      </c>
      <c r="BZ8" s="189">
        <v>0</v>
      </c>
      <c r="CA8" s="189">
        <v>0</v>
      </c>
      <c r="CB8" s="189">
        <v>0</v>
      </c>
      <c r="CC8" s="189">
        <v>0</v>
      </c>
      <c r="CD8" s="189">
        <v>0</v>
      </c>
      <c r="CE8" s="189">
        <v>0</v>
      </c>
      <c r="CF8" s="189"/>
      <c r="CG8" s="189"/>
      <c r="CH8" s="189"/>
      <c r="CI8" s="189"/>
      <c r="CJ8" s="189"/>
      <c r="CK8" s="189"/>
      <c r="CL8" s="189"/>
    </row>
    <row r="9" spans="1:90">
      <c r="A9" s="17" t="s">
        <v>6</v>
      </c>
      <c r="B9" s="189">
        <v>0</v>
      </c>
      <c r="C9" s="189">
        <v>0</v>
      </c>
      <c r="D9" s="189">
        <v>0</v>
      </c>
      <c r="E9" s="189">
        <v>0</v>
      </c>
      <c r="F9" s="189">
        <v>0</v>
      </c>
      <c r="G9" s="189">
        <v>0</v>
      </c>
      <c r="H9" s="189">
        <v>0</v>
      </c>
      <c r="I9" s="189">
        <v>0</v>
      </c>
      <c r="J9" s="189">
        <v>0</v>
      </c>
      <c r="K9" s="189">
        <v>0</v>
      </c>
      <c r="L9" s="189">
        <v>0</v>
      </c>
      <c r="M9" s="189">
        <v>0</v>
      </c>
      <c r="N9" s="189">
        <v>0</v>
      </c>
      <c r="O9" s="189">
        <v>0</v>
      </c>
      <c r="P9" s="189">
        <v>0</v>
      </c>
      <c r="Q9" s="189">
        <v>0</v>
      </c>
      <c r="R9" s="189">
        <v>0</v>
      </c>
      <c r="S9" s="189">
        <v>0</v>
      </c>
      <c r="T9" s="189">
        <v>0</v>
      </c>
      <c r="U9" s="189">
        <v>0</v>
      </c>
      <c r="V9" s="189">
        <v>0</v>
      </c>
      <c r="W9" s="189">
        <v>0</v>
      </c>
      <c r="X9" s="189">
        <v>0</v>
      </c>
      <c r="Y9" s="189">
        <v>0</v>
      </c>
      <c r="Z9" s="189">
        <v>0</v>
      </c>
      <c r="AA9" s="189">
        <v>0</v>
      </c>
      <c r="AB9" s="189">
        <v>0</v>
      </c>
      <c r="AC9" s="189">
        <v>0</v>
      </c>
      <c r="AD9" s="189">
        <v>0</v>
      </c>
      <c r="AE9" s="189">
        <v>0</v>
      </c>
      <c r="AF9" s="189">
        <v>0</v>
      </c>
      <c r="AG9" s="189">
        <v>0</v>
      </c>
      <c r="AH9" s="189">
        <v>0</v>
      </c>
      <c r="AI9" s="189">
        <v>0</v>
      </c>
      <c r="AJ9" s="189">
        <v>0</v>
      </c>
      <c r="AK9" s="189">
        <v>0</v>
      </c>
      <c r="AL9" s="189">
        <v>0</v>
      </c>
      <c r="AM9" s="189">
        <v>0</v>
      </c>
      <c r="AN9" s="189">
        <v>0</v>
      </c>
      <c r="AO9" s="189">
        <v>0</v>
      </c>
      <c r="AP9" s="189">
        <v>0</v>
      </c>
      <c r="AQ9" s="189">
        <v>0</v>
      </c>
      <c r="AR9" s="189">
        <v>0</v>
      </c>
      <c r="AS9" s="189">
        <v>0</v>
      </c>
      <c r="AT9" s="189">
        <v>0</v>
      </c>
      <c r="AU9" s="189">
        <v>0</v>
      </c>
      <c r="AV9" s="189">
        <v>0</v>
      </c>
      <c r="AW9" s="189">
        <v>0</v>
      </c>
      <c r="AX9" s="189">
        <v>0</v>
      </c>
      <c r="AY9" s="189">
        <v>0</v>
      </c>
      <c r="AZ9" s="189">
        <v>0</v>
      </c>
      <c r="BA9" s="189">
        <v>0</v>
      </c>
      <c r="BB9" s="189">
        <v>0</v>
      </c>
      <c r="BC9" s="189">
        <v>0</v>
      </c>
      <c r="BD9" s="189">
        <v>0</v>
      </c>
      <c r="BE9" s="189">
        <v>0</v>
      </c>
      <c r="BF9" s="189">
        <v>0</v>
      </c>
      <c r="BG9" s="189">
        <v>0</v>
      </c>
      <c r="BH9" s="189">
        <v>0</v>
      </c>
      <c r="BI9" s="189">
        <v>0</v>
      </c>
      <c r="BJ9" s="189">
        <v>0</v>
      </c>
      <c r="BK9" s="189">
        <v>0</v>
      </c>
      <c r="BL9" s="189">
        <v>4661.6000000000004</v>
      </c>
      <c r="BM9" s="189">
        <v>0</v>
      </c>
      <c r="BN9" s="189">
        <v>0</v>
      </c>
      <c r="BO9" s="189">
        <v>4661.6000000000004</v>
      </c>
      <c r="BP9" s="189">
        <v>4661.6000000000004</v>
      </c>
      <c r="BQ9" s="189">
        <v>4661.6000000000004</v>
      </c>
      <c r="BR9" s="189">
        <v>4661.6000000000004</v>
      </c>
      <c r="BS9" s="189">
        <v>4661.6000000000004</v>
      </c>
      <c r="BT9" s="189">
        <v>4661.6000000000004</v>
      </c>
      <c r="BU9" s="189">
        <v>0</v>
      </c>
      <c r="BV9" s="189">
        <v>4661.6000000000004</v>
      </c>
      <c r="BW9" s="189">
        <v>0</v>
      </c>
      <c r="BX9" s="189">
        <v>0</v>
      </c>
      <c r="BY9" s="189">
        <v>0</v>
      </c>
      <c r="BZ9" s="189">
        <v>0</v>
      </c>
      <c r="CA9" s="189">
        <v>0</v>
      </c>
      <c r="CB9" s="189">
        <v>0</v>
      </c>
      <c r="CC9" s="189">
        <v>0</v>
      </c>
      <c r="CD9" s="189">
        <v>0</v>
      </c>
      <c r="CE9" s="189">
        <v>0</v>
      </c>
      <c r="CF9" s="189"/>
      <c r="CG9" s="189"/>
      <c r="CH9" s="189"/>
      <c r="CI9" s="189"/>
      <c r="CJ9" s="189"/>
      <c r="CK9" s="189"/>
      <c r="CL9" s="189"/>
    </row>
    <row r="10" spans="1:90">
      <c r="A10" s="19" t="s">
        <v>7</v>
      </c>
      <c r="B10" s="189">
        <v>993633007.82000005</v>
      </c>
      <c r="C10" s="189">
        <v>1349143463.5599999</v>
      </c>
      <c r="D10" s="189">
        <v>2390052056.3499999</v>
      </c>
      <c r="E10" s="189">
        <v>2412776661.79</v>
      </c>
      <c r="F10" s="189">
        <v>2440418238.3200002</v>
      </c>
      <c r="G10" s="189">
        <v>2468778241.6100001</v>
      </c>
      <c r="H10" s="189">
        <v>2494713172.7199998</v>
      </c>
      <c r="I10" s="189">
        <v>379193639.61000001</v>
      </c>
      <c r="J10" s="189">
        <v>384473764.05000001</v>
      </c>
      <c r="K10" s="189">
        <v>389889762.13</v>
      </c>
      <c r="L10" s="189">
        <v>393438313.41000003</v>
      </c>
      <c r="M10" s="189">
        <v>398662773.93000001</v>
      </c>
      <c r="N10" s="189">
        <v>403887234.44999999</v>
      </c>
      <c r="O10" s="189">
        <v>397376707.20999998</v>
      </c>
      <c r="P10" s="189">
        <v>402266037.57999998</v>
      </c>
      <c r="Q10" s="189">
        <v>407155367.94999999</v>
      </c>
      <c r="R10" s="189">
        <v>412044698.31999999</v>
      </c>
      <c r="S10" s="189">
        <v>416934028.69</v>
      </c>
      <c r="T10" s="189">
        <v>421823359.06</v>
      </c>
      <c r="U10" s="189">
        <v>426712689.43000001</v>
      </c>
      <c r="V10" s="189">
        <v>431602019.80000001</v>
      </c>
      <c r="W10" s="189">
        <v>436491350.17000002</v>
      </c>
      <c r="X10" s="189">
        <v>441380680.54000002</v>
      </c>
      <c r="Y10" s="189">
        <v>446528564.32999998</v>
      </c>
      <c r="Z10" s="189">
        <v>0</v>
      </c>
      <c r="AA10" s="189">
        <v>0</v>
      </c>
      <c r="AB10" s="189">
        <v>0</v>
      </c>
      <c r="AC10" s="189">
        <v>0</v>
      </c>
      <c r="AD10" s="189">
        <v>0</v>
      </c>
      <c r="AE10" s="189">
        <v>0</v>
      </c>
      <c r="AF10" s="189">
        <v>0</v>
      </c>
      <c r="AG10" s="189">
        <v>0</v>
      </c>
      <c r="AH10" s="189">
        <v>0</v>
      </c>
      <c r="AI10" s="189">
        <v>0</v>
      </c>
      <c r="AJ10" s="189">
        <v>0</v>
      </c>
      <c r="AK10" s="189">
        <v>59758183.649999999</v>
      </c>
      <c r="AL10" s="189">
        <v>60596591.159999996</v>
      </c>
      <c r="AM10" s="189">
        <v>61434998.670000002</v>
      </c>
      <c r="AN10" s="189">
        <v>62273406.18</v>
      </c>
      <c r="AO10" s="189">
        <v>63111813.689999998</v>
      </c>
      <c r="AP10" s="189">
        <v>63950221.200000003</v>
      </c>
      <c r="AQ10" s="189">
        <v>64788628.710000001</v>
      </c>
      <c r="AR10" s="189">
        <v>65627853.420000002</v>
      </c>
      <c r="AS10" s="189">
        <v>66468310.229999997</v>
      </c>
      <c r="AT10" s="189">
        <v>67308767.040000007</v>
      </c>
      <c r="AU10" s="189">
        <v>68148421.599999994</v>
      </c>
      <c r="AV10" s="189">
        <v>69861499.989999995</v>
      </c>
      <c r="AW10" s="189">
        <v>77819538.180000007</v>
      </c>
      <c r="AX10" s="189">
        <v>0</v>
      </c>
      <c r="AY10" s="189">
        <v>0</v>
      </c>
      <c r="AZ10" s="189">
        <v>0</v>
      </c>
      <c r="BA10" s="189">
        <v>0</v>
      </c>
      <c r="BB10" s="189">
        <v>0</v>
      </c>
      <c r="BC10" s="189">
        <v>0</v>
      </c>
      <c r="BD10" s="189">
        <v>0</v>
      </c>
      <c r="BE10" s="189">
        <v>0</v>
      </c>
      <c r="BF10" s="189">
        <v>0</v>
      </c>
      <c r="BG10" s="189">
        <v>0</v>
      </c>
      <c r="BH10" s="189">
        <v>0</v>
      </c>
      <c r="BI10" s="189">
        <v>0</v>
      </c>
      <c r="BJ10" s="189">
        <v>0</v>
      </c>
      <c r="BK10" s="189">
        <v>0</v>
      </c>
      <c r="BL10" s="189">
        <v>0</v>
      </c>
      <c r="BM10" s="189">
        <v>0</v>
      </c>
      <c r="BN10" s="189">
        <v>0</v>
      </c>
      <c r="BO10" s="189">
        <v>0</v>
      </c>
      <c r="BP10" s="189">
        <v>0</v>
      </c>
      <c r="BQ10" s="189">
        <v>0</v>
      </c>
      <c r="BR10" s="189">
        <v>0</v>
      </c>
      <c r="BS10" s="189">
        <v>0</v>
      </c>
      <c r="BT10" s="189">
        <v>0</v>
      </c>
      <c r="BU10" s="189">
        <v>0</v>
      </c>
      <c r="BV10" s="189">
        <v>0</v>
      </c>
      <c r="BW10" s="189">
        <v>0</v>
      </c>
      <c r="BX10" s="189">
        <v>0</v>
      </c>
      <c r="BY10" s="189">
        <v>0</v>
      </c>
      <c r="BZ10" s="189">
        <v>0</v>
      </c>
      <c r="CA10" s="189">
        <v>0</v>
      </c>
      <c r="CB10" s="189">
        <v>0</v>
      </c>
      <c r="CC10" s="189">
        <v>0</v>
      </c>
      <c r="CD10" s="189">
        <v>0</v>
      </c>
      <c r="CE10" s="189">
        <v>0</v>
      </c>
      <c r="CF10" s="189"/>
      <c r="CG10" s="189"/>
      <c r="CH10" s="189"/>
      <c r="CI10" s="189"/>
      <c r="CJ10" s="189"/>
      <c r="CK10" s="189"/>
      <c r="CL10" s="189"/>
    </row>
    <row r="11" spans="1:90">
      <c r="A11" s="17" t="s">
        <v>8</v>
      </c>
      <c r="B11" s="189">
        <v>0</v>
      </c>
      <c r="C11" s="189">
        <v>0</v>
      </c>
      <c r="D11" s="189">
        <v>0</v>
      </c>
      <c r="E11" s="189">
        <v>0</v>
      </c>
      <c r="F11" s="189">
        <v>0</v>
      </c>
      <c r="G11" s="189">
        <v>0</v>
      </c>
      <c r="H11" s="189">
        <v>0</v>
      </c>
      <c r="I11" s="189">
        <v>0</v>
      </c>
      <c r="J11" s="189">
        <v>0</v>
      </c>
      <c r="K11" s="189">
        <v>0</v>
      </c>
      <c r="L11" s="189">
        <v>0</v>
      </c>
      <c r="M11" s="189">
        <v>0</v>
      </c>
      <c r="N11" s="189">
        <v>0</v>
      </c>
      <c r="O11" s="189">
        <v>0</v>
      </c>
      <c r="P11" s="189">
        <v>0</v>
      </c>
      <c r="Q11" s="189">
        <v>0</v>
      </c>
      <c r="R11" s="189">
        <v>0</v>
      </c>
      <c r="S11" s="189">
        <v>0</v>
      </c>
      <c r="T11" s="189">
        <v>0</v>
      </c>
      <c r="U11" s="189">
        <v>0</v>
      </c>
      <c r="V11" s="189">
        <v>0</v>
      </c>
      <c r="W11" s="189">
        <v>0</v>
      </c>
      <c r="X11" s="189">
        <v>0</v>
      </c>
      <c r="Y11" s="189">
        <v>0</v>
      </c>
      <c r="Z11" s="189">
        <v>0</v>
      </c>
      <c r="AA11" s="189">
        <v>0</v>
      </c>
      <c r="AB11" s="189">
        <v>0</v>
      </c>
      <c r="AC11" s="189">
        <v>0</v>
      </c>
      <c r="AD11" s="189">
        <v>0</v>
      </c>
      <c r="AE11" s="189">
        <v>0</v>
      </c>
      <c r="AF11" s="189">
        <v>0</v>
      </c>
      <c r="AG11" s="189">
        <v>0</v>
      </c>
      <c r="AH11" s="189">
        <v>0</v>
      </c>
      <c r="AI11" s="189">
        <v>0</v>
      </c>
      <c r="AJ11" s="189">
        <v>0</v>
      </c>
      <c r="AK11" s="189">
        <v>0</v>
      </c>
      <c r="AL11" s="189">
        <v>0</v>
      </c>
      <c r="AM11" s="189">
        <v>0</v>
      </c>
      <c r="AN11" s="189">
        <v>0</v>
      </c>
      <c r="AO11" s="189">
        <v>0</v>
      </c>
      <c r="AP11" s="189">
        <v>0</v>
      </c>
      <c r="AQ11" s="189">
        <v>0</v>
      </c>
      <c r="AR11" s="189">
        <v>0</v>
      </c>
      <c r="AS11" s="189">
        <v>0</v>
      </c>
      <c r="AT11" s="189">
        <v>0</v>
      </c>
      <c r="AU11" s="189">
        <v>0</v>
      </c>
      <c r="AV11" s="189">
        <v>0</v>
      </c>
      <c r="AW11" s="189">
        <v>0</v>
      </c>
      <c r="AX11" s="189">
        <v>0</v>
      </c>
      <c r="AY11" s="189">
        <v>0</v>
      </c>
      <c r="AZ11" s="189">
        <v>0</v>
      </c>
      <c r="BA11" s="189">
        <v>521280</v>
      </c>
      <c r="BB11" s="189">
        <v>521280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0</v>
      </c>
      <c r="BU11" s="189">
        <v>0</v>
      </c>
      <c r="BV11" s="189">
        <v>0</v>
      </c>
      <c r="BW11" s="189">
        <v>0</v>
      </c>
      <c r="BX11" s="189">
        <v>0</v>
      </c>
      <c r="BY11" s="189">
        <v>0</v>
      </c>
      <c r="BZ11" s="189">
        <v>0</v>
      </c>
      <c r="CA11" s="189">
        <v>0</v>
      </c>
      <c r="CB11" s="189">
        <v>0</v>
      </c>
      <c r="CC11" s="189">
        <v>0</v>
      </c>
      <c r="CD11" s="189">
        <v>0</v>
      </c>
      <c r="CE11" s="189">
        <v>0</v>
      </c>
      <c r="CF11" s="189"/>
      <c r="CG11" s="189"/>
      <c r="CH11" s="189"/>
      <c r="CI11" s="189"/>
      <c r="CJ11" s="189"/>
      <c r="CK11" s="189"/>
      <c r="CL11" s="189"/>
    </row>
    <row r="12" spans="1:90">
      <c r="A12" s="17" t="s">
        <v>9</v>
      </c>
      <c r="B12" s="189">
        <v>0</v>
      </c>
      <c r="C12" s="189">
        <v>0</v>
      </c>
      <c r="D12" s="189">
        <v>0</v>
      </c>
      <c r="E12" s="189">
        <v>0</v>
      </c>
      <c r="F12" s="189">
        <v>0</v>
      </c>
      <c r="G12" s="189">
        <v>0</v>
      </c>
      <c r="H12" s="189">
        <v>0</v>
      </c>
      <c r="I12" s="189">
        <v>0</v>
      </c>
      <c r="J12" s="189">
        <v>0</v>
      </c>
      <c r="K12" s="189">
        <v>0</v>
      </c>
      <c r="L12" s="189">
        <v>0</v>
      </c>
      <c r="M12" s="189">
        <v>0</v>
      </c>
      <c r="N12" s="189">
        <v>0</v>
      </c>
      <c r="O12" s="189">
        <v>0</v>
      </c>
      <c r="P12" s="189">
        <v>0</v>
      </c>
      <c r="Q12" s="189">
        <v>0</v>
      </c>
      <c r="R12" s="189">
        <v>0</v>
      </c>
      <c r="S12" s="189">
        <v>0</v>
      </c>
      <c r="T12" s="189">
        <v>0</v>
      </c>
      <c r="U12" s="189">
        <v>0</v>
      </c>
      <c r="V12" s="189">
        <v>0</v>
      </c>
      <c r="W12" s="189">
        <v>0</v>
      </c>
      <c r="X12" s="189">
        <v>0</v>
      </c>
      <c r="Y12" s="189">
        <v>0</v>
      </c>
      <c r="Z12" s="189">
        <v>0</v>
      </c>
      <c r="AA12" s="189">
        <v>0</v>
      </c>
      <c r="AB12" s="189">
        <v>0</v>
      </c>
      <c r="AC12" s="189">
        <v>0</v>
      </c>
      <c r="AD12" s="189">
        <v>0</v>
      </c>
      <c r="AE12" s="189">
        <v>0</v>
      </c>
      <c r="AF12" s="189">
        <v>0</v>
      </c>
      <c r="AG12" s="189">
        <v>0</v>
      </c>
      <c r="AH12" s="189">
        <v>0</v>
      </c>
      <c r="AI12" s="189">
        <v>0</v>
      </c>
      <c r="AJ12" s="189">
        <v>0</v>
      </c>
      <c r="AK12" s="189">
        <v>0</v>
      </c>
      <c r="AL12" s="189">
        <v>0</v>
      </c>
      <c r="AM12" s="189">
        <v>0</v>
      </c>
      <c r="AN12" s="189">
        <v>0</v>
      </c>
      <c r="AO12" s="189">
        <v>0</v>
      </c>
      <c r="AP12" s="189">
        <v>0</v>
      </c>
      <c r="AQ12" s="189">
        <v>0</v>
      </c>
      <c r="AR12" s="189">
        <v>0</v>
      </c>
      <c r="AS12" s="189">
        <v>0</v>
      </c>
      <c r="AT12" s="189">
        <v>0</v>
      </c>
      <c r="AU12" s="189">
        <v>0</v>
      </c>
      <c r="AV12" s="189">
        <v>0</v>
      </c>
      <c r="AW12" s="189">
        <v>0</v>
      </c>
      <c r="AX12" s="189">
        <v>0</v>
      </c>
      <c r="AY12" s="189">
        <v>0</v>
      </c>
      <c r="AZ12" s="189">
        <v>0</v>
      </c>
      <c r="BA12" s="189">
        <v>0</v>
      </c>
      <c r="BB12" s="189">
        <v>0</v>
      </c>
      <c r="BC12" s="189">
        <v>0</v>
      </c>
      <c r="BD12" s="189">
        <v>0</v>
      </c>
      <c r="BE12" s="189">
        <v>0</v>
      </c>
      <c r="BF12" s="189">
        <v>0</v>
      </c>
      <c r="BG12" s="189">
        <v>0</v>
      </c>
      <c r="BH12" s="189">
        <v>0</v>
      </c>
      <c r="BI12" s="189">
        <v>0</v>
      </c>
      <c r="BJ12" s="189">
        <v>0</v>
      </c>
      <c r="BK12" s="189">
        <v>0</v>
      </c>
      <c r="BL12" s="189">
        <v>0</v>
      </c>
      <c r="BM12" s="189">
        <v>0</v>
      </c>
      <c r="BN12" s="189">
        <v>0</v>
      </c>
      <c r="BO12" s="189">
        <v>0</v>
      </c>
      <c r="BP12" s="189">
        <v>0</v>
      </c>
      <c r="BQ12" s="189">
        <v>0</v>
      </c>
      <c r="BR12" s="189">
        <v>0</v>
      </c>
      <c r="BS12" s="189">
        <v>0</v>
      </c>
      <c r="BT12" s="189">
        <v>0</v>
      </c>
      <c r="BU12" s="189">
        <v>0</v>
      </c>
      <c r="BV12" s="189">
        <v>0</v>
      </c>
      <c r="BW12" s="189">
        <v>0</v>
      </c>
      <c r="BX12" s="189">
        <v>0</v>
      </c>
      <c r="BY12" s="189">
        <v>0</v>
      </c>
      <c r="BZ12" s="189">
        <v>0</v>
      </c>
      <c r="CA12" s="189">
        <v>0</v>
      </c>
      <c r="CB12" s="189">
        <v>0</v>
      </c>
      <c r="CC12" s="189">
        <v>0</v>
      </c>
      <c r="CD12" s="189">
        <v>0</v>
      </c>
      <c r="CE12" s="189">
        <v>0</v>
      </c>
      <c r="CF12" s="189"/>
      <c r="CG12" s="189"/>
      <c r="CH12" s="189"/>
      <c r="CI12" s="189"/>
      <c r="CJ12" s="189"/>
      <c r="CK12" s="189"/>
      <c r="CL12" s="189"/>
    </row>
    <row r="13" spans="1:90">
      <c r="A13" s="17" t="s">
        <v>10</v>
      </c>
      <c r="B13" s="189">
        <v>0</v>
      </c>
      <c r="C13" s="189">
        <v>0</v>
      </c>
      <c r="D13" s="189">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89">
        <v>0</v>
      </c>
      <c r="W13" s="189">
        <v>0</v>
      </c>
      <c r="X13" s="189">
        <v>0</v>
      </c>
      <c r="Y13" s="189">
        <v>0</v>
      </c>
      <c r="Z13" s="189">
        <v>0</v>
      </c>
      <c r="AA13" s="189">
        <v>0</v>
      </c>
      <c r="AB13" s="189">
        <v>0</v>
      </c>
      <c r="AC13" s="189">
        <v>0</v>
      </c>
      <c r="AD13" s="189">
        <v>0</v>
      </c>
      <c r="AE13" s="189">
        <v>0</v>
      </c>
      <c r="AF13" s="189">
        <v>0</v>
      </c>
      <c r="AG13" s="189">
        <v>0</v>
      </c>
      <c r="AH13" s="189">
        <v>0</v>
      </c>
      <c r="AI13" s="189">
        <v>0</v>
      </c>
      <c r="AJ13" s="189">
        <v>0</v>
      </c>
      <c r="AK13" s="189">
        <v>0</v>
      </c>
      <c r="AL13" s="189">
        <v>0</v>
      </c>
      <c r="AM13" s="189">
        <v>0</v>
      </c>
      <c r="AN13" s="189">
        <v>0</v>
      </c>
      <c r="AO13" s="189">
        <v>0</v>
      </c>
      <c r="AP13" s="189">
        <v>0</v>
      </c>
      <c r="AQ13" s="189">
        <v>0</v>
      </c>
      <c r="AR13" s="189">
        <v>0</v>
      </c>
      <c r="AS13" s="189">
        <v>0</v>
      </c>
      <c r="AT13" s="189">
        <v>0</v>
      </c>
      <c r="AU13" s="189">
        <v>0</v>
      </c>
      <c r="AV13" s="189">
        <v>0</v>
      </c>
      <c r="AW13" s="189">
        <v>0</v>
      </c>
      <c r="AX13" s="189">
        <v>0</v>
      </c>
      <c r="AY13" s="189">
        <v>0</v>
      </c>
      <c r="AZ13" s="189">
        <v>0</v>
      </c>
      <c r="BA13" s="189">
        <v>0</v>
      </c>
      <c r="BB13" s="189">
        <v>0</v>
      </c>
      <c r="BC13" s="189">
        <v>0</v>
      </c>
      <c r="BD13" s="189">
        <v>0</v>
      </c>
      <c r="BE13" s="189">
        <v>0</v>
      </c>
      <c r="BF13" s="189">
        <v>0</v>
      </c>
      <c r="BG13" s="189">
        <v>0</v>
      </c>
      <c r="BH13" s="189">
        <v>0</v>
      </c>
      <c r="BI13" s="189">
        <v>0</v>
      </c>
      <c r="BJ13" s="189">
        <v>0</v>
      </c>
      <c r="BK13" s="189">
        <v>0</v>
      </c>
      <c r="BL13" s="189">
        <v>0</v>
      </c>
      <c r="BM13" s="189">
        <v>0</v>
      </c>
      <c r="BN13" s="189">
        <v>0</v>
      </c>
      <c r="BO13" s="189">
        <v>0</v>
      </c>
      <c r="BP13" s="189">
        <v>0</v>
      </c>
      <c r="BQ13" s="189">
        <v>0</v>
      </c>
      <c r="BR13" s="189">
        <v>0</v>
      </c>
      <c r="BS13" s="189">
        <v>0</v>
      </c>
      <c r="BT13" s="189">
        <v>0</v>
      </c>
      <c r="BU13" s="189">
        <v>0</v>
      </c>
      <c r="BV13" s="189">
        <v>0</v>
      </c>
      <c r="BW13" s="189">
        <v>0</v>
      </c>
      <c r="BX13" s="189">
        <v>0</v>
      </c>
      <c r="BY13" s="189">
        <v>0</v>
      </c>
      <c r="BZ13" s="189">
        <v>0</v>
      </c>
      <c r="CA13" s="189">
        <v>0</v>
      </c>
      <c r="CB13" s="189">
        <v>0</v>
      </c>
      <c r="CC13" s="189">
        <v>0</v>
      </c>
      <c r="CD13" s="189">
        <v>0</v>
      </c>
      <c r="CE13" s="189">
        <v>0</v>
      </c>
      <c r="CF13" s="189"/>
      <c r="CG13" s="189"/>
      <c r="CH13" s="189"/>
      <c r="CI13" s="189"/>
      <c r="CJ13" s="189"/>
      <c r="CK13" s="189"/>
      <c r="CL13" s="189"/>
    </row>
    <row r="14" spans="1:90" ht="14.45" hidden="1">
      <c r="B14" s="26"/>
      <c r="C14" s="26"/>
      <c r="D14" s="26"/>
      <c r="E14" s="26"/>
      <c r="F14" s="26"/>
      <c r="G14" s="26"/>
      <c r="H14" s="26"/>
      <c r="I14" s="26"/>
      <c r="J14" s="26"/>
      <c r="K14" s="26"/>
      <c r="L14" s="23"/>
    </row>
    <row r="15" spans="1:90" ht="14.45" hidden="1">
      <c r="B15" s="26"/>
      <c r="C15" s="26"/>
      <c r="D15" s="26"/>
      <c r="E15" s="26"/>
      <c r="F15" s="26"/>
      <c r="G15" s="26"/>
      <c r="H15" s="26"/>
      <c r="I15" s="26"/>
      <c r="J15" s="26"/>
      <c r="K15" s="26"/>
      <c r="L15" s="23"/>
    </row>
    <row r="16" spans="1:90" ht="14.45" hidden="1">
      <c r="B16" s="26"/>
      <c r="C16" s="26"/>
      <c r="D16" s="26"/>
      <c r="E16" s="26"/>
      <c r="F16" s="26"/>
      <c r="G16" s="26"/>
      <c r="H16" s="26"/>
      <c r="I16" s="26"/>
      <c r="J16" s="26"/>
      <c r="K16" s="26"/>
      <c r="L16" s="23"/>
    </row>
    <row r="17" spans="1:90" s="5" customFormat="1">
      <c r="A17" s="121" t="s">
        <v>11</v>
      </c>
      <c r="B17" s="33">
        <f>SUM(B4:B13)</f>
        <v>3474954355.77</v>
      </c>
      <c r="C17" s="33">
        <f t="shared" ref="C17:BN17" si="0">SUM(C4:C13)</f>
        <v>3711418286.79</v>
      </c>
      <c r="D17" s="33">
        <f t="shared" si="0"/>
        <v>3062837873.3099999</v>
      </c>
      <c r="E17" s="33">
        <f t="shared" si="0"/>
        <v>3086145247.04</v>
      </c>
      <c r="F17" s="33">
        <f t="shared" si="0"/>
        <v>3130941727.75</v>
      </c>
      <c r="G17" s="33">
        <f t="shared" si="0"/>
        <v>3143892286.5100002</v>
      </c>
      <c r="H17" s="33">
        <f t="shared" si="0"/>
        <v>3627633435.2599998</v>
      </c>
      <c r="I17" s="33">
        <f t="shared" si="0"/>
        <v>891290968.5</v>
      </c>
      <c r="J17" s="33">
        <f t="shared" si="0"/>
        <v>1007846843.6700001</v>
      </c>
      <c r="K17" s="33">
        <f t="shared" si="0"/>
        <v>817467546.49000001</v>
      </c>
      <c r="L17" s="33">
        <f t="shared" si="0"/>
        <v>877241858.67000008</v>
      </c>
      <c r="M17" s="33">
        <f t="shared" si="0"/>
        <v>944885842.45000005</v>
      </c>
      <c r="N17" s="33">
        <f t="shared" si="0"/>
        <v>1028552394.4100001</v>
      </c>
      <c r="O17" s="33">
        <f t="shared" si="0"/>
        <v>1008939302.1200001</v>
      </c>
      <c r="P17" s="33">
        <f t="shared" si="0"/>
        <v>1127677055.6600001</v>
      </c>
      <c r="Q17" s="33">
        <f t="shared" si="0"/>
        <v>970747395.41000009</v>
      </c>
      <c r="R17" s="33">
        <f t="shared" si="0"/>
        <v>1066353724.99</v>
      </c>
      <c r="S17" s="33">
        <f t="shared" si="0"/>
        <v>1082385381.3800001</v>
      </c>
      <c r="T17" s="33">
        <f t="shared" si="0"/>
        <v>923631726.19000006</v>
      </c>
      <c r="U17" s="33">
        <f t="shared" si="0"/>
        <v>906581059.05999994</v>
      </c>
      <c r="V17" s="33">
        <f t="shared" si="0"/>
        <v>981185999.45000005</v>
      </c>
      <c r="W17" s="33">
        <f t="shared" si="0"/>
        <v>950235560.44000006</v>
      </c>
      <c r="X17" s="33">
        <f t="shared" si="0"/>
        <v>955146589.06999993</v>
      </c>
      <c r="Y17" s="33">
        <f t="shared" si="0"/>
        <v>1105189211.3499999</v>
      </c>
      <c r="Z17" s="33">
        <f t="shared" si="0"/>
        <v>494398377.69</v>
      </c>
      <c r="AA17" s="33">
        <f t="shared" si="0"/>
        <v>404503143.63</v>
      </c>
      <c r="AB17" s="33">
        <f t="shared" si="0"/>
        <v>356480597</v>
      </c>
      <c r="AC17" s="33">
        <f t="shared" si="0"/>
        <v>403303556.31999999</v>
      </c>
      <c r="AD17" s="33">
        <f t="shared" si="0"/>
        <v>379875420.54000002</v>
      </c>
      <c r="AE17" s="33">
        <f t="shared" si="0"/>
        <v>277455824.85000002</v>
      </c>
      <c r="AF17" s="33">
        <f t="shared" si="0"/>
        <v>222222532.72999999</v>
      </c>
      <c r="AG17" s="33">
        <f t="shared" si="0"/>
        <v>219605497.69999999</v>
      </c>
      <c r="AH17" s="33">
        <f t="shared" si="0"/>
        <v>241093108.11000001</v>
      </c>
      <c r="AI17" s="33">
        <f t="shared" si="0"/>
        <v>157189312.25999999</v>
      </c>
      <c r="AJ17" s="33">
        <f t="shared" si="0"/>
        <v>159798398.13</v>
      </c>
      <c r="AK17" s="33">
        <f t="shared" si="0"/>
        <v>222167646.14000002</v>
      </c>
      <c r="AL17" s="33">
        <f t="shared" si="0"/>
        <v>254431927.96000001</v>
      </c>
      <c r="AM17" s="33">
        <f t="shared" si="0"/>
        <v>255145661.04000002</v>
      </c>
      <c r="AN17" s="33">
        <f t="shared" si="0"/>
        <v>165865458.30000001</v>
      </c>
      <c r="AO17" s="33">
        <f t="shared" si="0"/>
        <v>252394322.06999999</v>
      </c>
      <c r="AP17" s="33">
        <f t="shared" si="0"/>
        <v>215389547.07999998</v>
      </c>
      <c r="AQ17" s="33">
        <f t="shared" si="0"/>
        <v>153971200.37</v>
      </c>
      <c r="AR17" s="33">
        <f t="shared" si="0"/>
        <v>164902617.98000002</v>
      </c>
      <c r="AS17" s="33">
        <f t="shared" si="0"/>
        <v>322398355.67000002</v>
      </c>
      <c r="AT17" s="33">
        <f t="shared" si="0"/>
        <v>249567634.12</v>
      </c>
      <c r="AU17" s="33">
        <f t="shared" si="0"/>
        <v>236591794.66</v>
      </c>
      <c r="AV17" s="33">
        <f t="shared" si="0"/>
        <v>224057794.99000001</v>
      </c>
      <c r="AW17" s="33">
        <f t="shared" si="0"/>
        <v>232916402.18000001</v>
      </c>
      <c r="AX17" s="33">
        <f t="shared" si="0"/>
        <v>137857048.25999999</v>
      </c>
      <c r="AY17" s="33">
        <f t="shared" si="0"/>
        <v>104083187.73</v>
      </c>
      <c r="AZ17" s="33">
        <f t="shared" si="0"/>
        <v>114679741.56999999</v>
      </c>
      <c r="BA17" s="33">
        <f t="shared" si="0"/>
        <v>134260386.03</v>
      </c>
      <c r="BB17" s="33">
        <f t="shared" si="0"/>
        <v>117719727.73</v>
      </c>
      <c r="BC17" s="33">
        <f t="shared" si="0"/>
        <v>56070627.079999998</v>
      </c>
      <c r="BD17" s="33">
        <f t="shared" si="0"/>
        <v>32622918.09</v>
      </c>
      <c r="BE17" s="33">
        <f t="shared" si="0"/>
        <v>94584897.620000005</v>
      </c>
      <c r="BF17" s="33">
        <f t="shared" si="0"/>
        <v>61454766.240000002</v>
      </c>
      <c r="BG17" s="33">
        <f t="shared" si="0"/>
        <v>62006752.829999998</v>
      </c>
      <c r="BH17" s="33">
        <f t="shared" si="0"/>
        <v>32628408.469999999</v>
      </c>
      <c r="BI17" s="33">
        <f t="shared" si="0"/>
        <v>44781047.859999999</v>
      </c>
      <c r="BJ17" s="33">
        <f t="shared" si="0"/>
        <v>41074854.469999999</v>
      </c>
      <c r="BK17" s="33">
        <f t="shared" si="0"/>
        <v>62130508.920000002</v>
      </c>
      <c r="BL17" s="33">
        <f t="shared" si="0"/>
        <v>34609309.850000001</v>
      </c>
      <c r="BM17" s="33">
        <f t="shared" si="0"/>
        <v>55934764.140000001</v>
      </c>
      <c r="BN17" s="33">
        <f t="shared" si="0"/>
        <v>42314217.460000001</v>
      </c>
      <c r="BO17" s="33">
        <f t="shared" ref="BO17:CK17" si="1">SUM(BO4:BO13)</f>
        <v>43792336.660000004</v>
      </c>
      <c r="BP17" s="33">
        <f t="shared" si="1"/>
        <v>58194039.490000002</v>
      </c>
      <c r="BQ17" s="33">
        <f t="shared" si="1"/>
        <v>70030455.989999995</v>
      </c>
      <c r="BR17" s="33">
        <f t="shared" si="1"/>
        <v>63009457.240000002</v>
      </c>
      <c r="BS17" s="33">
        <f t="shared" si="1"/>
        <v>109622686.28999999</v>
      </c>
      <c r="BT17" s="33">
        <f t="shared" si="1"/>
        <v>114415758.05999999</v>
      </c>
      <c r="BU17" s="33">
        <f t="shared" si="1"/>
        <v>65424336.950000003</v>
      </c>
      <c r="BV17" s="33">
        <f t="shared" si="1"/>
        <v>67580308.579999983</v>
      </c>
      <c r="BW17" s="33">
        <f t="shared" si="1"/>
        <v>37029480.700000003</v>
      </c>
      <c r="BX17" s="33">
        <f t="shared" si="1"/>
        <v>19469405.809999999</v>
      </c>
      <c r="BY17" s="33">
        <f t="shared" si="1"/>
        <v>15652043.439999999</v>
      </c>
      <c r="BZ17" s="33">
        <f t="shared" si="1"/>
        <v>12445769.810000001</v>
      </c>
      <c r="CA17" s="33">
        <f t="shared" si="1"/>
        <v>0</v>
      </c>
      <c r="CB17" s="33">
        <f t="shared" si="1"/>
        <v>32221340.420000002</v>
      </c>
      <c r="CC17" s="33">
        <f t="shared" si="1"/>
        <v>22436951.84</v>
      </c>
      <c r="CD17" s="33">
        <f t="shared" si="1"/>
        <v>16158482.800000001</v>
      </c>
      <c r="CE17" s="33">
        <f t="shared" si="1"/>
        <v>0</v>
      </c>
      <c r="CF17" s="33">
        <f t="shared" si="1"/>
        <v>0</v>
      </c>
      <c r="CG17" s="33">
        <f t="shared" si="1"/>
        <v>0</v>
      </c>
      <c r="CH17" s="33">
        <f t="shared" si="1"/>
        <v>0</v>
      </c>
      <c r="CI17" s="33">
        <f t="shared" si="1"/>
        <v>0</v>
      </c>
      <c r="CJ17" s="33">
        <f t="shared" si="1"/>
        <v>0</v>
      </c>
      <c r="CK17" s="33">
        <f t="shared" si="1"/>
        <v>0</v>
      </c>
    </row>
    <row r="18" spans="1:90" s="11" customFormat="1">
      <c r="A18" s="122" t="s">
        <v>79</v>
      </c>
      <c r="B18" s="34"/>
      <c r="C18" s="34"/>
      <c r="D18" s="34"/>
      <c r="E18" s="34"/>
      <c r="F18" s="34"/>
      <c r="G18" s="34"/>
      <c r="H18" s="34"/>
      <c r="I18" s="34"/>
      <c r="J18" s="34"/>
      <c r="K18" s="34"/>
      <c r="L18" s="32"/>
      <c r="M18" s="14"/>
      <c r="N18" s="14"/>
    </row>
    <row r="19" spans="1:90" s="5" customFormat="1">
      <c r="A19" s="121" t="s">
        <v>78</v>
      </c>
      <c r="B19" s="189">
        <v>0</v>
      </c>
      <c r="C19" s="189">
        <v>0</v>
      </c>
      <c r="D19" s="189">
        <v>0</v>
      </c>
      <c r="E19" s="189">
        <v>0</v>
      </c>
      <c r="F19" s="189">
        <v>0</v>
      </c>
      <c r="G19" s="189">
        <v>0</v>
      </c>
      <c r="H19" s="189">
        <v>0</v>
      </c>
      <c r="I19" s="189">
        <v>0</v>
      </c>
      <c r="J19" s="189">
        <v>0</v>
      </c>
      <c r="K19" s="189">
        <v>0</v>
      </c>
      <c r="L19" s="189">
        <v>0</v>
      </c>
      <c r="M19" s="189">
        <v>0</v>
      </c>
      <c r="N19" s="189">
        <v>0</v>
      </c>
      <c r="O19" s="189">
        <v>0</v>
      </c>
      <c r="P19" s="189">
        <v>0</v>
      </c>
      <c r="Q19" s="189">
        <v>0</v>
      </c>
      <c r="R19" s="189">
        <v>0</v>
      </c>
      <c r="S19" s="189">
        <v>0</v>
      </c>
      <c r="T19" s="189">
        <v>86589600</v>
      </c>
      <c r="U19" s="189">
        <v>86589600</v>
      </c>
      <c r="V19" s="189">
        <v>86589600</v>
      </c>
      <c r="W19" s="189">
        <v>86589600</v>
      </c>
      <c r="X19" s="189">
        <v>59550000</v>
      </c>
      <c r="Y19" s="189">
        <v>59550000</v>
      </c>
      <c r="Z19" s="189">
        <v>59550000</v>
      </c>
      <c r="AA19" s="189">
        <v>59550000</v>
      </c>
      <c r="AB19" s="189">
        <v>59550000</v>
      </c>
      <c r="AC19" s="189">
        <v>59550000</v>
      </c>
      <c r="AD19" s="189">
        <v>59550000</v>
      </c>
      <c r="AE19" s="189">
        <v>59550000</v>
      </c>
      <c r="AF19" s="189">
        <v>59550000</v>
      </c>
      <c r="AG19" s="189">
        <v>59550000</v>
      </c>
      <c r="AH19" s="189">
        <v>59550000</v>
      </c>
      <c r="AI19" s="189">
        <v>50000</v>
      </c>
      <c r="AJ19" s="189">
        <v>157594199.66</v>
      </c>
      <c r="AK19" s="189">
        <v>171153989.25</v>
      </c>
      <c r="AL19" s="189">
        <v>171653959.53999999</v>
      </c>
      <c r="AM19" s="189">
        <v>146293681.12</v>
      </c>
      <c r="AN19" s="189">
        <v>145460768.13999999</v>
      </c>
      <c r="AO19" s="189">
        <v>143878716.81</v>
      </c>
      <c r="AP19" s="189">
        <v>144856865.37</v>
      </c>
      <c r="AQ19" s="189">
        <v>191435531.72</v>
      </c>
      <c r="AR19" s="189">
        <v>192011429.02000001</v>
      </c>
      <c r="AS19" s="189">
        <v>190543594.06</v>
      </c>
      <c r="AT19" s="189">
        <v>188717185.31999999</v>
      </c>
      <c r="AU19" s="189">
        <v>107536765.02</v>
      </c>
      <c r="AV19" s="189">
        <v>106969580.40000001</v>
      </c>
      <c r="AW19" s="189">
        <v>104763089.11</v>
      </c>
      <c r="AX19" s="189">
        <v>105882767.7</v>
      </c>
      <c r="AY19" s="189">
        <v>103470280.06999999</v>
      </c>
      <c r="AZ19" s="189">
        <v>103788901.8</v>
      </c>
      <c r="BA19" s="189">
        <v>71846769.420000002</v>
      </c>
      <c r="BB19" s="189">
        <v>73393171.790000007</v>
      </c>
      <c r="BC19" s="189">
        <v>73127383.590000004</v>
      </c>
      <c r="BD19" s="189">
        <v>73393433.040000007</v>
      </c>
      <c r="BE19" s="189">
        <v>72586278.299999997</v>
      </c>
      <c r="BF19" s="189">
        <v>74725596.280000001</v>
      </c>
      <c r="BG19" s="189">
        <v>78100104.680000007</v>
      </c>
      <c r="BH19" s="189">
        <v>78535319.120000005</v>
      </c>
      <c r="BI19" s="189">
        <v>78959241.730000004</v>
      </c>
      <c r="BJ19" s="189">
        <v>4200920.0599999996</v>
      </c>
      <c r="BK19" s="189">
        <v>4144425.72</v>
      </c>
      <c r="BL19" s="189">
        <v>4214329.5199999996</v>
      </c>
      <c r="BM19" s="189">
        <v>6218991.1200000001</v>
      </c>
      <c r="BN19" s="189">
        <v>6218991.1200000001</v>
      </c>
      <c r="BO19" s="189">
        <v>57623453.670000002</v>
      </c>
      <c r="BP19" s="189">
        <v>63690187.979999997</v>
      </c>
      <c r="BQ19" s="189">
        <v>73380034.439999998</v>
      </c>
      <c r="BR19" s="189">
        <v>73761382.670000002</v>
      </c>
      <c r="BS19" s="189">
        <v>20313556.739999998</v>
      </c>
      <c r="BT19" s="189">
        <v>56338320.200000003</v>
      </c>
      <c r="BU19" s="189">
        <v>25178173.690000001</v>
      </c>
      <c r="BV19" s="189">
        <v>27749696.16</v>
      </c>
      <c r="BW19" s="189">
        <v>29830569.579999998</v>
      </c>
      <c r="BX19" s="189">
        <v>29830569.579999998</v>
      </c>
      <c r="BY19" s="189">
        <v>32576184.07</v>
      </c>
      <c r="BZ19" s="189">
        <v>32576184.07</v>
      </c>
      <c r="CA19" s="189">
        <v>33279966.25</v>
      </c>
      <c r="CB19" s="189">
        <v>3279966.25</v>
      </c>
      <c r="CC19" s="189">
        <v>3925966.25</v>
      </c>
      <c r="CD19" s="189">
        <v>3925966.25</v>
      </c>
      <c r="CE19" s="189">
        <v>0</v>
      </c>
      <c r="CF19" s="189"/>
      <c r="CG19" s="189"/>
      <c r="CH19" s="189"/>
      <c r="CI19" s="189"/>
      <c r="CJ19" s="189"/>
      <c r="CK19" s="189"/>
      <c r="CL19" s="189"/>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300000</v>
      </c>
      <c r="BN22" s="189">
        <v>0</v>
      </c>
      <c r="BO22" s="189">
        <v>50000</v>
      </c>
      <c r="BP22" s="189">
        <v>230000</v>
      </c>
      <c r="BQ22" s="189">
        <v>485000</v>
      </c>
      <c r="BR22" s="189">
        <v>455000</v>
      </c>
      <c r="BS22" s="189">
        <v>0</v>
      </c>
      <c r="BT22" s="189">
        <v>0</v>
      </c>
      <c r="BU22" s="189">
        <v>0</v>
      </c>
      <c r="BV22" s="189">
        <v>0</v>
      </c>
      <c r="BW22" s="189">
        <v>0</v>
      </c>
      <c r="BX22" s="189">
        <v>0</v>
      </c>
      <c r="BY22" s="189">
        <v>0</v>
      </c>
      <c r="BZ22" s="189">
        <v>0</v>
      </c>
      <c r="CA22" s="189">
        <v>0</v>
      </c>
      <c r="CB22" s="189">
        <v>0</v>
      </c>
      <c r="CC22" s="189">
        <v>0</v>
      </c>
      <c r="CD22" s="189">
        <v>0</v>
      </c>
      <c r="CE22" s="189">
        <v>0</v>
      </c>
      <c r="CF22" s="189"/>
      <c r="CG22" s="189"/>
      <c r="CH22" s="189"/>
      <c r="CI22" s="189"/>
      <c r="CJ22" s="189"/>
      <c r="CK22" s="189"/>
      <c r="CL22" s="189"/>
    </row>
    <row r="23" spans="1:90">
      <c r="A23" s="17" t="s">
        <v>15</v>
      </c>
      <c r="B23" s="189">
        <v>2582404.09</v>
      </c>
      <c r="C23" s="189">
        <v>1773582.95</v>
      </c>
      <c r="D23" s="189">
        <v>1540240</v>
      </c>
      <c r="E23" s="189">
        <v>1860270.64</v>
      </c>
      <c r="F23" s="189">
        <v>2403014.08</v>
      </c>
      <c r="G23" s="189">
        <v>2968482.15</v>
      </c>
      <c r="H23" s="189">
        <v>929259.08</v>
      </c>
      <c r="I23" s="189">
        <v>1139708.1100000001</v>
      </c>
      <c r="J23" s="189">
        <v>1728994.47</v>
      </c>
      <c r="K23" s="189">
        <v>1114043.3999999999</v>
      </c>
      <c r="L23" s="189">
        <v>1631487.86</v>
      </c>
      <c r="M23" s="189">
        <v>1542733.16</v>
      </c>
      <c r="N23" s="189">
        <v>4025299.42</v>
      </c>
      <c r="O23" s="189">
        <v>918948</v>
      </c>
      <c r="P23" s="189">
        <v>221240</v>
      </c>
      <c r="Q23" s="189">
        <v>131650.5</v>
      </c>
      <c r="R23" s="189">
        <v>3964</v>
      </c>
      <c r="S23" s="189">
        <v>48942</v>
      </c>
      <c r="T23" s="189">
        <v>118193.4</v>
      </c>
      <c r="U23" s="189">
        <v>4091</v>
      </c>
      <c r="V23" s="189">
        <v>38228</v>
      </c>
      <c r="W23" s="189">
        <v>2364</v>
      </c>
      <c r="X23" s="189">
        <v>4132.2</v>
      </c>
      <c r="Y23" s="189">
        <v>0</v>
      </c>
      <c r="Z23" s="189">
        <v>70550</v>
      </c>
      <c r="AA23" s="189">
        <v>0</v>
      </c>
      <c r="AB23" s="189">
        <v>98128.5</v>
      </c>
      <c r="AC23" s="189">
        <v>905100</v>
      </c>
      <c r="AD23" s="189">
        <v>857374</v>
      </c>
      <c r="AE23" s="189">
        <v>0</v>
      </c>
      <c r="AF23" s="189">
        <v>0</v>
      </c>
      <c r="AG23" s="189">
        <v>0</v>
      </c>
      <c r="AH23" s="189">
        <v>1880549.98</v>
      </c>
      <c r="AI23" s="189">
        <v>0</v>
      </c>
      <c r="AJ23" s="189">
        <v>0</v>
      </c>
      <c r="AK23" s="189">
        <v>0</v>
      </c>
      <c r="AL23" s="189">
        <v>1292292.5</v>
      </c>
      <c r="AM23" s="189">
        <v>0</v>
      </c>
      <c r="AN23" s="189">
        <v>0</v>
      </c>
      <c r="AO23" s="189">
        <v>0</v>
      </c>
      <c r="AP23" s="189">
        <v>1454327.12</v>
      </c>
      <c r="AQ23" s="189">
        <v>0</v>
      </c>
      <c r="AR23" s="189">
        <v>0</v>
      </c>
      <c r="AS23" s="189">
        <v>0</v>
      </c>
      <c r="AT23" s="189">
        <v>295800</v>
      </c>
      <c r="AU23" s="189">
        <v>0</v>
      </c>
      <c r="AV23" s="189">
        <v>0</v>
      </c>
      <c r="AW23" s="189">
        <v>0</v>
      </c>
      <c r="AX23" s="189">
        <v>405608.45</v>
      </c>
      <c r="AY23" s="189">
        <v>81121.39</v>
      </c>
      <c r="AZ23" s="189">
        <v>40560.69</v>
      </c>
      <c r="BA23" s="189">
        <v>81121.39</v>
      </c>
      <c r="BB23" s="189">
        <v>380094.29</v>
      </c>
      <c r="BC23" s="189">
        <v>56560.69</v>
      </c>
      <c r="BD23" s="189">
        <v>56560.69</v>
      </c>
      <c r="BE23" s="189">
        <v>147180.26</v>
      </c>
      <c r="BF23" s="189">
        <v>122619.56</v>
      </c>
      <c r="BG23" s="189">
        <v>11985702.390000001</v>
      </c>
      <c r="BH23" s="189">
        <v>10383738.619999999</v>
      </c>
      <c r="BI23" s="189">
        <v>13736904.359999999</v>
      </c>
      <c r="BJ23" s="189">
        <v>9328200.9499999993</v>
      </c>
      <c r="BK23" s="189">
        <v>16147329.810000001</v>
      </c>
      <c r="BL23" s="189">
        <v>11589841.859999999</v>
      </c>
      <c r="BM23" s="189">
        <v>2448197.9</v>
      </c>
      <c r="BN23" s="189">
        <v>6936945.0099999998</v>
      </c>
      <c r="BO23" s="189">
        <v>1099929.74</v>
      </c>
      <c r="BP23" s="189">
        <v>1711695.16</v>
      </c>
      <c r="BQ23" s="189">
        <v>6789741.0800000001</v>
      </c>
      <c r="BR23" s="189">
        <v>6225938.3600000003</v>
      </c>
      <c r="BS23" s="189">
        <v>15365727.73</v>
      </c>
      <c r="BT23" s="189">
        <v>8577656.3800000008</v>
      </c>
      <c r="BU23" s="189">
        <v>6355291.96</v>
      </c>
      <c r="BV23" s="189">
        <v>4509445.41</v>
      </c>
      <c r="BW23" s="189">
        <v>4769462.33</v>
      </c>
      <c r="BX23" s="189">
        <v>23441982.440000001</v>
      </c>
      <c r="BY23" s="189">
        <v>10057552.609999999</v>
      </c>
      <c r="BZ23" s="189">
        <v>24109714.75</v>
      </c>
      <c r="CA23" s="189">
        <v>0</v>
      </c>
      <c r="CB23" s="189">
        <v>26509983.02</v>
      </c>
      <c r="CC23" s="189">
        <v>21647551.850000001</v>
      </c>
      <c r="CD23" s="189">
        <v>26252107.48</v>
      </c>
      <c r="CE23" s="189">
        <v>0</v>
      </c>
      <c r="CF23" s="189"/>
      <c r="CG23" s="189"/>
      <c r="CH23" s="189"/>
      <c r="CI23" s="189"/>
      <c r="CJ23" s="189"/>
      <c r="CK23" s="189"/>
      <c r="CL23" s="189"/>
    </row>
    <row r="24" spans="1:90">
      <c r="A24" s="17" t="s">
        <v>16</v>
      </c>
      <c r="B24" s="189">
        <v>1442437.87</v>
      </c>
      <c r="C24" s="189">
        <v>4156706.53</v>
      </c>
      <c r="D24" s="189">
        <v>2659986.13</v>
      </c>
      <c r="E24" s="189">
        <v>8234402.9400000004</v>
      </c>
      <c r="F24" s="189">
        <v>316316.19</v>
      </c>
      <c r="G24" s="189">
        <v>5849698.2599999998</v>
      </c>
      <c r="H24" s="189">
        <v>120750.65</v>
      </c>
      <c r="I24" s="189">
        <v>3569438.06</v>
      </c>
      <c r="J24" s="189">
        <v>342318.52</v>
      </c>
      <c r="K24" s="189">
        <v>464010.67</v>
      </c>
      <c r="L24" s="189">
        <v>583869.07999999996</v>
      </c>
      <c r="M24" s="189">
        <v>530264.68999999994</v>
      </c>
      <c r="N24" s="189">
        <v>249736.63</v>
      </c>
      <c r="O24" s="189">
        <v>4610876.7</v>
      </c>
      <c r="P24" s="189">
        <v>674270</v>
      </c>
      <c r="Q24" s="189">
        <v>7684953</v>
      </c>
      <c r="R24" s="189">
        <v>146614.47</v>
      </c>
      <c r="S24" s="189">
        <v>1731851.55</v>
      </c>
      <c r="T24" s="189">
        <v>4341583.37</v>
      </c>
      <c r="U24" s="189">
        <v>18597438.170000002</v>
      </c>
      <c r="V24" s="189">
        <v>18986007.609999999</v>
      </c>
      <c r="W24" s="189">
        <v>38398507.579999998</v>
      </c>
      <c r="X24" s="189">
        <v>53689159.270000003</v>
      </c>
      <c r="Y24" s="189">
        <v>11314413.539999999</v>
      </c>
      <c r="Z24" s="189">
        <v>12661028.25</v>
      </c>
      <c r="AA24" s="189">
        <v>4887277.25</v>
      </c>
      <c r="AB24" s="189">
        <v>2345974.0699999998</v>
      </c>
      <c r="AC24" s="189">
        <v>7411842.0899999999</v>
      </c>
      <c r="AD24" s="189">
        <v>5009191.09</v>
      </c>
      <c r="AE24" s="189">
        <v>8368385.96</v>
      </c>
      <c r="AF24" s="189">
        <v>13216657.15</v>
      </c>
      <c r="AG24" s="189">
        <v>23106882.190000001</v>
      </c>
      <c r="AH24" s="189">
        <v>990548.33</v>
      </c>
      <c r="AI24" s="189">
        <v>12521148.92</v>
      </c>
      <c r="AJ24" s="189">
        <v>2716285.06</v>
      </c>
      <c r="AK24" s="189">
        <v>10741594.800000001</v>
      </c>
      <c r="AL24" s="189">
        <v>1676069.89</v>
      </c>
      <c r="AM24" s="189">
        <v>10170791.130000001</v>
      </c>
      <c r="AN24" s="189">
        <v>8103067.46</v>
      </c>
      <c r="AO24" s="189">
        <v>9983035.1099999994</v>
      </c>
      <c r="AP24" s="189">
        <v>7426608.6699999999</v>
      </c>
      <c r="AQ24" s="189">
        <v>32188994.879999999</v>
      </c>
      <c r="AR24" s="189">
        <v>26593216.809999999</v>
      </c>
      <c r="AS24" s="189">
        <v>38717299.780000001</v>
      </c>
      <c r="AT24" s="189">
        <v>16560956.390000001</v>
      </c>
      <c r="AU24" s="189">
        <v>31805841.02</v>
      </c>
      <c r="AV24" s="189">
        <v>33917637.469999999</v>
      </c>
      <c r="AW24" s="189">
        <v>26265928.350000001</v>
      </c>
      <c r="AX24" s="189">
        <v>12756960.01</v>
      </c>
      <c r="AY24" s="189">
        <v>12136395.369999999</v>
      </c>
      <c r="AZ24" s="189">
        <v>11580928.02</v>
      </c>
      <c r="BA24" s="189">
        <v>13301527.960000001</v>
      </c>
      <c r="BB24" s="189">
        <v>19565343.370000001</v>
      </c>
      <c r="BC24" s="189">
        <v>10666819.199999999</v>
      </c>
      <c r="BD24" s="189">
        <v>9176887.4299999997</v>
      </c>
      <c r="BE24" s="189">
        <v>7096202.9400000004</v>
      </c>
      <c r="BF24" s="189">
        <v>1838619.27</v>
      </c>
      <c r="BG24" s="189">
        <v>15207166.529999999</v>
      </c>
      <c r="BH24" s="189">
        <v>14747697.470000001</v>
      </c>
      <c r="BI24" s="189">
        <v>10318670.960000001</v>
      </c>
      <c r="BJ24" s="189">
        <v>15292725.15</v>
      </c>
      <c r="BK24" s="189">
        <v>17001924.690000001</v>
      </c>
      <c r="BL24" s="189">
        <v>10745350.279999999</v>
      </c>
      <c r="BM24" s="189">
        <v>21388686.670000002</v>
      </c>
      <c r="BN24" s="189">
        <v>23911872.859999999</v>
      </c>
      <c r="BO24" s="189">
        <v>24468279.370000001</v>
      </c>
      <c r="BP24" s="189">
        <v>30484927.18</v>
      </c>
      <c r="BQ24" s="189">
        <v>25005452.449999999</v>
      </c>
      <c r="BR24" s="189">
        <v>28428291.23</v>
      </c>
      <c r="BS24" s="189">
        <v>60190905.840000004</v>
      </c>
      <c r="BT24" s="189">
        <v>84136243.049999997</v>
      </c>
      <c r="BU24" s="189">
        <v>44523426.43</v>
      </c>
      <c r="BV24" s="189">
        <v>56750608.359999999</v>
      </c>
      <c r="BW24" s="189">
        <v>58647198.710000001</v>
      </c>
      <c r="BX24" s="189">
        <v>32875148.43</v>
      </c>
      <c r="BY24" s="189">
        <v>30046148.75</v>
      </c>
      <c r="BZ24" s="189">
        <v>37303561.240000002</v>
      </c>
      <c r="CA24" s="189">
        <v>0</v>
      </c>
      <c r="CB24" s="189">
        <v>31689869.379999999</v>
      </c>
      <c r="CC24" s="189">
        <v>36521146.380000003</v>
      </c>
      <c r="CD24" s="189">
        <v>31906999.27</v>
      </c>
      <c r="CE24" s="189">
        <v>0</v>
      </c>
      <c r="CF24" s="189"/>
      <c r="CG24" s="189"/>
      <c r="CH24" s="189"/>
      <c r="CI24" s="189"/>
      <c r="CJ24" s="189"/>
      <c r="CK24" s="189"/>
      <c r="CL24" s="189"/>
    </row>
    <row r="25" spans="1:90">
      <c r="A25" s="17" t="s">
        <v>17</v>
      </c>
      <c r="B25" s="189">
        <v>96452351.459999993</v>
      </c>
      <c r="C25" s="189">
        <v>106786026.91</v>
      </c>
      <c r="D25" s="189">
        <v>14235440.01</v>
      </c>
      <c r="E25" s="189">
        <v>14043807.949999999</v>
      </c>
      <c r="F25" s="189">
        <v>14235011.52</v>
      </c>
      <c r="G25" s="189">
        <v>16423151.050000001</v>
      </c>
      <c r="H25" s="189">
        <v>16888497.949999999</v>
      </c>
      <c r="I25" s="189">
        <v>21623253.079999998</v>
      </c>
      <c r="J25" s="189">
        <v>22118774.050000001</v>
      </c>
      <c r="K25" s="189">
        <v>24418201.399999999</v>
      </c>
      <c r="L25" s="189">
        <v>30103158.359999999</v>
      </c>
      <c r="M25" s="189">
        <v>29102146.52</v>
      </c>
      <c r="N25" s="189">
        <v>27847340.390000001</v>
      </c>
      <c r="O25" s="189">
        <v>35454227.979999997</v>
      </c>
      <c r="P25" s="189">
        <v>34622618.409999996</v>
      </c>
      <c r="Q25" s="189">
        <v>30616103.559999999</v>
      </c>
      <c r="R25" s="189">
        <v>27883508.649999999</v>
      </c>
      <c r="S25" s="189">
        <v>34295214.920000002</v>
      </c>
      <c r="T25" s="189">
        <v>38170545.490000002</v>
      </c>
      <c r="U25" s="189">
        <v>33597670</v>
      </c>
      <c r="V25" s="189">
        <v>29681021.890000001</v>
      </c>
      <c r="W25" s="189">
        <v>17387627.530000001</v>
      </c>
      <c r="X25" s="189">
        <v>19299428.800000001</v>
      </c>
      <c r="Y25" s="189">
        <v>17775027.649999999</v>
      </c>
      <c r="Z25" s="189">
        <v>16334451.58</v>
      </c>
      <c r="AA25" s="189">
        <v>17731602.629999999</v>
      </c>
      <c r="AB25" s="189">
        <v>18374972</v>
      </c>
      <c r="AC25" s="189">
        <v>17194568.329999998</v>
      </c>
      <c r="AD25" s="189">
        <v>13575461.77</v>
      </c>
      <c r="AE25" s="189">
        <v>14753722.630000001</v>
      </c>
      <c r="AF25" s="189">
        <v>17368197.68</v>
      </c>
      <c r="AG25" s="189">
        <v>19510345.469999999</v>
      </c>
      <c r="AH25" s="189">
        <v>22594271.09</v>
      </c>
      <c r="AI25" s="189">
        <v>63282326.579999998</v>
      </c>
      <c r="AJ25" s="189">
        <v>51450716.82</v>
      </c>
      <c r="AK25" s="189">
        <v>5597266.29</v>
      </c>
      <c r="AL25" s="189">
        <v>4702272.1399999997</v>
      </c>
      <c r="AM25" s="189">
        <v>4985772.4000000004</v>
      </c>
      <c r="AN25" s="189">
        <v>13259838.859999999</v>
      </c>
      <c r="AO25" s="189">
        <v>6028912.9400000004</v>
      </c>
      <c r="AP25" s="189">
        <v>5448415.75</v>
      </c>
      <c r="AQ25" s="189">
        <v>3965643.81</v>
      </c>
      <c r="AR25" s="189">
        <v>3867035.38</v>
      </c>
      <c r="AS25" s="189">
        <v>3616438.33</v>
      </c>
      <c r="AT25" s="189">
        <v>4244248.49</v>
      </c>
      <c r="AU25" s="189">
        <v>1432817.72</v>
      </c>
      <c r="AV25" s="189">
        <v>2412942.9300000002</v>
      </c>
      <c r="AW25" s="189">
        <v>1792675.86</v>
      </c>
      <c r="AX25" s="189">
        <v>3554580.59</v>
      </c>
      <c r="AY25" s="189">
        <v>2502206.62</v>
      </c>
      <c r="AZ25" s="189">
        <v>19309914</v>
      </c>
      <c r="BA25" s="189">
        <v>1686472.89</v>
      </c>
      <c r="BB25" s="189">
        <v>4814517.57</v>
      </c>
      <c r="BC25" s="189">
        <v>20012017.960000001</v>
      </c>
      <c r="BD25" s="189">
        <v>50746464.469999999</v>
      </c>
      <c r="BE25" s="189">
        <v>10248235.609999999</v>
      </c>
      <c r="BF25" s="189">
        <v>10486583.76</v>
      </c>
      <c r="BG25" s="189">
        <v>11928946.310000001</v>
      </c>
      <c r="BH25" s="189">
        <v>15386008.59</v>
      </c>
      <c r="BI25" s="189">
        <v>15631732</v>
      </c>
      <c r="BJ25" s="189">
        <v>12104306.720000001</v>
      </c>
      <c r="BK25" s="189">
        <v>13738845.77</v>
      </c>
      <c r="BL25" s="189">
        <v>17295847.550000001</v>
      </c>
      <c r="BM25" s="189">
        <v>28873122.07</v>
      </c>
      <c r="BN25" s="189">
        <v>17267215.239999998</v>
      </c>
      <c r="BO25" s="189">
        <v>33393974.300000001</v>
      </c>
      <c r="BP25" s="189">
        <v>29541225.710000001</v>
      </c>
      <c r="BQ25" s="189">
        <v>40977062.159999996</v>
      </c>
      <c r="BR25" s="189">
        <v>32197721.690000001</v>
      </c>
      <c r="BS25" s="189">
        <v>19176023.09</v>
      </c>
      <c r="BT25" s="189">
        <v>25409572.140000001</v>
      </c>
      <c r="BU25" s="189">
        <v>14545356.59</v>
      </c>
      <c r="BV25" s="189">
        <v>24787084</v>
      </c>
      <c r="BW25" s="189">
        <v>17307485.170000002</v>
      </c>
      <c r="BX25" s="189">
        <v>7443151.8899999997</v>
      </c>
      <c r="BY25" s="189">
        <v>19958896.66</v>
      </c>
      <c r="BZ25" s="189">
        <v>8692703.0899999999</v>
      </c>
      <c r="CA25" s="189">
        <v>0</v>
      </c>
      <c r="CB25" s="189">
        <v>17358416.66</v>
      </c>
      <c r="CC25" s="189">
        <v>10959162.52</v>
      </c>
      <c r="CD25" s="189">
        <v>13076208.58</v>
      </c>
      <c r="CE25" s="189">
        <v>0</v>
      </c>
      <c r="CF25" s="189"/>
      <c r="CG25" s="189"/>
      <c r="CH25" s="189"/>
      <c r="CI25" s="189"/>
      <c r="CJ25" s="189"/>
      <c r="CK25" s="189"/>
      <c r="CL25" s="189"/>
    </row>
    <row r="26" spans="1:90">
      <c r="A26" s="17" t="s">
        <v>18</v>
      </c>
      <c r="B26" s="189">
        <v>1703121507.55</v>
      </c>
      <c r="C26" s="189">
        <v>1626671838.0999999</v>
      </c>
      <c r="D26" s="189">
        <v>1517725767.3599999</v>
      </c>
      <c r="E26" s="189">
        <v>1461413165.3099999</v>
      </c>
      <c r="F26" s="189">
        <v>1411011214.03</v>
      </c>
      <c r="G26" s="189">
        <v>1229352842.8199999</v>
      </c>
      <c r="H26" s="189">
        <v>1101743277.96</v>
      </c>
      <c r="I26" s="189">
        <v>1069750780.67</v>
      </c>
      <c r="J26" s="189">
        <v>1027982028.71</v>
      </c>
      <c r="K26" s="189">
        <v>835109492.42999995</v>
      </c>
      <c r="L26" s="189">
        <v>776846328.10000002</v>
      </c>
      <c r="M26" s="189">
        <v>719192643.84000003</v>
      </c>
      <c r="N26" s="189">
        <v>614275629.07000005</v>
      </c>
      <c r="O26" s="189">
        <v>557125843.02999997</v>
      </c>
      <c r="P26" s="189">
        <v>505870511.77999997</v>
      </c>
      <c r="Q26" s="189">
        <v>476261187.5</v>
      </c>
      <c r="R26" s="189">
        <v>419086735.13</v>
      </c>
      <c r="S26" s="189">
        <v>390509384.93000001</v>
      </c>
      <c r="T26" s="189">
        <v>308600397.57999998</v>
      </c>
      <c r="U26" s="189">
        <v>300415448.56</v>
      </c>
      <c r="V26" s="189">
        <v>272453534.61000001</v>
      </c>
      <c r="W26" s="189">
        <v>256863905.50999999</v>
      </c>
      <c r="X26" s="189">
        <v>237447648.44999999</v>
      </c>
      <c r="Y26" s="189">
        <v>236669877.18000001</v>
      </c>
      <c r="Z26" s="189">
        <v>227259184.93000001</v>
      </c>
      <c r="AA26" s="189">
        <v>237850811.77000001</v>
      </c>
      <c r="AB26" s="189">
        <v>215231795.5</v>
      </c>
      <c r="AC26" s="189">
        <v>200788327.71000001</v>
      </c>
      <c r="AD26" s="189">
        <v>204794937.12</v>
      </c>
      <c r="AE26" s="189">
        <v>169615513.09999999</v>
      </c>
      <c r="AF26" s="189">
        <v>159523141.62</v>
      </c>
      <c r="AG26" s="189">
        <v>159603146.58000001</v>
      </c>
      <c r="AH26" s="189">
        <v>161849164.44999999</v>
      </c>
      <c r="AI26" s="189">
        <v>149864377.43000001</v>
      </c>
      <c r="AJ26" s="189">
        <v>38256840.189999998</v>
      </c>
      <c r="AK26" s="189">
        <v>36252336.479999997</v>
      </c>
      <c r="AL26" s="189">
        <v>35161708.869999997</v>
      </c>
      <c r="AM26" s="189">
        <v>35103595.109999999</v>
      </c>
      <c r="AN26" s="189">
        <v>30890425.940000001</v>
      </c>
      <c r="AO26" s="189">
        <v>29457909.289999999</v>
      </c>
      <c r="AP26" s="189">
        <v>36369276.450000003</v>
      </c>
      <c r="AQ26" s="189">
        <v>27992038.949999999</v>
      </c>
      <c r="AR26" s="189">
        <v>26816045.329999998</v>
      </c>
      <c r="AS26" s="189">
        <v>26481975.859999999</v>
      </c>
      <c r="AT26" s="189">
        <v>21973207.600000001</v>
      </c>
      <c r="AU26" s="189">
        <v>18570646.609999999</v>
      </c>
      <c r="AV26" s="189">
        <v>11679930.49</v>
      </c>
      <c r="AW26" s="189">
        <v>20922970.390000001</v>
      </c>
      <c r="AX26" s="189">
        <v>14794056.880000001</v>
      </c>
      <c r="AY26" s="189">
        <v>14470479.880000001</v>
      </c>
      <c r="AZ26" s="189">
        <v>14457049.42</v>
      </c>
      <c r="BA26" s="189">
        <v>15129424.6</v>
      </c>
      <c r="BB26" s="189">
        <v>12950103.810000001</v>
      </c>
      <c r="BC26" s="189">
        <v>148100642.63999999</v>
      </c>
      <c r="BD26" s="189">
        <v>138947027.86000001</v>
      </c>
      <c r="BE26" s="189">
        <v>154071365.47</v>
      </c>
      <c r="BF26" s="189">
        <v>19152237.68</v>
      </c>
      <c r="BG26" s="189">
        <v>100766764.43000001</v>
      </c>
      <c r="BH26" s="189">
        <v>116461515.73999999</v>
      </c>
      <c r="BI26" s="189">
        <v>131457343.79000001</v>
      </c>
      <c r="BJ26" s="189">
        <v>139525445.55000001</v>
      </c>
      <c r="BK26" s="189">
        <v>117801556.81</v>
      </c>
      <c r="BL26" s="189">
        <v>163469678.34999999</v>
      </c>
      <c r="BM26" s="189">
        <v>110501318.98</v>
      </c>
      <c r="BN26" s="189">
        <v>160277455.80000001</v>
      </c>
      <c r="BO26" s="189">
        <v>251009548.19</v>
      </c>
      <c r="BP26" s="189">
        <v>133264477.09999999</v>
      </c>
      <c r="BQ26" s="189">
        <v>237604636.19</v>
      </c>
      <c r="BR26" s="189">
        <v>256056475.31</v>
      </c>
      <c r="BS26" s="189">
        <v>105432166.69</v>
      </c>
      <c r="BT26" s="189">
        <v>170337083.46000001</v>
      </c>
      <c r="BU26" s="189">
        <v>48627044.57</v>
      </c>
      <c r="BV26" s="189">
        <v>224233519.30000001</v>
      </c>
      <c r="BW26" s="189">
        <v>26863098.899999999</v>
      </c>
      <c r="BX26" s="189">
        <v>30705758.27</v>
      </c>
      <c r="BY26" s="189">
        <v>59854819.060000002</v>
      </c>
      <c r="BZ26" s="189">
        <v>53191769.899999999</v>
      </c>
      <c r="CA26" s="189">
        <v>0</v>
      </c>
      <c r="CB26" s="189">
        <v>73020337.180000007</v>
      </c>
      <c r="CC26" s="189">
        <v>68087726.290000007</v>
      </c>
      <c r="CD26" s="189">
        <v>63583545.560000002</v>
      </c>
      <c r="CE26" s="189">
        <v>0</v>
      </c>
      <c r="CF26" s="189"/>
      <c r="CG26" s="189"/>
      <c r="CH26" s="189"/>
      <c r="CI26" s="189"/>
      <c r="CJ26" s="189"/>
      <c r="CK26" s="189"/>
      <c r="CL26" s="189"/>
    </row>
    <row r="27" spans="1:90">
      <c r="A27" s="17" t="s">
        <v>19</v>
      </c>
      <c r="B27" s="189">
        <v>48170891.109999999</v>
      </c>
      <c r="C27" s="189">
        <v>47412355.140000001</v>
      </c>
      <c r="D27" s="189">
        <v>48442749.719999999</v>
      </c>
      <c r="E27" s="189">
        <v>46523907.460000001</v>
      </c>
      <c r="F27" s="189">
        <v>39499648.280000001</v>
      </c>
      <c r="G27" s="189">
        <v>49281937.460000001</v>
      </c>
      <c r="H27" s="189">
        <v>44313774.280000001</v>
      </c>
      <c r="I27" s="189">
        <v>22540239.969999999</v>
      </c>
      <c r="J27" s="189">
        <v>14501483.58</v>
      </c>
      <c r="K27" s="189">
        <v>6914246.9199999999</v>
      </c>
      <c r="L27" s="189">
        <v>5576241.6900000004</v>
      </c>
      <c r="M27" s="189">
        <v>5260387.08</v>
      </c>
      <c r="N27" s="189">
        <v>6898461.5599999996</v>
      </c>
      <c r="O27" s="189">
        <v>3056390.69</v>
      </c>
      <c r="P27" s="189">
        <v>3686596.98</v>
      </c>
      <c r="Q27" s="189">
        <v>5265948.08</v>
      </c>
      <c r="R27" s="189">
        <v>7005741.0099999998</v>
      </c>
      <c r="S27" s="189">
        <v>3240719.38</v>
      </c>
      <c r="T27" s="189">
        <v>2518234.5299999998</v>
      </c>
      <c r="U27" s="189">
        <v>3436533.79</v>
      </c>
      <c r="V27" s="189">
        <v>4644197.26</v>
      </c>
      <c r="W27" s="189">
        <v>109182.79</v>
      </c>
      <c r="X27" s="189">
        <v>1380722.91</v>
      </c>
      <c r="Y27" s="189">
        <v>1822915.99</v>
      </c>
      <c r="Z27" s="189">
        <v>2473389.11</v>
      </c>
      <c r="AA27" s="189">
        <v>120864.48</v>
      </c>
      <c r="AB27" s="189">
        <v>170738.1</v>
      </c>
      <c r="AC27" s="189">
        <v>23259.13</v>
      </c>
      <c r="AD27" s="189">
        <v>69384.87</v>
      </c>
      <c r="AE27" s="189">
        <v>122677.32</v>
      </c>
      <c r="AF27" s="189">
        <v>179553.06</v>
      </c>
      <c r="AG27" s="189">
        <v>67465.45</v>
      </c>
      <c r="AH27" s="189">
        <v>145597.54999999999</v>
      </c>
      <c r="AI27" s="189">
        <v>173562.95</v>
      </c>
      <c r="AJ27" s="189">
        <v>240945.02</v>
      </c>
      <c r="AK27" s="189">
        <v>45385.72</v>
      </c>
      <c r="AL27" s="189">
        <v>116031.76</v>
      </c>
      <c r="AM27" s="189">
        <v>186677.8</v>
      </c>
      <c r="AN27" s="189">
        <v>246639.26</v>
      </c>
      <c r="AO27" s="189">
        <v>300294.90999999997</v>
      </c>
      <c r="AP27" s="189">
        <v>620610.47</v>
      </c>
      <c r="AQ27" s="189">
        <v>1084138.05</v>
      </c>
      <c r="AR27" s="189">
        <v>1661825.45</v>
      </c>
      <c r="AS27" s="189">
        <v>692902.82</v>
      </c>
      <c r="AT27" s="189">
        <v>633517.74</v>
      </c>
      <c r="AU27" s="189">
        <v>0</v>
      </c>
      <c r="AV27" s="189">
        <v>0</v>
      </c>
      <c r="AW27" s="189">
        <v>0</v>
      </c>
      <c r="AX27" s="189">
        <v>0</v>
      </c>
      <c r="AY27" s="189">
        <v>0</v>
      </c>
      <c r="AZ27" s="189">
        <v>0</v>
      </c>
      <c r="BA27" s="189">
        <v>0</v>
      </c>
      <c r="BB27" s="189">
        <v>0</v>
      </c>
      <c r="BC27" s="189">
        <v>0</v>
      </c>
      <c r="BD27" s="189">
        <v>0</v>
      </c>
      <c r="BE27" s="189">
        <v>0</v>
      </c>
      <c r="BF27" s="189">
        <v>0</v>
      </c>
      <c r="BG27" s="189">
        <v>0</v>
      </c>
      <c r="BH27" s="189">
        <v>0</v>
      </c>
      <c r="BI27" s="189">
        <v>0</v>
      </c>
      <c r="BJ27" s="189">
        <v>0</v>
      </c>
      <c r="BK27" s="189">
        <v>0</v>
      </c>
      <c r="BL27" s="189">
        <v>0</v>
      </c>
      <c r="BM27" s="189">
        <v>0</v>
      </c>
      <c r="BN27" s="189">
        <v>0</v>
      </c>
      <c r="BO27" s="189">
        <v>0</v>
      </c>
      <c r="BP27" s="189">
        <v>0</v>
      </c>
      <c r="BQ27" s="189">
        <v>0</v>
      </c>
      <c r="BR27" s="189">
        <v>0</v>
      </c>
      <c r="BS27" s="189">
        <v>2090282.02</v>
      </c>
      <c r="BT27" s="189">
        <v>1966412.17</v>
      </c>
      <c r="BU27" s="189">
        <v>1182449.54</v>
      </c>
      <c r="BV27" s="189">
        <v>421962.64</v>
      </c>
      <c r="BW27" s="189">
        <v>0</v>
      </c>
      <c r="BX27" s="189">
        <v>0</v>
      </c>
      <c r="BY27" s="189">
        <v>0</v>
      </c>
      <c r="BZ27" s="189">
        <v>0</v>
      </c>
      <c r="CA27" s="189">
        <v>0</v>
      </c>
      <c r="CB27" s="189">
        <v>0</v>
      </c>
      <c r="CC27" s="189">
        <v>0</v>
      </c>
      <c r="CD27" s="189">
        <v>0</v>
      </c>
      <c r="CE27" s="189">
        <v>0</v>
      </c>
      <c r="CF27" s="189"/>
      <c r="CG27" s="189"/>
      <c r="CH27" s="189"/>
      <c r="CI27" s="189"/>
      <c r="CJ27" s="189"/>
      <c r="CK27" s="189"/>
      <c r="CL27" s="189"/>
    </row>
    <row r="28" spans="1:90">
      <c r="A28" s="17" t="s">
        <v>76</v>
      </c>
      <c r="B28" s="189">
        <v>0</v>
      </c>
      <c r="C28" s="189">
        <v>0</v>
      </c>
      <c r="D28" s="189">
        <v>0</v>
      </c>
      <c r="E28" s="189">
        <v>0</v>
      </c>
      <c r="F28" s="189">
        <v>0</v>
      </c>
      <c r="G28" s="189">
        <v>0</v>
      </c>
      <c r="H28" s="189">
        <v>0</v>
      </c>
      <c r="I28" s="189">
        <v>0</v>
      </c>
      <c r="J28" s="189">
        <v>0</v>
      </c>
      <c r="K28" s="189">
        <v>0</v>
      </c>
      <c r="L28" s="189">
        <v>0</v>
      </c>
      <c r="M28" s="189">
        <v>0</v>
      </c>
      <c r="N28" s="189">
        <v>0</v>
      </c>
      <c r="O28" s="189">
        <v>0</v>
      </c>
      <c r="P28" s="189">
        <v>0</v>
      </c>
      <c r="Q28" s="189">
        <v>0</v>
      </c>
      <c r="R28" s="189">
        <v>0</v>
      </c>
      <c r="S28" s="189">
        <v>0</v>
      </c>
      <c r="T28" s="189">
        <v>0</v>
      </c>
      <c r="U28" s="189">
        <v>0</v>
      </c>
      <c r="V28" s="189">
        <v>0</v>
      </c>
      <c r="W28" s="189">
        <v>0</v>
      </c>
      <c r="X28" s="189">
        <v>0</v>
      </c>
      <c r="Y28" s="189">
        <v>0</v>
      </c>
      <c r="Z28" s="189">
        <v>0</v>
      </c>
      <c r="AA28" s="189">
        <v>0</v>
      </c>
      <c r="AB28" s="189">
        <v>0</v>
      </c>
      <c r="AC28" s="189">
        <v>0</v>
      </c>
      <c r="AD28" s="189">
        <v>0</v>
      </c>
      <c r="AE28" s="189">
        <v>0</v>
      </c>
      <c r="AF28" s="189">
        <v>0</v>
      </c>
      <c r="AG28" s="189">
        <v>0</v>
      </c>
      <c r="AH28" s="189">
        <v>0</v>
      </c>
      <c r="AI28" s="189">
        <v>0</v>
      </c>
      <c r="AJ28" s="189">
        <v>0</v>
      </c>
      <c r="AK28" s="189">
        <v>0</v>
      </c>
      <c r="AL28" s="189">
        <v>0</v>
      </c>
      <c r="AM28" s="189">
        <v>0</v>
      </c>
      <c r="AN28" s="189">
        <v>0</v>
      </c>
      <c r="AO28" s="189">
        <v>0</v>
      </c>
      <c r="AP28" s="189">
        <v>0</v>
      </c>
      <c r="AQ28" s="189">
        <v>0</v>
      </c>
      <c r="AR28" s="189">
        <v>0</v>
      </c>
      <c r="AS28" s="189">
        <v>0</v>
      </c>
      <c r="AT28" s="189">
        <v>0</v>
      </c>
      <c r="AU28" s="189">
        <v>0</v>
      </c>
      <c r="AV28" s="189">
        <v>0</v>
      </c>
      <c r="AW28" s="189">
        <v>0</v>
      </c>
      <c r="AX28" s="189">
        <v>0</v>
      </c>
      <c r="AY28" s="189">
        <v>0</v>
      </c>
      <c r="AZ28" s="189">
        <v>0</v>
      </c>
      <c r="BA28" s="189">
        <v>0</v>
      </c>
      <c r="BB28" s="189">
        <v>0</v>
      </c>
      <c r="BC28" s="189">
        <v>0</v>
      </c>
      <c r="BD28" s="189">
        <v>0</v>
      </c>
      <c r="BE28" s="189">
        <v>0</v>
      </c>
      <c r="BF28" s="189">
        <v>0</v>
      </c>
      <c r="BG28" s="189">
        <v>0</v>
      </c>
      <c r="BH28" s="189">
        <v>0</v>
      </c>
      <c r="BI28" s="189">
        <v>0</v>
      </c>
      <c r="BJ28" s="189">
        <v>0</v>
      </c>
      <c r="BK28" s="189">
        <v>0</v>
      </c>
      <c r="BL28" s="189">
        <v>0</v>
      </c>
      <c r="BM28" s="189">
        <v>0</v>
      </c>
      <c r="BN28" s="189">
        <v>0</v>
      </c>
      <c r="BO28" s="189">
        <v>0</v>
      </c>
      <c r="BP28" s="189">
        <v>0</v>
      </c>
      <c r="BQ28" s="189">
        <v>0</v>
      </c>
      <c r="BR28" s="189">
        <v>0</v>
      </c>
      <c r="BS28" s="189">
        <v>0</v>
      </c>
      <c r="BT28" s="189">
        <v>0</v>
      </c>
      <c r="BU28" s="189">
        <v>0</v>
      </c>
      <c r="BV28" s="189">
        <v>0</v>
      </c>
      <c r="BW28" s="189">
        <v>0</v>
      </c>
      <c r="BX28" s="189">
        <v>0</v>
      </c>
      <c r="BY28" s="189">
        <v>0</v>
      </c>
      <c r="BZ28" s="189">
        <v>0</v>
      </c>
      <c r="CA28" s="189">
        <v>0</v>
      </c>
      <c r="CB28" s="189">
        <v>0</v>
      </c>
      <c r="CC28" s="189">
        <v>0</v>
      </c>
      <c r="CD28" s="189">
        <v>0</v>
      </c>
      <c r="CE28" s="189">
        <v>0</v>
      </c>
      <c r="CF28" s="189"/>
      <c r="CG28" s="189"/>
      <c r="CH28" s="189"/>
      <c r="CI28" s="189"/>
      <c r="CJ28" s="189"/>
      <c r="CK28" s="189"/>
      <c r="CL28" s="189"/>
    </row>
    <row r="29" spans="1:90">
      <c r="A29" s="17" t="s">
        <v>3</v>
      </c>
      <c r="B29" s="189">
        <v>0</v>
      </c>
      <c r="C29" s="189">
        <v>0</v>
      </c>
      <c r="D29" s="189">
        <v>0</v>
      </c>
      <c r="E29" s="189">
        <v>0</v>
      </c>
      <c r="F29" s="189">
        <v>0</v>
      </c>
      <c r="G29" s="189">
        <v>0</v>
      </c>
      <c r="H29" s="189">
        <v>0</v>
      </c>
      <c r="I29" s="189">
        <v>0</v>
      </c>
      <c r="J29" s="189">
        <v>0</v>
      </c>
      <c r="K29" s="189">
        <v>0</v>
      </c>
      <c r="L29" s="189">
        <v>0</v>
      </c>
      <c r="M29" s="189">
        <v>0</v>
      </c>
      <c r="N29" s="189">
        <v>0</v>
      </c>
      <c r="O29" s="189">
        <v>0</v>
      </c>
      <c r="P29" s="189">
        <v>0</v>
      </c>
      <c r="Q29" s="189">
        <v>0</v>
      </c>
      <c r="R29" s="189">
        <v>0</v>
      </c>
      <c r="S29" s="189">
        <v>0</v>
      </c>
      <c r="T29" s="189">
        <v>0</v>
      </c>
      <c r="U29" s="189">
        <v>0</v>
      </c>
      <c r="V29" s="189">
        <v>0</v>
      </c>
      <c r="W29" s="189">
        <v>0</v>
      </c>
      <c r="X29" s="189">
        <v>0</v>
      </c>
      <c r="Y29" s="189">
        <v>0</v>
      </c>
      <c r="Z29" s="189">
        <v>0</v>
      </c>
      <c r="AA29" s="189">
        <v>0</v>
      </c>
      <c r="AB29" s="189">
        <v>0</v>
      </c>
      <c r="AC29" s="189">
        <v>0</v>
      </c>
      <c r="AD29" s="189">
        <v>0</v>
      </c>
      <c r="AE29" s="189">
        <v>0</v>
      </c>
      <c r="AF29" s="189">
        <v>0</v>
      </c>
      <c r="AG29" s="189">
        <v>0</v>
      </c>
      <c r="AH29" s="189">
        <v>0</v>
      </c>
      <c r="AI29" s="189">
        <v>0</v>
      </c>
      <c r="AJ29" s="189">
        <v>0</v>
      </c>
      <c r="AK29" s="189">
        <v>0</v>
      </c>
      <c r="AL29" s="189">
        <v>0</v>
      </c>
      <c r="AM29" s="189">
        <v>0</v>
      </c>
      <c r="AN29" s="189">
        <v>0</v>
      </c>
      <c r="AO29" s="189">
        <v>0</v>
      </c>
      <c r="AP29" s="189">
        <v>0</v>
      </c>
      <c r="AQ29" s="189">
        <v>0</v>
      </c>
      <c r="AR29" s="189">
        <v>0</v>
      </c>
      <c r="AS29" s="189">
        <v>0</v>
      </c>
      <c r="AT29" s="189">
        <v>0</v>
      </c>
      <c r="AU29" s="189">
        <v>0</v>
      </c>
      <c r="AV29" s="189">
        <v>0</v>
      </c>
      <c r="AW29" s="189">
        <v>0</v>
      </c>
      <c r="AX29" s="189">
        <v>0</v>
      </c>
      <c r="AY29" s="189">
        <v>0</v>
      </c>
      <c r="AZ29" s="189">
        <v>0</v>
      </c>
      <c r="BA29" s="189">
        <v>0</v>
      </c>
      <c r="BB29" s="189">
        <v>0</v>
      </c>
      <c r="BC29" s="189">
        <v>0</v>
      </c>
      <c r="BD29" s="189">
        <v>0</v>
      </c>
      <c r="BE29" s="189">
        <v>0</v>
      </c>
      <c r="BF29" s="189">
        <v>0</v>
      </c>
      <c r="BG29" s="189">
        <v>0</v>
      </c>
      <c r="BH29" s="189">
        <v>0</v>
      </c>
      <c r="BI29" s="189">
        <v>0</v>
      </c>
      <c r="BJ29" s="189">
        <v>0</v>
      </c>
      <c r="BK29" s="189">
        <v>0</v>
      </c>
      <c r="BL29" s="189">
        <v>0</v>
      </c>
      <c r="BM29" s="189">
        <v>0</v>
      </c>
      <c r="BN29" s="189">
        <v>0</v>
      </c>
      <c r="BO29" s="189">
        <v>0</v>
      </c>
      <c r="BP29" s="189">
        <v>0</v>
      </c>
      <c r="BQ29" s="189">
        <v>0</v>
      </c>
      <c r="BR29" s="189">
        <v>0</v>
      </c>
      <c r="BS29" s="189">
        <v>0</v>
      </c>
      <c r="BT29" s="189">
        <v>0</v>
      </c>
      <c r="BU29" s="189">
        <v>0</v>
      </c>
      <c r="BV29" s="189">
        <v>0</v>
      </c>
      <c r="BW29" s="189">
        <v>0</v>
      </c>
      <c r="BX29" s="189">
        <v>0</v>
      </c>
      <c r="BY29" s="189">
        <v>0</v>
      </c>
      <c r="BZ29" s="189">
        <v>0</v>
      </c>
      <c r="CA29" s="189">
        <v>0</v>
      </c>
      <c r="CB29" s="189">
        <v>0</v>
      </c>
      <c r="CC29" s="189">
        <v>0</v>
      </c>
      <c r="CD29" s="189">
        <v>0</v>
      </c>
      <c r="CE29" s="189">
        <v>0</v>
      </c>
      <c r="CF29" s="189"/>
      <c r="CG29" s="189"/>
      <c r="CH29" s="189"/>
      <c r="CI29" s="189"/>
      <c r="CJ29" s="189"/>
      <c r="CK29" s="189"/>
      <c r="CL29" s="189"/>
    </row>
    <row r="30" spans="1:90" ht="14.45" hidden="1">
      <c r="B30" s="26"/>
      <c r="C30" s="26"/>
      <c r="D30" s="26"/>
      <c r="E30" s="26"/>
      <c r="F30" s="26"/>
      <c r="G30" s="26"/>
      <c r="H30" s="26"/>
      <c r="I30" s="26"/>
      <c r="J30" s="26"/>
      <c r="K30" s="26"/>
      <c r="L30" s="23"/>
    </row>
    <row r="31" spans="1:90" ht="14.45" hidden="1">
      <c r="B31" s="26"/>
      <c r="C31" s="26"/>
      <c r="D31" s="26"/>
      <c r="E31" s="26"/>
      <c r="F31" s="26"/>
      <c r="G31" s="26"/>
      <c r="H31" s="26"/>
      <c r="I31" s="26"/>
      <c r="J31" s="26"/>
      <c r="K31" s="26"/>
      <c r="L31" s="23"/>
    </row>
    <row r="32" spans="1:90" ht="14.45" hidden="1">
      <c r="B32" s="26"/>
      <c r="C32" s="26"/>
      <c r="D32" s="26"/>
      <c r="E32" s="26"/>
      <c r="F32" s="26"/>
      <c r="G32" s="26"/>
      <c r="H32" s="26"/>
      <c r="I32" s="26"/>
      <c r="J32" s="26"/>
      <c r="K32" s="26"/>
      <c r="L32" s="23"/>
    </row>
    <row r="33" spans="1:90" s="10" customFormat="1">
      <c r="A33" s="123" t="s">
        <v>20</v>
      </c>
      <c r="B33" s="35">
        <f>SUM(B22:B29)</f>
        <v>1851769592.0799999</v>
      </c>
      <c r="C33" s="35">
        <f t="shared" ref="C33:BN33" si="2">SUM(C22:C29)</f>
        <v>1786800509.6300001</v>
      </c>
      <c r="D33" s="35">
        <f t="shared" si="2"/>
        <v>1584604183.22</v>
      </c>
      <c r="E33" s="35">
        <f t="shared" si="2"/>
        <v>1532075554.3</v>
      </c>
      <c r="F33" s="35">
        <f t="shared" si="2"/>
        <v>1467465204.0999999</v>
      </c>
      <c r="G33" s="35">
        <f t="shared" si="2"/>
        <v>1303876111.74</v>
      </c>
      <c r="H33" s="35">
        <f t="shared" si="2"/>
        <v>1163995559.9200001</v>
      </c>
      <c r="I33" s="35">
        <f t="shared" si="2"/>
        <v>1118623419.8900001</v>
      </c>
      <c r="J33" s="35">
        <f t="shared" si="2"/>
        <v>1066673599.33</v>
      </c>
      <c r="K33" s="35">
        <f t="shared" si="2"/>
        <v>868019994.81999993</v>
      </c>
      <c r="L33" s="35">
        <f t="shared" si="2"/>
        <v>814741085.09000003</v>
      </c>
      <c r="M33" s="35">
        <f t="shared" si="2"/>
        <v>755628175.29000008</v>
      </c>
      <c r="N33" s="35">
        <f t="shared" si="2"/>
        <v>653296467.07000005</v>
      </c>
      <c r="O33" s="35">
        <f t="shared" si="2"/>
        <v>601166286.39999998</v>
      </c>
      <c r="P33" s="35">
        <f t="shared" si="2"/>
        <v>545075237.16999996</v>
      </c>
      <c r="Q33" s="35">
        <f t="shared" si="2"/>
        <v>519959842.63999999</v>
      </c>
      <c r="R33" s="35">
        <f t="shared" si="2"/>
        <v>454126563.25999999</v>
      </c>
      <c r="S33" s="35">
        <f t="shared" si="2"/>
        <v>429826112.77999997</v>
      </c>
      <c r="T33" s="35">
        <f t="shared" si="2"/>
        <v>353748954.36999995</v>
      </c>
      <c r="U33" s="35">
        <f t="shared" si="2"/>
        <v>356051181.52000004</v>
      </c>
      <c r="V33" s="35">
        <f t="shared" si="2"/>
        <v>325802989.37</v>
      </c>
      <c r="W33" s="35">
        <f t="shared" si="2"/>
        <v>312761587.41000003</v>
      </c>
      <c r="X33" s="35">
        <f t="shared" si="2"/>
        <v>311821091.63000005</v>
      </c>
      <c r="Y33" s="35">
        <f t="shared" si="2"/>
        <v>267582234.36000001</v>
      </c>
      <c r="Z33" s="35">
        <f t="shared" si="2"/>
        <v>258798603.87</v>
      </c>
      <c r="AA33" s="35">
        <f t="shared" si="2"/>
        <v>260590556.13</v>
      </c>
      <c r="AB33" s="35">
        <f t="shared" si="2"/>
        <v>236221608.16999999</v>
      </c>
      <c r="AC33" s="35">
        <f t="shared" si="2"/>
        <v>226323097.25999999</v>
      </c>
      <c r="AD33" s="35">
        <f t="shared" si="2"/>
        <v>224306348.85000002</v>
      </c>
      <c r="AE33" s="35">
        <f t="shared" si="2"/>
        <v>192860299.00999999</v>
      </c>
      <c r="AF33" s="35">
        <f t="shared" si="2"/>
        <v>190287549.50999999</v>
      </c>
      <c r="AG33" s="35">
        <f t="shared" si="2"/>
        <v>202287839.69</v>
      </c>
      <c r="AH33" s="35">
        <f t="shared" si="2"/>
        <v>187460131.40000001</v>
      </c>
      <c r="AI33" s="35">
        <f t="shared" si="2"/>
        <v>225841415.88</v>
      </c>
      <c r="AJ33" s="35">
        <f t="shared" si="2"/>
        <v>92664787.089999989</v>
      </c>
      <c r="AK33" s="35">
        <f t="shared" si="2"/>
        <v>52636583.289999992</v>
      </c>
      <c r="AL33" s="35">
        <f t="shared" si="2"/>
        <v>42948375.159999996</v>
      </c>
      <c r="AM33" s="35">
        <f t="shared" si="2"/>
        <v>50446836.439999998</v>
      </c>
      <c r="AN33" s="35">
        <f t="shared" si="2"/>
        <v>52499971.520000003</v>
      </c>
      <c r="AO33" s="35">
        <f t="shared" si="2"/>
        <v>45770152.25</v>
      </c>
      <c r="AP33" s="35">
        <f t="shared" si="2"/>
        <v>51319238.460000001</v>
      </c>
      <c r="AQ33" s="35">
        <f t="shared" si="2"/>
        <v>65230815.689999998</v>
      </c>
      <c r="AR33" s="35">
        <f t="shared" si="2"/>
        <v>58938122.969999999</v>
      </c>
      <c r="AS33" s="35">
        <f t="shared" si="2"/>
        <v>69508616.789999992</v>
      </c>
      <c r="AT33" s="35">
        <f t="shared" si="2"/>
        <v>43707730.220000006</v>
      </c>
      <c r="AU33" s="35">
        <f t="shared" si="2"/>
        <v>51809305.349999994</v>
      </c>
      <c r="AV33" s="35">
        <f t="shared" si="2"/>
        <v>48010510.890000001</v>
      </c>
      <c r="AW33" s="35">
        <f t="shared" si="2"/>
        <v>48981574.600000001</v>
      </c>
      <c r="AX33" s="35">
        <f t="shared" si="2"/>
        <v>31511205.93</v>
      </c>
      <c r="AY33" s="35">
        <f t="shared" si="2"/>
        <v>29190203.259999998</v>
      </c>
      <c r="AZ33" s="35">
        <f t="shared" si="2"/>
        <v>45388452.130000003</v>
      </c>
      <c r="BA33" s="35">
        <f t="shared" si="2"/>
        <v>30198546.840000004</v>
      </c>
      <c r="BB33" s="35">
        <f t="shared" si="2"/>
        <v>37710059.039999999</v>
      </c>
      <c r="BC33" s="35">
        <f t="shared" si="2"/>
        <v>178836040.48999998</v>
      </c>
      <c r="BD33" s="35">
        <f t="shared" si="2"/>
        <v>198926940.45000002</v>
      </c>
      <c r="BE33" s="35">
        <f t="shared" si="2"/>
        <v>171562984.28</v>
      </c>
      <c r="BF33" s="35">
        <f t="shared" si="2"/>
        <v>31600060.27</v>
      </c>
      <c r="BG33" s="35">
        <f t="shared" si="2"/>
        <v>139888579.66000003</v>
      </c>
      <c r="BH33" s="35">
        <f t="shared" si="2"/>
        <v>156978960.41999999</v>
      </c>
      <c r="BI33" s="35">
        <f t="shared" si="2"/>
        <v>171144651.11000001</v>
      </c>
      <c r="BJ33" s="35">
        <f t="shared" si="2"/>
        <v>176250678.37</v>
      </c>
      <c r="BK33" s="35">
        <f t="shared" si="2"/>
        <v>164689657.07999998</v>
      </c>
      <c r="BL33" s="35">
        <f t="shared" si="2"/>
        <v>203100718.03999999</v>
      </c>
      <c r="BM33" s="35">
        <f t="shared" si="2"/>
        <v>163511325.62</v>
      </c>
      <c r="BN33" s="35">
        <f t="shared" si="2"/>
        <v>208393488.91000003</v>
      </c>
      <c r="BO33" s="35">
        <f t="shared" ref="BO33:CK33" si="3">SUM(BO22:BO29)</f>
        <v>310021731.60000002</v>
      </c>
      <c r="BP33" s="35">
        <f t="shared" si="3"/>
        <v>195232325.14999998</v>
      </c>
      <c r="BQ33" s="35">
        <f t="shared" si="3"/>
        <v>310861891.88</v>
      </c>
      <c r="BR33" s="35">
        <f t="shared" si="3"/>
        <v>323363426.59000003</v>
      </c>
      <c r="BS33" s="35">
        <f t="shared" si="3"/>
        <v>202255105.37000003</v>
      </c>
      <c r="BT33" s="35">
        <f t="shared" si="3"/>
        <v>290426967.19999999</v>
      </c>
      <c r="BU33" s="35">
        <f t="shared" si="3"/>
        <v>115233569.09000002</v>
      </c>
      <c r="BV33" s="35">
        <f t="shared" si="3"/>
        <v>310702619.70999998</v>
      </c>
      <c r="BW33" s="35">
        <f t="shared" si="3"/>
        <v>107587245.11000001</v>
      </c>
      <c r="BX33" s="35">
        <f t="shared" si="3"/>
        <v>94466041.030000001</v>
      </c>
      <c r="BY33" s="35">
        <f t="shared" si="3"/>
        <v>119917417.08</v>
      </c>
      <c r="BZ33" s="35">
        <f t="shared" si="3"/>
        <v>123297748.97999999</v>
      </c>
      <c r="CA33" s="35">
        <f t="shared" si="3"/>
        <v>0</v>
      </c>
      <c r="CB33" s="35">
        <f t="shared" si="3"/>
        <v>148578606.24000001</v>
      </c>
      <c r="CC33" s="35">
        <f t="shared" si="3"/>
        <v>137215587.04000002</v>
      </c>
      <c r="CD33" s="35">
        <f t="shared" si="3"/>
        <v>134818860.88999999</v>
      </c>
      <c r="CE33" s="35">
        <f t="shared" si="3"/>
        <v>0</v>
      </c>
      <c r="CF33" s="35">
        <f t="shared" si="3"/>
        <v>0</v>
      </c>
      <c r="CG33" s="35">
        <f t="shared" si="3"/>
        <v>0</v>
      </c>
      <c r="CH33" s="35">
        <f t="shared" si="3"/>
        <v>0</v>
      </c>
      <c r="CI33" s="35">
        <f t="shared" si="3"/>
        <v>0</v>
      </c>
      <c r="CJ33" s="35">
        <f t="shared" si="3"/>
        <v>0</v>
      </c>
      <c r="CK33" s="35">
        <f t="shared" si="3"/>
        <v>0</v>
      </c>
    </row>
    <row r="34" spans="1:90" s="11" customFormat="1">
      <c r="A34" s="122" t="s">
        <v>82</v>
      </c>
      <c r="B34" s="34"/>
      <c r="C34" s="34"/>
      <c r="D34" s="34"/>
      <c r="E34" s="34"/>
      <c r="F34" s="34"/>
      <c r="G34" s="34"/>
      <c r="H34" s="34"/>
      <c r="I34" s="34"/>
      <c r="J34" s="34"/>
      <c r="K34" s="34"/>
      <c r="L34" s="32"/>
      <c r="M34" s="14"/>
      <c r="N34" s="14"/>
    </row>
    <row r="35" spans="1:90">
      <c r="A35" s="17" t="s">
        <v>21</v>
      </c>
      <c r="B35" s="189">
        <v>0</v>
      </c>
      <c r="C35" s="189">
        <v>0</v>
      </c>
      <c r="D35" s="189">
        <v>0</v>
      </c>
      <c r="E35" s="189">
        <v>0</v>
      </c>
      <c r="F35" s="189">
        <v>0</v>
      </c>
      <c r="G35" s="189">
        <v>0</v>
      </c>
      <c r="H35" s="189">
        <v>0</v>
      </c>
      <c r="I35" s="189">
        <v>0</v>
      </c>
      <c r="J35" s="189">
        <v>0</v>
      </c>
      <c r="K35" s="189">
        <v>0</v>
      </c>
      <c r="L35" s="189">
        <v>0</v>
      </c>
      <c r="M35" s="189">
        <v>0</v>
      </c>
      <c r="N35" s="189">
        <v>0</v>
      </c>
      <c r="O35" s="189">
        <v>0</v>
      </c>
      <c r="P35" s="189">
        <v>0</v>
      </c>
      <c r="Q35" s="189">
        <v>0</v>
      </c>
      <c r="R35" s="189">
        <v>0</v>
      </c>
      <c r="S35" s="189">
        <v>0</v>
      </c>
      <c r="T35" s="189">
        <v>0</v>
      </c>
      <c r="U35" s="189">
        <v>0</v>
      </c>
      <c r="V35" s="189">
        <v>0</v>
      </c>
      <c r="W35" s="189">
        <v>0</v>
      </c>
      <c r="X35" s="189">
        <v>0</v>
      </c>
      <c r="Y35" s="189">
        <v>0</v>
      </c>
      <c r="Z35" s="189">
        <v>0</v>
      </c>
      <c r="AA35" s="189">
        <v>0</v>
      </c>
      <c r="AB35" s="189">
        <v>0</v>
      </c>
      <c r="AC35" s="189">
        <v>0</v>
      </c>
      <c r="AD35" s="189">
        <v>0</v>
      </c>
      <c r="AE35" s="189">
        <v>0</v>
      </c>
      <c r="AF35" s="189">
        <v>0</v>
      </c>
      <c r="AG35" s="189">
        <v>0</v>
      </c>
      <c r="AH35" s="189">
        <v>0</v>
      </c>
      <c r="AI35" s="189">
        <v>0</v>
      </c>
      <c r="AJ35" s="189">
        <v>0</v>
      </c>
      <c r="AK35" s="189">
        <v>0</v>
      </c>
      <c r="AL35" s="189">
        <v>0</v>
      </c>
      <c r="AM35" s="189">
        <v>0</v>
      </c>
      <c r="AN35" s="189">
        <v>0</v>
      </c>
      <c r="AO35" s="189">
        <v>0</v>
      </c>
      <c r="AP35" s="189">
        <v>0</v>
      </c>
      <c r="AQ35" s="189">
        <v>0</v>
      </c>
      <c r="AR35" s="189">
        <v>0</v>
      </c>
      <c r="AS35" s="189">
        <v>0</v>
      </c>
      <c r="AT35" s="189">
        <v>2880000</v>
      </c>
      <c r="AU35" s="189">
        <v>2880000</v>
      </c>
      <c r="AV35" s="189">
        <v>0</v>
      </c>
      <c r="AW35" s="189">
        <v>0</v>
      </c>
      <c r="AX35" s="189">
        <v>0</v>
      </c>
      <c r="AY35" s="189">
        <v>0</v>
      </c>
      <c r="AZ35" s="189">
        <v>0</v>
      </c>
      <c r="BA35" s="189">
        <v>0</v>
      </c>
      <c r="BB35" s="189">
        <v>10200000</v>
      </c>
      <c r="BC35" s="189">
        <v>10000000</v>
      </c>
      <c r="BD35" s="189">
        <v>0</v>
      </c>
      <c r="BE35" s="189">
        <v>0</v>
      </c>
      <c r="BF35" s="189">
        <v>0</v>
      </c>
      <c r="BG35" s="189">
        <v>0</v>
      </c>
      <c r="BH35" s="189">
        <v>0</v>
      </c>
      <c r="BI35" s="189">
        <v>0</v>
      </c>
      <c r="BJ35" s="189">
        <v>0</v>
      </c>
      <c r="BK35" s="189">
        <v>10500000</v>
      </c>
      <c r="BL35" s="189">
        <v>10000000</v>
      </c>
      <c r="BM35" s="189">
        <v>9000000</v>
      </c>
      <c r="BN35" s="189">
        <v>20000000</v>
      </c>
      <c r="BO35" s="189">
        <v>12000000</v>
      </c>
      <c r="BP35" s="189">
        <v>17000000</v>
      </c>
      <c r="BQ35" s="189">
        <v>10000000</v>
      </c>
      <c r="BR35" s="189">
        <v>16500000</v>
      </c>
      <c r="BS35" s="189">
        <v>0</v>
      </c>
      <c r="BT35" s="189">
        <v>5500000</v>
      </c>
      <c r="BU35" s="189">
        <v>0</v>
      </c>
      <c r="BV35" s="189">
        <v>0</v>
      </c>
      <c r="BW35" s="189">
        <v>9000000</v>
      </c>
      <c r="BX35" s="189">
        <v>0</v>
      </c>
      <c r="BY35" s="189">
        <v>0</v>
      </c>
      <c r="BZ35" s="189">
        <v>0</v>
      </c>
      <c r="CA35" s="189">
        <v>0</v>
      </c>
      <c r="CB35" s="189">
        <v>0</v>
      </c>
      <c r="CC35" s="189">
        <v>0</v>
      </c>
      <c r="CD35" s="189">
        <v>0</v>
      </c>
      <c r="CE35" s="189">
        <v>0</v>
      </c>
      <c r="CF35" s="189"/>
      <c r="CG35" s="189"/>
      <c r="CH35" s="189"/>
      <c r="CI35" s="189"/>
      <c r="CJ35" s="189"/>
      <c r="CK35" s="189"/>
      <c r="CL35" s="189"/>
    </row>
    <row r="36" spans="1:90">
      <c r="A36" s="17" t="s">
        <v>22</v>
      </c>
      <c r="B36" s="189">
        <v>0</v>
      </c>
      <c r="C36" s="189">
        <v>0</v>
      </c>
      <c r="D36" s="189">
        <v>73377020.659999996</v>
      </c>
      <c r="E36" s="189">
        <v>85222850.290000007</v>
      </c>
      <c r="F36" s="189">
        <v>199965517.78999999</v>
      </c>
      <c r="G36" s="189">
        <v>69088292.540000007</v>
      </c>
      <c r="H36" s="189">
        <v>65002157.5</v>
      </c>
      <c r="I36" s="189">
        <v>71992541.489999995</v>
      </c>
      <c r="J36" s="189">
        <v>200325784.03999999</v>
      </c>
      <c r="K36" s="189">
        <v>69431338.609999999</v>
      </c>
      <c r="L36" s="189">
        <v>69286098.370000005</v>
      </c>
      <c r="M36" s="189">
        <v>72973178.370000005</v>
      </c>
      <c r="N36" s="189">
        <v>93026252.439999998</v>
      </c>
      <c r="O36" s="189">
        <v>74750817.420000002</v>
      </c>
      <c r="P36" s="189">
        <v>74329905.090000004</v>
      </c>
      <c r="Q36" s="189">
        <v>88916514.5</v>
      </c>
      <c r="R36" s="189">
        <v>96142161.269999996</v>
      </c>
      <c r="S36" s="189">
        <v>82467509.689999998</v>
      </c>
      <c r="T36" s="189">
        <v>77750526.109999999</v>
      </c>
      <c r="U36" s="189">
        <v>92720601.840000004</v>
      </c>
      <c r="V36" s="189">
        <v>108155010.55</v>
      </c>
      <c r="W36" s="189">
        <v>99672953.640000001</v>
      </c>
      <c r="X36" s="189">
        <v>96021316.170000002</v>
      </c>
      <c r="Y36" s="189">
        <v>106832596.33</v>
      </c>
      <c r="Z36" s="189">
        <v>116426932.58</v>
      </c>
      <c r="AA36" s="189">
        <v>102069561.64</v>
      </c>
      <c r="AB36" s="189">
        <v>89039130.180000007</v>
      </c>
      <c r="AC36" s="189">
        <v>100159500.72</v>
      </c>
      <c r="AD36" s="189">
        <v>108360054.90000001</v>
      </c>
      <c r="AE36" s="189">
        <v>90453790.870000005</v>
      </c>
      <c r="AF36" s="189">
        <v>79013600.120000005</v>
      </c>
      <c r="AG36" s="189">
        <v>93065413.159999996</v>
      </c>
      <c r="AH36" s="189">
        <v>94915353.099999994</v>
      </c>
      <c r="AI36" s="189">
        <v>76766314.040000007</v>
      </c>
      <c r="AJ36" s="189">
        <v>72637022.75</v>
      </c>
      <c r="AK36" s="189">
        <v>70402036.969999999</v>
      </c>
      <c r="AL36" s="189">
        <v>65133129.609999999</v>
      </c>
      <c r="AM36" s="189">
        <v>62868979.549999997</v>
      </c>
      <c r="AN36" s="189">
        <v>59541199.369999997</v>
      </c>
      <c r="AO36" s="189">
        <v>64599640.68</v>
      </c>
      <c r="AP36" s="189">
        <v>55907106.609999999</v>
      </c>
      <c r="AQ36" s="189">
        <v>51478729.649999999</v>
      </c>
      <c r="AR36" s="189">
        <v>47110368.850000001</v>
      </c>
      <c r="AS36" s="189">
        <v>61063583.520000003</v>
      </c>
      <c r="AT36" s="189">
        <v>67463811.409999996</v>
      </c>
      <c r="AU36" s="189">
        <v>62467945.479999997</v>
      </c>
      <c r="AV36" s="189">
        <v>68297072.579999998</v>
      </c>
      <c r="AW36" s="189">
        <v>99990097.069999993</v>
      </c>
      <c r="AX36" s="189">
        <v>69037147.920000002</v>
      </c>
      <c r="AY36" s="189">
        <v>65114392.159999996</v>
      </c>
      <c r="AZ36" s="189">
        <v>71157469.159999996</v>
      </c>
      <c r="BA36" s="189">
        <v>84291174.920000002</v>
      </c>
      <c r="BB36" s="189">
        <v>66906699.090000004</v>
      </c>
      <c r="BC36" s="189">
        <v>20919539.390000001</v>
      </c>
      <c r="BD36" s="189">
        <v>33745789.899999999</v>
      </c>
      <c r="BE36" s="189">
        <v>29438964.68</v>
      </c>
      <c r="BF36" s="189">
        <v>42323535.43</v>
      </c>
      <c r="BG36" s="189">
        <v>17107903.079999998</v>
      </c>
      <c r="BH36" s="189">
        <v>25931121.530000001</v>
      </c>
      <c r="BI36" s="189">
        <v>27289173.879999999</v>
      </c>
      <c r="BJ36" s="189">
        <v>44335101.579999998</v>
      </c>
      <c r="BK36" s="189">
        <v>44537636.649999999</v>
      </c>
      <c r="BL36" s="189">
        <v>48661411.560000002</v>
      </c>
      <c r="BM36" s="189">
        <v>66318800.689999998</v>
      </c>
      <c r="BN36" s="189">
        <v>69596521.599999994</v>
      </c>
      <c r="BO36" s="189">
        <v>14250089.789999999</v>
      </c>
      <c r="BP36" s="189">
        <v>70773808.060000002</v>
      </c>
      <c r="BQ36" s="189">
        <v>94746249.299999997</v>
      </c>
      <c r="BR36" s="189">
        <v>119418232.97</v>
      </c>
      <c r="BS36" s="189">
        <v>59805033.630000003</v>
      </c>
      <c r="BT36" s="189">
        <v>88861332.530000001</v>
      </c>
      <c r="BU36" s="189">
        <v>74301938.079999998</v>
      </c>
      <c r="BV36" s="189">
        <v>70537529.170000002</v>
      </c>
      <c r="BW36" s="189">
        <v>19897841.899999999</v>
      </c>
      <c r="BX36" s="189">
        <v>47388661.25</v>
      </c>
      <c r="BY36" s="189">
        <v>70824328.340000004</v>
      </c>
      <c r="BZ36" s="189">
        <v>55385277.520000003</v>
      </c>
      <c r="CA36" s="189">
        <v>0</v>
      </c>
      <c r="CB36" s="189">
        <v>81069803.629999995</v>
      </c>
      <c r="CC36" s="189">
        <v>61355888.770000003</v>
      </c>
      <c r="CD36" s="189">
        <v>80310062.189999998</v>
      </c>
      <c r="CE36" s="189">
        <v>0</v>
      </c>
      <c r="CF36" s="189"/>
      <c r="CG36" s="189"/>
      <c r="CH36" s="189"/>
      <c r="CI36" s="189"/>
      <c r="CJ36" s="189"/>
      <c r="CK36" s="189"/>
      <c r="CL36" s="189"/>
    </row>
    <row r="37" spans="1:90">
      <c r="A37" s="17" t="s">
        <v>23</v>
      </c>
      <c r="B37" s="189">
        <v>829461817.70000005</v>
      </c>
      <c r="C37" s="189">
        <v>830479534.73000002</v>
      </c>
      <c r="D37" s="189">
        <v>834108896.55999994</v>
      </c>
      <c r="E37" s="189">
        <v>823417777.07000005</v>
      </c>
      <c r="F37" s="189">
        <v>767594031.75</v>
      </c>
      <c r="G37" s="189">
        <v>697737424.25</v>
      </c>
      <c r="H37" s="189">
        <v>640429724.48000002</v>
      </c>
      <c r="I37" s="189">
        <v>508548620.60000002</v>
      </c>
      <c r="J37" s="189">
        <v>450413192.39999998</v>
      </c>
      <c r="K37" s="189">
        <v>271142432.02999997</v>
      </c>
      <c r="L37" s="189">
        <v>236331324.78999999</v>
      </c>
      <c r="M37" s="189">
        <v>241500515.75</v>
      </c>
      <c r="N37" s="189">
        <v>258142754.31999999</v>
      </c>
      <c r="O37" s="189">
        <v>267638415.55000001</v>
      </c>
      <c r="P37" s="189">
        <v>286642641.41000003</v>
      </c>
      <c r="Q37" s="189">
        <v>317833685.26999998</v>
      </c>
      <c r="R37" s="189">
        <v>350234177</v>
      </c>
      <c r="S37" s="189">
        <v>364511092.30000001</v>
      </c>
      <c r="T37" s="189">
        <v>384314519.81</v>
      </c>
      <c r="U37" s="189">
        <v>426054083.11000001</v>
      </c>
      <c r="V37" s="189">
        <v>469608783.56</v>
      </c>
      <c r="W37" s="189">
        <v>476770186.60000002</v>
      </c>
      <c r="X37" s="189">
        <v>485373606.64999998</v>
      </c>
      <c r="Y37" s="189">
        <v>548702032.98000002</v>
      </c>
      <c r="Z37" s="189">
        <v>519487939.17000002</v>
      </c>
      <c r="AA37" s="189">
        <v>465409465.63</v>
      </c>
      <c r="AB37" s="189">
        <v>420691833.44999999</v>
      </c>
      <c r="AC37" s="189">
        <v>458249300.64999998</v>
      </c>
      <c r="AD37" s="189">
        <v>453924466.42000002</v>
      </c>
      <c r="AE37" s="189">
        <v>360916477.32999998</v>
      </c>
      <c r="AF37" s="189">
        <v>342897767.56</v>
      </c>
      <c r="AG37" s="189">
        <v>357386706.51999998</v>
      </c>
      <c r="AH37" s="189">
        <v>335000935.26999998</v>
      </c>
      <c r="AI37" s="189">
        <v>270502167.04000002</v>
      </c>
      <c r="AJ37" s="189">
        <v>241056780.84</v>
      </c>
      <c r="AK37" s="189">
        <v>257314556.43000001</v>
      </c>
      <c r="AL37" s="189">
        <v>229377350.03</v>
      </c>
      <c r="AM37" s="189">
        <v>185499518.69</v>
      </c>
      <c r="AN37" s="189">
        <v>153268328.84999999</v>
      </c>
      <c r="AO37" s="189">
        <v>173755882.69</v>
      </c>
      <c r="AP37" s="189">
        <v>170049961.84</v>
      </c>
      <c r="AQ37" s="189">
        <v>109480193.2</v>
      </c>
      <c r="AR37" s="189">
        <v>90855216.769999996</v>
      </c>
      <c r="AS37" s="189">
        <v>119286772.70999999</v>
      </c>
      <c r="AT37" s="189">
        <v>97381030.879999995</v>
      </c>
      <c r="AU37" s="189">
        <v>80111605.519999996</v>
      </c>
      <c r="AV37" s="189">
        <v>58621965.340000004</v>
      </c>
      <c r="AW37" s="189">
        <v>77908461.349999994</v>
      </c>
      <c r="AX37" s="189">
        <v>57172059.880000003</v>
      </c>
      <c r="AY37" s="189">
        <v>39796321.880000003</v>
      </c>
      <c r="AZ37" s="189">
        <v>50648090.289999999</v>
      </c>
      <c r="BA37" s="189">
        <v>59312419.770000003</v>
      </c>
      <c r="BB37" s="189">
        <v>57255207.289999999</v>
      </c>
      <c r="BC37" s="189">
        <v>32629986.129999999</v>
      </c>
      <c r="BD37" s="189">
        <v>22547838</v>
      </c>
      <c r="BE37" s="189">
        <v>43541219.810000002</v>
      </c>
      <c r="BF37" s="189">
        <v>39429883.520000003</v>
      </c>
      <c r="BG37" s="189">
        <v>35468036.520000003</v>
      </c>
      <c r="BH37" s="189">
        <v>27522807.030000001</v>
      </c>
      <c r="BI37" s="189">
        <v>34797498.840000004</v>
      </c>
      <c r="BJ37" s="189">
        <v>30964431.690000001</v>
      </c>
      <c r="BK37" s="189">
        <v>51127007.090000004</v>
      </c>
      <c r="BL37" s="189">
        <v>28374522.34</v>
      </c>
      <c r="BM37" s="189">
        <v>23370441.43</v>
      </c>
      <c r="BN37" s="189">
        <v>20019179.350000001</v>
      </c>
      <c r="BO37" s="189">
        <v>18016345.800000001</v>
      </c>
      <c r="BP37" s="189">
        <v>13980754.91</v>
      </c>
      <c r="BQ37" s="189">
        <v>9855949.2400000002</v>
      </c>
      <c r="BR37" s="189">
        <v>15507008.699999999</v>
      </c>
      <c r="BS37" s="189">
        <v>12849564.01</v>
      </c>
      <c r="BT37" s="189">
        <v>22369826.300000001</v>
      </c>
      <c r="BU37" s="189">
        <v>11685541.77</v>
      </c>
      <c r="BV37" s="189">
        <v>6544054.7400000002</v>
      </c>
      <c r="BW37" s="189">
        <v>3788777.24</v>
      </c>
      <c r="BX37" s="189">
        <v>3788777.24</v>
      </c>
      <c r="BY37" s="189">
        <v>3788777.24</v>
      </c>
      <c r="BZ37" s="189">
        <v>3788777.24</v>
      </c>
      <c r="CA37" s="189">
        <v>0</v>
      </c>
      <c r="CB37" s="189">
        <v>2076777.24</v>
      </c>
      <c r="CC37" s="189">
        <v>2076777.24</v>
      </c>
      <c r="CD37" s="189">
        <v>4625783.41</v>
      </c>
      <c r="CE37" s="189">
        <v>0</v>
      </c>
      <c r="CF37" s="189"/>
      <c r="CG37" s="189"/>
      <c r="CH37" s="189"/>
      <c r="CI37" s="189"/>
      <c r="CJ37" s="189"/>
      <c r="CK37" s="189"/>
      <c r="CL37" s="189"/>
    </row>
    <row r="38" spans="1:90">
      <c r="A38" s="17" t="s">
        <v>24</v>
      </c>
      <c r="B38" s="189">
        <v>0</v>
      </c>
      <c r="C38" s="189">
        <v>0</v>
      </c>
      <c r="D38" s="189">
        <v>0</v>
      </c>
      <c r="E38" s="189">
        <v>0</v>
      </c>
      <c r="F38" s="189">
        <v>0</v>
      </c>
      <c r="G38" s="189">
        <v>0</v>
      </c>
      <c r="H38" s="189">
        <v>0</v>
      </c>
      <c r="I38" s="189">
        <v>0</v>
      </c>
      <c r="J38" s="189">
        <v>0</v>
      </c>
      <c r="K38" s="189">
        <v>0</v>
      </c>
      <c r="L38" s="189">
        <v>0</v>
      </c>
      <c r="M38" s="189">
        <v>0</v>
      </c>
      <c r="N38" s="189">
        <v>0</v>
      </c>
      <c r="O38" s="189">
        <v>0</v>
      </c>
      <c r="P38" s="189">
        <v>0</v>
      </c>
      <c r="Q38" s="189">
        <v>0</v>
      </c>
      <c r="R38" s="189">
        <v>0</v>
      </c>
      <c r="S38" s="189">
        <v>0</v>
      </c>
      <c r="T38" s="189">
        <v>0</v>
      </c>
      <c r="U38" s="189">
        <v>0</v>
      </c>
      <c r="V38" s="189">
        <v>0</v>
      </c>
      <c r="W38" s="189">
        <v>0</v>
      </c>
      <c r="X38" s="189">
        <v>0</v>
      </c>
      <c r="Y38" s="189">
        <v>0</v>
      </c>
      <c r="Z38" s="189">
        <v>0</v>
      </c>
      <c r="AA38" s="189">
        <v>0</v>
      </c>
      <c r="AB38" s="189">
        <v>0</v>
      </c>
      <c r="AC38" s="189">
        <v>0</v>
      </c>
      <c r="AD38" s="189">
        <v>0</v>
      </c>
      <c r="AE38" s="189">
        <v>0</v>
      </c>
      <c r="AF38" s="189">
        <v>0</v>
      </c>
      <c r="AG38" s="189">
        <v>0</v>
      </c>
      <c r="AH38" s="189">
        <v>0</v>
      </c>
      <c r="AI38" s="189">
        <v>0</v>
      </c>
      <c r="AJ38" s="189">
        <v>0</v>
      </c>
      <c r="AK38" s="189">
        <v>0</v>
      </c>
      <c r="AL38" s="189">
        <v>0</v>
      </c>
      <c r="AM38" s="189">
        <v>0</v>
      </c>
      <c r="AN38" s="189">
        <v>0</v>
      </c>
      <c r="AO38" s="189">
        <v>0</v>
      </c>
      <c r="AP38" s="189">
        <v>0</v>
      </c>
      <c r="AQ38" s="189">
        <v>0</v>
      </c>
      <c r="AR38" s="189">
        <v>0</v>
      </c>
      <c r="AS38" s="189">
        <v>0</v>
      </c>
      <c r="AT38" s="189">
        <v>0</v>
      </c>
      <c r="AU38" s="189">
        <v>0</v>
      </c>
      <c r="AV38" s="189">
        <v>0</v>
      </c>
      <c r="AW38" s="189">
        <v>0</v>
      </c>
      <c r="AX38" s="189">
        <v>0</v>
      </c>
      <c r="AY38" s="189">
        <v>0</v>
      </c>
      <c r="AZ38" s="189">
        <v>0</v>
      </c>
      <c r="BA38" s="189">
        <v>0</v>
      </c>
      <c r="BB38" s="189">
        <v>0</v>
      </c>
      <c r="BC38" s="189">
        <v>0</v>
      </c>
      <c r="BD38" s="189">
        <v>0</v>
      </c>
      <c r="BE38" s="189">
        <v>0</v>
      </c>
      <c r="BF38" s="189">
        <v>0</v>
      </c>
      <c r="BG38" s="189">
        <v>0</v>
      </c>
      <c r="BH38" s="189">
        <v>0</v>
      </c>
      <c r="BI38" s="189">
        <v>0</v>
      </c>
      <c r="BJ38" s="189">
        <v>0</v>
      </c>
      <c r="BK38" s="189">
        <v>0</v>
      </c>
      <c r="BL38" s="189">
        <v>0</v>
      </c>
      <c r="BM38" s="189">
        <v>0</v>
      </c>
      <c r="BN38" s="189">
        <v>0</v>
      </c>
      <c r="BO38" s="189">
        <v>0</v>
      </c>
      <c r="BP38" s="189">
        <v>0</v>
      </c>
      <c r="BQ38" s="189">
        <v>0</v>
      </c>
      <c r="BR38" s="189">
        <v>0</v>
      </c>
      <c r="BS38" s="189">
        <v>0</v>
      </c>
      <c r="BT38" s="189">
        <v>0</v>
      </c>
      <c r="BU38" s="189">
        <v>0</v>
      </c>
      <c r="BV38" s="189">
        <v>0</v>
      </c>
      <c r="BW38" s="189">
        <v>0</v>
      </c>
      <c r="BX38" s="189">
        <v>0</v>
      </c>
      <c r="BY38" s="189">
        <v>0</v>
      </c>
      <c r="BZ38" s="189">
        <v>0</v>
      </c>
      <c r="CA38" s="189">
        <v>0</v>
      </c>
      <c r="CB38" s="189">
        <v>0</v>
      </c>
      <c r="CC38" s="189">
        <v>0</v>
      </c>
      <c r="CD38" s="189">
        <v>0</v>
      </c>
      <c r="CE38" s="189">
        <v>0</v>
      </c>
      <c r="CF38" s="189"/>
      <c r="CG38" s="189"/>
      <c r="CH38" s="189"/>
      <c r="CI38" s="189"/>
      <c r="CJ38" s="189"/>
      <c r="CK38" s="189"/>
      <c r="CL38" s="189"/>
    </row>
    <row r="39" spans="1:90">
      <c r="A39" s="17" t="s">
        <v>25</v>
      </c>
      <c r="B39" s="189">
        <v>24174694.059999999</v>
      </c>
      <c r="C39" s="189">
        <v>16330184.18</v>
      </c>
      <c r="D39" s="189">
        <v>13210487.17</v>
      </c>
      <c r="E39" s="189">
        <v>9203276.9399999995</v>
      </c>
      <c r="F39" s="189">
        <v>25968427.289999999</v>
      </c>
      <c r="G39" s="189">
        <v>19043909.219999999</v>
      </c>
      <c r="H39" s="189">
        <v>15228966.57</v>
      </c>
      <c r="I39" s="189">
        <v>9426968.8800000008</v>
      </c>
      <c r="J39" s="189">
        <v>21350374.32</v>
      </c>
      <c r="K39" s="189">
        <v>16389057.890000001</v>
      </c>
      <c r="L39" s="189">
        <v>13288920.189999999</v>
      </c>
      <c r="M39" s="189">
        <v>9398418.7200000007</v>
      </c>
      <c r="N39" s="189">
        <v>20123272.350000001</v>
      </c>
      <c r="O39" s="189">
        <v>15412014.619999999</v>
      </c>
      <c r="P39" s="189">
        <v>11998952.85</v>
      </c>
      <c r="Q39" s="189">
        <v>8593659.6899999995</v>
      </c>
      <c r="R39" s="189">
        <v>20762322.800000001</v>
      </c>
      <c r="S39" s="189">
        <v>15199336.289999999</v>
      </c>
      <c r="T39" s="189">
        <v>11349671.869999999</v>
      </c>
      <c r="U39" s="189">
        <v>8533336.7899999991</v>
      </c>
      <c r="V39" s="189">
        <v>21310943.379999999</v>
      </c>
      <c r="W39" s="189">
        <v>14346664.539999999</v>
      </c>
      <c r="X39" s="189">
        <v>11253522.66</v>
      </c>
      <c r="Y39" s="189">
        <v>7705781.5700000003</v>
      </c>
      <c r="Z39" s="189">
        <v>18984867.23</v>
      </c>
      <c r="AA39" s="189">
        <v>13831316.32</v>
      </c>
      <c r="AB39" s="189">
        <v>10719365.4</v>
      </c>
      <c r="AC39" s="189">
        <v>7444067.29</v>
      </c>
      <c r="AD39" s="189">
        <v>16498740.73</v>
      </c>
      <c r="AE39" s="189">
        <v>13496050.960000001</v>
      </c>
      <c r="AF39" s="189">
        <v>8230698.2000000002</v>
      </c>
      <c r="AG39" s="189">
        <v>3997574.31</v>
      </c>
      <c r="AH39" s="189">
        <v>13686625.59</v>
      </c>
      <c r="AI39" s="189">
        <v>7105996.2599999998</v>
      </c>
      <c r="AJ39" s="189">
        <v>2857859.64</v>
      </c>
      <c r="AK39" s="189">
        <v>8878152.3000000007</v>
      </c>
      <c r="AL39" s="189">
        <v>9111447.4299999997</v>
      </c>
      <c r="AM39" s="189">
        <v>2653478.48</v>
      </c>
      <c r="AN39" s="189">
        <v>2483418.38</v>
      </c>
      <c r="AO39" s="189">
        <v>2393053.0499999998</v>
      </c>
      <c r="AP39" s="189">
        <v>6124358.6900000004</v>
      </c>
      <c r="AQ39" s="189">
        <v>2514462.2799999998</v>
      </c>
      <c r="AR39" s="189">
        <v>2341018.54</v>
      </c>
      <c r="AS39" s="189">
        <v>2434618.11</v>
      </c>
      <c r="AT39" s="189">
        <v>2248686.2400000002</v>
      </c>
      <c r="AU39" s="189">
        <v>3164101.47</v>
      </c>
      <c r="AV39" s="189">
        <v>3055786.27</v>
      </c>
      <c r="AW39" s="189">
        <v>1453480.55</v>
      </c>
      <c r="AX39" s="189">
        <v>1441940.6</v>
      </c>
      <c r="AY39" s="189">
        <v>1224567.5900000001</v>
      </c>
      <c r="AZ39" s="189">
        <v>949209.81</v>
      </c>
      <c r="BA39" s="189">
        <v>2266179.11</v>
      </c>
      <c r="BB39" s="189">
        <v>1324919.23</v>
      </c>
      <c r="BC39" s="189">
        <v>1861499.63</v>
      </c>
      <c r="BD39" s="189">
        <v>1695037.18</v>
      </c>
      <c r="BE39" s="189">
        <v>1515373.17</v>
      </c>
      <c r="BF39" s="189">
        <v>1205617.58</v>
      </c>
      <c r="BG39" s="189">
        <v>1402609.82</v>
      </c>
      <c r="BH39" s="189">
        <v>1168613.6499999999</v>
      </c>
      <c r="BI39" s="189">
        <v>741198.24</v>
      </c>
      <c r="BJ39" s="189">
        <v>2866551.4</v>
      </c>
      <c r="BK39" s="189">
        <v>1734679.95</v>
      </c>
      <c r="BL39" s="189">
        <v>1832660.09</v>
      </c>
      <c r="BM39" s="189">
        <v>1950444.51</v>
      </c>
      <c r="BN39" s="189">
        <v>1659392.54</v>
      </c>
      <c r="BO39" s="189">
        <v>-64127.02</v>
      </c>
      <c r="BP39" s="189">
        <v>-309826.96000000002</v>
      </c>
      <c r="BQ39" s="189">
        <v>134842.10999999999</v>
      </c>
      <c r="BR39" s="189">
        <v>426408.6</v>
      </c>
      <c r="BS39" s="189">
        <v>1079992.01</v>
      </c>
      <c r="BT39" s="189">
        <v>1491009.94</v>
      </c>
      <c r="BU39" s="189">
        <v>369070.69</v>
      </c>
      <c r="BV39" s="189">
        <v>542727.1</v>
      </c>
      <c r="BW39" s="189">
        <v>1459516.07</v>
      </c>
      <c r="BX39" s="189">
        <v>1650368.95</v>
      </c>
      <c r="BY39" s="189">
        <v>2273033.15</v>
      </c>
      <c r="BZ39" s="189">
        <v>1309852.77</v>
      </c>
      <c r="CA39" s="189">
        <v>0</v>
      </c>
      <c r="CB39" s="189">
        <v>2135370.9900000002</v>
      </c>
      <c r="CC39" s="189">
        <v>2385096.23</v>
      </c>
      <c r="CD39" s="189">
        <v>0</v>
      </c>
      <c r="CE39" s="189">
        <v>0</v>
      </c>
      <c r="CF39" s="189"/>
      <c r="CG39" s="189"/>
      <c r="CH39" s="189"/>
      <c r="CI39" s="189"/>
      <c r="CJ39" s="189"/>
      <c r="CK39" s="189"/>
      <c r="CL39" s="189"/>
    </row>
    <row r="40" spans="1:90">
      <c r="A40" s="17" t="s">
        <v>26</v>
      </c>
      <c r="B40" s="189">
        <v>385527791.54000002</v>
      </c>
      <c r="C40" s="189">
        <v>311277970.55000001</v>
      </c>
      <c r="D40" s="189">
        <v>13600282.92</v>
      </c>
      <c r="E40" s="189">
        <v>73258403.599999994</v>
      </c>
      <c r="F40" s="189">
        <v>34042180.75</v>
      </c>
      <c r="G40" s="189">
        <v>27378872.010000002</v>
      </c>
      <c r="H40" s="189">
        <v>37813290.719999999</v>
      </c>
      <c r="I40" s="189">
        <v>10056141.029999999</v>
      </c>
      <c r="J40" s="189">
        <v>9268650.3399999999</v>
      </c>
      <c r="K40" s="189">
        <v>12370913.539999999</v>
      </c>
      <c r="L40" s="189">
        <v>8761296.7899999991</v>
      </c>
      <c r="M40" s="189">
        <v>11512433.640000001</v>
      </c>
      <c r="N40" s="189">
        <v>8148316.8300000001</v>
      </c>
      <c r="O40" s="189">
        <v>8773753.2200000007</v>
      </c>
      <c r="P40" s="189">
        <v>10958254.810000001</v>
      </c>
      <c r="Q40" s="189">
        <v>12235815.140000001</v>
      </c>
      <c r="R40" s="189">
        <v>12699878.5</v>
      </c>
      <c r="S40" s="189">
        <v>11263560.609999999</v>
      </c>
      <c r="T40" s="189">
        <v>11887226.050000001</v>
      </c>
      <c r="U40" s="189">
        <v>32543814.57</v>
      </c>
      <c r="V40" s="189">
        <v>28486655.719999999</v>
      </c>
      <c r="W40" s="189">
        <v>20992793.809999999</v>
      </c>
      <c r="X40" s="189">
        <v>18129036.989999998</v>
      </c>
      <c r="Y40" s="189">
        <v>30213306.489999998</v>
      </c>
      <c r="Z40" s="189">
        <v>27638435.399999999</v>
      </c>
      <c r="AA40" s="189">
        <v>18823122.18</v>
      </c>
      <c r="AB40" s="189">
        <v>16794141.280000001</v>
      </c>
      <c r="AC40" s="189">
        <v>26246111.329999998</v>
      </c>
      <c r="AD40" s="189">
        <v>24969209.07</v>
      </c>
      <c r="AE40" s="189">
        <v>28742544.98</v>
      </c>
      <c r="AF40" s="189">
        <v>23645712.960000001</v>
      </c>
      <c r="AG40" s="189">
        <v>22546814.43</v>
      </c>
      <c r="AH40" s="189">
        <v>18810318.5</v>
      </c>
      <c r="AI40" s="189">
        <v>11990114.189999999</v>
      </c>
      <c r="AJ40" s="189">
        <v>14403453.08</v>
      </c>
      <c r="AK40" s="189">
        <v>13380248.77</v>
      </c>
      <c r="AL40" s="189">
        <v>11967584.16</v>
      </c>
      <c r="AM40" s="189">
        <v>12479303.630000001</v>
      </c>
      <c r="AN40" s="189">
        <v>7712363.9400000004</v>
      </c>
      <c r="AO40" s="189">
        <v>5538628.3399999999</v>
      </c>
      <c r="AP40" s="189">
        <v>5209483.41</v>
      </c>
      <c r="AQ40" s="189">
        <v>2413286.79</v>
      </c>
      <c r="AR40" s="189">
        <v>-1696211.24</v>
      </c>
      <c r="AS40" s="189">
        <v>-797904.8</v>
      </c>
      <c r="AT40" s="189">
        <v>-294041.40999999997</v>
      </c>
      <c r="AU40" s="189">
        <v>-4081502.04</v>
      </c>
      <c r="AV40" s="189">
        <v>-6943472.8300000001</v>
      </c>
      <c r="AW40" s="189">
        <v>-6243725.6299999999</v>
      </c>
      <c r="AX40" s="189">
        <v>-2335133.4700000002</v>
      </c>
      <c r="AY40" s="189">
        <v>-6428268.8399999999</v>
      </c>
      <c r="AZ40" s="189">
        <v>-7369289.8700000001</v>
      </c>
      <c r="BA40" s="189">
        <v>-7624485.6100000003</v>
      </c>
      <c r="BB40" s="189">
        <v>-2126667.46</v>
      </c>
      <c r="BC40" s="189">
        <v>-2868474.7</v>
      </c>
      <c r="BD40" s="189">
        <v>-5393438.1600000001</v>
      </c>
      <c r="BE40" s="189">
        <v>-5613142.4699999997</v>
      </c>
      <c r="BF40" s="189">
        <v>-2550634.42</v>
      </c>
      <c r="BG40" s="189">
        <v>-5130471.9800000004</v>
      </c>
      <c r="BH40" s="189">
        <v>-7440715.7599999998</v>
      </c>
      <c r="BI40" s="189">
        <v>-7578740.4400000004</v>
      </c>
      <c r="BJ40" s="189">
        <v>-6887971.29</v>
      </c>
      <c r="BK40" s="189">
        <v>-9165205.1899999995</v>
      </c>
      <c r="BL40" s="189">
        <v>-10256290.859999999</v>
      </c>
      <c r="BM40" s="189">
        <v>-7973149.6100000003</v>
      </c>
      <c r="BN40" s="189">
        <v>-7313215.2599999998</v>
      </c>
      <c r="BO40" s="189">
        <v>-2262222.2200000002</v>
      </c>
      <c r="BP40" s="189">
        <v>-2297660.94</v>
      </c>
      <c r="BQ40" s="189">
        <v>-3209848.09</v>
      </c>
      <c r="BR40" s="189">
        <v>-874854.13</v>
      </c>
      <c r="BS40" s="189">
        <v>7961203.8499999996</v>
      </c>
      <c r="BT40" s="189">
        <v>3497593.62</v>
      </c>
      <c r="BU40" s="189">
        <v>-3809179.52</v>
      </c>
      <c r="BV40" s="189">
        <v>-3306450.71</v>
      </c>
      <c r="BW40" s="189">
        <v>-4657774.28</v>
      </c>
      <c r="BX40" s="189">
        <v>-8329406.2199999997</v>
      </c>
      <c r="BY40" s="189">
        <v>-261046.45</v>
      </c>
      <c r="BZ40" s="189">
        <v>592578.51</v>
      </c>
      <c r="CA40" s="189">
        <v>0</v>
      </c>
      <c r="CB40" s="189">
        <v>1831919.6</v>
      </c>
      <c r="CC40" s="189">
        <v>807996.98</v>
      </c>
      <c r="CD40" s="189">
        <v>2905708.17</v>
      </c>
      <c r="CE40" s="189">
        <v>0</v>
      </c>
      <c r="CF40" s="189"/>
      <c r="CG40" s="189"/>
      <c r="CH40" s="189"/>
      <c r="CI40" s="189"/>
      <c r="CJ40" s="189"/>
      <c r="CK40" s="189"/>
      <c r="CL40" s="189"/>
    </row>
    <row r="41" spans="1:90">
      <c r="A41" s="17" t="s">
        <v>27</v>
      </c>
      <c r="B41" s="189">
        <v>688371287.38999999</v>
      </c>
      <c r="C41" s="189">
        <v>789741477.82000005</v>
      </c>
      <c r="D41" s="189">
        <v>767876009.37</v>
      </c>
      <c r="E41" s="189">
        <v>590948504.09000003</v>
      </c>
      <c r="F41" s="189">
        <v>655594819.84000003</v>
      </c>
      <c r="G41" s="189">
        <v>662099986.51999998</v>
      </c>
      <c r="H41" s="189">
        <v>1060226295.33</v>
      </c>
      <c r="I41" s="189">
        <v>86247405.390000001</v>
      </c>
      <c r="J41" s="189">
        <v>94102622.230000004</v>
      </c>
      <c r="K41" s="189">
        <v>113277900.19</v>
      </c>
      <c r="L41" s="189">
        <v>81815199.659999996</v>
      </c>
      <c r="M41" s="189">
        <v>101275557.31</v>
      </c>
      <c r="N41" s="189">
        <v>109751025.91</v>
      </c>
      <c r="O41" s="189">
        <v>113867166.39</v>
      </c>
      <c r="P41" s="189">
        <v>83516888.959999993</v>
      </c>
      <c r="Q41" s="189">
        <v>86660432.780000001</v>
      </c>
      <c r="R41" s="189">
        <v>101356628.87</v>
      </c>
      <c r="S41" s="189">
        <v>116415282.14</v>
      </c>
      <c r="T41" s="189">
        <v>85692884.650000006</v>
      </c>
      <c r="U41" s="189">
        <v>85871326.010000005</v>
      </c>
      <c r="V41" s="189">
        <v>102351223.23999999</v>
      </c>
      <c r="W41" s="189">
        <v>103760722.90000001</v>
      </c>
      <c r="X41" s="189">
        <v>115512700.86</v>
      </c>
      <c r="Y41" s="189">
        <v>130753738.92</v>
      </c>
      <c r="Z41" s="189">
        <v>13035371.560000001</v>
      </c>
      <c r="AA41" s="189">
        <v>14624590.109999999</v>
      </c>
      <c r="AB41" s="189">
        <v>11667409.779999999</v>
      </c>
      <c r="AC41" s="189">
        <v>11993672.310000001</v>
      </c>
      <c r="AD41" s="189">
        <v>11589143.279999999</v>
      </c>
      <c r="AE41" s="189">
        <v>9761079.7899999991</v>
      </c>
      <c r="AF41" s="189">
        <v>9584113.6600000001</v>
      </c>
      <c r="AG41" s="189">
        <v>9079349.8499999996</v>
      </c>
      <c r="AH41" s="189">
        <v>9217944.9600000009</v>
      </c>
      <c r="AI41" s="189">
        <v>9626972.7899999991</v>
      </c>
      <c r="AJ41" s="189">
        <v>9527148.1999999993</v>
      </c>
      <c r="AK41" s="189">
        <v>13050042.41</v>
      </c>
      <c r="AL41" s="189">
        <v>10839904.48</v>
      </c>
      <c r="AM41" s="189">
        <v>10945081.439999999</v>
      </c>
      <c r="AN41" s="189">
        <v>10627302.85</v>
      </c>
      <c r="AO41" s="189">
        <v>9929144.4900000002</v>
      </c>
      <c r="AP41" s="189">
        <v>10503777.75</v>
      </c>
      <c r="AQ41" s="189">
        <v>8949518.9299999997</v>
      </c>
      <c r="AR41" s="189">
        <v>7325734.54</v>
      </c>
      <c r="AS41" s="189">
        <v>7162917.8899999997</v>
      </c>
      <c r="AT41" s="189">
        <v>6244256.1100000003</v>
      </c>
      <c r="AU41" s="189">
        <v>7337513.6100000003</v>
      </c>
      <c r="AV41" s="189">
        <v>5973389.3499999996</v>
      </c>
      <c r="AW41" s="189">
        <v>7936108.2599999998</v>
      </c>
      <c r="AX41" s="189">
        <v>5776304.4000000004</v>
      </c>
      <c r="AY41" s="189">
        <v>8734829.7400000002</v>
      </c>
      <c r="AZ41" s="189">
        <v>6082712.8399999999</v>
      </c>
      <c r="BA41" s="189">
        <v>25065802.77</v>
      </c>
      <c r="BB41" s="189">
        <v>25518386.460000001</v>
      </c>
      <c r="BC41" s="189">
        <v>2863401.87</v>
      </c>
      <c r="BD41" s="189">
        <v>6738818.29</v>
      </c>
      <c r="BE41" s="189">
        <v>5864176.21</v>
      </c>
      <c r="BF41" s="189">
        <v>4468266.97</v>
      </c>
      <c r="BG41" s="189">
        <v>15687036.52</v>
      </c>
      <c r="BH41" s="189">
        <v>14261717.59</v>
      </c>
      <c r="BI41" s="189">
        <v>13612168.630000001</v>
      </c>
      <c r="BJ41" s="189">
        <v>13018433.619999999</v>
      </c>
      <c r="BK41" s="189">
        <v>12031491.25</v>
      </c>
      <c r="BL41" s="189">
        <v>13621867.060000001</v>
      </c>
      <c r="BM41" s="189">
        <v>29157211.719999999</v>
      </c>
      <c r="BN41" s="189">
        <v>16000150.85</v>
      </c>
      <c r="BO41" s="189">
        <v>31618219.190000001</v>
      </c>
      <c r="BP41" s="189">
        <v>30454239.43</v>
      </c>
      <c r="BQ41" s="189">
        <v>35949942.700000003</v>
      </c>
      <c r="BR41" s="189">
        <v>15498442.18</v>
      </c>
      <c r="BS41" s="189">
        <v>19672796.57</v>
      </c>
      <c r="BT41" s="189">
        <v>33153626.57</v>
      </c>
      <c r="BU41" s="189">
        <v>7626614.1100000003</v>
      </c>
      <c r="BV41" s="189">
        <v>14778371.640000001</v>
      </c>
      <c r="BW41" s="189">
        <v>9489282.2400000002</v>
      </c>
      <c r="BX41" s="189">
        <v>41003343.899999999</v>
      </c>
      <c r="BY41" s="189">
        <v>41924752.210000001</v>
      </c>
      <c r="BZ41" s="189">
        <v>54329686.18</v>
      </c>
      <c r="CA41" s="189">
        <v>0</v>
      </c>
      <c r="CB41" s="189">
        <v>23736942.449999999</v>
      </c>
      <c r="CC41" s="189">
        <v>36393593.909999996</v>
      </c>
      <c r="CD41" s="189">
        <v>35325303.200000003</v>
      </c>
      <c r="CE41" s="189">
        <v>0</v>
      </c>
      <c r="CF41" s="189"/>
      <c r="CG41" s="189"/>
      <c r="CH41" s="189"/>
      <c r="CI41" s="189"/>
      <c r="CJ41" s="189"/>
      <c r="CK41" s="189"/>
      <c r="CL41" s="189"/>
    </row>
    <row r="42" spans="1:90" s="39" customFormat="1">
      <c r="A42" s="124" t="s">
        <v>28</v>
      </c>
      <c r="B42" s="189">
        <v>0</v>
      </c>
      <c r="C42" s="189">
        <v>0</v>
      </c>
      <c r="D42" s="189">
        <v>0</v>
      </c>
      <c r="E42" s="189">
        <v>0</v>
      </c>
      <c r="F42" s="189">
        <v>0</v>
      </c>
      <c r="G42" s="189">
        <v>0</v>
      </c>
      <c r="H42" s="189">
        <v>0</v>
      </c>
      <c r="I42" s="189">
        <v>0</v>
      </c>
      <c r="J42" s="189">
        <v>0</v>
      </c>
      <c r="K42" s="189">
        <v>0</v>
      </c>
      <c r="L42" s="189">
        <v>0</v>
      </c>
      <c r="M42" s="189">
        <v>0</v>
      </c>
      <c r="N42" s="189">
        <v>0</v>
      </c>
      <c r="O42" s="189">
        <v>0</v>
      </c>
      <c r="P42" s="189">
        <v>0</v>
      </c>
      <c r="Q42" s="189">
        <v>0</v>
      </c>
      <c r="R42" s="189">
        <v>0</v>
      </c>
      <c r="S42" s="189">
        <v>0</v>
      </c>
      <c r="T42" s="189">
        <v>0</v>
      </c>
      <c r="U42" s="189">
        <v>0</v>
      </c>
      <c r="V42" s="189">
        <v>0</v>
      </c>
      <c r="W42" s="189">
        <v>0</v>
      </c>
      <c r="X42" s="189">
        <v>0</v>
      </c>
      <c r="Y42" s="189">
        <v>0</v>
      </c>
      <c r="Z42" s="189">
        <v>0</v>
      </c>
      <c r="AA42" s="189">
        <v>0</v>
      </c>
      <c r="AB42" s="189">
        <v>0</v>
      </c>
      <c r="AC42" s="189">
        <v>0</v>
      </c>
      <c r="AD42" s="189">
        <v>0</v>
      </c>
      <c r="AE42" s="189">
        <v>0</v>
      </c>
      <c r="AF42" s="189">
        <v>0</v>
      </c>
      <c r="AG42" s="189">
        <v>0</v>
      </c>
      <c r="AH42" s="189">
        <v>0</v>
      </c>
      <c r="AI42" s="189">
        <v>0</v>
      </c>
      <c r="AJ42" s="189">
        <v>0</v>
      </c>
      <c r="AK42" s="189">
        <v>0</v>
      </c>
      <c r="AL42" s="189">
        <v>0</v>
      </c>
      <c r="AM42" s="189">
        <v>0</v>
      </c>
      <c r="AN42" s="189">
        <v>0</v>
      </c>
      <c r="AO42" s="189">
        <v>0</v>
      </c>
      <c r="AP42" s="189">
        <v>0</v>
      </c>
      <c r="AQ42" s="189">
        <v>0</v>
      </c>
      <c r="AR42" s="189">
        <v>0</v>
      </c>
      <c r="AS42" s="189">
        <v>0</v>
      </c>
      <c r="AT42" s="189">
        <v>0</v>
      </c>
      <c r="AU42" s="189">
        <v>0</v>
      </c>
      <c r="AV42" s="189">
        <v>0</v>
      </c>
      <c r="AW42" s="189">
        <v>0</v>
      </c>
      <c r="AX42" s="189">
        <v>0</v>
      </c>
      <c r="AY42" s="189">
        <v>0</v>
      </c>
      <c r="AZ42" s="189">
        <v>0</v>
      </c>
      <c r="BA42" s="189">
        <v>0</v>
      </c>
      <c r="BB42" s="189">
        <v>0</v>
      </c>
      <c r="BC42" s="189">
        <v>0</v>
      </c>
      <c r="BD42" s="189">
        <v>0</v>
      </c>
      <c r="BE42" s="189">
        <v>0</v>
      </c>
      <c r="BF42" s="189">
        <v>0</v>
      </c>
      <c r="BG42" s="189">
        <v>0</v>
      </c>
      <c r="BH42" s="189">
        <v>0</v>
      </c>
      <c r="BI42" s="189">
        <v>0</v>
      </c>
      <c r="BJ42" s="189">
        <v>0</v>
      </c>
      <c r="BK42" s="189">
        <v>0</v>
      </c>
      <c r="BL42" s="189">
        <v>0</v>
      </c>
      <c r="BM42" s="189">
        <v>0</v>
      </c>
      <c r="BN42" s="189">
        <v>0</v>
      </c>
      <c r="BO42" s="189">
        <v>0</v>
      </c>
      <c r="BP42" s="189">
        <v>0</v>
      </c>
      <c r="BQ42" s="189">
        <v>0</v>
      </c>
      <c r="BR42" s="189">
        <v>0</v>
      </c>
      <c r="BS42" s="189">
        <v>0</v>
      </c>
      <c r="BT42" s="189">
        <v>0</v>
      </c>
      <c r="BU42" s="189">
        <v>0</v>
      </c>
      <c r="BV42" s="189">
        <v>0</v>
      </c>
      <c r="BW42" s="189">
        <v>0</v>
      </c>
      <c r="BX42" s="189">
        <v>0</v>
      </c>
      <c r="BY42" s="189">
        <v>0</v>
      </c>
      <c r="BZ42" s="189">
        <v>0</v>
      </c>
      <c r="CA42" s="189">
        <v>0</v>
      </c>
      <c r="CB42" s="189">
        <v>0</v>
      </c>
      <c r="CC42" s="189">
        <v>0</v>
      </c>
      <c r="CD42" s="189">
        <v>0</v>
      </c>
      <c r="CE42" s="189">
        <v>0</v>
      </c>
      <c r="CF42" s="189"/>
      <c r="CG42" s="189"/>
      <c r="CH42" s="189"/>
      <c r="CI42" s="189"/>
      <c r="CJ42" s="189"/>
      <c r="CK42" s="189"/>
      <c r="CL42" s="189"/>
    </row>
    <row r="43" spans="1:90">
      <c r="A43" s="17" t="s">
        <v>29</v>
      </c>
      <c r="B43" s="189">
        <v>0</v>
      </c>
      <c r="C43" s="189">
        <v>0</v>
      </c>
      <c r="D43" s="189">
        <v>0</v>
      </c>
      <c r="E43" s="189">
        <v>0</v>
      </c>
      <c r="F43" s="189">
        <v>0</v>
      </c>
      <c r="G43" s="189">
        <v>0</v>
      </c>
      <c r="H43" s="189">
        <v>0</v>
      </c>
      <c r="I43" s="189">
        <v>0</v>
      </c>
      <c r="J43" s="189">
        <v>0</v>
      </c>
      <c r="K43" s="189">
        <v>0</v>
      </c>
      <c r="L43" s="189">
        <v>0</v>
      </c>
      <c r="M43" s="189">
        <v>0</v>
      </c>
      <c r="N43" s="189">
        <v>0</v>
      </c>
      <c r="O43" s="189">
        <v>0</v>
      </c>
      <c r="P43" s="189">
        <v>0</v>
      </c>
      <c r="Q43" s="189">
        <v>0</v>
      </c>
      <c r="R43" s="189">
        <v>0</v>
      </c>
      <c r="S43" s="189">
        <v>0</v>
      </c>
      <c r="T43" s="189">
        <v>0</v>
      </c>
      <c r="U43" s="189">
        <v>0</v>
      </c>
      <c r="V43" s="189">
        <v>0</v>
      </c>
      <c r="W43" s="189">
        <v>0</v>
      </c>
      <c r="X43" s="189">
        <v>0</v>
      </c>
      <c r="Y43" s="189">
        <v>0</v>
      </c>
      <c r="Z43" s="189">
        <v>0</v>
      </c>
      <c r="AA43" s="189">
        <v>0</v>
      </c>
      <c r="AB43" s="189">
        <v>0</v>
      </c>
      <c r="AC43" s="189">
        <v>0</v>
      </c>
      <c r="AD43" s="189">
        <v>0</v>
      </c>
      <c r="AE43" s="189">
        <v>0</v>
      </c>
      <c r="AF43" s="189">
        <v>0</v>
      </c>
      <c r="AG43" s="189">
        <v>0</v>
      </c>
      <c r="AH43" s="189">
        <v>0</v>
      </c>
      <c r="AI43" s="189">
        <v>0</v>
      </c>
      <c r="AJ43" s="189">
        <v>0</v>
      </c>
      <c r="AK43" s="189">
        <v>0</v>
      </c>
      <c r="AL43" s="189">
        <v>0</v>
      </c>
      <c r="AM43" s="189">
        <v>0</v>
      </c>
      <c r="AN43" s="189">
        <v>0</v>
      </c>
      <c r="AO43" s="189">
        <v>0</v>
      </c>
      <c r="AP43" s="189">
        <v>0</v>
      </c>
      <c r="AQ43" s="189">
        <v>0</v>
      </c>
      <c r="AR43" s="189">
        <v>0</v>
      </c>
      <c r="AS43" s="189">
        <v>0</v>
      </c>
      <c r="AT43" s="189">
        <v>0</v>
      </c>
      <c r="AU43" s="189">
        <v>0</v>
      </c>
      <c r="AV43" s="189">
        <v>0</v>
      </c>
      <c r="AW43" s="189">
        <v>0</v>
      </c>
      <c r="AX43" s="189">
        <v>0</v>
      </c>
      <c r="AY43" s="189">
        <v>0</v>
      </c>
      <c r="AZ43" s="189">
        <v>0</v>
      </c>
      <c r="BA43" s="189">
        <v>0</v>
      </c>
      <c r="BB43" s="189">
        <v>0</v>
      </c>
      <c r="BC43" s="189">
        <v>0</v>
      </c>
      <c r="BD43" s="189">
        <v>0</v>
      </c>
      <c r="BE43" s="189">
        <v>0</v>
      </c>
      <c r="BF43" s="189">
        <v>0</v>
      </c>
      <c r="BG43" s="189">
        <v>0</v>
      </c>
      <c r="BH43" s="189">
        <v>0</v>
      </c>
      <c r="BI43" s="189">
        <v>0</v>
      </c>
      <c r="BJ43" s="189">
        <v>0</v>
      </c>
      <c r="BK43" s="189">
        <v>0</v>
      </c>
      <c r="BL43" s="189">
        <v>0</v>
      </c>
      <c r="BM43" s="189">
        <v>0</v>
      </c>
      <c r="BN43" s="189">
        <v>0</v>
      </c>
      <c r="BO43" s="189">
        <v>0</v>
      </c>
      <c r="BP43" s="189">
        <v>0</v>
      </c>
      <c r="BQ43" s="189">
        <v>0</v>
      </c>
      <c r="BR43" s="189">
        <v>0</v>
      </c>
      <c r="BS43" s="189">
        <v>0</v>
      </c>
      <c r="BT43" s="189">
        <v>0</v>
      </c>
      <c r="BU43" s="189">
        <v>0</v>
      </c>
      <c r="BV43" s="189">
        <v>0</v>
      </c>
      <c r="BW43" s="189">
        <v>0</v>
      </c>
      <c r="BX43" s="189">
        <v>0</v>
      </c>
      <c r="BY43" s="189">
        <v>0</v>
      </c>
      <c r="BZ43" s="189">
        <v>0</v>
      </c>
      <c r="CA43" s="189">
        <v>0</v>
      </c>
      <c r="CB43" s="189">
        <v>0</v>
      </c>
      <c r="CC43" s="189">
        <v>0</v>
      </c>
      <c r="CD43" s="189">
        <v>0</v>
      </c>
      <c r="CE43" s="189">
        <v>0</v>
      </c>
      <c r="CF43" s="189"/>
      <c r="CG43" s="189"/>
      <c r="CH43" s="189"/>
      <c r="CI43" s="189"/>
      <c r="CJ43" s="189"/>
      <c r="CK43" s="189"/>
      <c r="CL43" s="189"/>
    </row>
    <row r="44" spans="1:90">
      <c r="A44" s="17" t="s">
        <v>30</v>
      </c>
      <c r="B44" s="189">
        <v>0</v>
      </c>
      <c r="C44" s="189">
        <v>0</v>
      </c>
      <c r="D44" s="189">
        <v>2000000</v>
      </c>
      <c r="E44" s="189">
        <v>2000000</v>
      </c>
      <c r="F44" s="189">
        <v>2000000</v>
      </c>
      <c r="G44" s="189">
        <v>2000000</v>
      </c>
      <c r="H44" s="189">
        <v>2000000</v>
      </c>
      <c r="I44" s="189">
        <v>2000000</v>
      </c>
      <c r="J44" s="189">
        <v>2000000</v>
      </c>
      <c r="K44" s="189">
        <v>2000000</v>
      </c>
      <c r="L44" s="189">
        <v>2000000</v>
      </c>
      <c r="M44" s="189">
        <v>2000000</v>
      </c>
      <c r="N44" s="189">
        <v>2000000</v>
      </c>
      <c r="O44" s="189">
        <v>2000000</v>
      </c>
      <c r="P44" s="189">
        <v>2000000</v>
      </c>
      <c r="Q44" s="189">
        <v>2000000</v>
      </c>
      <c r="R44" s="189">
        <v>2000000</v>
      </c>
      <c r="S44" s="189">
        <v>2000000</v>
      </c>
      <c r="T44" s="189">
        <v>2000000</v>
      </c>
      <c r="U44" s="189">
        <v>2000000</v>
      </c>
      <c r="V44" s="189">
        <v>2000000</v>
      </c>
      <c r="W44" s="189">
        <v>2000000</v>
      </c>
      <c r="X44" s="189">
        <v>2000000</v>
      </c>
      <c r="Y44" s="189">
        <v>2000000</v>
      </c>
      <c r="Z44" s="189">
        <v>2000000</v>
      </c>
      <c r="AA44" s="189">
        <v>2000000</v>
      </c>
      <c r="AB44" s="189">
        <v>2000000</v>
      </c>
      <c r="AC44" s="189">
        <v>2000000</v>
      </c>
      <c r="AD44" s="189">
        <v>2000000</v>
      </c>
      <c r="AE44" s="189">
        <v>2000000</v>
      </c>
      <c r="AF44" s="189">
        <v>2000000</v>
      </c>
      <c r="AG44" s="189">
        <v>2000000</v>
      </c>
      <c r="AH44" s="189">
        <v>2000000</v>
      </c>
      <c r="AI44" s="189">
        <v>2000000</v>
      </c>
      <c r="AJ44" s="189">
        <v>2000000</v>
      </c>
      <c r="AK44" s="189">
        <v>2000000</v>
      </c>
      <c r="AL44" s="189">
        <v>2000000</v>
      </c>
      <c r="AM44" s="189">
        <v>2000000</v>
      </c>
      <c r="AN44" s="189">
        <v>2000000</v>
      </c>
      <c r="AO44" s="189">
        <v>2000000</v>
      </c>
      <c r="AP44" s="189">
        <v>2000000</v>
      </c>
      <c r="AQ44" s="189">
        <v>2000000</v>
      </c>
      <c r="AR44" s="189">
        <v>2000000</v>
      </c>
      <c r="AS44" s="189">
        <v>2000000</v>
      </c>
      <c r="AT44" s="189">
        <v>2000000</v>
      </c>
      <c r="AU44" s="189">
        <v>2000000</v>
      </c>
      <c r="AV44" s="189">
        <v>2000000</v>
      </c>
      <c r="AW44" s="189">
        <v>2000000</v>
      </c>
      <c r="AX44" s="189">
        <v>2000000</v>
      </c>
      <c r="AY44" s="189">
        <v>2000000</v>
      </c>
      <c r="AZ44" s="189">
        <v>2000000</v>
      </c>
      <c r="BA44" s="189">
        <v>2000000</v>
      </c>
      <c r="BB44" s="189">
        <v>2000000</v>
      </c>
      <c r="BC44" s="189">
        <v>0</v>
      </c>
      <c r="BD44" s="189">
        <v>0</v>
      </c>
      <c r="BE44" s="189">
        <v>0</v>
      </c>
      <c r="BF44" s="189">
        <v>0</v>
      </c>
      <c r="BG44" s="189">
        <v>0</v>
      </c>
      <c r="BH44" s="189">
        <v>0</v>
      </c>
      <c r="BI44" s="189">
        <v>0</v>
      </c>
      <c r="BJ44" s="189">
        <v>0</v>
      </c>
      <c r="BK44" s="189">
        <v>0</v>
      </c>
      <c r="BL44" s="189">
        <v>0</v>
      </c>
      <c r="BM44" s="189">
        <v>0</v>
      </c>
      <c r="BN44" s="189">
        <v>0</v>
      </c>
      <c r="BO44" s="189">
        <v>0</v>
      </c>
      <c r="BP44" s="189">
        <v>0</v>
      </c>
      <c r="BQ44" s="189">
        <v>0</v>
      </c>
      <c r="BR44" s="189">
        <v>0</v>
      </c>
      <c r="BS44" s="189">
        <v>0</v>
      </c>
      <c r="BT44" s="189">
        <v>0</v>
      </c>
      <c r="BU44" s="189">
        <v>0</v>
      </c>
      <c r="BV44" s="189">
        <v>0</v>
      </c>
      <c r="BW44" s="189">
        <v>0</v>
      </c>
      <c r="BX44" s="189">
        <v>0</v>
      </c>
      <c r="BY44" s="189">
        <v>0</v>
      </c>
      <c r="BZ44" s="189">
        <v>0</v>
      </c>
      <c r="CA44" s="189">
        <v>0</v>
      </c>
      <c r="CB44" s="189">
        <v>0</v>
      </c>
      <c r="CC44" s="189">
        <v>0</v>
      </c>
      <c r="CD44" s="189">
        <v>0</v>
      </c>
      <c r="CE44" s="189">
        <v>0</v>
      </c>
      <c r="CF44" s="189"/>
      <c r="CG44" s="189"/>
      <c r="CH44" s="189"/>
      <c r="CI44" s="189"/>
      <c r="CJ44" s="189"/>
      <c r="CK44" s="189"/>
      <c r="CL44" s="189"/>
    </row>
    <row r="45" spans="1:90">
      <c r="A45" s="17" t="s">
        <v>31</v>
      </c>
      <c r="B45" s="189">
        <v>0</v>
      </c>
      <c r="C45" s="189">
        <v>0</v>
      </c>
      <c r="D45" s="189">
        <v>0</v>
      </c>
      <c r="E45" s="189">
        <v>0</v>
      </c>
      <c r="F45" s="189">
        <v>0</v>
      </c>
      <c r="G45" s="189">
        <v>0</v>
      </c>
      <c r="H45" s="189">
        <v>0</v>
      </c>
      <c r="I45" s="189">
        <v>0</v>
      </c>
      <c r="J45" s="189">
        <v>0</v>
      </c>
      <c r="K45" s="189">
        <v>0</v>
      </c>
      <c r="L45" s="189">
        <v>0</v>
      </c>
      <c r="M45" s="189">
        <v>0</v>
      </c>
      <c r="N45" s="189">
        <v>0</v>
      </c>
      <c r="O45" s="189">
        <v>0</v>
      </c>
      <c r="P45" s="189">
        <v>0</v>
      </c>
      <c r="Q45" s="189">
        <v>0</v>
      </c>
      <c r="R45" s="189">
        <v>0</v>
      </c>
      <c r="S45" s="189">
        <v>0</v>
      </c>
      <c r="T45" s="189">
        <v>0</v>
      </c>
      <c r="U45" s="189">
        <v>0</v>
      </c>
      <c r="V45" s="189">
        <v>0</v>
      </c>
      <c r="W45" s="189">
        <v>0</v>
      </c>
      <c r="X45" s="189">
        <v>0</v>
      </c>
      <c r="Y45" s="189">
        <v>0</v>
      </c>
      <c r="Z45" s="189">
        <v>0</v>
      </c>
      <c r="AA45" s="189">
        <v>0</v>
      </c>
      <c r="AB45" s="189">
        <v>0</v>
      </c>
      <c r="AC45" s="189">
        <v>0</v>
      </c>
      <c r="AD45" s="189">
        <v>0</v>
      </c>
      <c r="AE45" s="189">
        <v>0</v>
      </c>
      <c r="AF45" s="189">
        <v>0</v>
      </c>
      <c r="AG45" s="189">
        <v>0</v>
      </c>
      <c r="AH45" s="189">
        <v>0</v>
      </c>
      <c r="AI45" s="189">
        <v>0</v>
      </c>
      <c r="AJ45" s="189">
        <v>0</v>
      </c>
      <c r="AK45" s="189">
        <v>0</v>
      </c>
      <c r="AL45" s="189">
        <v>0</v>
      </c>
      <c r="AM45" s="189">
        <v>0</v>
      </c>
      <c r="AN45" s="189">
        <v>122604.24</v>
      </c>
      <c r="AO45" s="189">
        <v>0</v>
      </c>
      <c r="AP45" s="189">
        <v>122604.24</v>
      </c>
      <c r="AQ45" s="189">
        <v>0</v>
      </c>
      <c r="AR45" s="189">
        <v>0</v>
      </c>
      <c r="AS45" s="189">
        <v>0</v>
      </c>
      <c r="AT45" s="189">
        <v>0</v>
      </c>
      <c r="AU45" s="189">
        <v>0</v>
      </c>
      <c r="AV45" s="189">
        <v>0</v>
      </c>
      <c r="AW45" s="189">
        <v>0</v>
      </c>
      <c r="AX45" s="189">
        <v>0</v>
      </c>
      <c r="AY45" s="189">
        <v>0</v>
      </c>
      <c r="AZ45" s="189">
        <v>0</v>
      </c>
      <c r="BA45" s="189">
        <v>0</v>
      </c>
      <c r="BB45" s="189">
        <v>0</v>
      </c>
      <c r="BC45" s="189">
        <v>161269716.83000001</v>
      </c>
      <c r="BD45" s="189">
        <v>155868978.97999999</v>
      </c>
      <c r="BE45" s="189">
        <v>185693515.78999999</v>
      </c>
      <c r="BF45" s="189">
        <v>183951612.59</v>
      </c>
      <c r="BG45" s="189">
        <v>85736283.170000002</v>
      </c>
      <c r="BH45" s="189">
        <v>100422946.81999999</v>
      </c>
      <c r="BI45" s="189">
        <v>123097784.29000001</v>
      </c>
      <c r="BJ45" s="189">
        <v>97247310.150000006</v>
      </c>
      <c r="BK45" s="189">
        <v>66451605.810000002</v>
      </c>
      <c r="BL45" s="189">
        <v>113749574.04000001</v>
      </c>
      <c r="BM45" s="189">
        <v>63195695.329999998</v>
      </c>
      <c r="BN45" s="189">
        <v>88440061.290000007</v>
      </c>
      <c r="BO45" s="189">
        <v>0</v>
      </c>
      <c r="BP45" s="189">
        <v>0</v>
      </c>
      <c r="BQ45" s="189">
        <v>0</v>
      </c>
      <c r="BR45" s="189">
        <v>0</v>
      </c>
      <c r="BS45" s="189">
        <v>68297209.840000004</v>
      </c>
      <c r="BT45" s="189">
        <v>0</v>
      </c>
      <c r="BU45" s="189">
        <v>0</v>
      </c>
      <c r="BV45" s="189">
        <v>0</v>
      </c>
      <c r="BW45" s="189">
        <v>0</v>
      </c>
      <c r="BX45" s="189">
        <v>0</v>
      </c>
      <c r="BY45" s="189">
        <v>0</v>
      </c>
      <c r="BZ45" s="189">
        <v>0</v>
      </c>
      <c r="CA45" s="189">
        <v>0</v>
      </c>
      <c r="CB45" s="189">
        <v>0</v>
      </c>
      <c r="CC45" s="189">
        <v>0</v>
      </c>
      <c r="CD45" s="189">
        <v>0</v>
      </c>
      <c r="CE45" s="189">
        <v>0</v>
      </c>
      <c r="CF45" s="189"/>
      <c r="CG45" s="189"/>
      <c r="CH45" s="189"/>
      <c r="CI45" s="189"/>
      <c r="CJ45" s="189"/>
      <c r="CK45" s="189"/>
      <c r="CL45" s="189"/>
    </row>
    <row r="46" spans="1:90" ht="14.45" hidden="1">
      <c r="B46" s="26"/>
      <c r="C46" s="26"/>
      <c r="D46" s="26"/>
      <c r="E46" s="26"/>
      <c r="F46" s="26"/>
      <c r="G46" s="26"/>
      <c r="H46" s="26"/>
      <c r="I46" s="26"/>
      <c r="J46" s="26"/>
      <c r="K46" s="26"/>
      <c r="L46" s="23"/>
    </row>
    <row r="47" spans="1:90" ht="14.45" hidden="1">
      <c r="B47" s="26"/>
      <c r="C47" s="26"/>
      <c r="D47" s="26"/>
      <c r="E47" s="26"/>
      <c r="F47" s="26"/>
      <c r="G47" s="26"/>
      <c r="H47" s="26"/>
      <c r="I47" s="26"/>
      <c r="J47" s="26"/>
      <c r="K47" s="26"/>
      <c r="L47" s="23"/>
    </row>
    <row r="48" spans="1:90" ht="14.45" hidden="1">
      <c r="B48" s="26"/>
      <c r="C48" s="26"/>
      <c r="D48" s="26"/>
      <c r="E48" s="26"/>
      <c r="F48" s="26"/>
      <c r="G48" s="26"/>
      <c r="H48" s="26"/>
      <c r="I48" s="26"/>
      <c r="J48" s="26"/>
      <c r="K48" s="26"/>
      <c r="L48" s="23"/>
    </row>
    <row r="49" spans="1:90" s="10" customFormat="1">
      <c r="A49" s="123" t="s">
        <v>32</v>
      </c>
      <c r="B49" s="35">
        <f>SUM(B35:B41)+SUM(B43:B45)</f>
        <v>1927535590.6900001</v>
      </c>
      <c r="C49" s="35">
        <f>SUM(C35:C41)+SUM(C43:C45)</f>
        <v>1947829167.2800002</v>
      </c>
      <c r="D49" s="35">
        <f>SUM(D35:D41)+SUM(D43:D45)</f>
        <v>1704172696.6799998</v>
      </c>
      <c r="E49" s="35">
        <f>SUM(E35:E45)</f>
        <v>1584050811.9900002</v>
      </c>
      <c r="F49" s="35">
        <f t="shared" ref="F49:BQ49" si="4">SUM(F35:F45)</f>
        <v>1685164977.4200001</v>
      </c>
      <c r="G49" s="35">
        <f t="shared" si="4"/>
        <v>1477348484.54</v>
      </c>
      <c r="H49" s="35">
        <f t="shared" si="4"/>
        <v>1820700434.6000001</v>
      </c>
      <c r="I49" s="35">
        <f t="shared" si="4"/>
        <v>688271677.38999999</v>
      </c>
      <c r="J49" s="35">
        <f t="shared" si="4"/>
        <v>777460623.33000004</v>
      </c>
      <c r="K49" s="35">
        <f t="shared" si="4"/>
        <v>484611642.25999999</v>
      </c>
      <c r="L49" s="35">
        <f t="shared" si="4"/>
        <v>411482839.79999995</v>
      </c>
      <c r="M49" s="35">
        <f t="shared" si="4"/>
        <v>438660103.79000002</v>
      </c>
      <c r="N49" s="35">
        <f t="shared" si="4"/>
        <v>491191621.85000002</v>
      </c>
      <c r="O49" s="35">
        <f t="shared" si="4"/>
        <v>482442167.20000005</v>
      </c>
      <c r="P49" s="35">
        <f t="shared" si="4"/>
        <v>469446643.12</v>
      </c>
      <c r="Q49" s="35">
        <f t="shared" si="4"/>
        <v>516240107.38</v>
      </c>
      <c r="R49" s="35">
        <f t="shared" si="4"/>
        <v>583195168.44000006</v>
      </c>
      <c r="S49" s="35">
        <f t="shared" si="4"/>
        <v>591856781.03000009</v>
      </c>
      <c r="T49" s="35">
        <f t="shared" si="4"/>
        <v>572994828.49000001</v>
      </c>
      <c r="U49" s="35">
        <f t="shared" si="4"/>
        <v>647723162.32000005</v>
      </c>
      <c r="V49" s="35">
        <f t="shared" si="4"/>
        <v>731912616.45000005</v>
      </c>
      <c r="W49" s="35">
        <f t="shared" si="4"/>
        <v>717543321.48999989</v>
      </c>
      <c r="X49" s="35">
        <f t="shared" si="4"/>
        <v>728290183.32999992</v>
      </c>
      <c r="Y49" s="35">
        <f t="shared" si="4"/>
        <v>826207456.29000008</v>
      </c>
      <c r="Z49" s="35">
        <f t="shared" si="4"/>
        <v>697573545.93999994</v>
      </c>
      <c r="AA49" s="35">
        <f t="shared" si="4"/>
        <v>616758055.88</v>
      </c>
      <c r="AB49" s="35">
        <f t="shared" si="4"/>
        <v>550911880.08999991</v>
      </c>
      <c r="AC49" s="35">
        <f t="shared" si="4"/>
        <v>606092652.29999995</v>
      </c>
      <c r="AD49" s="35">
        <f t="shared" si="4"/>
        <v>617341614.4000001</v>
      </c>
      <c r="AE49" s="35">
        <f t="shared" si="4"/>
        <v>505369943.93000001</v>
      </c>
      <c r="AF49" s="35">
        <f t="shared" si="4"/>
        <v>465371892.5</v>
      </c>
      <c r="AG49" s="35">
        <f t="shared" si="4"/>
        <v>488075858.26999998</v>
      </c>
      <c r="AH49" s="35">
        <f t="shared" si="4"/>
        <v>473631177.41999996</v>
      </c>
      <c r="AI49" s="35">
        <f t="shared" si="4"/>
        <v>377991564.32000005</v>
      </c>
      <c r="AJ49" s="35">
        <f t="shared" si="4"/>
        <v>342482264.50999999</v>
      </c>
      <c r="AK49" s="35">
        <f t="shared" si="4"/>
        <v>365025036.88</v>
      </c>
      <c r="AL49" s="35">
        <f t="shared" si="4"/>
        <v>328429415.71000004</v>
      </c>
      <c r="AM49" s="35">
        <f t="shared" si="4"/>
        <v>276446361.79000002</v>
      </c>
      <c r="AN49" s="35">
        <f t="shared" si="4"/>
        <v>235755217.63</v>
      </c>
      <c r="AO49" s="35">
        <f t="shared" si="4"/>
        <v>258216349.25000003</v>
      </c>
      <c r="AP49" s="35">
        <f t="shared" si="4"/>
        <v>249917292.53999999</v>
      </c>
      <c r="AQ49" s="35">
        <f t="shared" si="4"/>
        <v>176836190.84999999</v>
      </c>
      <c r="AR49" s="35">
        <f t="shared" si="4"/>
        <v>147936127.45999998</v>
      </c>
      <c r="AS49" s="35">
        <f t="shared" si="4"/>
        <v>191149987.42999998</v>
      </c>
      <c r="AT49" s="35">
        <f t="shared" si="4"/>
        <v>177923743.23000002</v>
      </c>
      <c r="AU49" s="35">
        <f t="shared" si="4"/>
        <v>153879664.04000002</v>
      </c>
      <c r="AV49" s="35">
        <f t="shared" si="4"/>
        <v>131004740.70999999</v>
      </c>
      <c r="AW49" s="35">
        <f t="shared" si="4"/>
        <v>183044421.59999999</v>
      </c>
      <c r="AX49" s="35">
        <f t="shared" si="4"/>
        <v>133092319.33000001</v>
      </c>
      <c r="AY49" s="35">
        <f t="shared" si="4"/>
        <v>110441842.52999999</v>
      </c>
      <c r="AZ49" s="35">
        <f t="shared" si="4"/>
        <v>123468192.22999999</v>
      </c>
      <c r="BA49" s="35">
        <f t="shared" si="4"/>
        <v>165311090.96000001</v>
      </c>
      <c r="BB49" s="35">
        <f t="shared" si="4"/>
        <v>161078544.60999998</v>
      </c>
      <c r="BC49" s="35">
        <f t="shared" si="4"/>
        <v>226675669.15000001</v>
      </c>
      <c r="BD49" s="35">
        <f t="shared" si="4"/>
        <v>215203024.19</v>
      </c>
      <c r="BE49" s="35">
        <f t="shared" si="4"/>
        <v>260440107.19</v>
      </c>
      <c r="BF49" s="35">
        <f t="shared" si="4"/>
        <v>268828281.67000002</v>
      </c>
      <c r="BG49" s="35">
        <f t="shared" si="4"/>
        <v>150271397.13</v>
      </c>
      <c r="BH49" s="35">
        <f t="shared" si="4"/>
        <v>161866490.86000001</v>
      </c>
      <c r="BI49" s="35">
        <f t="shared" si="4"/>
        <v>191959083.44</v>
      </c>
      <c r="BJ49" s="35">
        <f t="shared" si="4"/>
        <v>181543857.15000001</v>
      </c>
      <c r="BK49" s="35">
        <f t="shared" si="4"/>
        <v>177217215.56</v>
      </c>
      <c r="BL49" s="35">
        <f t="shared" si="4"/>
        <v>205983744.23000002</v>
      </c>
      <c r="BM49" s="35">
        <f t="shared" si="4"/>
        <v>185019444.06999999</v>
      </c>
      <c r="BN49" s="35">
        <f t="shared" si="4"/>
        <v>208402090.37</v>
      </c>
      <c r="BO49" s="35">
        <f t="shared" si="4"/>
        <v>73558305.540000007</v>
      </c>
      <c r="BP49" s="35">
        <f t="shared" si="4"/>
        <v>129601314.5</v>
      </c>
      <c r="BQ49" s="35">
        <f t="shared" si="4"/>
        <v>147477135.25999999</v>
      </c>
      <c r="BR49" s="35">
        <f t="shared" ref="BR49:CK49" si="5">SUM(BR35:BR45)</f>
        <v>166475238.31999999</v>
      </c>
      <c r="BS49" s="35">
        <f t="shared" si="5"/>
        <v>169665799.91</v>
      </c>
      <c r="BT49" s="35">
        <f t="shared" si="5"/>
        <v>154873388.96000001</v>
      </c>
      <c r="BU49" s="35">
        <f t="shared" si="5"/>
        <v>90173985.129999995</v>
      </c>
      <c r="BV49" s="35">
        <f t="shared" si="5"/>
        <v>89096231.939999998</v>
      </c>
      <c r="BW49" s="35">
        <f t="shared" si="5"/>
        <v>38977643.170000002</v>
      </c>
      <c r="BX49" s="35">
        <f t="shared" si="5"/>
        <v>85501745.120000005</v>
      </c>
      <c r="BY49" s="35">
        <f t="shared" si="5"/>
        <v>118549844.49000001</v>
      </c>
      <c r="BZ49" s="35">
        <f t="shared" si="5"/>
        <v>115406172.22</v>
      </c>
      <c r="CA49" s="35">
        <f t="shared" si="5"/>
        <v>0</v>
      </c>
      <c r="CB49" s="35">
        <f t="shared" si="5"/>
        <v>110850813.90999998</v>
      </c>
      <c r="CC49" s="35">
        <f t="shared" si="5"/>
        <v>103019353.13</v>
      </c>
      <c r="CD49" s="35">
        <f t="shared" si="5"/>
        <v>123166856.97</v>
      </c>
      <c r="CE49" s="35">
        <f t="shared" si="5"/>
        <v>0</v>
      </c>
      <c r="CF49" s="35">
        <f t="shared" si="5"/>
        <v>0</v>
      </c>
      <c r="CG49" s="35">
        <f t="shared" si="5"/>
        <v>0</v>
      </c>
      <c r="CH49" s="35">
        <f t="shared" si="5"/>
        <v>0</v>
      </c>
      <c r="CI49" s="35">
        <f t="shared" si="5"/>
        <v>0</v>
      </c>
      <c r="CJ49" s="35">
        <f t="shared" si="5"/>
        <v>0</v>
      </c>
      <c r="CK49" s="35">
        <f t="shared" si="5"/>
        <v>0</v>
      </c>
    </row>
    <row r="50" spans="1:90" s="15" customFormat="1">
      <c r="A50" s="125" t="s">
        <v>81</v>
      </c>
      <c r="B50" s="36">
        <f>B33-B49</f>
        <v>-75765998.610000134</v>
      </c>
      <c r="C50" s="36">
        <f t="shared" ref="C50:BN50" si="6">C33-C49</f>
        <v>-161028657.6500001</v>
      </c>
      <c r="D50" s="36">
        <f t="shared" si="6"/>
        <v>-119568513.4599998</v>
      </c>
      <c r="E50" s="36">
        <f t="shared" si="6"/>
        <v>-51975257.690000296</v>
      </c>
      <c r="F50" s="36">
        <f t="shared" si="6"/>
        <v>-217699773.32000017</v>
      </c>
      <c r="G50" s="36">
        <f t="shared" si="6"/>
        <v>-173472372.79999995</v>
      </c>
      <c r="H50" s="36">
        <f t="shared" si="6"/>
        <v>-656704874.68000007</v>
      </c>
      <c r="I50" s="36">
        <f t="shared" si="6"/>
        <v>430351742.50000012</v>
      </c>
      <c r="J50" s="36">
        <f t="shared" si="6"/>
        <v>289212976</v>
      </c>
      <c r="K50" s="36">
        <f t="shared" si="6"/>
        <v>383408352.55999994</v>
      </c>
      <c r="L50" s="36">
        <f t="shared" si="6"/>
        <v>403258245.29000008</v>
      </c>
      <c r="M50" s="36">
        <f t="shared" si="6"/>
        <v>316968071.50000006</v>
      </c>
      <c r="N50" s="36">
        <f t="shared" si="6"/>
        <v>162104845.22000003</v>
      </c>
      <c r="O50" s="36">
        <f t="shared" si="6"/>
        <v>118724119.19999993</v>
      </c>
      <c r="P50" s="36">
        <f t="shared" si="6"/>
        <v>75628594.049999952</v>
      </c>
      <c r="Q50" s="36">
        <f t="shared" si="6"/>
        <v>3719735.2599999905</v>
      </c>
      <c r="R50" s="36">
        <f t="shared" si="6"/>
        <v>-129068605.18000007</v>
      </c>
      <c r="S50" s="36">
        <f t="shared" si="6"/>
        <v>-162030668.25000012</v>
      </c>
      <c r="T50" s="36">
        <f t="shared" si="6"/>
        <v>-219245874.12000006</v>
      </c>
      <c r="U50" s="36">
        <f t="shared" si="6"/>
        <v>-291671980.80000001</v>
      </c>
      <c r="V50" s="36">
        <f t="shared" si="6"/>
        <v>-406109627.08000004</v>
      </c>
      <c r="W50" s="36">
        <f t="shared" si="6"/>
        <v>-404781734.07999986</v>
      </c>
      <c r="X50" s="36">
        <f t="shared" si="6"/>
        <v>-416469091.69999987</v>
      </c>
      <c r="Y50" s="36">
        <f t="shared" si="6"/>
        <v>-558625221.93000007</v>
      </c>
      <c r="Z50" s="36">
        <f t="shared" si="6"/>
        <v>-438774942.06999993</v>
      </c>
      <c r="AA50" s="36">
        <f t="shared" si="6"/>
        <v>-356167499.75</v>
      </c>
      <c r="AB50" s="36">
        <f t="shared" si="6"/>
        <v>-314690271.91999996</v>
      </c>
      <c r="AC50" s="36">
        <f t="shared" si="6"/>
        <v>-379769555.03999996</v>
      </c>
      <c r="AD50" s="36">
        <f t="shared" si="6"/>
        <v>-393035265.55000007</v>
      </c>
      <c r="AE50" s="36">
        <f t="shared" si="6"/>
        <v>-312509644.92000002</v>
      </c>
      <c r="AF50" s="36">
        <f t="shared" si="6"/>
        <v>-275084342.99000001</v>
      </c>
      <c r="AG50" s="36">
        <f t="shared" si="6"/>
        <v>-285788018.57999998</v>
      </c>
      <c r="AH50" s="36">
        <f t="shared" si="6"/>
        <v>-286171046.01999998</v>
      </c>
      <c r="AI50" s="36">
        <f t="shared" si="6"/>
        <v>-152150148.44000006</v>
      </c>
      <c r="AJ50" s="36">
        <f t="shared" si="6"/>
        <v>-249817477.42000002</v>
      </c>
      <c r="AK50" s="36">
        <f t="shared" si="6"/>
        <v>-312388453.59000003</v>
      </c>
      <c r="AL50" s="36">
        <f t="shared" si="6"/>
        <v>-285481040.55000007</v>
      </c>
      <c r="AM50" s="36">
        <f t="shared" si="6"/>
        <v>-225999525.35000002</v>
      </c>
      <c r="AN50" s="36">
        <f t="shared" si="6"/>
        <v>-183255246.10999998</v>
      </c>
      <c r="AO50" s="36">
        <f t="shared" si="6"/>
        <v>-212446197.00000003</v>
      </c>
      <c r="AP50" s="36">
        <f t="shared" si="6"/>
        <v>-198598054.07999998</v>
      </c>
      <c r="AQ50" s="36">
        <f t="shared" si="6"/>
        <v>-111605375.16</v>
      </c>
      <c r="AR50" s="36">
        <f t="shared" si="6"/>
        <v>-88998004.48999998</v>
      </c>
      <c r="AS50" s="36">
        <f t="shared" si="6"/>
        <v>-121641370.63999999</v>
      </c>
      <c r="AT50" s="36">
        <f t="shared" si="6"/>
        <v>-134216013.01000002</v>
      </c>
      <c r="AU50" s="36">
        <f t="shared" si="6"/>
        <v>-102070358.69000003</v>
      </c>
      <c r="AV50" s="36">
        <f t="shared" si="6"/>
        <v>-82994229.819999993</v>
      </c>
      <c r="AW50" s="36">
        <f t="shared" si="6"/>
        <v>-134062847</v>
      </c>
      <c r="AX50" s="36">
        <f t="shared" si="6"/>
        <v>-101581113.40000001</v>
      </c>
      <c r="AY50" s="36">
        <f t="shared" si="6"/>
        <v>-81251639.269999981</v>
      </c>
      <c r="AZ50" s="36">
        <f t="shared" si="6"/>
        <v>-78079740.099999994</v>
      </c>
      <c r="BA50" s="36">
        <f t="shared" si="6"/>
        <v>-135112544.12</v>
      </c>
      <c r="BB50" s="36">
        <f t="shared" si="6"/>
        <v>-123368485.56999999</v>
      </c>
      <c r="BC50" s="36">
        <f t="shared" si="6"/>
        <v>-47839628.660000026</v>
      </c>
      <c r="BD50" s="36">
        <f t="shared" si="6"/>
        <v>-16276083.73999998</v>
      </c>
      <c r="BE50" s="36">
        <f t="shared" si="6"/>
        <v>-88877122.909999996</v>
      </c>
      <c r="BF50" s="36">
        <f t="shared" si="6"/>
        <v>-237228221.40000001</v>
      </c>
      <c r="BG50" s="36">
        <f t="shared" si="6"/>
        <v>-10382817.469999969</v>
      </c>
      <c r="BH50" s="36">
        <f t="shared" si="6"/>
        <v>-4887530.4400000274</v>
      </c>
      <c r="BI50" s="36">
        <f t="shared" si="6"/>
        <v>-20814432.329999983</v>
      </c>
      <c r="BJ50" s="36">
        <f t="shared" si="6"/>
        <v>-5293178.7800000012</v>
      </c>
      <c r="BK50" s="36">
        <f t="shared" si="6"/>
        <v>-12527558.480000019</v>
      </c>
      <c r="BL50" s="36">
        <f t="shared" si="6"/>
        <v>-2883026.1900000274</v>
      </c>
      <c r="BM50" s="36">
        <f t="shared" si="6"/>
        <v>-21508118.449999988</v>
      </c>
      <c r="BN50" s="36">
        <f t="shared" si="6"/>
        <v>-8601.4599999785423</v>
      </c>
      <c r="BO50" s="36">
        <f t="shared" ref="BO50:CK50" si="7">BO33-BO49</f>
        <v>236463426.06</v>
      </c>
      <c r="BP50" s="36">
        <f t="shared" si="7"/>
        <v>65631010.649999976</v>
      </c>
      <c r="BQ50" s="36">
        <f t="shared" si="7"/>
        <v>163384756.62</v>
      </c>
      <c r="BR50" s="36">
        <f t="shared" si="7"/>
        <v>156888188.27000004</v>
      </c>
      <c r="BS50" s="36">
        <f t="shared" si="7"/>
        <v>32589305.460000038</v>
      </c>
      <c r="BT50" s="36">
        <f t="shared" si="7"/>
        <v>135553578.23999998</v>
      </c>
      <c r="BU50" s="36">
        <f t="shared" si="7"/>
        <v>25059583.960000023</v>
      </c>
      <c r="BV50" s="36">
        <f t="shared" si="7"/>
        <v>221606387.76999998</v>
      </c>
      <c r="BW50" s="36">
        <f t="shared" si="7"/>
        <v>68609601.940000013</v>
      </c>
      <c r="BX50" s="36">
        <f t="shared" si="7"/>
        <v>8964295.9099999964</v>
      </c>
      <c r="BY50" s="36">
        <f t="shared" si="7"/>
        <v>1367572.5899999887</v>
      </c>
      <c r="BZ50" s="36">
        <f t="shared" si="7"/>
        <v>7891576.7599999905</v>
      </c>
      <c r="CA50" s="36">
        <f t="shared" si="7"/>
        <v>0</v>
      </c>
      <c r="CB50" s="36">
        <f t="shared" si="7"/>
        <v>37727792.330000028</v>
      </c>
      <c r="CC50" s="36">
        <f t="shared" si="7"/>
        <v>34196233.910000026</v>
      </c>
      <c r="CD50" s="36">
        <f t="shared" si="7"/>
        <v>11652003.919999987</v>
      </c>
      <c r="CE50" s="36">
        <f t="shared" si="7"/>
        <v>0</v>
      </c>
      <c r="CF50" s="36">
        <f t="shared" si="7"/>
        <v>0</v>
      </c>
      <c r="CG50" s="36">
        <f t="shared" si="7"/>
        <v>0</v>
      </c>
      <c r="CH50" s="36">
        <f t="shared" si="7"/>
        <v>0</v>
      </c>
      <c r="CI50" s="36">
        <f t="shared" si="7"/>
        <v>0</v>
      </c>
      <c r="CJ50" s="36">
        <f t="shared" si="7"/>
        <v>0</v>
      </c>
      <c r="CK50" s="36">
        <f t="shared" si="7"/>
        <v>0</v>
      </c>
    </row>
    <row r="51" spans="1:90" s="192" customFormat="1">
      <c r="A51" s="192" t="s">
        <v>33</v>
      </c>
    </row>
    <row r="52" spans="1:90" s="192" customFormat="1">
      <c r="A52" s="192" t="s">
        <v>34</v>
      </c>
      <c r="B52" s="189">
        <v>360074493.39999998</v>
      </c>
      <c r="C52" s="189">
        <v>343411968.26999998</v>
      </c>
      <c r="D52" s="189">
        <v>359141584.75999999</v>
      </c>
      <c r="E52" s="189">
        <v>361085244.20999998</v>
      </c>
      <c r="F52" s="189">
        <v>354036109.56999999</v>
      </c>
      <c r="G52" s="189">
        <v>322558164.68000001</v>
      </c>
      <c r="H52" s="189">
        <v>322807488.62</v>
      </c>
      <c r="I52" s="189">
        <v>318604026.31</v>
      </c>
      <c r="J52" s="189">
        <v>327003617.43000001</v>
      </c>
      <c r="K52" s="189">
        <v>320676525.25</v>
      </c>
      <c r="L52" s="189">
        <v>329227340.44999999</v>
      </c>
      <c r="M52" s="189">
        <v>323076242.56</v>
      </c>
      <c r="N52" s="189">
        <v>328628245.25</v>
      </c>
      <c r="O52" s="189">
        <v>320456063.94999999</v>
      </c>
      <c r="P52" s="189">
        <v>321986570.60000002</v>
      </c>
      <c r="Q52" s="189">
        <v>328259275.70999998</v>
      </c>
      <c r="R52" s="189">
        <v>336520891.97000003</v>
      </c>
      <c r="S52" s="189">
        <v>327435109.08999997</v>
      </c>
      <c r="T52" s="189">
        <v>335438245.37</v>
      </c>
      <c r="U52" s="189">
        <v>344436785.00999999</v>
      </c>
      <c r="V52" s="189">
        <v>353155697.79000002</v>
      </c>
      <c r="W52" s="189">
        <v>366426406.51999998</v>
      </c>
      <c r="X52" s="189">
        <v>377322915.33999997</v>
      </c>
      <c r="Y52" s="189">
        <v>389402307.66000003</v>
      </c>
      <c r="Z52" s="189">
        <v>401320837.57999998</v>
      </c>
      <c r="AA52" s="189">
        <v>389284954.92000002</v>
      </c>
      <c r="AB52" s="189">
        <v>387635851.69</v>
      </c>
      <c r="AC52" s="189">
        <v>398816761.32999998</v>
      </c>
      <c r="AD52" s="189">
        <v>407633965.42000002</v>
      </c>
      <c r="AE52" s="189">
        <v>410133303.29000002</v>
      </c>
      <c r="AF52" s="189">
        <v>419096893.50999999</v>
      </c>
      <c r="AG52" s="189">
        <v>434679837.60000002</v>
      </c>
      <c r="AH52" s="189">
        <v>444821253.72000003</v>
      </c>
      <c r="AI52" s="189">
        <v>435890836.63</v>
      </c>
      <c r="AJ52" s="189">
        <v>447916590.14999998</v>
      </c>
      <c r="AK52" s="189">
        <v>442331343.55000001</v>
      </c>
      <c r="AL52" s="189">
        <v>453225182.27999997</v>
      </c>
      <c r="AM52" s="189">
        <v>391153499.26999998</v>
      </c>
      <c r="AN52" s="189">
        <v>399120561.67000002</v>
      </c>
      <c r="AO52" s="189">
        <v>403463865.64999998</v>
      </c>
      <c r="AP52" s="189">
        <v>413787887.83999997</v>
      </c>
      <c r="AQ52" s="189">
        <v>410598349.97000003</v>
      </c>
      <c r="AR52" s="189">
        <v>417606342.80000001</v>
      </c>
      <c r="AS52" s="189">
        <v>380079423.11000001</v>
      </c>
      <c r="AT52" s="189">
        <v>388327565.99000001</v>
      </c>
      <c r="AU52" s="189">
        <v>353906559.25999999</v>
      </c>
      <c r="AV52" s="189">
        <v>349659322.42000002</v>
      </c>
      <c r="AW52" s="189">
        <v>361883616.62</v>
      </c>
      <c r="AX52" s="189">
        <v>443472892.14999998</v>
      </c>
      <c r="AY52" s="189">
        <v>426157738.35000002</v>
      </c>
      <c r="AZ52" s="189">
        <v>422819482.04000002</v>
      </c>
      <c r="BA52" s="189">
        <v>438470205.35000002</v>
      </c>
      <c r="BB52" s="189">
        <v>446037080.16000003</v>
      </c>
      <c r="BC52" s="189">
        <v>456807895.63999999</v>
      </c>
      <c r="BD52" s="189">
        <v>461190584.85000002</v>
      </c>
      <c r="BE52" s="189">
        <v>468462959.25999999</v>
      </c>
      <c r="BF52" s="189">
        <v>477411166.18000001</v>
      </c>
      <c r="BG52" s="189">
        <v>485780317.68000001</v>
      </c>
      <c r="BH52" s="189">
        <v>494473246.20999998</v>
      </c>
      <c r="BI52" s="189">
        <v>503771912.18000001</v>
      </c>
      <c r="BJ52" s="189">
        <v>560156019.73000002</v>
      </c>
      <c r="BK52" s="189">
        <v>571589880.60000002</v>
      </c>
      <c r="BL52" s="189">
        <v>582928165.77999997</v>
      </c>
      <c r="BM52" s="189">
        <v>590073578.08000004</v>
      </c>
      <c r="BN52" s="189">
        <v>597862948.45000005</v>
      </c>
      <c r="BO52" s="189">
        <v>544959480.72000003</v>
      </c>
      <c r="BP52" s="189">
        <v>553172889.63</v>
      </c>
      <c r="BQ52" s="189">
        <v>550848838.5</v>
      </c>
      <c r="BR52" s="189">
        <v>557448679.74000001</v>
      </c>
      <c r="BS52" s="189">
        <v>582619952.15999997</v>
      </c>
      <c r="BT52" s="189">
        <v>546688844.14999998</v>
      </c>
      <c r="BU52" s="189">
        <v>608021177.13999999</v>
      </c>
      <c r="BV52" s="189">
        <v>602188029.63999999</v>
      </c>
      <c r="BW52" s="189">
        <v>525147874.16000003</v>
      </c>
      <c r="BX52" s="189">
        <v>545946851.88</v>
      </c>
      <c r="BY52" s="189">
        <v>452952384.62</v>
      </c>
      <c r="BZ52" s="189">
        <v>455582934.73000002</v>
      </c>
      <c r="CA52" s="189">
        <v>276363958.02999997</v>
      </c>
      <c r="CB52" s="189">
        <v>267500667.56</v>
      </c>
      <c r="CC52" s="189">
        <v>274260696.44</v>
      </c>
      <c r="CD52" s="189">
        <v>301262988.81</v>
      </c>
      <c r="CE52" s="189">
        <v>0</v>
      </c>
      <c r="CF52" s="189"/>
      <c r="CG52" s="189"/>
      <c r="CH52" s="189"/>
      <c r="CI52" s="189"/>
      <c r="CJ52" s="189"/>
      <c r="CK52" s="189"/>
      <c r="CL52" s="189"/>
    </row>
    <row r="53" spans="1:90" s="192" customFormat="1">
      <c r="A53" s="192" t="s">
        <v>35</v>
      </c>
      <c r="B53" s="189">
        <v>0</v>
      </c>
      <c r="C53" s="189">
        <v>17180195.030000001</v>
      </c>
      <c r="D53" s="189">
        <v>10295557.77</v>
      </c>
      <c r="E53" s="189">
        <v>13295137.5</v>
      </c>
      <c r="F53" s="189">
        <v>4240524.93</v>
      </c>
      <c r="G53" s="189">
        <v>13845931.77</v>
      </c>
      <c r="H53" s="189">
        <v>5279235.6399999997</v>
      </c>
      <c r="I53" s="189">
        <v>1694174.76</v>
      </c>
      <c r="J53" s="189">
        <v>0</v>
      </c>
      <c r="K53" s="189">
        <v>11015383.699999999</v>
      </c>
      <c r="L53" s="189">
        <v>9165383.6999999993</v>
      </c>
      <c r="M53" s="189">
        <v>17648263.43</v>
      </c>
      <c r="N53" s="189">
        <v>8786395.7100000009</v>
      </c>
      <c r="O53" s="189">
        <v>11194632.539999999</v>
      </c>
      <c r="P53" s="189">
        <v>12480542.33</v>
      </c>
      <c r="Q53" s="189">
        <v>10658691.460000001</v>
      </c>
      <c r="R53" s="189">
        <v>7752792.2999999998</v>
      </c>
      <c r="S53" s="189">
        <v>15360592.300000001</v>
      </c>
      <c r="T53" s="189">
        <v>9161400</v>
      </c>
      <c r="U53" s="189">
        <v>6436400</v>
      </c>
      <c r="V53" s="189">
        <v>3065000</v>
      </c>
      <c r="W53" s="189">
        <v>3065000</v>
      </c>
      <c r="X53" s="189">
        <v>2572100</v>
      </c>
      <c r="Y53" s="189">
        <v>1992000</v>
      </c>
      <c r="Z53" s="189">
        <v>1457000</v>
      </c>
      <c r="AA53" s="189">
        <v>9082293.8000000007</v>
      </c>
      <c r="AB53" s="189">
        <v>6104472</v>
      </c>
      <c r="AC53" s="189">
        <v>2310702</v>
      </c>
      <c r="AD53" s="189">
        <v>510000</v>
      </c>
      <c r="AE53" s="189">
        <v>11444402.699999999</v>
      </c>
      <c r="AF53" s="189">
        <v>10563539.199999999</v>
      </c>
      <c r="AG53" s="189">
        <v>6157101.1600000001</v>
      </c>
      <c r="AH53" s="189">
        <v>2221101.16</v>
      </c>
      <c r="AI53" s="189">
        <v>12531889.359999999</v>
      </c>
      <c r="AJ53" s="189">
        <v>7046651.7599999998</v>
      </c>
      <c r="AK53" s="189">
        <v>14915852.460000001</v>
      </c>
      <c r="AL53" s="189">
        <v>5511385.2000000002</v>
      </c>
      <c r="AM53" s="189">
        <v>72089640.959999993</v>
      </c>
      <c r="AN53" s="189">
        <v>54988676.399999999</v>
      </c>
      <c r="AO53" s="189">
        <v>59305703.469999999</v>
      </c>
      <c r="AP53" s="189">
        <v>51184470.469999999</v>
      </c>
      <c r="AQ53" s="189">
        <v>52584682.520000003</v>
      </c>
      <c r="AR53" s="189">
        <v>45907986.479999997</v>
      </c>
      <c r="AS53" s="189">
        <v>18790976.57</v>
      </c>
      <c r="AT53" s="189">
        <v>14559437.800000001</v>
      </c>
      <c r="AU53" s="189">
        <v>24504525.34</v>
      </c>
      <c r="AV53" s="189">
        <v>24213414.940000001</v>
      </c>
      <c r="AW53" s="189">
        <v>22899523.719999999</v>
      </c>
      <c r="AX53" s="189">
        <v>6813401.1600000001</v>
      </c>
      <c r="AY53" s="189">
        <v>24760000.390000001</v>
      </c>
      <c r="AZ53" s="189">
        <v>23918597.289999999</v>
      </c>
      <c r="BA53" s="189">
        <v>23458804.600000001</v>
      </c>
      <c r="BB53" s="189">
        <v>22085658.379999999</v>
      </c>
      <c r="BC53" s="189">
        <v>1320726.26</v>
      </c>
      <c r="BD53" s="189">
        <v>1320726.26</v>
      </c>
      <c r="BE53" s="189">
        <v>469712.38</v>
      </c>
      <c r="BF53" s="189">
        <v>0</v>
      </c>
      <c r="BG53" s="189">
        <v>0</v>
      </c>
      <c r="BH53" s="189">
        <v>0</v>
      </c>
      <c r="BI53" s="189">
        <v>0</v>
      </c>
      <c r="BJ53" s="189">
        <v>0</v>
      </c>
      <c r="BK53" s="189">
        <v>161553.98000000001</v>
      </c>
      <c r="BL53" s="189">
        <v>161553.98000000001</v>
      </c>
      <c r="BM53" s="189">
        <v>161553.98000000001</v>
      </c>
      <c r="BN53" s="189">
        <v>161553.98000000001</v>
      </c>
      <c r="BO53" s="189">
        <v>311553.98</v>
      </c>
      <c r="BP53" s="189">
        <v>311553.98</v>
      </c>
      <c r="BQ53" s="189">
        <v>1874169.98</v>
      </c>
      <c r="BR53" s="189">
        <v>153774.91</v>
      </c>
      <c r="BS53" s="189">
        <v>1059117.55</v>
      </c>
      <c r="BT53" s="189">
        <v>803293.46</v>
      </c>
      <c r="BU53" s="189">
        <v>4079355.67</v>
      </c>
      <c r="BV53" s="189">
        <v>1252398.69</v>
      </c>
      <c r="BW53" s="189">
        <v>43120564.700000003</v>
      </c>
      <c r="BX53" s="189">
        <v>32901968.989999998</v>
      </c>
      <c r="BY53" s="189">
        <v>110065348.44</v>
      </c>
      <c r="BZ53" s="189">
        <v>67433266.379999995</v>
      </c>
      <c r="CA53" s="189">
        <v>170086258.68000001</v>
      </c>
      <c r="CB53" s="189">
        <v>119189647.17</v>
      </c>
      <c r="CC53" s="189">
        <v>57961134.200000003</v>
      </c>
      <c r="CD53" s="189">
        <v>16252537.6</v>
      </c>
      <c r="CE53" s="189">
        <v>0</v>
      </c>
      <c r="CF53" s="189"/>
      <c r="CG53" s="189"/>
      <c r="CH53" s="189"/>
      <c r="CI53" s="189"/>
      <c r="CJ53" s="189"/>
      <c r="CK53" s="189"/>
      <c r="CL53" s="189"/>
    </row>
    <row r="54" spans="1:90" s="192" customFormat="1">
      <c r="A54" s="192" t="s">
        <v>36</v>
      </c>
      <c r="B54" s="189">
        <v>0</v>
      </c>
      <c r="C54" s="189">
        <v>0</v>
      </c>
      <c r="D54" s="189">
        <v>0</v>
      </c>
      <c r="E54" s="189">
        <v>0</v>
      </c>
      <c r="F54" s="189">
        <v>0</v>
      </c>
      <c r="G54" s="189">
        <v>0</v>
      </c>
      <c r="H54" s="189">
        <v>0</v>
      </c>
      <c r="I54" s="189">
        <v>0</v>
      </c>
      <c r="J54" s="189">
        <v>0</v>
      </c>
      <c r="K54" s="189">
        <v>0</v>
      </c>
      <c r="L54" s="189">
        <v>0</v>
      </c>
      <c r="M54" s="189">
        <v>0</v>
      </c>
      <c r="N54" s="189">
        <v>0</v>
      </c>
      <c r="O54" s="189">
        <v>0</v>
      </c>
      <c r="P54" s="189">
        <v>0</v>
      </c>
      <c r="Q54" s="189">
        <v>0</v>
      </c>
      <c r="R54" s="189">
        <v>0</v>
      </c>
      <c r="S54" s="189">
        <v>0</v>
      </c>
      <c r="T54" s="189">
        <v>0</v>
      </c>
      <c r="U54" s="189">
        <v>0</v>
      </c>
      <c r="V54" s="189">
        <v>0</v>
      </c>
      <c r="W54" s="189">
        <v>0</v>
      </c>
      <c r="X54" s="189">
        <v>0</v>
      </c>
      <c r="Y54" s="189">
        <v>0</v>
      </c>
      <c r="Z54" s="189">
        <v>0</v>
      </c>
      <c r="AA54" s="189">
        <v>0</v>
      </c>
      <c r="AB54" s="189">
        <v>0</v>
      </c>
      <c r="AC54" s="189">
        <v>0</v>
      </c>
      <c r="AD54" s="189">
        <v>0</v>
      </c>
      <c r="AE54" s="189">
        <v>0</v>
      </c>
      <c r="AF54" s="189">
        <v>0</v>
      </c>
      <c r="AG54" s="189">
        <v>0</v>
      </c>
      <c r="AH54" s="189">
        <v>0</v>
      </c>
      <c r="AI54" s="189">
        <v>0</v>
      </c>
      <c r="AJ54" s="189">
        <v>0</v>
      </c>
      <c r="AK54" s="189">
        <v>0</v>
      </c>
      <c r="AL54" s="189">
        <v>0</v>
      </c>
      <c r="AM54" s="189">
        <v>0</v>
      </c>
      <c r="AN54" s="189">
        <v>0</v>
      </c>
      <c r="AO54" s="189">
        <v>0</v>
      </c>
      <c r="AP54" s="189">
        <v>0</v>
      </c>
      <c r="AQ54" s="189">
        <v>0</v>
      </c>
      <c r="AR54" s="189">
        <v>0</v>
      </c>
      <c r="AS54" s="189">
        <v>0</v>
      </c>
      <c r="AT54" s="189">
        <v>0</v>
      </c>
      <c r="AU54" s="189">
        <v>0</v>
      </c>
      <c r="AV54" s="189">
        <v>0</v>
      </c>
      <c r="AW54" s="189">
        <v>0</v>
      </c>
      <c r="AX54" s="189">
        <v>0</v>
      </c>
      <c r="AY54" s="189">
        <v>0</v>
      </c>
      <c r="AZ54" s="189">
        <v>0</v>
      </c>
      <c r="BA54" s="189">
        <v>0</v>
      </c>
      <c r="BB54" s="189">
        <v>0</v>
      </c>
      <c r="BC54" s="189">
        <v>0</v>
      </c>
      <c r="BD54" s="189">
        <v>0</v>
      </c>
      <c r="BE54" s="189">
        <v>0</v>
      </c>
      <c r="BF54" s="189">
        <v>0</v>
      </c>
      <c r="BG54" s="189">
        <v>0</v>
      </c>
      <c r="BH54" s="189">
        <v>0</v>
      </c>
      <c r="BI54" s="189">
        <v>0</v>
      </c>
      <c r="BJ54" s="189">
        <v>0</v>
      </c>
      <c r="BK54" s="189">
        <v>0</v>
      </c>
      <c r="BL54" s="189">
        <v>0</v>
      </c>
      <c r="BM54" s="189">
        <v>0</v>
      </c>
      <c r="BN54" s="189">
        <v>0</v>
      </c>
      <c r="BO54" s="189">
        <v>0</v>
      </c>
      <c r="BP54" s="189">
        <v>0</v>
      </c>
      <c r="BQ54" s="189">
        <v>0</v>
      </c>
      <c r="BR54" s="189">
        <v>0</v>
      </c>
      <c r="BS54" s="189">
        <v>0</v>
      </c>
      <c r="BT54" s="189">
        <v>0</v>
      </c>
      <c r="BU54" s="189">
        <v>0</v>
      </c>
      <c r="BV54" s="189">
        <v>0</v>
      </c>
      <c r="BW54" s="189">
        <v>0</v>
      </c>
      <c r="BX54" s="189">
        <v>0</v>
      </c>
      <c r="BY54" s="189">
        <v>0</v>
      </c>
      <c r="BZ54" s="189">
        <v>0</v>
      </c>
      <c r="CA54" s="189">
        <v>0</v>
      </c>
      <c r="CB54" s="189">
        <v>0</v>
      </c>
      <c r="CC54" s="189">
        <v>0</v>
      </c>
      <c r="CD54" s="189">
        <v>0</v>
      </c>
      <c r="CE54" s="189">
        <v>0</v>
      </c>
      <c r="CF54" s="189"/>
      <c r="CG54" s="189"/>
      <c r="CH54" s="189"/>
      <c r="CI54" s="189"/>
      <c r="CJ54" s="189"/>
      <c r="CK54" s="189"/>
      <c r="CL54" s="189"/>
    </row>
    <row r="55" spans="1:90" s="192" customFormat="1">
      <c r="A55" s="192" t="s">
        <v>37</v>
      </c>
      <c r="B55" s="189">
        <v>0</v>
      </c>
      <c r="C55" s="189">
        <v>0</v>
      </c>
      <c r="D55" s="189">
        <v>0</v>
      </c>
      <c r="E55" s="189">
        <v>0</v>
      </c>
      <c r="F55" s="189">
        <v>0</v>
      </c>
      <c r="G55" s="189">
        <v>0</v>
      </c>
      <c r="H55" s="189">
        <v>0</v>
      </c>
      <c r="I55" s="189">
        <v>0</v>
      </c>
      <c r="J55" s="189">
        <v>0</v>
      </c>
      <c r="K55" s="189">
        <v>0</v>
      </c>
      <c r="L55" s="189">
        <v>0</v>
      </c>
      <c r="M55" s="189">
        <v>0</v>
      </c>
      <c r="N55" s="189">
        <v>0</v>
      </c>
      <c r="O55" s="189">
        <v>0</v>
      </c>
      <c r="P55" s="189">
        <v>0</v>
      </c>
      <c r="Q55" s="189">
        <v>0</v>
      </c>
      <c r="R55" s="189">
        <v>0</v>
      </c>
      <c r="S55" s="189">
        <v>0</v>
      </c>
      <c r="T55" s="189">
        <v>0</v>
      </c>
      <c r="U55" s="189">
        <v>0</v>
      </c>
      <c r="V55" s="189">
        <v>0</v>
      </c>
      <c r="W55" s="189">
        <v>0</v>
      </c>
      <c r="X55" s="189">
        <v>0</v>
      </c>
      <c r="Y55" s="189">
        <v>0</v>
      </c>
      <c r="Z55" s="189">
        <v>0</v>
      </c>
      <c r="AA55" s="189">
        <v>0</v>
      </c>
      <c r="AB55" s="189">
        <v>0</v>
      </c>
      <c r="AC55" s="189">
        <v>0</v>
      </c>
      <c r="AD55" s="189">
        <v>0</v>
      </c>
      <c r="AE55" s="189">
        <v>0</v>
      </c>
      <c r="AF55" s="189">
        <v>0</v>
      </c>
      <c r="AG55" s="189">
        <v>0</v>
      </c>
      <c r="AH55" s="189">
        <v>0</v>
      </c>
      <c r="AI55" s="189">
        <v>0</v>
      </c>
      <c r="AJ55" s="189">
        <v>0</v>
      </c>
      <c r="AK55" s="189">
        <v>0</v>
      </c>
      <c r="AL55" s="189">
        <v>0</v>
      </c>
      <c r="AM55" s="189">
        <v>0</v>
      </c>
      <c r="AN55" s="189">
        <v>0</v>
      </c>
      <c r="AO55" s="189">
        <v>0</v>
      </c>
      <c r="AP55" s="189">
        <v>0</v>
      </c>
      <c r="AQ55" s="189">
        <v>0</v>
      </c>
      <c r="AR55" s="189">
        <v>0</v>
      </c>
      <c r="AS55" s="189">
        <v>0</v>
      </c>
      <c r="AT55" s="189">
        <v>0</v>
      </c>
      <c r="AU55" s="189">
        <v>0</v>
      </c>
      <c r="AV55" s="189">
        <v>0</v>
      </c>
      <c r="AW55" s="189">
        <v>0</v>
      </c>
      <c r="AX55" s="189">
        <v>0</v>
      </c>
      <c r="AY55" s="189">
        <v>0</v>
      </c>
      <c r="AZ55" s="189">
        <v>0</v>
      </c>
      <c r="BA55" s="189">
        <v>0</v>
      </c>
      <c r="BB55" s="189">
        <v>0</v>
      </c>
      <c r="BC55" s="189">
        <v>0</v>
      </c>
      <c r="BD55" s="189">
        <v>0</v>
      </c>
      <c r="BE55" s="189">
        <v>0</v>
      </c>
      <c r="BF55" s="189">
        <v>0</v>
      </c>
      <c r="BG55" s="189">
        <v>0</v>
      </c>
      <c r="BH55" s="189">
        <v>0</v>
      </c>
      <c r="BI55" s="189">
        <v>0</v>
      </c>
      <c r="BJ55" s="189">
        <v>0</v>
      </c>
      <c r="BK55" s="189">
        <v>0</v>
      </c>
      <c r="BL55" s="189">
        <v>0</v>
      </c>
      <c r="BM55" s="189">
        <v>0</v>
      </c>
      <c r="BN55" s="189">
        <v>0</v>
      </c>
      <c r="BO55" s="189">
        <v>0</v>
      </c>
      <c r="BP55" s="189">
        <v>0</v>
      </c>
      <c r="BQ55" s="189">
        <v>0</v>
      </c>
      <c r="BR55" s="189">
        <v>0</v>
      </c>
      <c r="BS55" s="189">
        <v>0</v>
      </c>
      <c r="BT55" s="189">
        <v>0</v>
      </c>
      <c r="BU55" s="189">
        <v>0</v>
      </c>
      <c r="BV55" s="189">
        <v>0</v>
      </c>
      <c r="BW55" s="189">
        <v>0</v>
      </c>
      <c r="BX55" s="189">
        <v>0</v>
      </c>
      <c r="BY55" s="189">
        <v>0</v>
      </c>
      <c r="BZ55" s="189">
        <v>0</v>
      </c>
      <c r="CA55" s="189">
        <v>0</v>
      </c>
      <c r="CB55" s="189">
        <v>0</v>
      </c>
      <c r="CC55" s="189">
        <v>0</v>
      </c>
      <c r="CD55" s="189">
        <v>0</v>
      </c>
      <c r="CE55" s="189">
        <v>0</v>
      </c>
      <c r="CF55" s="189"/>
      <c r="CG55" s="189"/>
      <c r="CH55" s="189"/>
      <c r="CI55" s="189"/>
      <c r="CJ55" s="189"/>
      <c r="CK55" s="189"/>
      <c r="CL55" s="189"/>
    </row>
    <row r="56" spans="1:90" s="192" customFormat="1">
      <c r="A56" s="192" t="s">
        <v>38</v>
      </c>
      <c r="B56" s="189">
        <v>0</v>
      </c>
      <c r="C56" s="189">
        <v>0</v>
      </c>
      <c r="D56" s="189">
        <v>0</v>
      </c>
      <c r="E56" s="189">
        <v>0</v>
      </c>
      <c r="F56" s="189">
        <v>0</v>
      </c>
      <c r="G56" s="189">
        <v>0</v>
      </c>
      <c r="H56" s="189">
        <v>0</v>
      </c>
      <c r="I56" s="189">
        <v>0</v>
      </c>
      <c r="J56" s="189">
        <v>0</v>
      </c>
      <c r="K56" s="189">
        <v>0</v>
      </c>
      <c r="L56" s="189">
        <v>0</v>
      </c>
      <c r="M56" s="189">
        <v>0</v>
      </c>
      <c r="N56" s="189">
        <v>0</v>
      </c>
      <c r="O56" s="189">
        <v>0</v>
      </c>
      <c r="P56" s="189">
        <v>0</v>
      </c>
      <c r="Q56" s="189">
        <v>0</v>
      </c>
      <c r="R56" s="189">
        <v>0</v>
      </c>
      <c r="S56" s="189">
        <v>0</v>
      </c>
      <c r="T56" s="189">
        <v>0</v>
      </c>
      <c r="U56" s="189">
        <v>0</v>
      </c>
      <c r="V56" s="189">
        <v>0</v>
      </c>
      <c r="W56" s="189">
        <v>0</v>
      </c>
      <c r="X56" s="189">
        <v>0</v>
      </c>
      <c r="Y56" s="189">
        <v>0</v>
      </c>
      <c r="Z56" s="189">
        <v>0</v>
      </c>
      <c r="AA56" s="189">
        <v>0</v>
      </c>
      <c r="AB56" s="189">
        <v>0</v>
      </c>
      <c r="AC56" s="189">
        <v>0</v>
      </c>
      <c r="AD56" s="189">
        <v>0</v>
      </c>
      <c r="AE56" s="189">
        <v>0</v>
      </c>
      <c r="AF56" s="189">
        <v>0</v>
      </c>
      <c r="AG56" s="189">
        <v>0</v>
      </c>
      <c r="AH56" s="189">
        <v>0</v>
      </c>
      <c r="AI56" s="189">
        <v>0</v>
      </c>
      <c r="AJ56" s="189">
        <v>0</v>
      </c>
      <c r="AK56" s="189">
        <v>0</v>
      </c>
      <c r="AL56" s="189">
        <v>0</v>
      </c>
      <c r="AM56" s="189">
        <v>0</v>
      </c>
      <c r="AN56" s="189">
        <v>0</v>
      </c>
      <c r="AO56" s="189">
        <v>0</v>
      </c>
      <c r="AP56" s="189">
        <v>0</v>
      </c>
      <c r="AQ56" s="189">
        <v>0</v>
      </c>
      <c r="AR56" s="189">
        <v>0</v>
      </c>
      <c r="AS56" s="189">
        <v>0</v>
      </c>
      <c r="AT56" s="189">
        <v>0</v>
      </c>
      <c r="AU56" s="189">
        <v>0</v>
      </c>
      <c r="AV56" s="189">
        <v>0</v>
      </c>
      <c r="AW56" s="189">
        <v>0</v>
      </c>
      <c r="AX56" s="189">
        <v>0</v>
      </c>
      <c r="AY56" s="189">
        <v>0</v>
      </c>
      <c r="AZ56" s="189">
        <v>0</v>
      </c>
      <c r="BA56" s="189">
        <v>0</v>
      </c>
      <c r="BB56" s="189">
        <v>0</v>
      </c>
      <c r="BC56" s="189">
        <v>0</v>
      </c>
      <c r="BD56" s="189">
        <v>0</v>
      </c>
      <c r="BE56" s="189">
        <v>0</v>
      </c>
      <c r="BF56" s="189">
        <v>0</v>
      </c>
      <c r="BG56" s="189">
        <v>0</v>
      </c>
      <c r="BH56" s="189">
        <v>0</v>
      </c>
      <c r="BI56" s="189">
        <v>0</v>
      </c>
      <c r="BJ56" s="189">
        <v>0</v>
      </c>
      <c r="BK56" s="189">
        <v>0</v>
      </c>
      <c r="BL56" s="189">
        <v>0</v>
      </c>
      <c r="BM56" s="189">
        <v>0</v>
      </c>
      <c r="BN56" s="189">
        <v>0</v>
      </c>
      <c r="BO56" s="189">
        <v>0</v>
      </c>
      <c r="BP56" s="189">
        <v>0</v>
      </c>
      <c r="BQ56" s="189">
        <v>0</v>
      </c>
      <c r="BR56" s="189">
        <v>0</v>
      </c>
      <c r="BS56" s="189">
        <v>0</v>
      </c>
      <c r="BT56" s="189">
        <v>0</v>
      </c>
      <c r="BU56" s="189">
        <v>0</v>
      </c>
      <c r="BV56" s="189">
        <v>0</v>
      </c>
      <c r="BW56" s="189">
        <v>0</v>
      </c>
      <c r="BX56" s="189">
        <v>0</v>
      </c>
      <c r="BY56" s="189">
        <v>0</v>
      </c>
      <c r="BZ56" s="189">
        <v>0</v>
      </c>
      <c r="CA56" s="189">
        <v>0</v>
      </c>
      <c r="CB56" s="189">
        <v>0</v>
      </c>
      <c r="CC56" s="189">
        <v>0</v>
      </c>
      <c r="CD56" s="189">
        <v>0</v>
      </c>
      <c r="CE56" s="189">
        <v>0</v>
      </c>
      <c r="CF56" s="189"/>
      <c r="CG56" s="189"/>
      <c r="CH56" s="189"/>
      <c r="CI56" s="189"/>
      <c r="CJ56" s="189"/>
      <c r="CK56" s="189"/>
      <c r="CL56" s="189"/>
    </row>
    <row r="57" spans="1:90" s="192" customFormat="1">
      <c r="A57" s="192" t="s">
        <v>39</v>
      </c>
      <c r="B57" s="189">
        <v>0</v>
      </c>
      <c r="C57" s="189">
        <v>0</v>
      </c>
      <c r="D57" s="189">
        <v>0</v>
      </c>
      <c r="E57" s="189">
        <v>0</v>
      </c>
      <c r="F57" s="189">
        <v>0</v>
      </c>
      <c r="G57" s="189">
        <v>0</v>
      </c>
      <c r="H57" s="189">
        <v>0</v>
      </c>
      <c r="I57" s="189">
        <v>0</v>
      </c>
      <c r="J57" s="189">
        <v>0</v>
      </c>
      <c r="K57" s="189">
        <v>0</v>
      </c>
      <c r="L57" s="189">
        <v>0</v>
      </c>
      <c r="M57" s="189">
        <v>0</v>
      </c>
      <c r="N57" s="189">
        <v>0</v>
      </c>
      <c r="O57" s="189">
        <v>0</v>
      </c>
      <c r="P57" s="189">
        <v>0</v>
      </c>
      <c r="Q57" s="189">
        <v>0</v>
      </c>
      <c r="R57" s="189">
        <v>0</v>
      </c>
      <c r="S57" s="189">
        <v>0</v>
      </c>
      <c r="T57" s="189">
        <v>0</v>
      </c>
      <c r="U57" s="189">
        <v>0</v>
      </c>
      <c r="V57" s="189">
        <v>0</v>
      </c>
      <c r="W57" s="189">
        <v>0</v>
      </c>
      <c r="X57" s="189">
        <v>0</v>
      </c>
      <c r="Y57" s="189">
        <v>0</v>
      </c>
      <c r="Z57" s="189">
        <v>0</v>
      </c>
      <c r="AA57" s="189">
        <v>0</v>
      </c>
      <c r="AB57" s="189">
        <v>0</v>
      </c>
      <c r="AC57" s="189">
        <v>0</v>
      </c>
      <c r="AD57" s="189">
        <v>0</v>
      </c>
      <c r="AE57" s="189">
        <v>0</v>
      </c>
      <c r="AF57" s="189">
        <v>0</v>
      </c>
      <c r="AG57" s="189">
        <v>0</v>
      </c>
      <c r="AH57" s="189">
        <v>0</v>
      </c>
      <c r="AI57" s="189">
        <v>0</v>
      </c>
      <c r="AJ57" s="189">
        <v>0</v>
      </c>
      <c r="AK57" s="189">
        <v>0</v>
      </c>
      <c r="AL57" s="189">
        <v>0</v>
      </c>
      <c r="AM57" s="189">
        <v>0</v>
      </c>
      <c r="AN57" s="189">
        <v>0</v>
      </c>
      <c r="AO57" s="189">
        <v>0</v>
      </c>
      <c r="AP57" s="189">
        <v>0</v>
      </c>
      <c r="AQ57" s="189">
        <v>0</v>
      </c>
      <c r="AR57" s="189">
        <v>0</v>
      </c>
      <c r="AS57" s="189">
        <v>0</v>
      </c>
      <c r="AT57" s="189">
        <v>0</v>
      </c>
      <c r="AU57" s="189">
        <v>0</v>
      </c>
      <c r="AV57" s="189">
        <v>0</v>
      </c>
      <c r="AW57" s="189">
        <v>0</v>
      </c>
      <c r="AX57" s="189">
        <v>0</v>
      </c>
      <c r="AY57" s="189">
        <v>0</v>
      </c>
      <c r="AZ57" s="189">
        <v>0</v>
      </c>
      <c r="BA57" s="189">
        <v>0</v>
      </c>
      <c r="BB57" s="189">
        <v>0</v>
      </c>
      <c r="BC57" s="189">
        <v>0</v>
      </c>
      <c r="BD57" s="189">
        <v>0</v>
      </c>
      <c r="BE57" s="189">
        <v>0</v>
      </c>
      <c r="BF57" s="189">
        <v>0</v>
      </c>
      <c r="BG57" s="189">
        <v>0</v>
      </c>
      <c r="BH57" s="189">
        <v>0</v>
      </c>
      <c r="BI57" s="189">
        <v>0</v>
      </c>
      <c r="BJ57" s="189">
        <v>0</v>
      </c>
      <c r="BK57" s="189">
        <v>0</v>
      </c>
      <c r="BL57" s="189">
        <v>0</v>
      </c>
      <c r="BM57" s="189">
        <v>0</v>
      </c>
      <c r="BN57" s="189">
        <v>0</v>
      </c>
      <c r="BO57" s="189">
        <v>0</v>
      </c>
      <c r="BP57" s="189">
        <v>0</v>
      </c>
      <c r="BQ57" s="189">
        <v>0</v>
      </c>
      <c r="BR57" s="189">
        <v>0</v>
      </c>
      <c r="BS57" s="189">
        <v>0</v>
      </c>
      <c r="BT57" s="189">
        <v>0</v>
      </c>
      <c r="BU57" s="189">
        <v>0</v>
      </c>
      <c r="BV57" s="189">
        <v>0</v>
      </c>
      <c r="BW57" s="189">
        <v>0</v>
      </c>
      <c r="BX57" s="189">
        <v>0</v>
      </c>
      <c r="BY57" s="189">
        <v>0</v>
      </c>
      <c r="BZ57" s="189">
        <v>0</v>
      </c>
      <c r="CA57" s="189">
        <v>0</v>
      </c>
      <c r="CB57" s="189">
        <v>0</v>
      </c>
      <c r="CC57" s="189">
        <v>0</v>
      </c>
      <c r="CD57" s="189">
        <v>0</v>
      </c>
      <c r="CE57" s="189">
        <v>0</v>
      </c>
      <c r="CF57" s="189"/>
      <c r="CG57" s="189"/>
      <c r="CH57" s="189"/>
      <c r="CI57" s="189"/>
      <c r="CJ57" s="189"/>
      <c r="CK57" s="189"/>
      <c r="CL57" s="189"/>
    </row>
    <row r="58" spans="1:90" s="192" customFormat="1">
      <c r="A58" s="192" t="s">
        <v>40</v>
      </c>
      <c r="B58" s="189">
        <v>1592003.25</v>
      </c>
      <c r="C58" s="189">
        <v>638802.19999999995</v>
      </c>
      <c r="D58" s="189">
        <v>672957.47</v>
      </c>
      <c r="E58" s="189">
        <v>707112.74</v>
      </c>
      <c r="F58" s="189">
        <v>741268.01</v>
      </c>
      <c r="G58" s="189">
        <v>775423.28</v>
      </c>
      <c r="H58" s="189">
        <v>809578.55</v>
      </c>
      <c r="I58" s="189">
        <v>843733.82</v>
      </c>
      <c r="J58" s="189">
        <v>877889.09</v>
      </c>
      <c r="K58" s="189">
        <v>912044.36</v>
      </c>
      <c r="L58" s="189">
        <v>772246.5</v>
      </c>
      <c r="M58" s="189">
        <v>797846.7</v>
      </c>
      <c r="N58" s="189">
        <v>823446.9</v>
      </c>
      <c r="O58" s="189">
        <v>1115713.7</v>
      </c>
      <c r="P58" s="189">
        <v>1142980.55</v>
      </c>
      <c r="Q58" s="189">
        <v>1176307.24</v>
      </c>
      <c r="R58" s="189">
        <v>1076317.69</v>
      </c>
      <c r="S58" s="189">
        <v>1086219.8700000001</v>
      </c>
      <c r="T58" s="189">
        <v>1106879.8799999999</v>
      </c>
      <c r="U58" s="189">
        <v>1127539.8899999999</v>
      </c>
      <c r="V58" s="189">
        <v>1148199.8999999999</v>
      </c>
      <c r="W58" s="189">
        <v>839999.9</v>
      </c>
      <c r="X58" s="189">
        <v>855960.1</v>
      </c>
      <c r="Y58" s="189">
        <v>879420.1</v>
      </c>
      <c r="Z58" s="189">
        <v>917039.93</v>
      </c>
      <c r="AA58" s="189">
        <v>955219.94</v>
      </c>
      <c r="AB58" s="189">
        <v>993399.95</v>
      </c>
      <c r="AC58" s="189">
        <v>1031579.96</v>
      </c>
      <c r="AD58" s="189">
        <v>1069759.97</v>
      </c>
      <c r="AE58" s="189">
        <v>1107939.98</v>
      </c>
      <c r="AF58" s="189">
        <v>1146119.99</v>
      </c>
      <c r="AG58" s="189">
        <v>1184300</v>
      </c>
      <c r="AH58" s="189">
        <v>1222480</v>
      </c>
      <c r="AI58" s="189">
        <v>360660</v>
      </c>
      <c r="AJ58" s="189">
        <v>393840</v>
      </c>
      <c r="AK58" s="189">
        <v>427020</v>
      </c>
      <c r="AL58" s="189">
        <v>460200</v>
      </c>
      <c r="AM58" s="189">
        <v>493380</v>
      </c>
      <c r="AN58" s="189">
        <v>526560</v>
      </c>
      <c r="AO58" s="189">
        <v>565050.72</v>
      </c>
      <c r="AP58" s="189">
        <v>596505.36</v>
      </c>
      <c r="AQ58" s="189">
        <v>0</v>
      </c>
      <c r="AR58" s="189">
        <v>0</v>
      </c>
      <c r="AS58" s="189">
        <v>0</v>
      </c>
      <c r="AT58" s="189">
        <v>0</v>
      </c>
      <c r="AU58" s="189">
        <v>0</v>
      </c>
      <c r="AV58" s="189">
        <v>0</v>
      </c>
      <c r="AW58" s="189">
        <v>0</v>
      </c>
      <c r="AX58" s="189">
        <v>3688441.7</v>
      </c>
      <c r="AY58" s="189">
        <v>19932848.829999998</v>
      </c>
      <c r="AZ58" s="189">
        <v>20097890.079999998</v>
      </c>
      <c r="BA58" s="189">
        <v>20097094.93</v>
      </c>
      <c r="BB58" s="189">
        <v>20427972.579999998</v>
      </c>
      <c r="BC58" s="189">
        <v>23412232.27</v>
      </c>
      <c r="BD58" s="189">
        <v>23743109.920000002</v>
      </c>
      <c r="BE58" s="189">
        <v>24073987.57</v>
      </c>
      <c r="BF58" s="189">
        <v>24404865.219999999</v>
      </c>
      <c r="BG58" s="189">
        <v>25319437.489999998</v>
      </c>
      <c r="BH58" s="189">
        <v>25725315.140000001</v>
      </c>
      <c r="BI58" s="189">
        <v>26212436.649999999</v>
      </c>
      <c r="BJ58" s="189">
        <v>54745606.859999999</v>
      </c>
      <c r="BK58" s="189">
        <v>56790302.009999998</v>
      </c>
      <c r="BL58" s="189">
        <v>57393797.159999996</v>
      </c>
      <c r="BM58" s="189">
        <v>57997292.310000002</v>
      </c>
      <c r="BN58" s="189">
        <v>65468182.5</v>
      </c>
      <c r="BO58" s="189">
        <v>66285969.609999999</v>
      </c>
      <c r="BP58" s="189">
        <v>66889464.759999998</v>
      </c>
      <c r="BQ58" s="189">
        <v>60690188.140000001</v>
      </c>
      <c r="BR58" s="189">
        <v>60998568.060000002</v>
      </c>
      <c r="BS58" s="189">
        <v>59086216.090000004</v>
      </c>
      <c r="BT58" s="189">
        <v>61114385.240000002</v>
      </c>
      <c r="BU58" s="189">
        <v>43480921.039999999</v>
      </c>
      <c r="BV58" s="189">
        <v>43838500.609999999</v>
      </c>
      <c r="BW58" s="189">
        <v>27063866.300000001</v>
      </c>
      <c r="BX58" s="189">
        <v>6169487.54</v>
      </c>
      <c r="BY58" s="189">
        <v>6263108.7800000003</v>
      </c>
      <c r="BZ58" s="189">
        <v>6356730.0199999996</v>
      </c>
      <c r="CA58" s="189">
        <v>0</v>
      </c>
      <c r="CB58" s="189">
        <v>6543972.5</v>
      </c>
      <c r="CC58" s="189">
        <v>6653197.29</v>
      </c>
      <c r="CD58" s="189">
        <v>6731215</v>
      </c>
      <c r="CE58" s="189">
        <v>0</v>
      </c>
      <c r="CF58" s="189"/>
      <c r="CG58" s="189"/>
      <c r="CH58" s="189"/>
      <c r="CI58" s="189"/>
      <c r="CJ58" s="189"/>
      <c r="CK58" s="189"/>
      <c r="CL58" s="189"/>
    </row>
    <row r="59" spans="1:90" s="192" customFormat="1">
      <c r="A59" s="192" t="s">
        <v>41</v>
      </c>
      <c r="B59" s="189">
        <v>0</v>
      </c>
      <c r="C59" s="189">
        <v>0</v>
      </c>
      <c r="D59" s="189">
        <v>0</v>
      </c>
      <c r="E59" s="189">
        <v>0</v>
      </c>
      <c r="F59" s="189">
        <v>0</v>
      </c>
      <c r="G59" s="189">
        <v>0</v>
      </c>
      <c r="H59" s="189">
        <v>0</v>
      </c>
      <c r="I59" s="189">
        <v>0</v>
      </c>
      <c r="J59" s="189">
        <v>0</v>
      </c>
      <c r="K59" s="189">
        <v>0</v>
      </c>
      <c r="L59" s="189">
        <v>0</v>
      </c>
      <c r="M59" s="189">
        <v>0</v>
      </c>
      <c r="N59" s="189">
        <v>0</v>
      </c>
      <c r="O59" s="189">
        <v>0</v>
      </c>
      <c r="P59" s="189">
        <v>0</v>
      </c>
      <c r="Q59" s="189">
        <v>0</v>
      </c>
      <c r="R59" s="189">
        <v>0</v>
      </c>
      <c r="S59" s="189">
        <v>0</v>
      </c>
      <c r="T59" s="189">
        <v>0</v>
      </c>
      <c r="U59" s="189">
        <v>0</v>
      </c>
      <c r="V59" s="189">
        <v>0</v>
      </c>
      <c r="W59" s="189">
        <v>0</v>
      </c>
      <c r="X59" s="189">
        <v>0</v>
      </c>
      <c r="Y59" s="189">
        <v>0</v>
      </c>
      <c r="Z59" s="189">
        <v>0</v>
      </c>
      <c r="AA59" s="189">
        <v>0</v>
      </c>
      <c r="AB59" s="189">
        <v>0</v>
      </c>
      <c r="AC59" s="189">
        <v>0</v>
      </c>
      <c r="AD59" s="189">
        <v>0</v>
      </c>
      <c r="AE59" s="189">
        <v>0</v>
      </c>
      <c r="AF59" s="189">
        <v>0</v>
      </c>
      <c r="AG59" s="189">
        <v>0</v>
      </c>
      <c r="AH59" s="189">
        <v>0</v>
      </c>
      <c r="AI59" s="189">
        <v>0</v>
      </c>
      <c r="AJ59" s="189">
        <v>0</v>
      </c>
      <c r="AK59" s="189">
        <v>0</v>
      </c>
      <c r="AL59" s="189">
        <v>0</v>
      </c>
      <c r="AM59" s="189">
        <v>0</v>
      </c>
      <c r="AN59" s="189">
        <v>0</v>
      </c>
      <c r="AO59" s="189">
        <v>0</v>
      </c>
      <c r="AP59" s="189">
        <v>0</v>
      </c>
      <c r="AQ59" s="189">
        <v>0</v>
      </c>
      <c r="AR59" s="189">
        <v>0</v>
      </c>
      <c r="AS59" s="189">
        <v>0</v>
      </c>
      <c r="AT59" s="189">
        <v>0</v>
      </c>
      <c r="AU59" s="189">
        <v>0</v>
      </c>
      <c r="AV59" s="189">
        <v>0</v>
      </c>
      <c r="AW59" s="189">
        <v>0</v>
      </c>
      <c r="AX59" s="189">
        <v>0</v>
      </c>
      <c r="AY59" s="189">
        <v>0</v>
      </c>
      <c r="AZ59" s="189">
        <v>0</v>
      </c>
      <c r="BA59" s="189">
        <v>0</v>
      </c>
      <c r="BB59" s="189">
        <v>0</v>
      </c>
      <c r="BC59" s="189">
        <v>0</v>
      </c>
      <c r="BD59" s="189">
        <v>0</v>
      </c>
      <c r="BE59" s="189">
        <v>0</v>
      </c>
      <c r="BF59" s="189">
        <v>0</v>
      </c>
      <c r="BG59" s="189">
        <v>0</v>
      </c>
      <c r="BH59" s="189">
        <v>0</v>
      </c>
      <c r="BI59" s="189">
        <v>0</v>
      </c>
      <c r="BJ59" s="189">
        <v>0</v>
      </c>
      <c r="BK59" s="189">
        <v>0</v>
      </c>
      <c r="BL59" s="189">
        <v>0</v>
      </c>
      <c r="BM59" s="189">
        <v>0</v>
      </c>
      <c r="BN59" s="189">
        <v>0</v>
      </c>
      <c r="BO59" s="189">
        <v>0</v>
      </c>
      <c r="BP59" s="189">
        <v>0</v>
      </c>
      <c r="BQ59" s="189">
        <v>0</v>
      </c>
      <c r="BR59" s="189">
        <v>0</v>
      </c>
      <c r="BS59" s="189">
        <v>0</v>
      </c>
      <c r="BT59" s="189">
        <v>0</v>
      </c>
      <c r="BU59" s="189">
        <v>0</v>
      </c>
      <c r="BV59" s="189">
        <v>0</v>
      </c>
      <c r="BW59" s="189">
        <v>0</v>
      </c>
      <c r="BX59" s="189">
        <v>0</v>
      </c>
      <c r="BY59" s="189">
        <v>0</v>
      </c>
      <c r="BZ59" s="189">
        <v>0</v>
      </c>
      <c r="CA59" s="189">
        <v>0</v>
      </c>
      <c r="CB59" s="189">
        <v>0</v>
      </c>
      <c r="CC59" s="189">
        <v>0</v>
      </c>
      <c r="CD59" s="189">
        <v>0</v>
      </c>
      <c r="CE59" s="189">
        <v>0</v>
      </c>
      <c r="CF59" s="189"/>
      <c r="CG59" s="189"/>
      <c r="CH59" s="189"/>
      <c r="CI59" s="189"/>
      <c r="CJ59" s="189"/>
      <c r="CK59" s="189"/>
      <c r="CL59" s="189"/>
    </row>
    <row r="60" spans="1:90" s="192" customFormat="1">
      <c r="A60" s="192" t="s">
        <v>42</v>
      </c>
      <c r="B60" s="189">
        <v>0</v>
      </c>
      <c r="C60" s="189">
        <v>0</v>
      </c>
      <c r="D60" s="189">
        <v>0</v>
      </c>
      <c r="E60" s="189">
        <v>0</v>
      </c>
      <c r="F60" s="189">
        <v>0</v>
      </c>
      <c r="G60" s="189">
        <v>0</v>
      </c>
      <c r="H60" s="189">
        <v>0</v>
      </c>
      <c r="I60" s="189">
        <v>0</v>
      </c>
      <c r="J60" s="189">
        <v>0</v>
      </c>
      <c r="K60" s="189">
        <v>0</v>
      </c>
      <c r="L60" s="189">
        <v>0</v>
      </c>
      <c r="M60" s="189">
        <v>0</v>
      </c>
      <c r="N60" s="189">
        <v>0</v>
      </c>
      <c r="O60" s="189">
        <v>0</v>
      </c>
      <c r="P60" s="189">
        <v>0</v>
      </c>
      <c r="Q60" s="189">
        <v>0</v>
      </c>
      <c r="R60" s="189">
        <v>0</v>
      </c>
      <c r="S60" s="189">
        <v>0</v>
      </c>
      <c r="T60" s="189">
        <v>0</v>
      </c>
      <c r="U60" s="189">
        <v>0</v>
      </c>
      <c r="V60" s="189">
        <v>0</v>
      </c>
      <c r="W60" s="189">
        <v>0</v>
      </c>
      <c r="X60" s="189">
        <v>0</v>
      </c>
      <c r="Y60" s="189">
        <v>0</v>
      </c>
      <c r="Z60" s="189">
        <v>0</v>
      </c>
      <c r="AA60" s="189">
        <v>0</v>
      </c>
      <c r="AB60" s="189">
        <v>0</v>
      </c>
      <c r="AC60" s="189">
        <v>0</v>
      </c>
      <c r="AD60" s="189">
        <v>0</v>
      </c>
      <c r="AE60" s="189">
        <v>0</v>
      </c>
      <c r="AF60" s="189">
        <v>0</v>
      </c>
      <c r="AG60" s="189">
        <v>0</v>
      </c>
      <c r="AH60" s="189">
        <v>0</v>
      </c>
      <c r="AI60" s="189">
        <v>0</v>
      </c>
      <c r="AJ60" s="189">
        <v>0</v>
      </c>
      <c r="AK60" s="189">
        <v>0</v>
      </c>
      <c r="AL60" s="189">
        <v>0</v>
      </c>
      <c r="AM60" s="189">
        <v>0</v>
      </c>
      <c r="AN60" s="189">
        <v>0</v>
      </c>
      <c r="AO60" s="189">
        <v>0</v>
      </c>
      <c r="AP60" s="189">
        <v>0</v>
      </c>
      <c r="AQ60" s="189">
        <v>0</v>
      </c>
      <c r="AR60" s="189">
        <v>0</v>
      </c>
      <c r="AS60" s="189">
        <v>0</v>
      </c>
      <c r="AT60" s="189">
        <v>0</v>
      </c>
      <c r="AU60" s="189">
        <v>0</v>
      </c>
      <c r="AV60" s="189">
        <v>0</v>
      </c>
      <c r="AW60" s="189">
        <v>0</v>
      </c>
      <c r="AX60" s="189">
        <v>0</v>
      </c>
      <c r="AY60" s="189">
        <v>0</v>
      </c>
      <c r="AZ60" s="189">
        <v>0</v>
      </c>
      <c r="BA60" s="189">
        <v>0</v>
      </c>
      <c r="BB60" s="189">
        <v>0</v>
      </c>
      <c r="BC60" s="189">
        <v>0</v>
      </c>
      <c r="BD60" s="189">
        <v>0</v>
      </c>
      <c r="BE60" s="189">
        <v>0</v>
      </c>
      <c r="BF60" s="189">
        <v>0</v>
      </c>
      <c r="BG60" s="189">
        <v>0</v>
      </c>
      <c r="BH60" s="189">
        <v>0</v>
      </c>
      <c r="BI60" s="189">
        <v>0</v>
      </c>
      <c r="BJ60" s="189">
        <v>0</v>
      </c>
      <c r="BK60" s="189">
        <v>0</v>
      </c>
      <c r="BL60" s="189">
        <v>0</v>
      </c>
      <c r="BM60" s="189">
        <v>0</v>
      </c>
      <c r="BN60" s="189">
        <v>0</v>
      </c>
      <c r="BO60" s="189">
        <v>0</v>
      </c>
      <c r="BP60" s="189">
        <v>0</v>
      </c>
      <c r="BQ60" s="189">
        <v>0</v>
      </c>
      <c r="BR60" s="189">
        <v>0</v>
      </c>
      <c r="BS60" s="189">
        <v>0</v>
      </c>
      <c r="BT60" s="189">
        <v>0</v>
      </c>
      <c r="BU60" s="189">
        <v>0</v>
      </c>
      <c r="BV60" s="189">
        <v>0</v>
      </c>
      <c r="BW60" s="189">
        <v>0</v>
      </c>
      <c r="BX60" s="189">
        <v>0</v>
      </c>
      <c r="BY60" s="189">
        <v>0</v>
      </c>
      <c r="BZ60" s="189">
        <v>0</v>
      </c>
      <c r="CA60" s="189">
        <v>0</v>
      </c>
      <c r="CB60" s="189">
        <v>0</v>
      </c>
      <c r="CC60" s="189">
        <v>0</v>
      </c>
      <c r="CD60" s="189">
        <v>0</v>
      </c>
      <c r="CE60" s="189">
        <v>0</v>
      </c>
      <c r="CF60" s="189"/>
      <c r="CG60" s="189"/>
      <c r="CH60" s="189"/>
      <c r="CI60" s="189"/>
      <c r="CJ60" s="189"/>
      <c r="CK60" s="189"/>
      <c r="CL60" s="189"/>
    </row>
    <row r="61" spans="1:90" s="192" customFormat="1">
      <c r="A61" s="192" t="s">
        <v>43</v>
      </c>
      <c r="B61" s="189">
        <v>8672447.1699999999</v>
      </c>
      <c r="C61" s="189">
        <v>9306972.1400000006</v>
      </c>
      <c r="D61" s="189">
        <v>20564491.800000001</v>
      </c>
      <c r="E61" s="189">
        <v>22189654.199999999</v>
      </c>
      <c r="F61" s="189">
        <v>22078345.879999999</v>
      </c>
      <c r="G61" s="189">
        <v>23934901.100000001</v>
      </c>
      <c r="H61" s="189">
        <v>24851078.219999999</v>
      </c>
      <c r="I61" s="189">
        <v>3144273.55</v>
      </c>
      <c r="J61" s="189">
        <v>3793555.37</v>
      </c>
      <c r="K61" s="189">
        <v>2020933.66</v>
      </c>
      <c r="L61" s="189">
        <v>2504128.73</v>
      </c>
      <c r="M61" s="189">
        <v>2794490.39</v>
      </c>
      <c r="N61" s="189">
        <v>3306240.93</v>
      </c>
      <c r="O61" s="189">
        <v>10795613.380000001</v>
      </c>
      <c r="P61" s="189">
        <v>12385387.960000001</v>
      </c>
      <c r="Q61" s="189">
        <v>12008774.24</v>
      </c>
      <c r="R61" s="189">
        <v>13469421.630000001</v>
      </c>
      <c r="S61" s="189">
        <v>1612477.95</v>
      </c>
      <c r="T61" s="189">
        <v>1933387.14</v>
      </c>
      <c r="U61" s="189">
        <v>1775268.86</v>
      </c>
      <c r="V61" s="189">
        <v>2568262.2799999998</v>
      </c>
      <c r="W61" s="189">
        <v>3470098.63</v>
      </c>
      <c r="X61" s="189">
        <v>4011432.43</v>
      </c>
      <c r="Y61" s="189">
        <v>5064612.55</v>
      </c>
      <c r="Z61" s="189">
        <v>5583626.0099999998</v>
      </c>
      <c r="AA61" s="189">
        <v>6203202.6100000003</v>
      </c>
      <c r="AB61" s="189">
        <v>7409061.4299999997</v>
      </c>
      <c r="AC61" s="189">
        <v>8242522.6600000001</v>
      </c>
      <c r="AD61" s="189">
        <v>9624165.9800000004</v>
      </c>
      <c r="AE61" s="189">
        <v>11123873.6</v>
      </c>
      <c r="AF61" s="189">
        <v>9517183.0999999996</v>
      </c>
      <c r="AG61" s="189">
        <v>4935724.51</v>
      </c>
      <c r="AH61" s="189">
        <v>5409193</v>
      </c>
      <c r="AI61" s="189">
        <v>4167094.98</v>
      </c>
      <c r="AJ61" s="189">
        <v>4783672.57</v>
      </c>
      <c r="AK61" s="189">
        <v>4989095.93</v>
      </c>
      <c r="AL61" s="189">
        <v>4911185.95</v>
      </c>
      <c r="AM61" s="189">
        <v>4265878.8899999997</v>
      </c>
      <c r="AN61" s="189">
        <v>3558703.96</v>
      </c>
      <c r="AO61" s="189">
        <v>3880015.95</v>
      </c>
      <c r="AP61" s="189">
        <v>4374661.2</v>
      </c>
      <c r="AQ61" s="189">
        <v>4221467.16</v>
      </c>
      <c r="AR61" s="189">
        <v>2971568.44</v>
      </c>
      <c r="AS61" s="189">
        <v>2574077</v>
      </c>
      <c r="AT61" s="189">
        <v>3210664</v>
      </c>
      <c r="AU61" s="189">
        <v>0</v>
      </c>
      <c r="AV61" s="189">
        <v>0</v>
      </c>
      <c r="AW61" s="189">
        <v>0</v>
      </c>
      <c r="AX61" s="189">
        <v>0</v>
      </c>
      <c r="AY61" s="189">
        <v>0</v>
      </c>
      <c r="AZ61" s="189">
        <v>0</v>
      </c>
      <c r="BA61" s="189">
        <v>0</v>
      </c>
      <c r="BB61" s="189">
        <v>0</v>
      </c>
      <c r="BC61" s="189">
        <v>0</v>
      </c>
      <c r="BD61" s="189">
        <v>0</v>
      </c>
      <c r="BE61" s="189">
        <v>0</v>
      </c>
      <c r="BF61" s="189">
        <v>0</v>
      </c>
      <c r="BG61" s="189">
        <v>0</v>
      </c>
      <c r="BH61" s="189">
        <v>0</v>
      </c>
      <c r="BI61" s="189">
        <v>0</v>
      </c>
      <c r="BJ61" s="189">
        <v>0</v>
      </c>
      <c r="BK61" s="189">
        <v>186975.25</v>
      </c>
      <c r="BL61" s="189">
        <v>186975.25</v>
      </c>
      <c r="BM61" s="189">
        <v>186975.25</v>
      </c>
      <c r="BN61" s="189">
        <v>176783.5</v>
      </c>
      <c r="BO61" s="189">
        <v>0</v>
      </c>
      <c r="BP61" s="189">
        <v>0</v>
      </c>
      <c r="BQ61" s="189">
        <v>0</v>
      </c>
      <c r="BR61" s="189">
        <v>219833.3</v>
      </c>
      <c r="BS61" s="189">
        <v>48811.95</v>
      </c>
      <c r="BT61" s="189">
        <v>65082.57</v>
      </c>
      <c r="BU61" s="189">
        <v>0</v>
      </c>
      <c r="BV61" s="189">
        <v>0</v>
      </c>
      <c r="BW61" s="189">
        <v>0</v>
      </c>
      <c r="BX61" s="189">
        <v>0</v>
      </c>
      <c r="BY61" s="189">
        <v>0</v>
      </c>
      <c r="BZ61" s="189">
        <v>0</v>
      </c>
      <c r="CA61" s="189">
        <v>0</v>
      </c>
      <c r="CB61" s="189">
        <v>0</v>
      </c>
      <c r="CC61" s="189">
        <v>0</v>
      </c>
      <c r="CD61" s="189">
        <v>0</v>
      </c>
      <c r="CE61" s="189">
        <v>0</v>
      </c>
      <c r="CF61" s="189"/>
      <c r="CG61" s="189"/>
      <c r="CH61" s="189"/>
      <c r="CI61" s="189"/>
      <c r="CJ61" s="189"/>
      <c r="CK61" s="189"/>
      <c r="CL61" s="189"/>
    </row>
    <row r="62" spans="1:90" s="192" customFormat="1">
      <c r="A62" s="192" t="s">
        <v>44</v>
      </c>
      <c r="B62" s="189">
        <v>25237826.27</v>
      </c>
      <c r="C62" s="189">
        <v>22044649.870000001</v>
      </c>
      <c r="D62" s="189">
        <v>22023204.870000001</v>
      </c>
      <c r="E62" s="189">
        <v>21906499.629999999</v>
      </c>
      <c r="F62" s="189">
        <v>21303793.629999999</v>
      </c>
      <c r="G62" s="189">
        <v>864196.21</v>
      </c>
      <c r="H62" s="189">
        <v>864196.21</v>
      </c>
      <c r="I62" s="189">
        <v>545560.12</v>
      </c>
      <c r="J62" s="189">
        <v>545560.12</v>
      </c>
      <c r="K62" s="189">
        <v>1238568.3400000001</v>
      </c>
      <c r="L62" s="189">
        <v>1238568.3400000001</v>
      </c>
      <c r="M62" s="189">
        <v>1179549.97</v>
      </c>
      <c r="N62" s="189">
        <v>1179549.97</v>
      </c>
      <c r="O62" s="189">
        <v>884907.75</v>
      </c>
      <c r="P62" s="189">
        <v>884907.75</v>
      </c>
      <c r="Q62" s="189">
        <v>884907.75</v>
      </c>
      <c r="R62" s="189">
        <v>884907.75</v>
      </c>
      <c r="S62" s="189">
        <v>1464642.72</v>
      </c>
      <c r="T62" s="189">
        <v>1464642.72</v>
      </c>
      <c r="U62" s="189">
        <v>1464642.72</v>
      </c>
      <c r="V62" s="189">
        <v>1464642.72</v>
      </c>
      <c r="W62" s="189">
        <v>1276316.72</v>
      </c>
      <c r="X62" s="189">
        <v>1276316.72</v>
      </c>
      <c r="Y62" s="189">
        <v>1276316.72</v>
      </c>
      <c r="Z62" s="189">
        <v>1276316.72</v>
      </c>
      <c r="AA62" s="189">
        <v>801277.5</v>
      </c>
      <c r="AB62" s="189">
        <v>801277.5</v>
      </c>
      <c r="AC62" s="189">
        <v>883600.32</v>
      </c>
      <c r="AD62" s="189">
        <v>801277.5</v>
      </c>
      <c r="AE62" s="189">
        <v>928123.98</v>
      </c>
      <c r="AF62" s="189">
        <v>928123.98</v>
      </c>
      <c r="AG62" s="189">
        <v>928123.98</v>
      </c>
      <c r="AH62" s="189">
        <v>928123.98</v>
      </c>
      <c r="AI62" s="189">
        <v>733784.6</v>
      </c>
      <c r="AJ62" s="189">
        <v>63336.58</v>
      </c>
      <c r="AK62" s="189">
        <v>63336.58</v>
      </c>
      <c r="AL62" s="189">
        <v>63336.58</v>
      </c>
      <c r="AM62" s="189">
        <v>1454524.35</v>
      </c>
      <c r="AN62" s="189">
        <v>1454524.35</v>
      </c>
      <c r="AO62" s="189">
        <v>1454524.35</v>
      </c>
      <c r="AP62" s="189">
        <v>1454524.35</v>
      </c>
      <c r="AQ62" s="189">
        <v>1333373.5</v>
      </c>
      <c r="AR62" s="189">
        <v>1333373.5</v>
      </c>
      <c r="AS62" s="189">
        <v>1333373.5</v>
      </c>
      <c r="AT62" s="189">
        <v>1333373.5</v>
      </c>
      <c r="AU62" s="189">
        <v>1824177.03</v>
      </c>
      <c r="AV62" s="189">
        <v>3164832.77</v>
      </c>
      <c r="AW62" s="189">
        <v>1824177.03</v>
      </c>
      <c r="AX62" s="189">
        <v>0</v>
      </c>
      <c r="AY62" s="189">
        <v>0</v>
      </c>
      <c r="AZ62" s="189">
        <v>0</v>
      </c>
      <c r="BA62" s="189">
        <v>0</v>
      </c>
      <c r="BB62" s="189">
        <v>0</v>
      </c>
      <c r="BC62" s="189">
        <v>0</v>
      </c>
      <c r="BD62" s="189">
        <v>0</v>
      </c>
      <c r="BE62" s="189">
        <v>0</v>
      </c>
      <c r="BF62" s="189">
        <v>0</v>
      </c>
      <c r="BG62" s="189">
        <v>0</v>
      </c>
      <c r="BH62" s="189">
        <v>0</v>
      </c>
      <c r="BI62" s="189">
        <v>0</v>
      </c>
      <c r="BJ62" s="189">
        <v>0</v>
      </c>
      <c r="BK62" s="189">
        <v>0</v>
      </c>
      <c r="BL62" s="189">
        <v>0</v>
      </c>
      <c r="BM62" s="189">
        <v>0</v>
      </c>
      <c r="BN62" s="189">
        <v>0</v>
      </c>
      <c r="BO62" s="189">
        <v>0</v>
      </c>
      <c r="BP62" s="189">
        <v>0</v>
      </c>
      <c r="BQ62" s="189">
        <v>0</v>
      </c>
      <c r="BR62" s="189">
        <v>0</v>
      </c>
      <c r="BS62" s="189">
        <v>0</v>
      </c>
      <c r="BT62" s="189">
        <v>0</v>
      </c>
      <c r="BU62" s="189">
        <v>0</v>
      </c>
      <c r="BV62" s="189">
        <v>0</v>
      </c>
      <c r="BW62" s="189">
        <v>0</v>
      </c>
      <c r="BX62" s="189">
        <v>0</v>
      </c>
      <c r="BY62" s="189">
        <v>0</v>
      </c>
      <c r="BZ62" s="189">
        <v>0</v>
      </c>
      <c r="CA62" s="189">
        <v>0</v>
      </c>
      <c r="CB62" s="189">
        <v>0</v>
      </c>
      <c r="CC62" s="189">
        <v>0</v>
      </c>
      <c r="CD62" s="189">
        <v>0</v>
      </c>
      <c r="CE62" s="189">
        <v>0</v>
      </c>
      <c r="CF62" s="189"/>
      <c r="CG62" s="189"/>
      <c r="CH62" s="189"/>
      <c r="CI62" s="189"/>
      <c r="CJ62" s="189"/>
      <c r="CK62" s="189"/>
      <c r="CL62" s="189"/>
    </row>
    <row r="63" spans="1:90" s="192" customFormat="1">
      <c r="A63" s="192" t="s">
        <v>45</v>
      </c>
      <c r="B63" s="189">
        <v>33998569.719999999</v>
      </c>
      <c r="C63" s="189">
        <v>0</v>
      </c>
      <c r="D63" s="189">
        <v>0</v>
      </c>
      <c r="E63" s="189">
        <v>0</v>
      </c>
      <c r="F63" s="189">
        <v>0</v>
      </c>
      <c r="G63" s="189">
        <v>0</v>
      </c>
      <c r="H63" s="189">
        <v>0</v>
      </c>
      <c r="I63" s="189">
        <v>0</v>
      </c>
      <c r="J63" s="189">
        <v>0</v>
      </c>
      <c r="K63" s="189">
        <v>0</v>
      </c>
      <c r="L63" s="189">
        <v>0</v>
      </c>
      <c r="M63" s="189">
        <v>0</v>
      </c>
      <c r="N63" s="189">
        <v>0</v>
      </c>
      <c r="O63" s="189">
        <v>0</v>
      </c>
      <c r="P63" s="189">
        <v>0</v>
      </c>
      <c r="Q63" s="189">
        <v>0</v>
      </c>
      <c r="R63" s="189">
        <v>0</v>
      </c>
      <c r="S63" s="189">
        <v>0</v>
      </c>
      <c r="T63" s="189">
        <v>0</v>
      </c>
      <c r="U63" s="189">
        <v>0</v>
      </c>
      <c r="V63" s="189">
        <v>0</v>
      </c>
      <c r="W63" s="189">
        <v>0</v>
      </c>
      <c r="X63" s="189">
        <v>0</v>
      </c>
      <c r="Y63" s="189">
        <v>0</v>
      </c>
      <c r="Z63" s="189">
        <v>0</v>
      </c>
      <c r="AA63" s="189">
        <v>0</v>
      </c>
      <c r="AB63" s="189">
        <v>0</v>
      </c>
      <c r="AC63" s="189">
        <v>0</v>
      </c>
      <c r="AD63" s="189">
        <v>0</v>
      </c>
      <c r="AE63" s="189">
        <v>0</v>
      </c>
      <c r="AF63" s="189">
        <v>0</v>
      </c>
      <c r="AG63" s="189">
        <v>0</v>
      </c>
      <c r="AH63" s="189">
        <v>0</v>
      </c>
      <c r="AI63" s="189">
        <v>0</v>
      </c>
      <c r="AJ63" s="189">
        <v>0</v>
      </c>
      <c r="AK63" s="189">
        <v>0</v>
      </c>
      <c r="AL63" s="189">
        <v>0</v>
      </c>
      <c r="AM63" s="189">
        <v>0</v>
      </c>
      <c r="AN63" s="189">
        <v>0</v>
      </c>
      <c r="AO63" s="189">
        <v>0</v>
      </c>
      <c r="AP63" s="189">
        <v>0</v>
      </c>
      <c r="AQ63" s="189">
        <v>0</v>
      </c>
      <c r="AR63" s="189">
        <v>0</v>
      </c>
      <c r="AS63" s="189">
        <v>0</v>
      </c>
      <c r="AT63" s="189">
        <v>0</v>
      </c>
      <c r="AU63" s="189">
        <v>0</v>
      </c>
      <c r="AV63" s="189">
        <v>0</v>
      </c>
      <c r="AW63" s="189">
        <v>0</v>
      </c>
      <c r="AX63" s="189">
        <v>0</v>
      </c>
      <c r="AY63" s="189">
        <v>0</v>
      </c>
      <c r="AZ63" s="189">
        <v>0</v>
      </c>
      <c r="BA63" s="189">
        <v>0</v>
      </c>
      <c r="BB63" s="189">
        <v>0</v>
      </c>
      <c r="BC63" s="189">
        <v>0</v>
      </c>
      <c r="BD63" s="189">
        <v>0</v>
      </c>
      <c r="BE63" s="189">
        <v>0</v>
      </c>
      <c r="BF63" s="189">
        <v>0</v>
      </c>
      <c r="BG63" s="189">
        <v>0</v>
      </c>
      <c r="BH63" s="189">
        <v>0</v>
      </c>
      <c r="BI63" s="189">
        <v>0</v>
      </c>
      <c r="BJ63" s="189">
        <v>0</v>
      </c>
      <c r="BK63" s="189">
        <v>0</v>
      </c>
      <c r="BL63" s="189">
        <v>0</v>
      </c>
      <c r="BM63" s="189">
        <v>0</v>
      </c>
      <c r="BN63" s="189">
        <v>0</v>
      </c>
      <c r="BO63" s="189">
        <v>0</v>
      </c>
      <c r="BP63" s="189">
        <v>0</v>
      </c>
      <c r="BQ63" s="189">
        <v>0</v>
      </c>
      <c r="BR63" s="189">
        <v>0</v>
      </c>
      <c r="BS63" s="189">
        <v>0</v>
      </c>
      <c r="BT63" s="189">
        <v>0</v>
      </c>
      <c r="BU63" s="189">
        <v>0</v>
      </c>
      <c r="BV63" s="189">
        <v>0</v>
      </c>
      <c r="BW63" s="189">
        <v>0</v>
      </c>
      <c r="BX63" s="189">
        <v>0</v>
      </c>
      <c r="BY63" s="189">
        <v>0</v>
      </c>
      <c r="BZ63" s="189">
        <v>0</v>
      </c>
      <c r="CA63" s="189">
        <v>0</v>
      </c>
      <c r="CB63" s="189">
        <v>0</v>
      </c>
      <c r="CC63" s="189">
        <v>0</v>
      </c>
      <c r="CD63" s="189">
        <v>0</v>
      </c>
      <c r="CE63" s="189">
        <v>0</v>
      </c>
      <c r="CF63" s="189"/>
      <c r="CG63" s="189"/>
      <c r="CH63" s="189"/>
      <c r="CI63" s="189"/>
      <c r="CJ63" s="189"/>
      <c r="CK63" s="189"/>
      <c r="CL63" s="189"/>
    </row>
    <row r="64" spans="1:90" s="192" customFormat="1">
      <c r="A64" s="192" t="s">
        <v>46</v>
      </c>
      <c r="B64" s="189">
        <v>1815506.03</v>
      </c>
      <c r="C64" s="189">
        <v>0</v>
      </c>
      <c r="D64" s="189">
        <v>0</v>
      </c>
      <c r="E64" s="189">
        <v>3750</v>
      </c>
      <c r="F64" s="189">
        <v>3750</v>
      </c>
      <c r="G64" s="189">
        <v>1478838.58</v>
      </c>
      <c r="H64" s="189">
        <v>1399437.77</v>
      </c>
      <c r="I64" s="189">
        <v>0</v>
      </c>
      <c r="J64" s="189">
        <v>0</v>
      </c>
      <c r="K64" s="189">
        <v>0</v>
      </c>
      <c r="L64" s="189">
        <v>0</v>
      </c>
      <c r="M64" s="189">
        <v>0</v>
      </c>
      <c r="N64" s="189">
        <v>0</v>
      </c>
      <c r="O64" s="189">
        <v>2686257</v>
      </c>
      <c r="P64" s="189">
        <v>2686257</v>
      </c>
      <c r="Q64" s="189">
        <v>2686257</v>
      </c>
      <c r="R64" s="189">
        <v>2686257</v>
      </c>
      <c r="S64" s="189">
        <v>15521100</v>
      </c>
      <c r="T64" s="189">
        <v>12721100</v>
      </c>
      <c r="U64" s="189">
        <v>6640200</v>
      </c>
      <c r="V64" s="189">
        <v>6640200</v>
      </c>
      <c r="W64" s="189">
        <v>0</v>
      </c>
      <c r="X64" s="189">
        <v>0</v>
      </c>
      <c r="Y64" s="189">
        <v>0</v>
      </c>
      <c r="Z64" s="189">
        <v>0</v>
      </c>
      <c r="AA64" s="189">
        <v>0</v>
      </c>
      <c r="AB64" s="189">
        <v>0</v>
      </c>
      <c r="AC64" s="189">
        <v>0</v>
      </c>
      <c r="AD64" s="189">
        <v>0</v>
      </c>
      <c r="AE64" s="189">
        <v>0</v>
      </c>
      <c r="AF64" s="189">
        <v>0</v>
      </c>
      <c r="AG64" s="189">
        <v>0</v>
      </c>
      <c r="AH64" s="189">
        <v>0</v>
      </c>
      <c r="AI64" s="189">
        <v>0</v>
      </c>
      <c r="AJ64" s="189">
        <v>0</v>
      </c>
      <c r="AK64" s="189">
        <v>0</v>
      </c>
      <c r="AL64" s="189">
        <v>0</v>
      </c>
      <c r="AM64" s="189">
        <v>0</v>
      </c>
      <c r="AN64" s="189">
        <v>0</v>
      </c>
      <c r="AO64" s="189">
        <v>0</v>
      </c>
      <c r="AP64" s="189">
        <v>0</v>
      </c>
      <c r="AQ64" s="189">
        <v>0</v>
      </c>
      <c r="AR64" s="189">
        <v>0</v>
      </c>
      <c r="AS64" s="189">
        <v>0</v>
      </c>
      <c r="AT64" s="189">
        <v>0</v>
      </c>
      <c r="AU64" s="189">
        <v>0</v>
      </c>
      <c r="AV64" s="189">
        <v>0</v>
      </c>
      <c r="AW64" s="189">
        <v>0</v>
      </c>
      <c r="AX64" s="189">
        <v>0</v>
      </c>
      <c r="AY64" s="189">
        <v>0</v>
      </c>
      <c r="AZ64" s="189">
        <v>0</v>
      </c>
      <c r="BA64" s="189">
        <v>0</v>
      </c>
      <c r="BB64" s="189">
        <v>0</v>
      </c>
      <c r="BC64" s="189">
        <v>0</v>
      </c>
      <c r="BD64" s="189">
        <v>0</v>
      </c>
      <c r="BE64" s="189">
        <v>0</v>
      </c>
      <c r="BF64" s="189">
        <v>0</v>
      </c>
      <c r="BG64" s="189">
        <v>0</v>
      </c>
      <c r="BH64" s="189">
        <v>0</v>
      </c>
      <c r="BI64" s="189">
        <v>0</v>
      </c>
      <c r="BJ64" s="189">
        <v>0</v>
      </c>
      <c r="BK64" s="189">
        <v>0</v>
      </c>
      <c r="BL64" s="189">
        <v>0</v>
      </c>
      <c r="BM64" s="189">
        <v>0</v>
      </c>
      <c r="BN64" s="189">
        <v>0</v>
      </c>
      <c r="BO64" s="189">
        <v>0</v>
      </c>
      <c r="BP64" s="189">
        <v>0</v>
      </c>
      <c r="BQ64" s="189">
        <v>0</v>
      </c>
      <c r="BR64" s="189">
        <v>0</v>
      </c>
      <c r="BS64" s="189">
        <v>0</v>
      </c>
      <c r="BT64" s="189">
        <v>0</v>
      </c>
      <c r="BU64" s="189">
        <v>0</v>
      </c>
      <c r="BV64" s="189">
        <v>0</v>
      </c>
      <c r="BW64" s="189">
        <v>518093.99</v>
      </c>
      <c r="BX64" s="189">
        <v>0</v>
      </c>
      <c r="BY64" s="189">
        <v>0</v>
      </c>
      <c r="BZ64" s="189">
        <v>0</v>
      </c>
      <c r="CA64" s="189">
        <v>0</v>
      </c>
      <c r="CB64" s="189">
        <v>363501.8</v>
      </c>
      <c r="CC64" s="189">
        <v>309600.21000000002</v>
      </c>
      <c r="CD64" s="189">
        <v>0</v>
      </c>
      <c r="CE64" s="189">
        <v>0</v>
      </c>
      <c r="CF64" s="189"/>
      <c r="CG64" s="189"/>
      <c r="CH64" s="189"/>
      <c r="CI64" s="189"/>
      <c r="CJ64" s="189"/>
      <c r="CK64" s="189"/>
      <c r="CL64" s="189"/>
    </row>
    <row r="65" spans="1:90" ht="14.45" hidden="1">
      <c r="B65" s="26"/>
      <c r="C65" s="26"/>
      <c r="D65" s="26"/>
      <c r="E65" s="26"/>
      <c r="F65" s="26"/>
      <c r="G65" s="26"/>
      <c r="H65" s="26"/>
      <c r="I65" s="26"/>
      <c r="J65" s="26"/>
      <c r="K65" s="26"/>
      <c r="L65" s="23"/>
    </row>
    <row r="66" spans="1:90" ht="14.45" hidden="1">
      <c r="B66" s="26"/>
      <c r="C66" s="26"/>
      <c r="D66" s="26"/>
      <c r="E66" s="26"/>
      <c r="F66" s="26"/>
      <c r="G66" s="26"/>
      <c r="H66" s="26"/>
      <c r="I66" s="26"/>
      <c r="J66" s="26"/>
      <c r="K66" s="26"/>
      <c r="L66" s="23"/>
    </row>
    <row r="67" spans="1:90" ht="14.45" hidden="1">
      <c r="B67" s="26"/>
      <c r="C67" s="26"/>
      <c r="D67" s="26"/>
      <c r="E67" s="26"/>
      <c r="F67" s="26"/>
      <c r="G67" s="26"/>
      <c r="H67" s="26"/>
      <c r="I67" s="26"/>
      <c r="J67" s="26"/>
      <c r="K67" s="26"/>
      <c r="L67" s="23"/>
    </row>
    <row r="68" spans="1:90" s="12" customFormat="1">
      <c r="A68" s="125" t="s">
        <v>47</v>
      </c>
      <c r="B68" s="36">
        <f>SUM(B52:B64)-2*B63</f>
        <v>363393706.39999992</v>
      </c>
      <c r="C68" s="36">
        <f t="shared" ref="C68:BN68" si="8">SUM(C52:C64)-2*C63</f>
        <v>392582587.50999993</v>
      </c>
      <c r="D68" s="36">
        <f t="shared" si="8"/>
        <v>412697796.67000002</v>
      </c>
      <c r="E68" s="36">
        <f t="shared" si="8"/>
        <v>419187398.27999997</v>
      </c>
      <c r="F68" s="36">
        <f t="shared" si="8"/>
        <v>402403792.01999998</v>
      </c>
      <c r="G68" s="36">
        <f t="shared" si="8"/>
        <v>363457455.61999995</v>
      </c>
      <c r="H68" s="36">
        <f t="shared" si="8"/>
        <v>356011015.00999993</v>
      </c>
      <c r="I68" s="36">
        <f t="shared" si="8"/>
        <v>324831768.56</v>
      </c>
      <c r="J68" s="36">
        <f t="shared" si="8"/>
        <v>332220622.00999999</v>
      </c>
      <c r="K68" s="36">
        <f t="shared" si="8"/>
        <v>335863455.31</v>
      </c>
      <c r="L68" s="36">
        <f t="shared" si="8"/>
        <v>342907667.71999997</v>
      </c>
      <c r="M68" s="36">
        <f t="shared" si="8"/>
        <v>345496393.05000001</v>
      </c>
      <c r="N68" s="36">
        <f t="shared" si="8"/>
        <v>342723878.75999999</v>
      </c>
      <c r="O68" s="36">
        <f t="shared" si="8"/>
        <v>347133188.31999999</v>
      </c>
      <c r="P68" s="36">
        <f t="shared" si="8"/>
        <v>351566646.19</v>
      </c>
      <c r="Q68" s="36">
        <f t="shared" si="8"/>
        <v>355674213.39999998</v>
      </c>
      <c r="R68" s="36">
        <f t="shared" si="8"/>
        <v>362390588.34000003</v>
      </c>
      <c r="S68" s="36">
        <f t="shared" si="8"/>
        <v>362480141.93000001</v>
      </c>
      <c r="T68" s="36">
        <f t="shared" si="8"/>
        <v>361825655.11000001</v>
      </c>
      <c r="U68" s="36">
        <f t="shared" si="8"/>
        <v>361880836.48000002</v>
      </c>
      <c r="V68" s="36">
        <f t="shared" si="8"/>
        <v>368042002.69</v>
      </c>
      <c r="W68" s="36">
        <f t="shared" si="8"/>
        <v>375077821.76999998</v>
      </c>
      <c r="X68" s="36">
        <f t="shared" si="8"/>
        <v>386038724.59000003</v>
      </c>
      <c r="Y68" s="36">
        <f t="shared" si="8"/>
        <v>398614657.03000009</v>
      </c>
      <c r="Z68" s="36">
        <f t="shared" si="8"/>
        <v>410554820.24000001</v>
      </c>
      <c r="AA68" s="36">
        <f t="shared" si="8"/>
        <v>406326948.77000004</v>
      </c>
      <c r="AB68" s="36">
        <f t="shared" si="8"/>
        <v>402944062.56999999</v>
      </c>
      <c r="AC68" s="36">
        <f t="shared" si="8"/>
        <v>411285166.26999998</v>
      </c>
      <c r="AD68" s="36">
        <f t="shared" si="8"/>
        <v>419639168.87000006</v>
      </c>
      <c r="AE68" s="36">
        <f t="shared" si="8"/>
        <v>434737643.55000007</v>
      </c>
      <c r="AF68" s="36">
        <f t="shared" si="8"/>
        <v>441251859.78000003</v>
      </c>
      <c r="AG68" s="36">
        <f t="shared" si="8"/>
        <v>447885087.25000006</v>
      </c>
      <c r="AH68" s="36">
        <f t="shared" si="8"/>
        <v>454602151.86000007</v>
      </c>
      <c r="AI68" s="36">
        <f t="shared" si="8"/>
        <v>453684265.57000005</v>
      </c>
      <c r="AJ68" s="36">
        <f t="shared" si="8"/>
        <v>460204091.05999994</v>
      </c>
      <c r="AK68" s="36">
        <f t="shared" si="8"/>
        <v>462726648.51999998</v>
      </c>
      <c r="AL68" s="36">
        <f t="shared" si="8"/>
        <v>464171290.00999993</v>
      </c>
      <c r="AM68" s="36">
        <f t="shared" si="8"/>
        <v>469456923.46999997</v>
      </c>
      <c r="AN68" s="36">
        <f t="shared" si="8"/>
        <v>459649026.38</v>
      </c>
      <c r="AO68" s="36">
        <f t="shared" si="8"/>
        <v>468669160.14000005</v>
      </c>
      <c r="AP68" s="36">
        <f t="shared" si="8"/>
        <v>471398049.21999997</v>
      </c>
      <c r="AQ68" s="36">
        <f t="shared" si="8"/>
        <v>468737873.15000004</v>
      </c>
      <c r="AR68" s="36">
        <f t="shared" si="8"/>
        <v>467819271.22000003</v>
      </c>
      <c r="AS68" s="36">
        <f t="shared" si="8"/>
        <v>402777850.18000001</v>
      </c>
      <c r="AT68" s="36">
        <f t="shared" si="8"/>
        <v>407431041.29000002</v>
      </c>
      <c r="AU68" s="36">
        <f t="shared" si="8"/>
        <v>380235261.62999994</v>
      </c>
      <c r="AV68" s="36">
        <f t="shared" si="8"/>
        <v>377037570.13</v>
      </c>
      <c r="AW68" s="36">
        <f t="shared" si="8"/>
        <v>386607317.37</v>
      </c>
      <c r="AX68" s="36">
        <f t="shared" si="8"/>
        <v>453974735.00999999</v>
      </c>
      <c r="AY68" s="36">
        <f t="shared" si="8"/>
        <v>470850587.56999999</v>
      </c>
      <c r="AZ68" s="36">
        <f t="shared" si="8"/>
        <v>466835969.41000003</v>
      </c>
      <c r="BA68" s="36">
        <f t="shared" si="8"/>
        <v>482026104.88000005</v>
      </c>
      <c r="BB68" s="36">
        <f t="shared" si="8"/>
        <v>488550711.12</v>
      </c>
      <c r="BC68" s="36">
        <f t="shared" si="8"/>
        <v>481540854.16999996</v>
      </c>
      <c r="BD68" s="36">
        <f t="shared" si="8"/>
        <v>486254421.03000003</v>
      </c>
      <c r="BE68" s="36">
        <f t="shared" si="8"/>
        <v>493006659.20999998</v>
      </c>
      <c r="BF68" s="36">
        <f t="shared" si="8"/>
        <v>501816031.39999998</v>
      </c>
      <c r="BG68" s="36">
        <f t="shared" si="8"/>
        <v>511099755.17000002</v>
      </c>
      <c r="BH68" s="36">
        <f t="shared" si="8"/>
        <v>520198561.34999996</v>
      </c>
      <c r="BI68" s="36">
        <f t="shared" si="8"/>
        <v>529984348.82999998</v>
      </c>
      <c r="BJ68" s="36">
        <f t="shared" si="8"/>
        <v>614901626.59000003</v>
      </c>
      <c r="BK68" s="36">
        <f t="shared" si="8"/>
        <v>628728711.84000003</v>
      </c>
      <c r="BL68" s="36">
        <f t="shared" si="8"/>
        <v>640670492.16999996</v>
      </c>
      <c r="BM68" s="36">
        <f t="shared" si="8"/>
        <v>648419399.62000012</v>
      </c>
      <c r="BN68" s="36">
        <f t="shared" si="8"/>
        <v>663669468.43000007</v>
      </c>
      <c r="BO68" s="36">
        <f t="shared" ref="BO68:CK68" si="9">SUM(BO52:BO64)-2*BO63</f>
        <v>611557004.31000006</v>
      </c>
      <c r="BP68" s="36">
        <f t="shared" si="9"/>
        <v>620373908.37</v>
      </c>
      <c r="BQ68" s="36">
        <f t="shared" si="9"/>
        <v>613413196.62</v>
      </c>
      <c r="BR68" s="36">
        <f t="shared" si="9"/>
        <v>618820856.00999999</v>
      </c>
      <c r="BS68" s="36">
        <f t="shared" si="9"/>
        <v>642814097.75</v>
      </c>
      <c r="BT68" s="36">
        <f t="shared" si="9"/>
        <v>608671605.42000008</v>
      </c>
      <c r="BU68" s="36">
        <f t="shared" si="9"/>
        <v>655581453.8499999</v>
      </c>
      <c r="BV68" s="36">
        <f t="shared" si="9"/>
        <v>647278928.94000006</v>
      </c>
      <c r="BW68" s="36">
        <f t="shared" si="9"/>
        <v>595850399.14999998</v>
      </c>
      <c r="BX68" s="36">
        <f t="shared" si="9"/>
        <v>585018308.40999997</v>
      </c>
      <c r="BY68" s="36">
        <f t="shared" si="9"/>
        <v>569280841.83999991</v>
      </c>
      <c r="BZ68" s="36">
        <f t="shared" si="9"/>
        <v>529372931.13</v>
      </c>
      <c r="CA68" s="36">
        <f t="shared" si="9"/>
        <v>446450216.70999998</v>
      </c>
      <c r="CB68" s="36">
        <f t="shared" si="9"/>
        <v>393597789.03000003</v>
      </c>
      <c r="CC68" s="36">
        <f t="shared" si="9"/>
        <v>339184628.13999999</v>
      </c>
      <c r="CD68" s="36">
        <f t="shared" si="9"/>
        <v>324246741.41000003</v>
      </c>
      <c r="CE68" s="36">
        <f t="shared" si="9"/>
        <v>0</v>
      </c>
      <c r="CF68" s="36">
        <f t="shared" si="9"/>
        <v>0</v>
      </c>
      <c r="CG68" s="36">
        <f t="shared" si="9"/>
        <v>0</v>
      </c>
      <c r="CH68" s="36">
        <f t="shared" si="9"/>
        <v>0</v>
      </c>
      <c r="CI68" s="36">
        <f t="shared" si="9"/>
        <v>0</v>
      </c>
      <c r="CJ68" s="36">
        <f t="shared" si="9"/>
        <v>0</v>
      </c>
      <c r="CK68" s="36">
        <f t="shared" si="9"/>
        <v>0</v>
      </c>
    </row>
    <row r="69" spans="1:90" s="5" customFormat="1">
      <c r="A69" s="126" t="s">
        <v>48</v>
      </c>
      <c r="B69" s="33">
        <f>B50+B68</f>
        <v>287627707.78999978</v>
      </c>
      <c r="C69" s="33">
        <f t="shared" ref="C69:BN69" si="10">C50+C68</f>
        <v>231553929.85999984</v>
      </c>
      <c r="D69" s="33">
        <f t="shared" si="10"/>
        <v>293129283.21000022</v>
      </c>
      <c r="E69" s="33">
        <f t="shared" si="10"/>
        <v>367212140.58999968</v>
      </c>
      <c r="F69" s="33">
        <f t="shared" si="10"/>
        <v>184704018.69999981</v>
      </c>
      <c r="G69" s="33">
        <f t="shared" si="10"/>
        <v>189985082.81999999</v>
      </c>
      <c r="H69" s="33">
        <f t="shared" si="10"/>
        <v>-300693859.67000014</v>
      </c>
      <c r="I69" s="33">
        <f t="shared" si="10"/>
        <v>755183511.06000018</v>
      </c>
      <c r="J69" s="33">
        <f t="shared" si="10"/>
        <v>621433598.00999999</v>
      </c>
      <c r="K69" s="33">
        <f t="shared" si="10"/>
        <v>719271807.86999989</v>
      </c>
      <c r="L69" s="33">
        <f t="shared" si="10"/>
        <v>746165913.00999999</v>
      </c>
      <c r="M69" s="33">
        <f t="shared" si="10"/>
        <v>662464464.55000007</v>
      </c>
      <c r="N69" s="33">
        <f t="shared" si="10"/>
        <v>504828723.98000002</v>
      </c>
      <c r="O69" s="33">
        <f t="shared" si="10"/>
        <v>465857307.51999992</v>
      </c>
      <c r="P69" s="33">
        <f t="shared" si="10"/>
        <v>427195240.23999995</v>
      </c>
      <c r="Q69" s="33">
        <f t="shared" si="10"/>
        <v>359393948.65999997</v>
      </c>
      <c r="R69" s="33">
        <f t="shared" si="10"/>
        <v>233321983.15999997</v>
      </c>
      <c r="S69" s="33">
        <f t="shared" si="10"/>
        <v>200449473.67999989</v>
      </c>
      <c r="T69" s="33">
        <f t="shared" si="10"/>
        <v>142579780.98999995</v>
      </c>
      <c r="U69" s="33">
        <f t="shared" si="10"/>
        <v>70208855.680000007</v>
      </c>
      <c r="V69" s="33">
        <f t="shared" si="10"/>
        <v>-38067624.390000045</v>
      </c>
      <c r="W69" s="33">
        <f t="shared" si="10"/>
        <v>-29703912.309999883</v>
      </c>
      <c r="X69" s="33">
        <f t="shared" si="10"/>
        <v>-30430367.109999835</v>
      </c>
      <c r="Y69" s="33">
        <f t="shared" si="10"/>
        <v>-160010564.89999998</v>
      </c>
      <c r="Z69" s="33">
        <f t="shared" si="10"/>
        <v>-28220121.829999924</v>
      </c>
      <c r="AA69" s="33">
        <f t="shared" si="10"/>
        <v>50159449.020000041</v>
      </c>
      <c r="AB69" s="33">
        <f t="shared" si="10"/>
        <v>88253790.650000036</v>
      </c>
      <c r="AC69" s="33">
        <f t="shared" si="10"/>
        <v>31515611.230000019</v>
      </c>
      <c r="AD69" s="33">
        <f t="shared" si="10"/>
        <v>26603903.319999993</v>
      </c>
      <c r="AE69" s="33">
        <f t="shared" si="10"/>
        <v>122227998.63000005</v>
      </c>
      <c r="AF69" s="33">
        <f t="shared" si="10"/>
        <v>166167516.79000002</v>
      </c>
      <c r="AG69" s="33">
        <f t="shared" si="10"/>
        <v>162097068.67000008</v>
      </c>
      <c r="AH69" s="33">
        <f t="shared" si="10"/>
        <v>168431105.84000009</v>
      </c>
      <c r="AI69" s="33">
        <f t="shared" si="10"/>
        <v>301534117.13</v>
      </c>
      <c r="AJ69" s="33">
        <f t="shared" si="10"/>
        <v>210386613.63999993</v>
      </c>
      <c r="AK69" s="33">
        <f t="shared" si="10"/>
        <v>150338194.92999995</v>
      </c>
      <c r="AL69" s="33">
        <f t="shared" si="10"/>
        <v>178690249.45999986</v>
      </c>
      <c r="AM69" s="33">
        <f t="shared" si="10"/>
        <v>243457398.11999995</v>
      </c>
      <c r="AN69" s="33">
        <f t="shared" si="10"/>
        <v>276393780.26999998</v>
      </c>
      <c r="AO69" s="33">
        <f t="shared" si="10"/>
        <v>256222963.14000002</v>
      </c>
      <c r="AP69" s="33">
        <f t="shared" si="10"/>
        <v>272799995.13999999</v>
      </c>
      <c r="AQ69" s="33">
        <f t="shared" si="10"/>
        <v>357132497.99000001</v>
      </c>
      <c r="AR69" s="33">
        <f t="shared" si="10"/>
        <v>378821266.73000002</v>
      </c>
      <c r="AS69" s="33">
        <f t="shared" si="10"/>
        <v>281136479.54000002</v>
      </c>
      <c r="AT69" s="33">
        <f t="shared" si="10"/>
        <v>273215028.27999997</v>
      </c>
      <c r="AU69" s="33">
        <f t="shared" si="10"/>
        <v>278164902.93999994</v>
      </c>
      <c r="AV69" s="33">
        <f t="shared" si="10"/>
        <v>294043340.31</v>
      </c>
      <c r="AW69" s="33">
        <f t="shared" si="10"/>
        <v>252544470.37</v>
      </c>
      <c r="AX69" s="33">
        <f t="shared" si="10"/>
        <v>352393621.61000001</v>
      </c>
      <c r="AY69" s="33">
        <f t="shared" si="10"/>
        <v>389598948.30000001</v>
      </c>
      <c r="AZ69" s="33">
        <f t="shared" si="10"/>
        <v>388756229.31000006</v>
      </c>
      <c r="BA69" s="33">
        <f t="shared" si="10"/>
        <v>346913560.76000005</v>
      </c>
      <c r="BB69" s="33">
        <f t="shared" si="10"/>
        <v>365182225.55000001</v>
      </c>
      <c r="BC69" s="33">
        <f t="shared" si="10"/>
        <v>433701225.50999993</v>
      </c>
      <c r="BD69" s="33">
        <f t="shared" si="10"/>
        <v>469978337.29000008</v>
      </c>
      <c r="BE69" s="33">
        <f t="shared" si="10"/>
        <v>404129536.29999995</v>
      </c>
      <c r="BF69" s="33">
        <f t="shared" si="10"/>
        <v>264587809.99999997</v>
      </c>
      <c r="BG69" s="33">
        <f t="shared" si="10"/>
        <v>500716937.70000005</v>
      </c>
      <c r="BH69" s="33">
        <f t="shared" si="10"/>
        <v>515311030.90999997</v>
      </c>
      <c r="BI69" s="33">
        <f t="shared" si="10"/>
        <v>509169916.5</v>
      </c>
      <c r="BJ69" s="33">
        <f t="shared" si="10"/>
        <v>609608447.81000006</v>
      </c>
      <c r="BK69" s="33">
        <f t="shared" si="10"/>
        <v>616201153.36000001</v>
      </c>
      <c r="BL69" s="33">
        <f t="shared" si="10"/>
        <v>637787465.9799999</v>
      </c>
      <c r="BM69" s="33">
        <f t="shared" si="10"/>
        <v>626911281.17000008</v>
      </c>
      <c r="BN69" s="33">
        <f t="shared" si="10"/>
        <v>663660866.97000003</v>
      </c>
      <c r="BO69" s="33">
        <f t="shared" ref="BO69:CL69" si="11">BO50+BO68</f>
        <v>848020430.37000012</v>
      </c>
      <c r="BP69" s="33">
        <f t="shared" si="11"/>
        <v>686004919.01999998</v>
      </c>
      <c r="BQ69" s="33">
        <f t="shared" si="11"/>
        <v>776797953.24000001</v>
      </c>
      <c r="BR69" s="33">
        <f t="shared" si="11"/>
        <v>775709044.27999997</v>
      </c>
      <c r="BS69" s="33">
        <f t="shared" si="11"/>
        <v>675403403.21000004</v>
      </c>
      <c r="BT69" s="33">
        <f t="shared" si="11"/>
        <v>744225183.66000009</v>
      </c>
      <c r="BU69" s="33">
        <f t="shared" si="11"/>
        <v>680641037.80999994</v>
      </c>
      <c r="BV69" s="33">
        <f t="shared" si="11"/>
        <v>868885316.71000004</v>
      </c>
      <c r="BW69" s="33">
        <f t="shared" si="11"/>
        <v>664460001.09000003</v>
      </c>
      <c r="BX69" s="33">
        <f t="shared" si="11"/>
        <v>593982604.31999993</v>
      </c>
      <c r="BY69" s="33">
        <f t="shared" si="11"/>
        <v>570648414.42999995</v>
      </c>
      <c r="BZ69" s="33">
        <f t="shared" si="11"/>
        <v>537264507.88999999</v>
      </c>
      <c r="CA69" s="33">
        <f t="shared" si="11"/>
        <v>446450216.70999998</v>
      </c>
      <c r="CB69" s="33">
        <f t="shared" si="11"/>
        <v>431325581.36000007</v>
      </c>
      <c r="CC69" s="33">
        <f t="shared" si="11"/>
        <v>373380862.05000001</v>
      </c>
      <c r="CD69" s="33">
        <f t="shared" si="11"/>
        <v>335898745.33000004</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c r="A70" s="127" t="s">
        <v>49</v>
      </c>
      <c r="B70" s="37">
        <f>B17+B19+B69</f>
        <v>3762582063.5599999</v>
      </c>
      <c r="C70" s="37">
        <f t="shared" ref="C70:BN70" si="12">C17+C19+C69</f>
        <v>3942972216.6499996</v>
      </c>
      <c r="D70" s="37">
        <f t="shared" si="12"/>
        <v>3355967156.52</v>
      </c>
      <c r="E70" s="37">
        <f t="shared" si="12"/>
        <v>3453357387.6299996</v>
      </c>
      <c r="F70" s="37">
        <f t="shared" si="12"/>
        <v>3315645746.4499998</v>
      </c>
      <c r="G70" s="37">
        <f t="shared" si="12"/>
        <v>3333877369.3300004</v>
      </c>
      <c r="H70" s="37">
        <f t="shared" si="12"/>
        <v>3326939575.5899997</v>
      </c>
      <c r="I70" s="37">
        <f t="shared" si="12"/>
        <v>1646474479.5600002</v>
      </c>
      <c r="J70" s="37">
        <f t="shared" si="12"/>
        <v>1629280441.6800001</v>
      </c>
      <c r="K70" s="37">
        <f t="shared" si="12"/>
        <v>1536739354.3599999</v>
      </c>
      <c r="L70" s="37">
        <f t="shared" si="12"/>
        <v>1623407771.6800001</v>
      </c>
      <c r="M70" s="37">
        <f t="shared" si="12"/>
        <v>1607350307</v>
      </c>
      <c r="N70" s="37">
        <f t="shared" si="12"/>
        <v>1533381118.3900001</v>
      </c>
      <c r="O70" s="37">
        <f t="shared" si="12"/>
        <v>1474796609.6400001</v>
      </c>
      <c r="P70" s="37">
        <f t="shared" si="12"/>
        <v>1554872295.9000001</v>
      </c>
      <c r="Q70" s="37">
        <f t="shared" si="12"/>
        <v>1330141344.0700002</v>
      </c>
      <c r="R70" s="37">
        <f t="shared" si="12"/>
        <v>1299675708.1500001</v>
      </c>
      <c r="S70" s="37">
        <f t="shared" si="12"/>
        <v>1282834855.0599999</v>
      </c>
      <c r="T70" s="37">
        <f t="shared" si="12"/>
        <v>1152801107.1800001</v>
      </c>
      <c r="U70" s="37">
        <f t="shared" si="12"/>
        <v>1063379514.74</v>
      </c>
      <c r="V70" s="37">
        <f t="shared" si="12"/>
        <v>1029707975.0599999</v>
      </c>
      <c r="W70" s="37">
        <f t="shared" si="12"/>
        <v>1007121248.1300001</v>
      </c>
      <c r="X70" s="37">
        <f t="shared" si="12"/>
        <v>984266221.96000004</v>
      </c>
      <c r="Y70" s="37">
        <f t="shared" si="12"/>
        <v>1004728646.4499999</v>
      </c>
      <c r="Z70" s="37">
        <f t="shared" si="12"/>
        <v>525728255.86000013</v>
      </c>
      <c r="AA70" s="37">
        <f t="shared" si="12"/>
        <v>514212592.65000004</v>
      </c>
      <c r="AB70" s="37">
        <f t="shared" si="12"/>
        <v>504284387.65000004</v>
      </c>
      <c r="AC70" s="37">
        <f t="shared" si="12"/>
        <v>494369167.55000001</v>
      </c>
      <c r="AD70" s="37">
        <f t="shared" si="12"/>
        <v>466029323.86000001</v>
      </c>
      <c r="AE70" s="37">
        <f t="shared" si="12"/>
        <v>459233823.48000008</v>
      </c>
      <c r="AF70" s="37">
        <f t="shared" si="12"/>
        <v>447940049.52000004</v>
      </c>
      <c r="AG70" s="37">
        <f t="shared" si="12"/>
        <v>441252566.37000006</v>
      </c>
      <c r="AH70" s="37">
        <f t="shared" si="12"/>
        <v>469074213.95000011</v>
      </c>
      <c r="AI70" s="37">
        <f t="shared" si="12"/>
        <v>458773429.38999999</v>
      </c>
      <c r="AJ70" s="37">
        <f t="shared" si="12"/>
        <v>527779211.42999989</v>
      </c>
      <c r="AK70" s="37">
        <f t="shared" si="12"/>
        <v>543659830.31999993</v>
      </c>
      <c r="AL70" s="37">
        <f t="shared" si="12"/>
        <v>604776136.9599998</v>
      </c>
      <c r="AM70" s="37">
        <f t="shared" si="12"/>
        <v>644896740.27999997</v>
      </c>
      <c r="AN70" s="37">
        <f t="shared" si="12"/>
        <v>587720006.71000004</v>
      </c>
      <c r="AO70" s="37">
        <f t="shared" si="12"/>
        <v>652496002.01999998</v>
      </c>
      <c r="AP70" s="37">
        <f t="shared" si="12"/>
        <v>633046407.58999991</v>
      </c>
      <c r="AQ70" s="37">
        <f t="shared" si="12"/>
        <v>702539230.08000004</v>
      </c>
      <c r="AR70" s="37">
        <f t="shared" si="12"/>
        <v>735735313.73000002</v>
      </c>
      <c r="AS70" s="37">
        <f t="shared" si="12"/>
        <v>794078429.26999998</v>
      </c>
      <c r="AT70" s="37">
        <f t="shared" si="12"/>
        <v>711499847.72000003</v>
      </c>
      <c r="AU70" s="37">
        <f t="shared" si="12"/>
        <v>622293462.61999989</v>
      </c>
      <c r="AV70" s="37">
        <f t="shared" si="12"/>
        <v>625070715.70000005</v>
      </c>
      <c r="AW70" s="37">
        <f t="shared" si="12"/>
        <v>590223961.66000009</v>
      </c>
      <c r="AX70" s="37">
        <f t="shared" si="12"/>
        <v>596133437.56999993</v>
      </c>
      <c r="AY70" s="37">
        <f t="shared" si="12"/>
        <v>597152416.10000002</v>
      </c>
      <c r="AZ70" s="37">
        <f t="shared" si="12"/>
        <v>607224872.68000007</v>
      </c>
      <c r="BA70" s="37">
        <f t="shared" si="12"/>
        <v>553020716.21000004</v>
      </c>
      <c r="BB70" s="37">
        <f t="shared" si="12"/>
        <v>556295125.07000005</v>
      </c>
      <c r="BC70" s="37">
        <f t="shared" si="12"/>
        <v>562899236.17999995</v>
      </c>
      <c r="BD70" s="37">
        <f t="shared" si="12"/>
        <v>575994688.42000008</v>
      </c>
      <c r="BE70" s="37">
        <f t="shared" si="12"/>
        <v>571300712.22000003</v>
      </c>
      <c r="BF70" s="37">
        <f t="shared" si="12"/>
        <v>400768172.51999998</v>
      </c>
      <c r="BG70" s="37">
        <f t="shared" si="12"/>
        <v>640823795.21000004</v>
      </c>
      <c r="BH70" s="37">
        <f t="shared" si="12"/>
        <v>626474758.5</v>
      </c>
      <c r="BI70" s="37">
        <f t="shared" si="12"/>
        <v>632910206.09000003</v>
      </c>
      <c r="BJ70" s="37">
        <f t="shared" si="12"/>
        <v>654884222.34000003</v>
      </c>
      <c r="BK70" s="37">
        <f t="shared" si="12"/>
        <v>682476088</v>
      </c>
      <c r="BL70" s="37">
        <f t="shared" si="12"/>
        <v>676611105.3499999</v>
      </c>
      <c r="BM70" s="37">
        <f t="shared" si="12"/>
        <v>689065036.43000007</v>
      </c>
      <c r="BN70" s="37">
        <f t="shared" si="12"/>
        <v>712194075.55000007</v>
      </c>
      <c r="BO70" s="37">
        <f t="shared" ref="BO70:CL70" si="13">BO17+BO19+BO69</f>
        <v>949436220.70000017</v>
      </c>
      <c r="BP70" s="37">
        <f t="shared" si="13"/>
        <v>807889146.49000001</v>
      </c>
      <c r="BQ70" s="37">
        <f t="shared" si="13"/>
        <v>920208443.67000008</v>
      </c>
      <c r="BR70" s="37">
        <f t="shared" si="13"/>
        <v>912479884.18999994</v>
      </c>
      <c r="BS70" s="37">
        <f t="shared" si="13"/>
        <v>805339646.24000001</v>
      </c>
      <c r="BT70" s="37">
        <f t="shared" si="13"/>
        <v>914979261.92000008</v>
      </c>
      <c r="BU70" s="37">
        <f t="shared" si="13"/>
        <v>771243548.44999993</v>
      </c>
      <c r="BV70" s="37">
        <f t="shared" si="13"/>
        <v>964215321.45000005</v>
      </c>
      <c r="BW70" s="37">
        <f t="shared" si="13"/>
        <v>731320051.37</v>
      </c>
      <c r="BX70" s="37">
        <f t="shared" si="13"/>
        <v>643282579.70999992</v>
      </c>
      <c r="BY70" s="37">
        <f t="shared" si="13"/>
        <v>618876641.93999994</v>
      </c>
      <c r="BZ70" s="37">
        <f t="shared" si="13"/>
        <v>582286461.76999998</v>
      </c>
      <c r="CA70" s="37">
        <f t="shared" si="13"/>
        <v>479730182.95999998</v>
      </c>
      <c r="CB70" s="37">
        <f t="shared" si="13"/>
        <v>466826888.03000009</v>
      </c>
      <c r="CC70" s="37">
        <f t="shared" si="13"/>
        <v>399743780.13999999</v>
      </c>
      <c r="CD70" s="37">
        <f t="shared" si="13"/>
        <v>355983194.38000005</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c r="A71" s="20" t="s">
        <v>50</v>
      </c>
      <c r="B71" s="26"/>
      <c r="C71" s="26"/>
      <c r="D71" s="26"/>
      <c r="E71" s="26"/>
      <c r="F71" s="26"/>
      <c r="G71" s="26"/>
      <c r="H71" s="26"/>
      <c r="I71" s="26"/>
      <c r="J71" s="26"/>
      <c r="K71" s="26"/>
      <c r="L71" s="23"/>
      <c r="M71" s="13"/>
      <c r="N71" s="13"/>
    </row>
    <row r="72" spans="1:90" s="2" customFormat="1">
      <c r="A72" s="20" t="s">
        <v>51</v>
      </c>
      <c r="B72" s="28"/>
      <c r="C72" s="28"/>
      <c r="D72" s="28"/>
      <c r="E72" s="28">
        <f>SUM(E73:E77)</f>
        <v>523215925.93000001</v>
      </c>
      <c r="F72" s="28">
        <f t="shared" ref="F72:BQ72" si="14">SUM(F73:F77)</f>
        <v>415652208.90999997</v>
      </c>
      <c r="G72" s="28">
        <f t="shared" si="14"/>
        <v>372382035.86000001</v>
      </c>
      <c r="H72" s="28">
        <f t="shared" si="14"/>
        <v>370100989.93000001</v>
      </c>
      <c r="I72" s="28">
        <f t="shared" si="14"/>
        <v>280651753.13</v>
      </c>
      <c r="J72" s="28">
        <f t="shared" si="14"/>
        <v>280651753.13</v>
      </c>
      <c r="K72" s="28">
        <f t="shared" si="14"/>
        <v>300363187.5</v>
      </c>
      <c r="L72" s="28">
        <f t="shared" si="14"/>
        <v>402072247.22000003</v>
      </c>
      <c r="M72" s="28">
        <f t="shared" si="14"/>
        <v>402178998.61000001</v>
      </c>
      <c r="N72" s="28">
        <f t="shared" si="14"/>
        <v>352091273.61000001</v>
      </c>
      <c r="O72" s="28">
        <f t="shared" si="14"/>
        <v>301694800</v>
      </c>
      <c r="P72" s="28">
        <f t="shared" si="14"/>
        <v>403175396.67000002</v>
      </c>
      <c r="Q72" s="28">
        <f t="shared" si="14"/>
        <v>202870813.33000001</v>
      </c>
      <c r="R72" s="28">
        <f t="shared" si="14"/>
        <v>202870813.33000001</v>
      </c>
      <c r="S72" s="28">
        <f t="shared" si="14"/>
        <v>202707480</v>
      </c>
      <c r="T72" s="28">
        <f t="shared" si="14"/>
        <v>100000000</v>
      </c>
      <c r="U72" s="28">
        <f t="shared" si="14"/>
        <v>0</v>
      </c>
      <c r="V72" s="28">
        <f t="shared" si="14"/>
        <v>0</v>
      </c>
      <c r="W72" s="28">
        <f t="shared" si="14"/>
        <v>0</v>
      </c>
      <c r="X72" s="28">
        <f t="shared" si="14"/>
        <v>0</v>
      </c>
      <c r="Y72" s="28">
        <f t="shared" si="14"/>
        <v>0</v>
      </c>
      <c r="Z72" s="28">
        <f t="shared" si="14"/>
        <v>50091437.5</v>
      </c>
      <c r="AA72" s="28">
        <f t="shared" si="14"/>
        <v>50083125</v>
      </c>
      <c r="AB72" s="28">
        <f t="shared" si="14"/>
        <v>83125</v>
      </c>
      <c r="AC72" s="28">
        <f t="shared" si="14"/>
        <v>50091437.5</v>
      </c>
      <c r="AD72" s="28">
        <f t="shared" si="14"/>
        <v>82875</v>
      </c>
      <c r="AE72" s="28">
        <f t="shared" si="14"/>
        <v>75562.5</v>
      </c>
      <c r="AF72" s="28">
        <f t="shared" si="14"/>
        <v>75562.5</v>
      </c>
      <c r="AG72" s="28">
        <f t="shared" si="14"/>
        <v>74649.19</v>
      </c>
      <c r="AH72" s="28">
        <f t="shared" si="14"/>
        <v>50142837.5</v>
      </c>
      <c r="AI72" s="28">
        <f t="shared" si="14"/>
        <v>50138337.5</v>
      </c>
      <c r="AJ72" s="28">
        <f t="shared" si="14"/>
        <v>50133875</v>
      </c>
      <c r="AK72" s="28">
        <f t="shared" si="14"/>
        <v>50142483.329999998</v>
      </c>
      <c r="AL72" s="28">
        <f t="shared" si="14"/>
        <v>180534640</v>
      </c>
      <c r="AM72" s="28">
        <f t="shared" si="14"/>
        <v>250320850</v>
      </c>
      <c r="AN72" s="28">
        <f t="shared" si="14"/>
        <v>200434841.66999999</v>
      </c>
      <c r="AO72" s="28">
        <f t="shared" si="14"/>
        <v>270461785.82999998</v>
      </c>
      <c r="AP72" s="28">
        <f t="shared" si="14"/>
        <v>260652795</v>
      </c>
      <c r="AQ72" s="28">
        <f t="shared" si="14"/>
        <v>290682284.17000002</v>
      </c>
      <c r="AR72" s="28">
        <f t="shared" si="14"/>
        <v>325787423.95999998</v>
      </c>
      <c r="AS72" s="28">
        <f t="shared" si="14"/>
        <v>385757248.92000002</v>
      </c>
      <c r="AT72" s="28">
        <f t="shared" si="14"/>
        <v>308708944.5</v>
      </c>
      <c r="AU72" s="28">
        <f t="shared" si="14"/>
        <v>308634397.82999998</v>
      </c>
      <c r="AV72" s="28">
        <f t="shared" si="14"/>
        <v>318000000</v>
      </c>
      <c r="AW72" s="28">
        <f t="shared" si="14"/>
        <v>278000000</v>
      </c>
      <c r="AX72" s="28">
        <f t="shared" si="14"/>
        <v>288000000</v>
      </c>
      <c r="AY72" s="28">
        <f t="shared" si="14"/>
        <v>288000000</v>
      </c>
      <c r="AZ72" s="28">
        <f t="shared" si="14"/>
        <v>308000000</v>
      </c>
      <c r="BA72" s="28">
        <f t="shared" si="14"/>
        <v>298000000</v>
      </c>
      <c r="BB72" s="28">
        <f t="shared" si="14"/>
        <v>308000000</v>
      </c>
      <c r="BC72" s="28">
        <f t="shared" si="14"/>
        <v>308000000</v>
      </c>
      <c r="BD72" s="28">
        <f t="shared" si="14"/>
        <v>320000000</v>
      </c>
      <c r="BE72" s="28">
        <f t="shared" si="14"/>
        <v>320000000</v>
      </c>
      <c r="BF72" s="28">
        <f t="shared" si="14"/>
        <v>340000000</v>
      </c>
      <c r="BG72" s="28">
        <f t="shared" si="14"/>
        <v>394000000</v>
      </c>
      <c r="BH72" s="28">
        <f t="shared" si="14"/>
        <v>380000000</v>
      </c>
      <c r="BI72" s="28">
        <f t="shared" si="14"/>
        <v>389000000</v>
      </c>
      <c r="BJ72" s="28">
        <f t="shared" si="14"/>
        <v>417000000</v>
      </c>
      <c r="BK72" s="28">
        <f t="shared" si="14"/>
        <v>475930000</v>
      </c>
      <c r="BL72" s="28">
        <f t="shared" si="14"/>
        <v>458430000</v>
      </c>
      <c r="BM72" s="28">
        <f t="shared" si="14"/>
        <v>458440888.77999997</v>
      </c>
      <c r="BN72" s="28">
        <f t="shared" si="14"/>
        <v>479050877.19</v>
      </c>
      <c r="BO72" s="28">
        <f t="shared" si="14"/>
        <v>279000000</v>
      </c>
      <c r="BP72" s="28">
        <f t="shared" si="14"/>
        <v>283000000</v>
      </c>
      <c r="BQ72" s="28">
        <f t="shared" si="14"/>
        <v>343430000</v>
      </c>
      <c r="BR72" s="28">
        <f t="shared" ref="BR72:CL72" si="15">SUM(BR73:BR77)</f>
        <v>370430000</v>
      </c>
      <c r="BS72" s="28">
        <f t="shared" si="15"/>
        <v>375000000</v>
      </c>
      <c r="BT72" s="28">
        <f t="shared" si="15"/>
        <v>361000000</v>
      </c>
      <c r="BU72" s="28">
        <f t="shared" si="15"/>
        <v>206880000</v>
      </c>
      <c r="BV72" s="28">
        <f t="shared" si="15"/>
        <v>325640000</v>
      </c>
      <c r="BW72" s="28">
        <f t="shared" si="15"/>
        <v>261650000</v>
      </c>
      <c r="BX72" s="28">
        <f t="shared" si="15"/>
        <v>261650000</v>
      </c>
      <c r="BY72" s="28">
        <f t="shared" si="15"/>
        <v>293206240</v>
      </c>
      <c r="BZ72" s="28">
        <f t="shared" si="15"/>
        <v>271101520</v>
      </c>
      <c r="CA72" s="28">
        <f t="shared" si="15"/>
        <v>0</v>
      </c>
      <c r="CB72" s="28">
        <f t="shared" si="15"/>
        <v>174847300</v>
      </c>
      <c r="CC72" s="28">
        <f t="shared" si="15"/>
        <v>173890000</v>
      </c>
      <c r="CD72" s="28">
        <f t="shared" si="15"/>
        <v>154440000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c r="A73" s="128" t="s">
        <v>52</v>
      </c>
      <c r="B73" s="189">
        <v>200000000</v>
      </c>
      <c r="C73" s="189">
        <v>420000000</v>
      </c>
      <c r="D73" s="189">
        <v>350000000</v>
      </c>
      <c r="E73" s="189">
        <v>350000000</v>
      </c>
      <c r="F73" s="189">
        <v>250000000</v>
      </c>
      <c r="G73" s="189">
        <v>250000000</v>
      </c>
      <c r="H73" s="189">
        <v>250000000</v>
      </c>
      <c r="I73" s="189">
        <v>250000000</v>
      </c>
      <c r="J73" s="189">
        <v>250000000</v>
      </c>
      <c r="K73" s="189">
        <v>300000000</v>
      </c>
      <c r="L73" s="189">
        <v>401694800</v>
      </c>
      <c r="M73" s="189">
        <v>401694800</v>
      </c>
      <c r="N73" s="189">
        <v>351694800</v>
      </c>
      <c r="O73" s="189">
        <v>301694800</v>
      </c>
      <c r="P73" s="189">
        <v>402707480</v>
      </c>
      <c r="Q73" s="189">
        <v>202707480</v>
      </c>
      <c r="R73" s="189">
        <v>202707480</v>
      </c>
      <c r="S73" s="189">
        <v>202707480</v>
      </c>
      <c r="T73" s="189">
        <v>100000000</v>
      </c>
      <c r="U73" s="189">
        <v>0</v>
      </c>
      <c r="V73" s="189">
        <v>0</v>
      </c>
      <c r="W73" s="189">
        <v>0</v>
      </c>
      <c r="X73" s="189">
        <v>0</v>
      </c>
      <c r="Y73" s="189">
        <v>0</v>
      </c>
      <c r="Z73" s="189">
        <v>0</v>
      </c>
      <c r="AA73" s="189">
        <v>0</v>
      </c>
      <c r="AB73" s="189">
        <v>0</v>
      </c>
      <c r="AC73" s="189">
        <v>0</v>
      </c>
      <c r="AD73" s="189">
        <v>0</v>
      </c>
      <c r="AE73" s="189">
        <v>0</v>
      </c>
      <c r="AF73" s="189">
        <v>0</v>
      </c>
      <c r="AG73" s="189">
        <v>0</v>
      </c>
      <c r="AH73" s="189">
        <v>50000000</v>
      </c>
      <c r="AI73" s="189">
        <v>50000000</v>
      </c>
      <c r="AJ73" s="189">
        <v>50000000</v>
      </c>
      <c r="AK73" s="189">
        <v>50000000</v>
      </c>
      <c r="AL73" s="189">
        <v>180000000</v>
      </c>
      <c r="AM73" s="189">
        <v>250000000</v>
      </c>
      <c r="AN73" s="189">
        <v>200000000</v>
      </c>
      <c r="AO73" s="189">
        <v>270000000</v>
      </c>
      <c r="AP73" s="189">
        <v>260000000</v>
      </c>
      <c r="AQ73" s="189">
        <v>290000000</v>
      </c>
      <c r="AR73" s="189">
        <v>325000000</v>
      </c>
      <c r="AS73" s="189">
        <v>385000000</v>
      </c>
      <c r="AT73" s="189">
        <v>308000000</v>
      </c>
      <c r="AU73" s="189">
        <v>308000000</v>
      </c>
      <c r="AV73" s="189">
        <v>318000000</v>
      </c>
      <c r="AW73" s="189">
        <v>278000000</v>
      </c>
      <c r="AX73" s="189">
        <v>288000000</v>
      </c>
      <c r="AY73" s="189">
        <v>288000000</v>
      </c>
      <c r="AZ73" s="189">
        <v>308000000</v>
      </c>
      <c r="BA73" s="189">
        <v>298000000</v>
      </c>
      <c r="BB73" s="189">
        <v>308000000</v>
      </c>
      <c r="BC73" s="189">
        <v>308000000</v>
      </c>
      <c r="BD73" s="189">
        <v>320000000</v>
      </c>
      <c r="BE73" s="189">
        <v>320000000</v>
      </c>
      <c r="BF73" s="189">
        <v>340000000</v>
      </c>
      <c r="BG73" s="189">
        <v>394000000</v>
      </c>
      <c r="BH73" s="189">
        <v>380000000</v>
      </c>
      <c r="BI73" s="189">
        <v>389000000</v>
      </c>
      <c r="BJ73" s="189">
        <v>417000000</v>
      </c>
      <c r="BK73" s="189">
        <v>382500000</v>
      </c>
      <c r="BL73" s="189">
        <v>325000000</v>
      </c>
      <c r="BM73" s="189">
        <v>326000000</v>
      </c>
      <c r="BN73" s="189">
        <v>305500000</v>
      </c>
      <c r="BO73" s="189">
        <v>279000000</v>
      </c>
      <c r="BP73" s="189">
        <v>283000000</v>
      </c>
      <c r="BQ73" s="189">
        <v>270000000</v>
      </c>
      <c r="BR73" s="189">
        <v>297000000</v>
      </c>
      <c r="BS73" s="189">
        <v>275000000</v>
      </c>
      <c r="BT73" s="189">
        <v>261000000</v>
      </c>
      <c r="BU73" s="189">
        <v>206880000</v>
      </c>
      <c r="BV73" s="189">
        <v>185880000</v>
      </c>
      <c r="BW73" s="189">
        <v>178830000</v>
      </c>
      <c r="BX73" s="189">
        <v>178830000</v>
      </c>
      <c r="BY73" s="189">
        <v>214206240</v>
      </c>
      <c r="BZ73" s="189">
        <v>192101520</v>
      </c>
      <c r="CA73" s="189">
        <v>0</v>
      </c>
      <c r="CB73" s="189">
        <v>168847300</v>
      </c>
      <c r="CC73" s="189">
        <v>159400000</v>
      </c>
      <c r="CD73" s="189">
        <v>139950000</v>
      </c>
      <c r="CE73" s="189">
        <v>0</v>
      </c>
      <c r="CF73" s="189"/>
      <c r="CG73" s="189"/>
      <c r="CH73" s="189"/>
      <c r="CI73" s="189"/>
      <c r="CJ73" s="189"/>
      <c r="CK73" s="189"/>
      <c r="CL73" s="189"/>
    </row>
    <row r="74" spans="1:90">
      <c r="A74" s="128" t="s">
        <v>77</v>
      </c>
      <c r="B74" s="189">
        <v>1602123.78</v>
      </c>
      <c r="C74" s="189">
        <v>1533898.2</v>
      </c>
      <c r="D74" s="189">
        <v>2456924.54</v>
      </c>
      <c r="E74" s="189">
        <v>2815925.93</v>
      </c>
      <c r="F74" s="189">
        <v>2752208.91</v>
      </c>
      <c r="G74" s="189">
        <v>2282035.86</v>
      </c>
      <c r="H74" s="189">
        <v>2500989.9300000002</v>
      </c>
      <c r="I74" s="189">
        <v>551753.13</v>
      </c>
      <c r="J74" s="189">
        <v>551753.13</v>
      </c>
      <c r="K74" s="189">
        <v>363187.5</v>
      </c>
      <c r="L74" s="189">
        <v>377447.22</v>
      </c>
      <c r="M74" s="189">
        <v>484198.61</v>
      </c>
      <c r="N74" s="189">
        <v>396473.61</v>
      </c>
      <c r="O74" s="189">
        <v>0</v>
      </c>
      <c r="P74" s="189">
        <v>467916.67</v>
      </c>
      <c r="Q74" s="189">
        <v>163333.32999999999</v>
      </c>
      <c r="R74" s="189">
        <v>163333.32999999999</v>
      </c>
      <c r="S74" s="189">
        <v>0</v>
      </c>
      <c r="T74" s="189">
        <v>0</v>
      </c>
      <c r="U74" s="189">
        <v>0</v>
      </c>
      <c r="V74" s="189">
        <v>0</v>
      </c>
      <c r="W74" s="189">
        <v>0</v>
      </c>
      <c r="X74" s="189">
        <v>0</v>
      </c>
      <c r="Y74" s="189">
        <v>0</v>
      </c>
      <c r="Z74" s="189">
        <v>91437.5</v>
      </c>
      <c r="AA74" s="189">
        <v>83125</v>
      </c>
      <c r="AB74" s="189">
        <v>83125</v>
      </c>
      <c r="AC74" s="189">
        <v>91437.5</v>
      </c>
      <c r="AD74" s="189">
        <v>82875</v>
      </c>
      <c r="AE74" s="189">
        <v>75562.5</v>
      </c>
      <c r="AF74" s="189">
        <v>75562.5</v>
      </c>
      <c r="AG74" s="189">
        <v>74649.19</v>
      </c>
      <c r="AH74" s="189">
        <v>142837.5</v>
      </c>
      <c r="AI74" s="189">
        <v>138337.5</v>
      </c>
      <c r="AJ74" s="189">
        <v>133875</v>
      </c>
      <c r="AK74" s="189">
        <v>142483.32999999999</v>
      </c>
      <c r="AL74" s="189">
        <v>534640</v>
      </c>
      <c r="AM74" s="189">
        <v>320850</v>
      </c>
      <c r="AN74" s="189">
        <v>434841.67</v>
      </c>
      <c r="AO74" s="189">
        <v>461785.83</v>
      </c>
      <c r="AP74" s="189">
        <v>652795</v>
      </c>
      <c r="AQ74" s="189">
        <v>682284.17</v>
      </c>
      <c r="AR74" s="189">
        <v>787423.96</v>
      </c>
      <c r="AS74" s="189">
        <v>757248.92</v>
      </c>
      <c r="AT74" s="189">
        <v>708944.5</v>
      </c>
      <c r="AU74" s="189">
        <v>634397.82999999996</v>
      </c>
      <c r="AV74" s="189">
        <v>0</v>
      </c>
      <c r="AW74" s="189">
        <v>0</v>
      </c>
      <c r="AX74" s="189">
        <v>0</v>
      </c>
      <c r="AY74" s="189">
        <v>0</v>
      </c>
      <c r="AZ74" s="189">
        <v>0</v>
      </c>
      <c r="BA74" s="189">
        <v>0</v>
      </c>
      <c r="BB74" s="189">
        <v>0</v>
      </c>
      <c r="BC74" s="189">
        <v>0</v>
      </c>
      <c r="BD74" s="189">
        <v>0</v>
      </c>
      <c r="BE74" s="189">
        <v>0</v>
      </c>
      <c r="BF74" s="189">
        <v>0</v>
      </c>
      <c r="BG74" s="189">
        <v>0</v>
      </c>
      <c r="BH74" s="189">
        <v>0</v>
      </c>
      <c r="BI74" s="189">
        <v>0</v>
      </c>
      <c r="BJ74" s="189">
        <v>0</v>
      </c>
      <c r="BK74" s="189">
        <v>0</v>
      </c>
      <c r="BL74" s="189">
        <v>0</v>
      </c>
      <c r="BM74" s="189">
        <v>0</v>
      </c>
      <c r="BN74" s="189">
        <v>0</v>
      </c>
      <c r="BO74" s="189">
        <v>0</v>
      </c>
      <c r="BP74" s="189">
        <v>0</v>
      </c>
      <c r="BQ74" s="189">
        <v>0</v>
      </c>
      <c r="BR74" s="189">
        <v>0</v>
      </c>
      <c r="BS74" s="189">
        <v>0</v>
      </c>
      <c r="BT74" s="189">
        <v>0</v>
      </c>
      <c r="BU74" s="189">
        <v>0</v>
      </c>
      <c r="BV74" s="189">
        <v>0</v>
      </c>
      <c r="BW74" s="189">
        <v>0</v>
      </c>
      <c r="BX74" s="189">
        <v>0</v>
      </c>
      <c r="BY74" s="189">
        <v>0</v>
      </c>
      <c r="BZ74" s="189">
        <v>0</v>
      </c>
      <c r="CA74" s="189">
        <v>0</v>
      </c>
      <c r="CB74" s="189">
        <v>0</v>
      </c>
      <c r="CC74" s="189">
        <v>0</v>
      </c>
      <c r="CD74" s="189">
        <v>0</v>
      </c>
      <c r="CE74" s="189">
        <v>0</v>
      </c>
      <c r="CF74" s="189"/>
      <c r="CG74" s="189"/>
      <c r="CH74" s="189"/>
      <c r="CI74" s="189"/>
      <c r="CJ74" s="189"/>
      <c r="CK74" s="189"/>
      <c r="CL74" s="189"/>
    </row>
    <row r="75" spans="1:90">
      <c r="A75" s="128" t="s">
        <v>53</v>
      </c>
      <c r="B75" s="189">
        <v>0</v>
      </c>
      <c r="C75" s="189">
        <v>0</v>
      </c>
      <c r="D75" s="189">
        <v>0</v>
      </c>
      <c r="E75" s="189">
        <v>0</v>
      </c>
      <c r="F75" s="189">
        <v>0</v>
      </c>
      <c r="G75" s="189">
        <v>0</v>
      </c>
      <c r="H75" s="189">
        <v>0</v>
      </c>
      <c r="I75" s="189">
        <v>0</v>
      </c>
      <c r="J75" s="189">
        <v>0</v>
      </c>
      <c r="K75" s="189">
        <v>0</v>
      </c>
      <c r="L75" s="189">
        <v>0</v>
      </c>
      <c r="M75" s="189">
        <v>0</v>
      </c>
      <c r="N75" s="189">
        <v>0</v>
      </c>
      <c r="O75" s="189">
        <v>0</v>
      </c>
      <c r="P75" s="189">
        <v>0</v>
      </c>
      <c r="Q75" s="189">
        <v>0</v>
      </c>
      <c r="R75" s="189">
        <v>0</v>
      </c>
      <c r="S75" s="189">
        <v>0</v>
      </c>
      <c r="T75" s="189">
        <v>0</v>
      </c>
      <c r="U75" s="189">
        <v>0</v>
      </c>
      <c r="V75" s="189">
        <v>0</v>
      </c>
      <c r="W75" s="189">
        <v>0</v>
      </c>
      <c r="X75" s="189">
        <v>0</v>
      </c>
      <c r="Y75" s="189">
        <v>0</v>
      </c>
      <c r="Z75" s="189">
        <v>0</v>
      </c>
      <c r="AA75" s="189">
        <v>0</v>
      </c>
      <c r="AB75" s="189">
        <v>0</v>
      </c>
      <c r="AC75" s="189">
        <v>0</v>
      </c>
      <c r="AD75" s="189">
        <v>0</v>
      </c>
      <c r="AE75" s="189">
        <v>0</v>
      </c>
      <c r="AF75" s="189">
        <v>0</v>
      </c>
      <c r="AG75" s="189">
        <v>0</v>
      </c>
      <c r="AH75" s="189">
        <v>0</v>
      </c>
      <c r="AI75" s="189">
        <v>0</v>
      </c>
      <c r="AJ75" s="189">
        <v>0</v>
      </c>
      <c r="AK75" s="189">
        <v>0</v>
      </c>
      <c r="AL75" s="189">
        <v>0</v>
      </c>
      <c r="AM75" s="189">
        <v>0</v>
      </c>
      <c r="AN75" s="189">
        <v>0</v>
      </c>
      <c r="AO75" s="189">
        <v>0</v>
      </c>
      <c r="AP75" s="189">
        <v>0</v>
      </c>
      <c r="AQ75" s="189">
        <v>0</v>
      </c>
      <c r="AR75" s="189">
        <v>0</v>
      </c>
      <c r="AS75" s="189">
        <v>0</v>
      </c>
      <c r="AT75" s="189">
        <v>0</v>
      </c>
      <c r="AU75" s="189">
        <v>0</v>
      </c>
      <c r="AV75" s="189">
        <v>0</v>
      </c>
      <c r="AW75" s="189">
        <v>0</v>
      </c>
      <c r="AX75" s="189">
        <v>0</v>
      </c>
      <c r="AY75" s="189">
        <v>0</v>
      </c>
      <c r="AZ75" s="189">
        <v>0</v>
      </c>
      <c r="BA75" s="189">
        <v>0</v>
      </c>
      <c r="BB75" s="189">
        <v>0</v>
      </c>
      <c r="BC75" s="189">
        <v>0</v>
      </c>
      <c r="BD75" s="189">
        <v>0</v>
      </c>
      <c r="BE75" s="189">
        <v>0</v>
      </c>
      <c r="BF75" s="189">
        <v>0</v>
      </c>
      <c r="BG75" s="189">
        <v>0</v>
      </c>
      <c r="BH75" s="189">
        <v>0</v>
      </c>
      <c r="BI75" s="189">
        <v>0</v>
      </c>
      <c r="BJ75" s="189">
        <v>0</v>
      </c>
      <c r="BK75" s="189">
        <v>0</v>
      </c>
      <c r="BL75" s="189">
        <v>0</v>
      </c>
      <c r="BM75" s="189">
        <v>0</v>
      </c>
      <c r="BN75" s="189">
        <v>0</v>
      </c>
      <c r="BO75" s="189">
        <v>0</v>
      </c>
      <c r="BP75" s="189">
        <v>0</v>
      </c>
      <c r="BQ75" s="189">
        <v>0</v>
      </c>
      <c r="BR75" s="189">
        <v>0</v>
      </c>
      <c r="BS75" s="189">
        <v>0</v>
      </c>
      <c r="BT75" s="189">
        <v>0</v>
      </c>
      <c r="BU75" s="189">
        <v>0</v>
      </c>
      <c r="BV75" s="189">
        <v>0</v>
      </c>
      <c r="BW75" s="189">
        <v>0</v>
      </c>
      <c r="BX75" s="189">
        <v>0</v>
      </c>
      <c r="BY75" s="189">
        <v>0</v>
      </c>
      <c r="BZ75" s="189">
        <v>0</v>
      </c>
      <c r="CA75" s="189">
        <v>0</v>
      </c>
      <c r="CB75" s="189">
        <v>0</v>
      </c>
      <c r="CC75" s="189">
        <v>0</v>
      </c>
      <c r="CD75" s="189">
        <v>0</v>
      </c>
      <c r="CE75" s="189">
        <v>0</v>
      </c>
      <c r="CF75" s="189"/>
      <c r="CG75" s="189"/>
      <c r="CH75" s="189"/>
      <c r="CI75" s="189"/>
      <c r="CJ75" s="189"/>
      <c r="CK75" s="189"/>
      <c r="CL75" s="189"/>
    </row>
    <row r="76" spans="1:90">
      <c r="A76" s="128" t="s">
        <v>54</v>
      </c>
      <c r="B76" s="189">
        <v>0</v>
      </c>
      <c r="C76" s="189">
        <v>40000000</v>
      </c>
      <c r="D76" s="189">
        <v>170400000</v>
      </c>
      <c r="E76" s="189">
        <v>170400000</v>
      </c>
      <c r="F76" s="189">
        <v>162900000</v>
      </c>
      <c r="G76" s="189">
        <v>120100000</v>
      </c>
      <c r="H76" s="189">
        <v>117600000</v>
      </c>
      <c r="I76" s="189">
        <v>30100000</v>
      </c>
      <c r="J76" s="189">
        <v>30100000</v>
      </c>
      <c r="K76" s="189">
        <v>0</v>
      </c>
      <c r="L76" s="189">
        <v>0</v>
      </c>
      <c r="M76" s="189">
        <v>0</v>
      </c>
      <c r="N76" s="189">
        <v>0</v>
      </c>
      <c r="O76" s="189">
        <v>0</v>
      </c>
      <c r="P76" s="189">
        <v>0</v>
      </c>
      <c r="Q76" s="189">
        <v>0</v>
      </c>
      <c r="R76" s="189">
        <v>0</v>
      </c>
      <c r="S76" s="189">
        <v>0</v>
      </c>
      <c r="T76" s="189">
        <v>0</v>
      </c>
      <c r="U76" s="189">
        <v>0</v>
      </c>
      <c r="V76" s="189">
        <v>0</v>
      </c>
      <c r="W76" s="189">
        <v>0</v>
      </c>
      <c r="X76" s="189">
        <v>0</v>
      </c>
      <c r="Y76" s="189">
        <v>0</v>
      </c>
      <c r="Z76" s="189">
        <v>50000000</v>
      </c>
      <c r="AA76" s="189">
        <v>50000000</v>
      </c>
      <c r="AB76" s="189">
        <v>0</v>
      </c>
      <c r="AC76" s="189">
        <v>50000000</v>
      </c>
      <c r="AD76" s="189">
        <v>0</v>
      </c>
      <c r="AE76" s="189">
        <v>0</v>
      </c>
      <c r="AF76" s="189">
        <v>0</v>
      </c>
      <c r="AG76" s="189">
        <v>0</v>
      </c>
      <c r="AH76" s="189">
        <v>0</v>
      </c>
      <c r="AI76" s="189">
        <v>0</v>
      </c>
      <c r="AJ76" s="189">
        <v>0</v>
      </c>
      <c r="AK76" s="189">
        <v>0</v>
      </c>
      <c r="AL76" s="189">
        <v>0</v>
      </c>
      <c r="AM76" s="189">
        <v>0</v>
      </c>
      <c r="AN76" s="189">
        <v>0</v>
      </c>
      <c r="AO76" s="189">
        <v>0</v>
      </c>
      <c r="AP76" s="189">
        <v>0</v>
      </c>
      <c r="AQ76" s="189">
        <v>0</v>
      </c>
      <c r="AR76" s="189">
        <v>0</v>
      </c>
      <c r="AS76" s="189">
        <v>0</v>
      </c>
      <c r="AT76" s="189">
        <v>0</v>
      </c>
      <c r="AU76" s="189">
        <v>0</v>
      </c>
      <c r="AV76" s="189">
        <v>0</v>
      </c>
      <c r="AW76" s="189">
        <v>0</v>
      </c>
      <c r="AX76" s="189">
        <v>0</v>
      </c>
      <c r="AY76" s="189">
        <v>0</v>
      </c>
      <c r="AZ76" s="189">
        <v>0</v>
      </c>
      <c r="BA76" s="189">
        <v>0</v>
      </c>
      <c r="BB76" s="189">
        <v>0</v>
      </c>
      <c r="BC76" s="189">
        <v>0</v>
      </c>
      <c r="BD76" s="189">
        <v>0</v>
      </c>
      <c r="BE76" s="189">
        <v>0</v>
      </c>
      <c r="BF76" s="189">
        <v>0</v>
      </c>
      <c r="BG76" s="189">
        <v>0</v>
      </c>
      <c r="BH76" s="189">
        <v>0</v>
      </c>
      <c r="BI76" s="189">
        <v>0</v>
      </c>
      <c r="BJ76" s="189">
        <v>0</v>
      </c>
      <c r="BK76" s="189">
        <v>93430000</v>
      </c>
      <c r="BL76" s="189">
        <v>133430000</v>
      </c>
      <c r="BM76" s="189">
        <v>132440888.78</v>
      </c>
      <c r="BN76" s="189">
        <v>173550877.19</v>
      </c>
      <c r="BO76" s="189">
        <v>0</v>
      </c>
      <c r="BP76" s="189">
        <v>0</v>
      </c>
      <c r="BQ76" s="189">
        <v>73430000</v>
      </c>
      <c r="BR76" s="189">
        <v>73430000</v>
      </c>
      <c r="BS76" s="189">
        <v>100000000</v>
      </c>
      <c r="BT76" s="189">
        <v>100000000</v>
      </c>
      <c r="BU76" s="189">
        <v>0</v>
      </c>
      <c r="BV76" s="189">
        <v>139760000</v>
      </c>
      <c r="BW76" s="189">
        <v>82820000</v>
      </c>
      <c r="BX76" s="189">
        <v>82820000</v>
      </c>
      <c r="BY76" s="189">
        <v>79000000</v>
      </c>
      <c r="BZ76" s="189">
        <v>79000000</v>
      </c>
      <c r="CA76" s="189">
        <v>0</v>
      </c>
      <c r="CB76" s="189">
        <v>6000000</v>
      </c>
      <c r="CC76" s="189">
        <v>14490000</v>
      </c>
      <c r="CD76" s="189">
        <v>14490000</v>
      </c>
      <c r="CE76" s="189">
        <v>0</v>
      </c>
      <c r="CF76" s="189"/>
      <c r="CG76" s="189"/>
      <c r="CH76" s="189"/>
      <c r="CI76" s="189"/>
      <c r="CJ76" s="189"/>
      <c r="CK76" s="189"/>
      <c r="CL76" s="189"/>
    </row>
    <row r="77" spans="1:90">
      <c r="A77" s="128" t="s">
        <v>55</v>
      </c>
      <c r="B77" s="189">
        <v>0</v>
      </c>
      <c r="C77" s="189">
        <v>0</v>
      </c>
      <c r="D77" s="189">
        <v>0</v>
      </c>
      <c r="E77" s="189">
        <v>0</v>
      </c>
      <c r="F77" s="189">
        <v>0</v>
      </c>
      <c r="G77" s="189">
        <v>0</v>
      </c>
      <c r="H77" s="189">
        <v>0</v>
      </c>
      <c r="I77" s="189">
        <v>0</v>
      </c>
      <c r="J77" s="189">
        <v>0</v>
      </c>
      <c r="K77" s="189">
        <v>0</v>
      </c>
      <c r="L77" s="189">
        <v>0</v>
      </c>
      <c r="M77" s="189">
        <v>0</v>
      </c>
      <c r="N77" s="189">
        <v>0</v>
      </c>
      <c r="O77" s="189">
        <v>0</v>
      </c>
      <c r="P77" s="189">
        <v>0</v>
      </c>
      <c r="Q77" s="189">
        <v>0</v>
      </c>
      <c r="R77" s="189">
        <v>0</v>
      </c>
      <c r="S77" s="189">
        <v>0</v>
      </c>
      <c r="T77" s="189">
        <v>0</v>
      </c>
      <c r="U77" s="189">
        <v>0</v>
      </c>
      <c r="V77" s="189">
        <v>0</v>
      </c>
      <c r="W77" s="189">
        <v>0</v>
      </c>
      <c r="X77" s="189">
        <v>0</v>
      </c>
      <c r="Y77" s="189">
        <v>0</v>
      </c>
      <c r="Z77" s="189">
        <v>0</v>
      </c>
      <c r="AA77" s="189">
        <v>0</v>
      </c>
      <c r="AB77" s="189">
        <v>0</v>
      </c>
      <c r="AC77" s="189">
        <v>0</v>
      </c>
      <c r="AD77" s="189">
        <v>0</v>
      </c>
      <c r="AE77" s="189">
        <v>0</v>
      </c>
      <c r="AF77" s="189">
        <v>0</v>
      </c>
      <c r="AG77" s="189">
        <v>0</v>
      </c>
      <c r="AH77" s="189">
        <v>0</v>
      </c>
      <c r="AI77" s="189">
        <v>0</v>
      </c>
      <c r="AJ77" s="189">
        <v>0</v>
      </c>
      <c r="AK77" s="189">
        <v>0</v>
      </c>
      <c r="AL77" s="189">
        <v>0</v>
      </c>
      <c r="AM77" s="189">
        <v>0</v>
      </c>
      <c r="AN77" s="189">
        <v>0</v>
      </c>
      <c r="AO77" s="189">
        <v>0</v>
      </c>
      <c r="AP77" s="189">
        <v>0</v>
      </c>
      <c r="AQ77" s="189">
        <v>0</v>
      </c>
      <c r="AR77" s="189">
        <v>0</v>
      </c>
      <c r="AS77" s="189">
        <v>0</v>
      </c>
      <c r="AT77" s="189">
        <v>0</v>
      </c>
      <c r="AU77" s="189">
        <v>0</v>
      </c>
      <c r="AV77" s="189">
        <v>0</v>
      </c>
      <c r="AW77" s="189">
        <v>0</v>
      </c>
      <c r="AX77" s="189">
        <v>0</v>
      </c>
      <c r="AY77" s="189">
        <v>0</v>
      </c>
      <c r="AZ77" s="189">
        <v>0</v>
      </c>
      <c r="BA77" s="189">
        <v>0</v>
      </c>
      <c r="BB77" s="189">
        <v>0</v>
      </c>
      <c r="BC77" s="189">
        <v>0</v>
      </c>
      <c r="BD77" s="189">
        <v>0</v>
      </c>
      <c r="BE77" s="189">
        <v>0</v>
      </c>
      <c r="BF77" s="189">
        <v>0</v>
      </c>
      <c r="BG77" s="189">
        <v>0</v>
      </c>
      <c r="BH77" s="189">
        <v>0</v>
      </c>
      <c r="BI77" s="189">
        <v>0</v>
      </c>
      <c r="BJ77" s="189">
        <v>0</v>
      </c>
      <c r="BK77" s="189">
        <v>0</v>
      </c>
      <c r="BL77" s="189">
        <v>0</v>
      </c>
      <c r="BM77" s="189">
        <v>0</v>
      </c>
      <c r="BN77" s="189">
        <v>0</v>
      </c>
      <c r="BO77" s="189">
        <v>0</v>
      </c>
      <c r="BP77" s="189">
        <v>0</v>
      </c>
      <c r="BQ77" s="189">
        <v>0</v>
      </c>
      <c r="BR77" s="189">
        <v>0</v>
      </c>
      <c r="BS77" s="189">
        <v>0</v>
      </c>
      <c r="BT77" s="189">
        <v>0</v>
      </c>
      <c r="BU77" s="189">
        <v>0</v>
      </c>
      <c r="BV77" s="189">
        <v>0</v>
      </c>
      <c r="BW77" s="189">
        <v>0</v>
      </c>
      <c r="BX77" s="189">
        <v>0</v>
      </c>
      <c r="BY77" s="189">
        <v>0</v>
      </c>
      <c r="BZ77" s="189">
        <v>0</v>
      </c>
      <c r="CA77" s="189">
        <v>0</v>
      </c>
      <c r="CB77" s="189">
        <v>0</v>
      </c>
      <c r="CC77" s="189">
        <v>0</v>
      </c>
      <c r="CD77" s="189">
        <v>0</v>
      </c>
      <c r="CE77" s="189">
        <v>0</v>
      </c>
      <c r="CF77" s="189"/>
      <c r="CG77" s="189"/>
      <c r="CH77" s="189"/>
      <c r="CI77" s="189"/>
      <c r="CJ77" s="189"/>
      <c r="CK77" s="189"/>
      <c r="CL77" s="189"/>
    </row>
    <row r="78" spans="1:90" ht="14.45" hidden="1">
      <c r="A78" s="128"/>
      <c r="B78" s="26"/>
      <c r="C78" s="26"/>
      <c r="D78" s="26"/>
      <c r="E78" s="26"/>
      <c r="F78" s="26"/>
      <c r="G78" s="26"/>
      <c r="H78" s="26"/>
      <c r="I78" s="26"/>
      <c r="J78" s="26"/>
      <c r="K78" s="26"/>
      <c r="L78" s="23"/>
    </row>
    <row r="79" spans="1:90" ht="14.45" hidden="1">
      <c r="A79" s="128"/>
      <c r="B79" s="26"/>
      <c r="C79" s="26"/>
      <c r="D79" s="26"/>
      <c r="E79" s="26"/>
      <c r="F79" s="26"/>
      <c r="G79" s="26"/>
      <c r="H79" s="26"/>
      <c r="I79" s="26"/>
      <c r="J79" s="26"/>
      <c r="K79" s="26"/>
      <c r="L79" s="23"/>
    </row>
    <row r="80" spans="1:90" ht="14.45" hidden="1">
      <c r="A80" s="128"/>
      <c r="B80" s="26"/>
      <c r="C80" s="26"/>
      <c r="D80" s="26"/>
      <c r="E80" s="26"/>
      <c r="F80" s="26"/>
      <c r="G80" s="26"/>
      <c r="H80" s="26"/>
      <c r="I80" s="26"/>
      <c r="J80" s="26"/>
      <c r="K80" s="26"/>
      <c r="L80" s="23"/>
    </row>
    <row r="81" spans="1:90" s="2" customFormat="1">
      <c r="A81" s="20" t="s">
        <v>56</v>
      </c>
      <c r="B81" s="28"/>
      <c r="C81" s="28"/>
      <c r="D81" s="28"/>
      <c r="E81" s="28">
        <f>SUM(E82:E85)</f>
        <v>1037080000</v>
      </c>
      <c r="F81" s="28">
        <f t="shared" ref="F81:BQ81" si="16">SUM(F82:F85)</f>
        <v>1067080000</v>
      </c>
      <c r="G81" s="28">
        <f t="shared" si="16"/>
        <v>1162480000</v>
      </c>
      <c r="H81" s="28">
        <f t="shared" si="16"/>
        <v>1186230000</v>
      </c>
      <c r="I81" s="28">
        <f t="shared" si="16"/>
        <v>104900000</v>
      </c>
      <c r="J81" s="28">
        <f t="shared" si="16"/>
        <v>104900000</v>
      </c>
      <c r="K81" s="28">
        <f t="shared" si="16"/>
        <v>0</v>
      </c>
      <c r="L81" s="28">
        <f t="shared" si="16"/>
        <v>0</v>
      </c>
      <c r="M81" s="28">
        <f t="shared" si="16"/>
        <v>0</v>
      </c>
      <c r="N81" s="28">
        <f t="shared" si="16"/>
        <v>0</v>
      </c>
      <c r="O81" s="28">
        <f t="shared" si="16"/>
        <v>0</v>
      </c>
      <c r="P81" s="28">
        <f t="shared" si="16"/>
        <v>0</v>
      </c>
      <c r="Q81" s="28">
        <f t="shared" si="16"/>
        <v>0</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50000000</v>
      </c>
      <c r="AC81" s="28">
        <f t="shared" si="16"/>
        <v>50000000</v>
      </c>
      <c r="AD81" s="28">
        <f t="shared" si="16"/>
        <v>50000000</v>
      </c>
      <c r="AE81" s="28">
        <f t="shared" si="16"/>
        <v>50000000</v>
      </c>
      <c r="AF81" s="28">
        <f t="shared" si="16"/>
        <v>50000000</v>
      </c>
      <c r="AG81" s="28">
        <f t="shared" si="16"/>
        <v>50000000</v>
      </c>
      <c r="AH81" s="28">
        <f t="shared" si="16"/>
        <v>50000000</v>
      </c>
      <c r="AI81" s="28">
        <f t="shared" si="16"/>
        <v>50000000</v>
      </c>
      <c r="AJ81" s="28">
        <f t="shared" si="16"/>
        <v>50000000</v>
      </c>
      <c r="AK81" s="28">
        <f t="shared" si="16"/>
        <v>50000000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121871.35</v>
      </c>
      <c r="BH81" s="28">
        <f t="shared" si="16"/>
        <v>121871.35</v>
      </c>
      <c r="BI81" s="28">
        <f t="shared" si="16"/>
        <v>136891.35</v>
      </c>
      <c r="BJ81" s="28">
        <f t="shared" si="16"/>
        <v>151977.35</v>
      </c>
      <c r="BK81" s="28">
        <f t="shared" si="16"/>
        <v>167307.35</v>
      </c>
      <c r="BL81" s="28">
        <f t="shared" si="16"/>
        <v>0</v>
      </c>
      <c r="BM81" s="28">
        <f t="shared" si="16"/>
        <v>0</v>
      </c>
      <c r="BN81" s="28">
        <f t="shared" si="16"/>
        <v>0</v>
      </c>
      <c r="BO81" s="28">
        <f t="shared" si="16"/>
        <v>175233712.68000001</v>
      </c>
      <c r="BP81" s="28">
        <f t="shared" si="16"/>
        <v>173464653.63</v>
      </c>
      <c r="BQ81" s="28">
        <f t="shared" si="16"/>
        <v>99847608.719999999</v>
      </c>
      <c r="BR81" s="28">
        <f t="shared" ref="BR81:CG81" si="17">SUM(BR82:BR85)</f>
        <v>99847608.719999999</v>
      </c>
      <c r="BS81" s="28">
        <f t="shared" si="17"/>
        <v>74632511.310000002</v>
      </c>
      <c r="BT81" s="28">
        <f t="shared" si="17"/>
        <v>74475268.620000005</v>
      </c>
      <c r="BU81" s="28">
        <f t="shared" si="17"/>
        <v>208503758.53</v>
      </c>
      <c r="BV81" s="28">
        <f t="shared" si="17"/>
        <v>100177818.7</v>
      </c>
      <c r="BW81" s="28">
        <f t="shared" si="17"/>
        <v>121949203.08</v>
      </c>
      <c r="BX81" s="28">
        <f t="shared" si="17"/>
        <v>139430000</v>
      </c>
      <c r="BY81" s="28">
        <f t="shared" si="17"/>
        <v>98820000</v>
      </c>
      <c r="BZ81" s="28">
        <f t="shared" si="17"/>
        <v>100838785.5</v>
      </c>
      <c r="CA81" s="28">
        <f t="shared" si="17"/>
        <v>0</v>
      </c>
      <c r="CB81" s="28">
        <f t="shared" si="17"/>
        <v>89504930</v>
      </c>
      <c r="CC81" s="28">
        <f t="shared" si="17"/>
        <v>41145446.799999997</v>
      </c>
      <c r="CD81" s="28">
        <f t="shared" si="17"/>
        <v>24422000</v>
      </c>
      <c r="CE81" s="28">
        <f t="shared" si="17"/>
        <v>0</v>
      </c>
      <c r="CF81" s="28">
        <f t="shared" si="17"/>
        <v>0</v>
      </c>
      <c r="CG81" s="28">
        <f t="shared" si="17"/>
        <v>0</v>
      </c>
      <c r="CH81" s="28">
        <f>SUM(CH82:CH85)</f>
        <v>0</v>
      </c>
      <c r="CI81" s="28">
        <f>SUM(CI82:CI85)</f>
        <v>0</v>
      </c>
      <c r="CJ81" s="28">
        <f>SUM(CJ82:CJ85)</f>
        <v>0</v>
      </c>
      <c r="CK81" s="28">
        <f>SUM(CK82:CK85)</f>
        <v>0</v>
      </c>
    </row>
    <row r="82" spans="1:90">
      <c r="A82" s="128" t="s">
        <v>57</v>
      </c>
      <c r="B82" s="189">
        <v>402640000</v>
      </c>
      <c r="C82" s="189">
        <v>402640000</v>
      </c>
      <c r="D82" s="189">
        <v>1007080000</v>
      </c>
      <c r="E82" s="189">
        <v>1037080000</v>
      </c>
      <c r="F82" s="189">
        <v>1067080000</v>
      </c>
      <c r="G82" s="189">
        <v>1162480000</v>
      </c>
      <c r="H82" s="189">
        <v>1186230000</v>
      </c>
      <c r="I82" s="189">
        <v>104900000</v>
      </c>
      <c r="J82" s="189">
        <v>104900000</v>
      </c>
      <c r="K82" s="189">
        <v>0</v>
      </c>
      <c r="L82" s="189">
        <v>0</v>
      </c>
      <c r="M82" s="189">
        <v>0</v>
      </c>
      <c r="N82" s="189">
        <v>0</v>
      </c>
      <c r="O82" s="189">
        <v>0</v>
      </c>
      <c r="P82" s="189">
        <v>0</v>
      </c>
      <c r="Q82" s="189">
        <v>0</v>
      </c>
      <c r="R82" s="189">
        <v>0</v>
      </c>
      <c r="S82" s="189">
        <v>0</v>
      </c>
      <c r="T82" s="189">
        <v>0</v>
      </c>
      <c r="U82" s="189">
        <v>0</v>
      </c>
      <c r="V82" s="189">
        <v>0</v>
      </c>
      <c r="W82" s="189">
        <v>0</v>
      </c>
      <c r="X82" s="189">
        <v>0</v>
      </c>
      <c r="Y82" s="189">
        <v>0</v>
      </c>
      <c r="Z82" s="189">
        <v>0</v>
      </c>
      <c r="AA82" s="189">
        <v>0</v>
      </c>
      <c r="AB82" s="189">
        <v>50000000</v>
      </c>
      <c r="AC82" s="189">
        <v>50000000</v>
      </c>
      <c r="AD82" s="189">
        <v>50000000</v>
      </c>
      <c r="AE82" s="189">
        <v>50000000</v>
      </c>
      <c r="AF82" s="189">
        <v>50000000</v>
      </c>
      <c r="AG82" s="189">
        <v>50000000</v>
      </c>
      <c r="AH82" s="189">
        <v>50000000</v>
      </c>
      <c r="AI82" s="189">
        <v>50000000</v>
      </c>
      <c r="AJ82" s="189">
        <v>50000000</v>
      </c>
      <c r="AK82" s="189">
        <v>50000000</v>
      </c>
      <c r="AL82" s="189">
        <v>0</v>
      </c>
      <c r="AM82" s="189">
        <v>0</v>
      </c>
      <c r="AN82" s="189">
        <v>0</v>
      </c>
      <c r="AO82" s="189">
        <v>0</v>
      </c>
      <c r="AP82" s="189">
        <v>0</v>
      </c>
      <c r="AQ82" s="189">
        <v>0</v>
      </c>
      <c r="AR82" s="189">
        <v>0</v>
      </c>
      <c r="AS82" s="189">
        <v>0</v>
      </c>
      <c r="AT82" s="189">
        <v>0</v>
      </c>
      <c r="AU82" s="189">
        <v>0</v>
      </c>
      <c r="AV82" s="189">
        <v>0</v>
      </c>
      <c r="AW82" s="189">
        <v>0</v>
      </c>
      <c r="AX82" s="189">
        <v>0</v>
      </c>
      <c r="AY82" s="189">
        <v>0</v>
      </c>
      <c r="AZ82" s="189">
        <v>0</v>
      </c>
      <c r="BA82" s="189">
        <v>0</v>
      </c>
      <c r="BB82" s="189">
        <v>0</v>
      </c>
      <c r="BC82" s="189">
        <v>0</v>
      </c>
      <c r="BD82" s="189">
        <v>0</v>
      </c>
      <c r="BE82" s="189">
        <v>0</v>
      </c>
      <c r="BF82" s="189">
        <v>0</v>
      </c>
      <c r="BG82" s="189">
        <v>0</v>
      </c>
      <c r="BH82" s="189">
        <v>0</v>
      </c>
      <c r="BI82" s="189">
        <v>0</v>
      </c>
      <c r="BJ82" s="189">
        <v>0</v>
      </c>
      <c r="BK82" s="189">
        <v>0</v>
      </c>
      <c r="BL82" s="189">
        <v>0</v>
      </c>
      <c r="BM82" s="189">
        <v>0</v>
      </c>
      <c r="BN82" s="189">
        <v>0</v>
      </c>
      <c r="BO82" s="189">
        <v>175233712.68000001</v>
      </c>
      <c r="BP82" s="189">
        <v>173464653.63</v>
      </c>
      <c r="BQ82" s="189">
        <v>99847608.719999999</v>
      </c>
      <c r="BR82" s="189">
        <v>99847608.719999999</v>
      </c>
      <c r="BS82" s="189">
        <v>74632511.310000002</v>
      </c>
      <c r="BT82" s="189">
        <v>74475268.620000005</v>
      </c>
      <c r="BU82" s="189">
        <v>208503758.53</v>
      </c>
      <c r="BV82" s="189">
        <v>100177818.7</v>
      </c>
      <c r="BW82" s="189">
        <v>121949203.08</v>
      </c>
      <c r="BX82" s="189">
        <v>139430000</v>
      </c>
      <c r="BY82" s="189">
        <v>98820000</v>
      </c>
      <c r="BZ82" s="189">
        <v>98820000</v>
      </c>
      <c r="CA82" s="189">
        <v>0</v>
      </c>
      <c r="CB82" s="189">
        <v>89000000</v>
      </c>
      <c r="CC82" s="189">
        <v>40640516.799999997</v>
      </c>
      <c r="CD82" s="189">
        <v>24000000</v>
      </c>
      <c r="CE82" s="189">
        <v>0</v>
      </c>
      <c r="CF82" s="189"/>
      <c r="CG82" s="189"/>
      <c r="CH82" s="189"/>
      <c r="CI82" s="189"/>
      <c r="CJ82" s="189"/>
      <c r="CK82" s="189"/>
      <c r="CL82" s="189"/>
    </row>
    <row r="83" spans="1:90">
      <c r="A83" s="128" t="s">
        <v>58</v>
      </c>
      <c r="B83" s="189">
        <v>0</v>
      </c>
      <c r="C83" s="189">
        <v>0</v>
      </c>
      <c r="D83" s="189">
        <v>0</v>
      </c>
      <c r="E83" s="189">
        <v>0</v>
      </c>
      <c r="F83" s="189">
        <v>0</v>
      </c>
      <c r="G83" s="189">
        <v>0</v>
      </c>
      <c r="H83" s="189">
        <v>0</v>
      </c>
      <c r="I83" s="189">
        <v>0</v>
      </c>
      <c r="J83" s="189">
        <v>0</v>
      </c>
      <c r="K83" s="189">
        <v>0</v>
      </c>
      <c r="L83" s="189">
        <v>0</v>
      </c>
      <c r="M83" s="189">
        <v>0</v>
      </c>
      <c r="N83" s="189">
        <v>0</v>
      </c>
      <c r="O83" s="189">
        <v>0</v>
      </c>
      <c r="P83" s="189">
        <v>0</v>
      </c>
      <c r="Q83" s="189">
        <v>0</v>
      </c>
      <c r="R83" s="189">
        <v>0</v>
      </c>
      <c r="S83" s="189">
        <v>0</v>
      </c>
      <c r="T83" s="189">
        <v>0</v>
      </c>
      <c r="U83" s="189">
        <v>0</v>
      </c>
      <c r="V83" s="189">
        <v>0</v>
      </c>
      <c r="W83" s="189">
        <v>0</v>
      </c>
      <c r="X83" s="189">
        <v>0</v>
      </c>
      <c r="Y83" s="189">
        <v>0</v>
      </c>
      <c r="Z83" s="189">
        <v>0</v>
      </c>
      <c r="AA83" s="189">
        <v>0</v>
      </c>
      <c r="AB83" s="189">
        <v>0</v>
      </c>
      <c r="AC83" s="189">
        <v>0</v>
      </c>
      <c r="AD83" s="189">
        <v>0</v>
      </c>
      <c r="AE83" s="189">
        <v>0</v>
      </c>
      <c r="AF83" s="189">
        <v>0</v>
      </c>
      <c r="AG83" s="189">
        <v>0</v>
      </c>
      <c r="AH83" s="189">
        <v>0</v>
      </c>
      <c r="AI83" s="189">
        <v>0</v>
      </c>
      <c r="AJ83" s="189">
        <v>0</v>
      </c>
      <c r="AK83" s="189">
        <v>0</v>
      </c>
      <c r="AL83" s="189">
        <v>0</v>
      </c>
      <c r="AM83" s="189">
        <v>0</v>
      </c>
      <c r="AN83" s="189">
        <v>0</v>
      </c>
      <c r="AO83" s="189">
        <v>0</v>
      </c>
      <c r="AP83" s="189">
        <v>0</v>
      </c>
      <c r="AQ83" s="189">
        <v>0</v>
      </c>
      <c r="AR83" s="189">
        <v>0</v>
      </c>
      <c r="AS83" s="189">
        <v>0</v>
      </c>
      <c r="AT83" s="189">
        <v>0</v>
      </c>
      <c r="AU83" s="189">
        <v>0</v>
      </c>
      <c r="AV83" s="189">
        <v>0</v>
      </c>
      <c r="AW83" s="189">
        <v>0</v>
      </c>
      <c r="AX83" s="189">
        <v>0</v>
      </c>
      <c r="AY83" s="189">
        <v>0</v>
      </c>
      <c r="AZ83" s="189">
        <v>0</v>
      </c>
      <c r="BA83" s="189">
        <v>0</v>
      </c>
      <c r="BB83" s="189">
        <v>0</v>
      </c>
      <c r="BC83" s="189">
        <v>0</v>
      </c>
      <c r="BD83" s="189">
        <v>0</v>
      </c>
      <c r="BE83" s="189">
        <v>0</v>
      </c>
      <c r="BF83" s="189">
        <v>0</v>
      </c>
      <c r="BG83" s="189">
        <v>0</v>
      </c>
      <c r="BH83" s="189">
        <v>0</v>
      </c>
      <c r="BI83" s="189">
        <v>0</v>
      </c>
      <c r="BJ83" s="189">
        <v>0</v>
      </c>
      <c r="BK83" s="189">
        <v>0</v>
      </c>
      <c r="BL83" s="189">
        <v>0</v>
      </c>
      <c r="BM83" s="189">
        <v>0</v>
      </c>
      <c r="BN83" s="189">
        <v>0</v>
      </c>
      <c r="BO83" s="189">
        <v>0</v>
      </c>
      <c r="BP83" s="189">
        <v>0</v>
      </c>
      <c r="BQ83" s="189">
        <v>0</v>
      </c>
      <c r="BR83" s="189">
        <v>0</v>
      </c>
      <c r="BS83" s="189">
        <v>0</v>
      </c>
      <c r="BT83" s="189">
        <v>0</v>
      </c>
      <c r="BU83" s="189">
        <v>0</v>
      </c>
      <c r="BV83" s="189">
        <v>0</v>
      </c>
      <c r="BW83" s="189">
        <v>0</v>
      </c>
      <c r="BX83" s="189">
        <v>0</v>
      </c>
      <c r="BY83" s="189">
        <v>0</v>
      </c>
      <c r="BZ83" s="189">
        <v>0</v>
      </c>
      <c r="CA83" s="189">
        <v>0</v>
      </c>
      <c r="CB83" s="189">
        <v>0</v>
      </c>
      <c r="CC83" s="189">
        <v>0</v>
      </c>
      <c r="CD83" s="189">
        <v>0</v>
      </c>
      <c r="CE83" s="189">
        <v>0</v>
      </c>
      <c r="CF83" s="189"/>
      <c r="CG83" s="189"/>
      <c r="CH83" s="189"/>
      <c r="CI83" s="189"/>
      <c r="CJ83" s="189"/>
      <c r="CK83" s="189"/>
      <c r="CL83" s="189"/>
    </row>
    <row r="84" spans="1:90">
      <c r="A84" s="128" t="s">
        <v>59</v>
      </c>
      <c r="B84" s="189">
        <v>2000000</v>
      </c>
      <c r="C84" s="189">
        <v>2000000</v>
      </c>
      <c r="D84" s="189">
        <v>0</v>
      </c>
      <c r="E84" s="189">
        <v>0</v>
      </c>
      <c r="F84" s="189">
        <v>0</v>
      </c>
      <c r="G84" s="189">
        <v>0</v>
      </c>
      <c r="H84" s="189">
        <v>0</v>
      </c>
      <c r="I84" s="189">
        <v>0</v>
      </c>
      <c r="J84" s="189">
        <v>0</v>
      </c>
      <c r="K84" s="189">
        <v>0</v>
      </c>
      <c r="L84" s="189">
        <v>0</v>
      </c>
      <c r="M84" s="189">
        <v>0</v>
      </c>
      <c r="N84" s="189">
        <v>0</v>
      </c>
      <c r="O84" s="189">
        <v>0</v>
      </c>
      <c r="P84" s="189">
        <v>0</v>
      </c>
      <c r="Q84" s="189">
        <v>0</v>
      </c>
      <c r="R84" s="189">
        <v>0</v>
      </c>
      <c r="S84" s="189">
        <v>0</v>
      </c>
      <c r="T84" s="189">
        <v>0</v>
      </c>
      <c r="U84" s="189">
        <v>0</v>
      </c>
      <c r="V84" s="189">
        <v>0</v>
      </c>
      <c r="W84" s="189">
        <v>0</v>
      </c>
      <c r="X84" s="189">
        <v>0</v>
      </c>
      <c r="Y84" s="189">
        <v>0</v>
      </c>
      <c r="Z84" s="189">
        <v>0</v>
      </c>
      <c r="AA84" s="189">
        <v>0</v>
      </c>
      <c r="AB84" s="189">
        <v>0</v>
      </c>
      <c r="AC84" s="189">
        <v>0</v>
      </c>
      <c r="AD84" s="189">
        <v>0</v>
      </c>
      <c r="AE84" s="189">
        <v>0</v>
      </c>
      <c r="AF84" s="189">
        <v>0</v>
      </c>
      <c r="AG84" s="189">
        <v>0</v>
      </c>
      <c r="AH84" s="189">
        <v>0</v>
      </c>
      <c r="AI84" s="189">
        <v>0</v>
      </c>
      <c r="AJ84" s="189">
        <v>0</v>
      </c>
      <c r="AK84" s="189">
        <v>0</v>
      </c>
      <c r="AL84" s="189">
        <v>0</v>
      </c>
      <c r="AM84" s="189">
        <v>0</v>
      </c>
      <c r="AN84" s="189">
        <v>0</v>
      </c>
      <c r="AO84" s="189">
        <v>0</v>
      </c>
      <c r="AP84" s="189">
        <v>0</v>
      </c>
      <c r="AQ84" s="189">
        <v>0</v>
      </c>
      <c r="AR84" s="189">
        <v>0</v>
      </c>
      <c r="AS84" s="189">
        <v>0</v>
      </c>
      <c r="AT84" s="189">
        <v>0</v>
      </c>
      <c r="AU84" s="189">
        <v>0</v>
      </c>
      <c r="AV84" s="189">
        <v>0</v>
      </c>
      <c r="AW84" s="189">
        <v>0</v>
      </c>
      <c r="AX84" s="189">
        <v>0</v>
      </c>
      <c r="AY84" s="189">
        <v>0</v>
      </c>
      <c r="AZ84" s="189">
        <v>0</v>
      </c>
      <c r="BA84" s="189">
        <v>0</v>
      </c>
      <c r="BB84" s="189">
        <v>0</v>
      </c>
      <c r="BC84" s="189">
        <v>0</v>
      </c>
      <c r="BD84" s="189">
        <v>0</v>
      </c>
      <c r="BE84" s="189">
        <v>0</v>
      </c>
      <c r="BF84" s="189">
        <v>0</v>
      </c>
      <c r="BG84" s="189">
        <v>121871.35</v>
      </c>
      <c r="BH84" s="189">
        <v>121871.35</v>
      </c>
      <c r="BI84" s="189">
        <v>136891.35</v>
      </c>
      <c r="BJ84" s="189">
        <v>151977.35</v>
      </c>
      <c r="BK84" s="189">
        <v>167307.35</v>
      </c>
      <c r="BL84" s="189">
        <v>0</v>
      </c>
      <c r="BM84" s="189">
        <v>0</v>
      </c>
      <c r="BN84" s="189">
        <v>0</v>
      </c>
      <c r="BO84" s="189">
        <v>0</v>
      </c>
      <c r="BP84" s="189">
        <v>0</v>
      </c>
      <c r="BQ84" s="189">
        <v>0</v>
      </c>
      <c r="BR84" s="189">
        <v>0</v>
      </c>
      <c r="BS84" s="189">
        <v>0</v>
      </c>
      <c r="BT84" s="189">
        <v>0</v>
      </c>
      <c r="BU84" s="189">
        <v>0</v>
      </c>
      <c r="BV84" s="189">
        <v>0</v>
      </c>
      <c r="BW84" s="189">
        <v>0</v>
      </c>
      <c r="BX84" s="189">
        <v>0</v>
      </c>
      <c r="BY84" s="189">
        <v>0</v>
      </c>
      <c r="BZ84" s="189">
        <v>0</v>
      </c>
      <c r="CA84" s="189">
        <v>0</v>
      </c>
      <c r="CB84" s="189">
        <v>0</v>
      </c>
      <c r="CC84" s="189">
        <v>0</v>
      </c>
      <c r="CD84" s="189">
        <v>0</v>
      </c>
      <c r="CE84" s="189">
        <v>0</v>
      </c>
      <c r="CF84" s="189"/>
      <c r="CG84" s="189"/>
      <c r="CH84" s="189"/>
      <c r="CI84" s="189"/>
      <c r="CJ84" s="189"/>
      <c r="CK84" s="189"/>
      <c r="CL84" s="189"/>
    </row>
    <row r="85" spans="1:90">
      <c r="A85" s="128" t="s">
        <v>83</v>
      </c>
      <c r="B85" s="189">
        <v>0</v>
      </c>
      <c r="C85" s="189">
        <v>0</v>
      </c>
      <c r="D85" s="189">
        <v>0</v>
      </c>
      <c r="E85" s="189">
        <v>0</v>
      </c>
      <c r="F85" s="189">
        <v>0</v>
      </c>
      <c r="G85" s="189">
        <v>0</v>
      </c>
      <c r="H85" s="189">
        <v>0</v>
      </c>
      <c r="I85" s="189">
        <v>0</v>
      </c>
      <c r="J85" s="189">
        <v>0</v>
      </c>
      <c r="K85" s="189">
        <v>0</v>
      </c>
      <c r="L85" s="189">
        <v>0</v>
      </c>
      <c r="M85" s="189">
        <v>0</v>
      </c>
      <c r="N85" s="189">
        <v>0</v>
      </c>
      <c r="O85" s="189">
        <v>0</v>
      </c>
      <c r="P85" s="189">
        <v>0</v>
      </c>
      <c r="Q85" s="189">
        <v>0</v>
      </c>
      <c r="R85" s="189">
        <v>0</v>
      </c>
      <c r="S85" s="189">
        <v>0</v>
      </c>
      <c r="T85" s="189">
        <v>0</v>
      </c>
      <c r="U85" s="189">
        <v>0</v>
      </c>
      <c r="V85" s="189">
        <v>0</v>
      </c>
      <c r="W85" s="189">
        <v>0</v>
      </c>
      <c r="X85" s="189">
        <v>0</v>
      </c>
      <c r="Y85" s="189">
        <v>0</v>
      </c>
      <c r="Z85" s="189">
        <v>0</v>
      </c>
      <c r="AA85" s="189">
        <v>0</v>
      </c>
      <c r="AB85" s="189">
        <v>0</v>
      </c>
      <c r="AC85" s="189">
        <v>0</v>
      </c>
      <c r="AD85" s="189">
        <v>0</v>
      </c>
      <c r="AE85" s="189">
        <v>0</v>
      </c>
      <c r="AF85" s="189">
        <v>0</v>
      </c>
      <c r="AG85" s="189">
        <v>0</v>
      </c>
      <c r="AH85" s="189">
        <v>0</v>
      </c>
      <c r="AI85" s="189">
        <v>0</v>
      </c>
      <c r="AJ85" s="189">
        <v>0</v>
      </c>
      <c r="AK85" s="189">
        <v>0</v>
      </c>
      <c r="AL85" s="189">
        <v>0</v>
      </c>
      <c r="AM85" s="189">
        <v>0</v>
      </c>
      <c r="AN85" s="189">
        <v>0</v>
      </c>
      <c r="AO85" s="189">
        <v>0</v>
      </c>
      <c r="AP85" s="189">
        <v>0</v>
      </c>
      <c r="AQ85" s="189">
        <v>0</v>
      </c>
      <c r="AR85" s="189">
        <v>0</v>
      </c>
      <c r="AS85" s="189">
        <v>0</v>
      </c>
      <c r="AT85" s="189">
        <v>0</v>
      </c>
      <c r="AU85" s="189">
        <v>0</v>
      </c>
      <c r="AV85" s="189">
        <v>0</v>
      </c>
      <c r="AW85" s="189">
        <v>0</v>
      </c>
      <c r="AX85" s="189">
        <v>0</v>
      </c>
      <c r="AY85" s="189">
        <v>0</v>
      </c>
      <c r="AZ85" s="189">
        <v>0</v>
      </c>
      <c r="BA85" s="189">
        <v>0</v>
      </c>
      <c r="BB85" s="189">
        <v>0</v>
      </c>
      <c r="BC85" s="189">
        <v>0</v>
      </c>
      <c r="BD85" s="189">
        <v>0</v>
      </c>
      <c r="BE85" s="189">
        <v>0</v>
      </c>
      <c r="BF85" s="189">
        <v>0</v>
      </c>
      <c r="BG85" s="189">
        <v>0</v>
      </c>
      <c r="BH85" s="189">
        <v>0</v>
      </c>
      <c r="BI85" s="189">
        <v>0</v>
      </c>
      <c r="BJ85" s="189">
        <v>0</v>
      </c>
      <c r="BK85" s="189">
        <v>0</v>
      </c>
      <c r="BL85" s="189">
        <v>0</v>
      </c>
      <c r="BM85" s="189">
        <v>0</v>
      </c>
      <c r="BN85" s="189">
        <v>0</v>
      </c>
      <c r="BO85" s="189">
        <v>0</v>
      </c>
      <c r="BP85" s="189">
        <v>0</v>
      </c>
      <c r="BQ85" s="189">
        <v>0</v>
      </c>
      <c r="BR85" s="189">
        <v>0</v>
      </c>
      <c r="BS85" s="189">
        <v>0</v>
      </c>
      <c r="BT85" s="189">
        <v>0</v>
      </c>
      <c r="BU85" s="189">
        <v>0</v>
      </c>
      <c r="BV85" s="189">
        <v>0</v>
      </c>
      <c r="BW85" s="189">
        <v>0</v>
      </c>
      <c r="BX85" s="189">
        <v>0</v>
      </c>
      <c r="BY85" s="189">
        <v>0</v>
      </c>
      <c r="BZ85" s="189">
        <v>2018785.5</v>
      </c>
      <c r="CA85" s="189">
        <v>0</v>
      </c>
      <c r="CB85" s="189">
        <v>504930</v>
      </c>
      <c r="CC85" s="189">
        <v>504930</v>
      </c>
      <c r="CD85" s="189">
        <v>422000</v>
      </c>
      <c r="CE85" s="189">
        <v>0</v>
      </c>
      <c r="CF85" s="189"/>
      <c r="CG85" s="189"/>
      <c r="CH85" s="189"/>
      <c r="CI85" s="189"/>
      <c r="CJ85" s="189"/>
      <c r="CK85" s="189"/>
      <c r="CL85" s="189"/>
    </row>
    <row r="86" spans="1:90" ht="14.45" hidden="1">
      <c r="A86" s="128"/>
      <c r="B86" s="26"/>
      <c r="C86" s="26"/>
      <c r="D86" s="26"/>
      <c r="E86" s="26"/>
      <c r="F86" s="26"/>
      <c r="G86" s="26"/>
      <c r="H86" s="26"/>
      <c r="I86" s="26"/>
      <c r="J86" s="26"/>
      <c r="K86" s="26"/>
      <c r="L86" s="23"/>
    </row>
    <row r="87" spans="1:90" ht="14.45" hidden="1">
      <c r="A87" s="128"/>
      <c r="B87" s="26"/>
      <c r="C87" s="26"/>
      <c r="D87" s="26"/>
      <c r="E87" s="26"/>
      <c r="F87" s="26"/>
      <c r="G87" s="26"/>
      <c r="H87" s="26"/>
      <c r="I87" s="26"/>
      <c r="J87" s="26"/>
      <c r="K87" s="26"/>
      <c r="L87" s="23"/>
    </row>
    <row r="88" spans="1:90" ht="14.45" hidden="1">
      <c r="A88" s="128"/>
      <c r="B88" s="26"/>
      <c r="C88" s="26"/>
      <c r="D88" s="26"/>
      <c r="E88" s="26"/>
      <c r="F88" s="26"/>
      <c r="G88" s="26"/>
      <c r="H88" s="26"/>
      <c r="I88" s="26"/>
      <c r="J88" s="26"/>
      <c r="K88" s="26"/>
      <c r="L88" s="23"/>
    </row>
    <row r="89" spans="1:90" s="5" customFormat="1">
      <c r="A89" s="129" t="s">
        <v>60</v>
      </c>
      <c r="B89" s="33">
        <f>SUM(B73:B85)</f>
        <v>606242123.77999997</v>
      </c>
      <c r="C89" s="33">
        <f>SUM(C73:C85)</f>
        <v>866173898.20000005</v>
      </c>
      <c r="D89" s="33">
        <f>SUM(D73:D85)</f>
        <v>1529936924.54</v>
      </c>
      <c r="E89" s="33">
        <f>E72+E81</f>
        <v>1560295925.9300001</v>
      </c>
      <c r="F89" s="33">
        <f t="shared" ref="F89:BQ89" si="18">F72+F81</f>
        <v>1482732208.9099998</v>
      </c>
      <c r="G89" s="33">
        <f t="shared" si="18"/>
        <v>1534862035.8600001</v>
      </c>
      <c r="H89" s="33">
        <f t="shared" si="18"/>
        <v>1556330989.9300001</v>
      </c>
      <c r="I89" s="33">
        <f t="shared" si="18"/>
        <v>385551753.13</v>
      </c>
      <c r="J89" s="33">
        <f t="shared" si="18"/>
        <v>385551753.13</v>
      </c>
      <c r="K89" s="33">
        <f t="shared" si="18"/>
        <v>300363187.5</v>
      </c>
      <c r="L89" s="33">
        <f t="shared" si="18"/>
        <v>402072247.22000003</v>
      </c>
      <c r="M89" s="33">
        <f t="shared" si="18"/>
        <v>402178998.61000001</v>
      </c>
      <c r="N89" s="33">
        <f t="shared" si="18"/>
        <v>352091273.61000001</v>
      </c>
      <c r="O89" s="33">
        <f t="shared" si="18"/>
        <v>301694800</v>
      </c>
      <c r="P89" s="33">
        <f t="shared" si="18"/>
        <v>403175396.67000002</v>
      </c>
      <c r="Q89" s="33">
        <f t="shared" si="18"/>
        <v>202870813.33000001</v>
      </c>
      <c r="R89" s="33">
        <f t="shared" si="18"/>
        <v>202870813.33000001</v>
      </c>
      <c r="S89" s="33">
        <f t="shared" si="18"/>
        <v>202707480</v>
      </c>
      <c r="T89" s="33">
        <f t="shared" si="18"/>
        <v>100000000</v>
      </c>
      <c r="U89" s="33">
        <f t="shared" si="18"/>
        <v>0</v>
      </c>
      <c r="V89" s="33">
        <f t="shared" si="18"/>
        <v>0</v>
      </c>
      <c r="W89" s="33">
        <f t="shared" si="18"/>
        <v>0</v>
      </c>
      <c r="X89" s="33">
        <f t="shared" si="18"/>
        <v>0</v>
      </c>
      <c r="Y89" s="33">
        <f t="shared" si="18"/>
        <v>0</v>
      </c>
      <c r="Z89" s="33">
        <f t="shared" si="18"/>
        <v>50091437.5</v>
      </c>
      <c r="AA89" s="33">
        <f t="shared" si="18"/>
        <v>50083125</v>
      </c>
      <c r="AB89" s="33">
        <f t="shared" si="18"/>
        <v>50083125</v>
      </c>
      <c r="AC89" s="33">
        <f t="shared" si="18"/>
        <v>100091437.5</v>
      </c>
      <c r="AD89" s="33">
        <f t="shared" si="18"/>
        <v>50082875</v>
      </c>
      <c r="AE89" s="33">
        <f t="shared" si="18"/>
        <v>50075562.5</v>
      </c>
      <c r="AF89" s="33">
        <f t="shared" si="18"/>
        <v>50075562.5</v>
      </c>
      <c r="AG89" s="33">
        <f t="shared" si="18"/>
        <v>50074649.189999998</v>
      </c>
      <c r="AH89" s="33">
        <f t="shared" si="18"/>
        <v>100142837.5</v>
      </c>
      <c r="AI89" s="33">
        <f t="shared" si="18"/>
        <v>100138337.5</v>
      </c>
      <c r="AJ89" s="33">
        <f t="shared" si="18"/>
        <v>100133875</v>
      </c>
      <c r="AK89" s="33">
        <f t="shared" si="18"/>
        <v>100142483.33</v>
      </c>
      <c r="AL89" s="33">
        <f t="shared" si="18"/>
        <v>180534640</v>
      </c>
      <c r="AM89" s="33">
        <f t="shared" si="18"/>
        <v>250320850</v>
      </c>
      <c r="AN89" s="33">
        <f t="shared" si="18"/>
        <v>200434841.66999999</v>
      </c>
      <c r="AO89" s="33">
        <f t="shared" si="18"/>
        <v>270461785.82999998</v>
      </c>
      <c r="AP89" s="33">
        <f t="shared" si="18"/>
        <v>260652795</v>
      </c>
      <c r="AQ89" s="33">
        <f t="shared" si="18"/>
        <v>290682284.17000002</v>
      </c>
      <c r="AR89" s="33">
        <f t="shared" si="18"/>
        <v>325787423.95999998</v>
      </c>
      <c r="AS89" s="33">
        <f t="shared" si="18"/>
        <v>385757248.92000002</v>
      </c>
      <c r="AT89" s="33">
        <f t="shared" si="18"/>
        <v>308708944.5</v>
      </c>
      <c r="AU89" s="33">
        <f t="shared" si="18"/>
        <v>308634397.82999998</v>
      </c>
      <c r="AV89" s="33">
        <f t="shared" si="18"/>
        <v>318000000</v>
      </c>
      <c r="AW89" s="33">
        <f t="shared" si="18"/>
        <v>278000000</v>
      </c>
      <c r="AX89" s="33">
        <f t="shared" si="18"/>
        <v>288000000</v>
      </c>
      <c r="AY89" s="33">
        <f t="shared" si="18"/>
        <v>288000000</v>
      </c>
      <c r="AZ89" s="33">
        <f t="shared" si="18"/>
        <v>308000000</v>
      </c>
      <c r="BA89" s="33">
        <f t="shared" si="18"/>
        <v>298000000</v>
      </c>
      <c r="BB89" s="33">
        <f t="shared" si="18"/>
        <v>308000000</v>
      </c>
      <c r="BC89" s="33">
        <f t="shared" si="18"/>
        <v>308000000</v>
      </c>
      <c r="BD89" s="33">
        <f t="shared" si="18"/>
        <v>320000000</v>
      </c>
      <c r="BE89" s="33">
        <f t="shared" si="18"/>
        <v>320000000</v>
      </c>
      <c r="BF89" s="33">
        <f t="shared" si="18"/>
        <v>340000000</v>
      </c>
      <c r="BG89" s="33">
        <f t="shared" si="18"/>
        <v>394121871.35000002</v>
      </c>
      <c r="BH89" s="33">
        <f t="shared" si="18"/>
        <v>380121871.35000002</v>
      </c>
      <c r="BI89" s="33">
        <f t="shared" si="18"/>
        <v>389136891.35000002</v>
      </c>
      <c r="BJ89" s="33">
        <f t="shared" si="18"/>
        <v>417151977.35000002</v>
      </c>
      <c r="BK89" s="33">
        <f t="shared" si="18"/>
        <v>476097307.35000002</v>
      </c>
      <c r="BL89" s="33">
        <f t="shared" si="18"/>
        <v>458430000</v>
      </c>
      <c r="BM89" s="33">
        <f t="shared" si="18"/>
        <v>458440888.77999997</v>
      </c>
      <c r="BN89" s="33">
        <f t="shared" si="18"/>
        <v>479050877.19</v>
      </c>
      <c r="BO89" s="33">
        <f t="shared" si="18"/>
        <v>454233712.68000001</v>
      </c>
      <c r="BP89" s="33">
        <f t="shared" si="18"/>
        <v>456464653.63</v>
      </c>
      <c r="BQ89" s="33">
        <f t="shared" si="18"/>
        <v>443277608.72000003</v>
      </c>
      <c r="BR89" s="33">
        <f t="shared" ref="BR89:CK89" si="19">BR72+BR81</f>
        <v>470277608.72000003</v>
      </c>
      <c r="BS89" s="33">
        <f t="shared" si="19"/>
        <v>449632511.31</v>
      </c>
      <c r="BT89" s="33">
        <f t="shared" si="19"/>
        <v>435475268.62</v>
      </c>
      <c r="BU89" s="33">
        <f t="shared" si="19"/>
        <v>415383758.52999997</v>
      </c>
      <c r="BV89" s="33">
        <f t="shared" si="19"/>
        <v>425817818.69999999</v>
      </c>
      <c r="BW89" s="33">
        <f t="shared" si="19"/>
        <v>383599203.07999998</v>
      </c>
      <c r="BX89" s="33">
        <f t="shared" si="19"/>
        <v>401080000</v>
      </c>
      <c r="BY89" s="33">
        <f t="shared" si="19"/>
        <v>392026240</v>
      </c>
      <c r="BZ89" s="33">
        <f t="shared" si="19"/>
        <v>371940305.5</v>
      </c>
      <c r="CA89" s="33">
        <f t="shared" si="19"/>
        <v>0</v>
      </c>
      <c r="CB89" s="33">
        <f t="shared" si="19"/>
        <v>264352230</v>
      </c>
      <c r="CC89" s="33">
        <f t="shared" si="19"/>
        <v>215035446.80000001</v>
      </c>
      <c r="CD89" s="33">
        <f t="shared" si="19"/>
        <v>178862000</v>
      </c>
      <c r="CE89" s="33">
        <f t="shared" si="19"/>
        <v>0</v>
      </c>
      <c r="CF89" s="33">
        <f t="shared" si="19"/>
        <v>0</v>
      </c>
      <c r="CG89" s="33">
        <f t="shared" si="19"/>
        <v>0</v>
      </c>
      <c r="CH89" s="33">
        <f t="shared" si="19"/>
        <v>0</v>
      </c>
      <c r="CI89" s="33">
        <f t="shared" si="19"/>
        <v>0</v>
      </c>
      <c r="CJ89" s="33">
        <f t="shared" si="19"/>
        <v>0</v>
      </c>
      <c r="CK89" s="33">
        <f t="shared" si="19"/>
        <v>0</v>
      </c>
    </row>
    <row r="90" spans="1:90">
      <c r="A90" s="20" t="s">
        <v>61</v>
      </c>
      <c r="B90" s="26"/>
      <c r="C90" s="26"/>
      <c r="D90" s="26"/>
      <c r="E90" s="26"/>
      <c r="F90" s="26"/>
      <c r="G90" s="26"/>
      <c r="H90" s="26"/>
      <c r="I90" s="26"/>
      <c r="J90" s="26"/>
      <c r="K90" s="26"/>
      <c r="L90" s="23"/>
      <c r="M90" s="13"/>
      <c r="N90" s="13"/>
    </row>
    <row r="91" spans="1:90">
      <c r="A91" s="128" t="s">
        <v>62</v>
      </c>
      <c r="B91" s="189">
        <v>783095436</v>
      </c>
      <c r="C91" s="189">
        <v>783095436</v>
      </c>
      <c r="D91" s="189">
        <v>783095436</v>
      </c>
      <c r="E91" s="189">
        <v>783095436</v>
      </c>
      <c r="F91" s="189">
        <v>783095436</v>
      </c>
      <c r="G91" s="189">
        <v>783095436</v>
      </c>
      <c r="H91" s="189">
        <v>783095436</v>
      </c>
      <c r="I91" s="189">
        <v>368867627</v>
      </c>
      <c r="J91" s="189">
        <v>368867627</v>
      </c>
      <c r="K91" s="189">
        <v>368867627</v>
      </c>
      <c r="L91" s="189">
        <v>368867627</v>
      </c>
      <c r="M91" s="189">
        <v>368867627</v>
      </c>
      <c r="N91" s="189">
        <v>368867627</v>
      </c>
      <c r="O91" s="189">
        <v>368867627</v>
      </c>
      <c r="P91" s="189">
        <v>368867627</v>
      </c>
      <c r="Q91" s="189">
        <v>368867627</v>
      </c>
      <c r="R91" s="189">
        <v>368867627</v>
      </c>
      <c r="S91" s="189">
        <v>368867627</v>
      </c>
      <c r="T91" s="189">
        <v>368867627</v>
      </c>
      <c r="U91" s="189">
        <v>368867627</v>
      </c>
      <c r="V91" s="189">
        <v>368867627</v>
      </c>
      <c r="W91" s="189">
        <v>368867627</v>
      </c>
      <c r="X91" s="189">
        <v>368867627</v>
      </c>
      <c r="Y91" s="189">
        <v>368867627</v>
      </c>
      <c r="Z91" s="189">
        <v>262776257</v>
      </c>
      <c r="AA91" s="189">
        <v>262776257</v>
      </c>
      <c r="AB91" s="189">
        <v>262776257</v>
      </c>
      <c r="AC91" s="189">
        <v>262776257</v>
      </c>
      <c r="AD91" s="189">
        <v>262776257</v>
      </c>
      <c r="AE91" s="189">
        <v>262776257</v>
      </c>
      <c r="AF91" s="189">
        <v>262776257</v>
      </c>
      <c r="AG91" s="189">
        <v>262776257</v>
      </c>
      <c r="AH91" s="189">
        <v>262776257</v>
      </c>
      <c r="AI91" s="189">
        <v>262776257</v>
      </c>
      <c r="AJ91" s="189">
        <v>262776257</v>
      </c>
      <c r="AK91" s="189">
        <v>262776257</v>
      </c>
      <c r="AL91" s="189">
        <v>262776257</v>
      </c>
      <c r="AM91" s="189">
        <v>262776257</v>
      </c>
      <c r="AN91" s="189">
        <v>262776257</v>
      </c>
      <c r="AO91" s="189">
        <v>262776257</v>
      </c>
      <c r="AP91" s="189">
        <v>262776257</v>
      </c>
      <c r="AQ91" s="189">
        <v>262776257</v>
      </c>
      <c r="AR91" s="189">
        <v>262776257</v>
      </c>
      <c r="AS91" s="189">
        <v>262776257</v>
      </c>
      <c r="AT91" s="189">
        <v>262776257</v>
      </c>
      <c r="AU91" s="189">
        <v>262776257</v>
      </c>
      <c r="AV91" s="189">
        <v>262776257</v>
      </c>
      <c r="AW91" s="189">
        <v>262776257</v>
      </c>
      <c r="AX91" s="189">
        <v>262776257</v>
      </c>
      <c r="AY91" s="189">
        <v>262776257</v>
      </c>
      <c r="AZ91" s="189">
        <v>262776257</v>
      </c>
      <c r="BA91" s="189">
        <v>234397120</v>
      </c>
      <c r="BB91" s="189">
        <v>234397120</v>
      </c>
      <c r="BC91" s="189">
        <v>234397120</v>
      </c>
      <c r="BD91" s="189">
        <v>234397120</v>
      </c>
      <c r="BE91" s="189">
        <v>234397120</v>
      </c>
      <c r="BF91" s="189">
        <v>234397120</v>
      </c>
      <c r="BG91" s="189">
        <v>234397120</v>
      </c>
      <c r="BH91" s="189">
        <v>234397120</v>
      </c>
      <c r="BI91" s="189">
        <v>234397120</v>
      </c>
      <c r="BJ91" s="189">
        <v>234397120</v>
      </c>
      <c r="BK91" s="189">
        <v>234397120</v>
      </c>
      <c r="BL91" s="189">
        <v>234397120</v>
      </c>
      <c r="BM91" s="189">
        <v>234397120</v>
      </c>
      <c r="BN91" s="189">
        <v>234397120</v>
      </c>
      <c r="BO91" s="189">
        <v>234397120</v>
      </c>
      <c r="BP91" s="189">
        <v>234397120</v>
      </c>
      <c r="BQ91" s="189">
        <v>234397120</v>
      </c>
      <c r="BR91" s="189">
        <v>234397120</v>
      </c>
      <c r="BS91" s="189">
        <v>234397120</v>
      </c>
      <c r="BT91" s="189">
        <v>117198560</v>
      </c>
      <c r="BU91" s="189">
        <v>117198560</v>
      </c>
      <c r="BV91" s="189">
        <v>117198560</v>
      </c>
      <c r="BW91" s="189">
        <v>117198560</v>
      </c>
      <c r="BX91" s="189">
        <v>96288000</v>
      </c>
      <c r="BY91" s="189">
        <v>80240000</v>
      </c>
      <c r="BZ91" s="189">
        <v>80240000</v>
      </c>
      <c r="CA91" s="189">
        <v>80240000</v>
      </c>
      <c r="CB91" s="189">
        <v>50150000</v>
      </c>
      <c r="CC91" s="189">
        <v>50150000</v>
      </c>
      <c r="CD91" s="189">
        <v>50150000</v>
      </c>
      <c r="CE91" s="189">
        <v>0</v>
      </c>
      <c r="CF91" s="189"/>
      <c r="CG91" s="189"/>
      <c r="CH91" s="189"/>
      <c r="CI91" s="189"/>
      <c r="CJ91" s="189"/>
      <c r="CK91" s="189"/>
      <c r="CL91" s="189"/>
    </row>
    <row r="92" spans="1:90">
      <c r="A92" s="128" t="s">
        <v>63</v>
      </c>
      <c r="B92" s="189">
        <v>388469152.35000002</v>
      </c>
      <c r="C92" s="189">
        <v>388469152.35000002</v>
      </c>
      <c r="D92" s="189">
        <v>388469152.35000002</v>
      </c>
      <c r="E92" s="189">
        <v>388469152.35000002</v>
      </c>
      <c r="F92" s="189">
        <v>388469152.35000002</v>
      </c>
      <c r="G92" s="189">
        <v>388469152.35000002</v>
      </c>
      <c r="H92" s="189">
        <v>388469152.35000002</v>
      </c>
      <c r="I92" s="189">
        <v>399905764.62</v>
      </c>
      <c r="J92" s="189">
        <v>399905764.62</v>
      </c>
      <c r="K92" s="189">
        <v>399905764.62</v>
      </c>
      <c r="L92" s="189">
        <v>399905764.62</v>
      </c>
      <c r="M92" s="189">
        <v>399905764.62</v>
      </c>
      <c r="N92" s="189">
        <v>399905764.62</v>
      </c>
      <c r="O92" s="189">
        <v>399905764.62</v>
      </c>
      <c r="P92" s="189">
        <v>399905764.62</v>
      </c>
      <c r="Q92" s="189">
        <v>399905764.62</v>
      </c>
      <c r="R92" s="189">
        <v>399905764.62</v>
      </c>
      <c r="S92" s="189">
        <v>399905764.62</v>
      </c>
      <c r="T92" s="189">
        <v>399905764.62</v>
      </c>
      <c r="U92" s="189">
        <v>399905764.62</v>
      </c>
      <c r="V92" s="189">
        <v>399905764.62</v>
      </c>
      <c r="W92" s="189">
        <v>399905764.62</v>
      </c>
      <c r="X92" s="189">
        <v>399905764.62</v>
      </c>
      <c r="Y92" s="189">
        <v>399905764.62</v>
      </c>
      <c r="Z92" s="189">
        <v>46640025.439999998</v>
      </c>
      <c r="AA92" s="189">
        <v>46640025.439999998</v>
      </c>
      <c r="AB92" s="189">
        <v>46640025.439999998</v>
      </c>
      <c r="AC92" s="189">
        <v>46640025.439999998</v>
      </c>
      <c r="AD92" s="189">
        <v>46640025.439999998</v>
      </c>
      <c r="AE92" s="189">
        <v>46640025.439999998</v>
      </c>
      <c r="AF92" s="189">
        <v>46640025.439999998</v>
      </c>
      <c r="AG92" s="189">
        <v>46640025.439999998</v>
      </c>
      <c r="AH92" s="189">
        <v>46640025.439999998</v>
      </c>
      <c r="AI92" s="189">
        <v>44311384.140000001</v>
      </c>
      <c r="AJ92" s="189">
        <v>118899176.25</v>
      </c>
      <c r="AK92" s="189">
        <v>136203410.94</v>
      </c>
      <c r="AL92" s="189">
        <v>138067769.83000001</v>
      </c>
      <c r="AM92" s="189">
        <v>111013324.01000001</v>
      </c>
      <c r="AN92" s="189">
        <v>111013324.01000001</v>
      </c>
      <c r="AO92" s="189">
        <v>111013324.01000001</v>
      </c>
      <c r="AP92" s="189">
        <v>111013324.01000001</v>
      </c>
      <c r="AQ92" s="189">
        <v>156807082.33000001</v>
      </c>
      <c r="AR92" s="189">
        <v>156807082.33000001</v>
      </c>
      <c r="AS92" s="189">
        <v>156807082.33000001</v>
      </c>
      <c r="AT92" s="189">
        <v>169110641.37</v>
      </c>
      <c r="AU92" s="189">
        <v>94399078.069999993</v>
      </c>
      <c r="AV92" s="189">
        <v>94399078.069999993</v>
      </c>
      <c r="AW92" s="189">
        <v>94399078.069999993</v>
      </c>
      <c r="AX92" s="189">
        <v>104366448.13</v>
      </c>
      <c r="AY92" s="189">
        <v>104957986.44</v>
      </c>
      <c r="AZ92" s="189">
        <v>104957986.44</v>
      </c>
      <c r="BA92" s="189">
        <v>103321433.44</v>
      </c>
      <c r="BB92" s="189">
        <v>103321433.44</v>
      </c>
      <c r="BC92" s="189">
        <v>103321433.44</v>
      </c>
      <c r="BD92" s="189">
        <v>103321433.44</v>
      </c>
      <c r="BE92" s="189">
        <v>103321433.44</v>
      </c>
      <c r="BF92" s="189">
        <v>103321433.44</v>
      </c>
      <c r="BG92" s="189">
        <v>103089588.97</v>
      </c>
      <c r="BH92" s="189">
        <v>103089588.97</v>
      </c>
      <c r="BI92" s="189">
        <v>103089588.97</v>
      </c>
      <c r="BJ92" s="189">
        <v>103089588.97</v>
      </c>
      <c r="BK92" s="189">
        <v>103089588.97</v>
      </c>
      <c r="BL92" s="189">
        <v>103089588.97</v>
      </c>
      <c r="BM92" s="189">
        <v>103089588.97</v>
      </c>
      <c r="BN92" s="189">
        <v>103089588.97</v>
      </c>
      <c r="BO92" s="189">
        <v>97086789.140000001</v>
      </c>
      <c r="BP92" s="189">
        <v>97104273.290000007</v>
      </c>
      <c r="BQ92" s="189">
        <v>97104273.290000007</v>
      </c>
      <c r="BR92" s="189">
        <v>97104273.290000007</v>
      </c>
      <c r="BS92" s="189">
        <v>96301972.590000004</v>
      </c>
      <c r="BT92" s="189">
        <v>178340964.59</v>
      </c>
      <c r="BU92" s="189">
        <v>178340964.59</v>
      </c>
      <c r="BV92" s="189">
        <v>178340964.59</v>
      </c>
      <c r="BW92" s="189">
        <v>178306060.88999999</v>
      </c>
      <c r="BX92" s="189">
        <v>95869112.349999994</v>
      </c>
      <c r="BY92" s="189">
        <v>95869112.349999994</v>
      </c>
      <c r="BZ92" s="189">
        <v>95869112.349999994</v>
      </c>
      <c r="CA92" s="189">
        <v>95849530.349999994</v>
      </c>
      <c r="CB92" s="189">
        <v>105879530.34999999</v>
      </c>
      <c r="CC92" s="189">
        <v>105870530.34999999</v>
      </c>
      <c r="CD92" s="189">
        <v>105879530.34999999</v>
      </c>
      <c r="CE92" s="189">
        <v>0</v>
      </c>
      <c r="CF92" s="189"/>
      <c r="CG92" s="189"/>
      <c r="CH92" s="189"/>
      <c r="CI92" s="189"/>
      <c r="CJ92" s="189"/>
      <c r="CK92" s="189"/>
      <c r="CL92" s="189"/>
    </row>
    <row r="93" spans="1:90">
      <c r="A93" s="128" t="s">
        <v>64</v>
      </c>
      <c r="B93" s="189">
        <v>0</v>
      </c>
      <c r="C93" s="189">
        <v>0</v>
      </c>
      <c r="D93" s="189">
        <v>0</v>
      </c>
      <c r="E93" s="189">
        <v>0</v>
      </c>
      <c r="F93" s="189">
        <v>0</v>
      </c>
      <c r="G93" s="189">
        <v>0</v>
      </c>
      <c r="H93" s="189">
        <v>0</v>
      </c>
      <c r="I93" s="189">
        <v>0</v>
      </c>
      <c r="J93" s="189">
        <v>0</v>
      </c>
      <c r="K93" s="189">
        <v>0</v>
      </c>
      <c r="L93" s="189">
        <v>0</v>
      </c>
      <c r="M93" s="189">
        <v>0</v>
      </c>
      <c r="N93" s="189">
        <v>0</v>
      </c>
      <c r="O93" s="189">
        <v>0</v>
      </c>
      <c r="P93" s="189">
        <v>0</v>
      </c>
      <c r="Q93" s="189">
        <v>0</v>
      </c>
      <c r="R93" s="189">
        <v>0</v>
      </c>
      <c r="S93" s="189">
        <v>0</v>
      </c>
      <c r="T93" s="189">
        <v>0</v>
      </c>
      <c r="U93" s="189">
        <v>0</v>
      </c>
      <c r="V93" s="189">
        <v>0</v>
      </c>
      <c r="W93" s="189">
        <v>0</v>
      </c>
      <c r="X93" s="189">
        <v>0</v>
      </c>
      <c r="Y93" s="189">
        <v>0</v>
      </c>
      <c r="Z93" s="189">
        <v>0</v>
      </c>
      <c r="AA93" s="189">
        <v>0</v>
      </c>
      <c r="AB93" s="189">
        <v>0</v>
      </c>
      <c r="AC93" s="189">
        <v>0</v>
      </c>
      <c r="AD93" s="189">
        <v>0</v>
      </c>
      <c r="AE93" s="189">
        <v>0</v>
      </c>
      <c r="AF93" s="189">
        <v>0</v>
      </c>
      <c r="AG93" s="189">
        <v>0</v>
      </c>
      <c r="AH93" s="189">
        <v>0</v>
      </c>
      <c r="AI93" s="189">
        <v>0</v>
      </c>
      <c r="AJ93" s="189">
        <v>0</v>
      </c>
      <c r="AK93" s="189">
        <v>0</v>
      </c>
      <c r="AL93" s="189">
        <v>0</v>
      </c>
      <c r="AM93" s="189">
        <v>0</v>
      </c>
      <c r="AN93" s="189">
        <v>0</v>
      </c>
      <c r="AO93" s="189">
        <v>0</v>
      </c>
      <c r="AP93" s="189">
        <v>0</v>
      </c>
      <c r="AQ93" s="189">
        <v>0</v>
      </c>
      <c r="AR93" s="189">
        <v>0</v>
      </c>
      <c r="AS93" s="189">
        <v>0</v>
      </c>
      <c r="AT93" s="189">
        <v>0</v>
      </c>
      <c r="AU93" s="189">
        <v>0</v>
      </c>
      <c r="AV93" s="189">
        <v>0</v>
      </c>
      <c r="AW93" s="189">
        <v>0</v>
      </c>
      <c r="AX93" s="189">
        <v>0</v>
      </c>
      <c r="AY93" s="189">
        <v>0</v>
      </c>
      <c r="AZ93" s="189">
        <v>0</v>
      </c>
      <c r="BA93" s="189">
        <v>0</v>
      </c>
      <c r="BB93" s="189">
        <v>0</v>
      </c>
      <c r="BC93" s="189">
        <v>0</v>
      </c>
      <c r="BD93" s="189">
        <v>0</v>
      </c>
      <c r="BE93" s="189">
        <v>0</v>
      </c>
      <c r="BF93" s="189">
        <v>0</v>
      </c>
      <c r="BG93" s="189">
        <v>0</v>
      </c>
      <c r="BH93" s="189">
        <v>0</v>
      </c>
      <c r="BI93" s="189">
        <v>0</v>
      </c>
      <c r="BJ93" s="189">
        <v>0</v>
      </c>
      <c r="BK93" s="189">
        <v>0</v>
      </c>
      <c r="BL93" s="189">
        <v>0</v>
      </c>
      <c r="BM93" s="189">
        <v>0</v>
      </c>
      <c r="BN93" s="189">
        <v>0</v>
      </c>
      <c r="BO93" s="189">
        <v>0</v>
      </c>
      <c r="BP93" s="189">
        <v>0</v>
      </c>
      <c r="BQ93" s="189">
        <v>0</v>
      </c>
      <c r="BR93" s="189">
        <v>0</v>
      </c>
      <c r="BS93" s="189">
        <v>0</v>
      </c>
      <c r="BT93" s="189">
        <v>0</v>
      </c>
      <c r="BU93" s="189">
        <v>0</v>
      </c>
      <c r="BV93" s="189">
        <v>0</v>
      </c>
      <c r="BW93" s="189">
        <v>0</v>
      </c>
      <c r="BX93" s="189">
        <v>0</v>
      </c>
      <c r="BY93" s="189">
        <v>0</v>
      </c>
      <c r="BZ93" s="189">
        <v>0</v>
      </c>
      <c r="CA93" s="189">
        <v>0</v>
      </c>
      <c r="CB93" s="189">
        <v>0</v>
      </c>
      <c r="CC93" s="189">
        <v>0</v>
      </c>
      <c r="CD93" s="189">
        <v>0</v>
      </c>
      <c r="CE93" s="189">
        <v>0</v>
      </c>
      <c r="CF93" s="189">
        <v>0</v>
      </c>
      <c r="CG93" s="189">
        <v>0</v>
      </c>
      <c r="CH93" s="189">
        <v>0</v>
      </c>
      <c r="CI93" s="189">
        <v>0</v>
      </c>
      <c r="CJ93" s="189">
        <v>0</v>
      </c>
      <c r="CK93" s="189">
        <v>0</v>
      </c>
      <c r="CL93" s="189">
        <v>0</v>
      </c>
    </row>
    <row r="94" spans="1:90">
      <c r="A94" s="128" t="s">
        <v>65</v>
      </c>
      <c r="B94" s="189">
        <v>0</v>
      </c>
      <c r="C94" s="189">
        <v>0</v>
      </c>
      <c r="D94" s="189">
        <v>0</v>
      </c>
      <c r="E94" s="189">
        <v>0</v>
      </c>
      <c r="F94" s="189">
        <v>0</v>
      </c>
      <c r="G94" s="189">
        <v>0</v>
      </c>
      <c r="H94" s="189">
        <v>0</v>
      </c>
      <c r="I94" s="189">
        <v>0</v>
      </c>
      <c r="J94" s="189">
        <v>0</v>
      </c>
      <c r="K94" s="189">
        <v>0</v>
      </c>
      <c r="L94" s="189">
        <v>0</v>
      </c>
      <c r="M94" s="189">
        <v>0</v>
      </c>
      <c r="N94" s="189">
        <v>0</v>
      </c>
      <c r="O94" s="189">
        <v>0</v>
      </c>
      <c r="P94" s="189">
        <v>0</v>
      </c>
      <c r="Q94" s="189">
        <v>0</v>
      </c>
      <c r="R94" s="189">
        <v>0</v>
      </c>
      <c r="S94" s="189">
        <v>0</v>
      </c>
      <c r="T94" s="189">
        <v>0</v>
      </c>
      <c r="U94" s="189">
        <v>0</v>
      </c>
      <c r="V94" s="189">
        <v>0</v>
      </c>
      <c r="W94" s="189">
        <v>0</v>
      </c>
      <c r="X94" s="189">
        <v>0</v>
      </c>
      <c r="Y94" s="189">
        <v>0</v>
      </c>
      <c r="Z94" s="189">
        <v>0</v>
      </c>
      <c r="AA94" s="189">
        <v>0</v>
      </c>
      <c r="AB94" s="189">
        <v>0</v>
      </c>
      <c r="AC94" s="189">
        <v>0</v>
      </c>
      <c r="AD94" s="189">
        <v>0</v>
      </c>
      <c r="AE94" s="189">
        <v>0</v>
      </c>
      <c r="AF94" s="189">
        <v>0</v>
      </c>
      <c r="AG94" s="189">
        <v>0</v>
      </c>
      <c r="AH94" s="189">
        <v>0</v>
      </c>
      <c r="AI94" s="189">
        <v>0</v>
      </c>
      <c r="AJ94" s="189">
        <v>0</v>
      </c>
      <c r="AK94" s="189">
        <v>0</v>
      </c>
      <c r="AL94" s="189">
        <v>0</v>
      </c>
      <c r="AM94" s="189">
        <v>0</v>
      </c>
      <c r="AN94" s="189">
        <v>0</v>
      </c>
      <c r="AO94" s="189">
        <v>0</v>
      </c>
      <c r="AP94" s="189">
        <v>0</v>
      </c>
      <c r="AQ94" s="189">
        <v>0</v>
      </c>
      <c r="AR94" s="189">
        <v>0</v>
      </c>
      <c r="AS94" s="189">
        <v>0</v>
      </c>
      <c r="AT94" s="189">
        <v>0</v>
      </c>
      <c r="AU94" s="189">
        <v>0</v>
      </c>
      <c r="AV94" s="189">
        <v>0</v>
      </c>
      <c r="AW94" s="189">
        <v>0</v>
      </c>
      <c r="AX94" s="189">
        <v>0</v>
      </c>
      <c r="AY94" s="189">
        <v>0</v>
      </c>
      <c r="AZ94" s="189">
        <v>0</v>
      </c>
      <c r="BA94" s="189">
        <v>0</v>
      </c>
      <c r="BB94" s="189">
        <v>0</v>
      </c>
      <c r="BC94" s="189">
        <v>0</v>
      </c>
      <c r="BD94" s="189">
        <v>0</v>
      </c>
      <c r="BE94" s="189">
        <v>0</v>
      </c>
      <c r="BF94" s="189">
        <v>0</v>
      </c>
      <c r="BG94" s="189">
        <v>0</v>
      </c>
      <c r="BH94" s="189">
        <v>0</v>
      </c>
      <c r="BI94" s="189">
        <v>0</v>
      </c>
      <c r="BJ94" s="189">
        <v>0</v>
      </c>
      <c r="BK94" s="189">
        <v>0</v>
      </c>
      <c r="BL94" s="189">
        <v>0</v>
      </c>
      <c r="BM94" s="189">
        <v>0</v>
      </c>
      <c r="BN94" s="189">
        <v>0</v>
      </c>
      <c r="BO94" s="189">
        <v>0</v>
      </c>
      <c r="BP94" s="189">
        <v>0</v>
      </c>
      <c r="BQ94" s="189">
        <v>0</v>
      </c>
      <c r="BR94" s="189">
        <v>0</v>
      </c>
      <c r="BS94" s="189">
        <v>0</v>
      </c>
      <c r="BT94" s="189">
        <v>0</v>
      </c>
      <c r="BU94" s="189">
        <v>0</v>
      </c>
      <c r="BV94" s="189">
        <v>0</v>
      </c>
      <c r="BW94" s="189">
        <v>0</v>
      </c>
      <c r="BX94" s="189">
        <v>0</v>
      </c>
      <c r="BY94" s="189">
        <v>0</v>
      </c>
      <c r="BZ94" s="189">
        <v>0</v>
      </c>
      <c r="CA94" s="189">
        <v>0</v>
      </c>
      <c r="CB94" s="189">
        <v>0</v>
      </c>
      <c r="CC94" s="189">
        <v>0</v>
      </c>
      <c r="CD94" s="189">
        <v>0</v>
      </c>
      <c r="CE94" s="189">
        <v>0</v>
      </c>
      <c r="CF94" s="189">
        <v>0</v>
      </c>
      <c r="CG94" s="189">
        <v>0</v>
      </c>
      <c r="CH94" s="189">
        <v>0</v>
      </c>
      <c r="CI94" s="189">
        <v>0</v>
      </c>
      <c r="CJ94" s="189">
        <v>0</v>
      </c>
      <c r="CK94" s="189">
        <v>0</v>
      </c>
      <c r="CL94" s="189">
        <v>0</v>
      </c>
    </row>
    <row r="95" spans="1:90">
      <c r="A95" s="128" t="s">
        <v>66</v>
      </c>
      <c r="B95" s="189">
        <v>0</v>
      </c>
      <c r="C95" s="189">
        <v>0</v>
      </c>
      <c r="D95" s="189">
        <v>0</v>
      </c>
      <c r="E95" s="189">
        <v>0</v>
      </c>
      <c r="F95" s="189">
        <v>0</v>
      </c>
      <c r="G95" s="189">
        <v>0</v>
      </c>
      <c r="H95" s="189">
        <v>0</v>
      </c>
      <c r="I95" s="189">
        <v>0</v>
      </c>
      <c r="J95" s="189">
        <v>0</v>
      </c>
      <c r="K95" s="189">
        <v>0</v>
      </c>
      <c r="L95" s="189">
        <v>0</v>
      </c>
      <c r="M95" s="189">
        <v>0</v>
      </c>
      <c r="N95" s="189">
        <v>0</v>
      </c>
      <c r="O95" s="189">
        <v>0</v>
      </c>
      <c r="P95" s="189">
        <v>0</v>
      </c>
      <c r="Q95" s="189">
        <v>0</v>
      </c>
      <c r="R95" s="189">
        <v>0</v>
      </c>
      <c r="S95" s="189">
        <v>0</v>
      </c>
      <c r="T95" s="189">
        <v>0</v>
      </c>
      <c r="U95" s="189">
        <v>0</v>
      </c>
      <c r="V95" s="189">
        <v>0</v>
      </c>
      <c r="W95" s="189">
        <v>0</v>
      </c>
      <c r="X95" s="189">
        <v>0</v>
      </c>
      <c r="Y95" s="189">
        <v>0</v>
      </c>
      <c r="Z95" s="189">
        <v>0</v>
      </c>
      <c r="AA95" s="189">
        <v>0</v>
      </c>
      <c r="AB95" s="189">
        <v>0</v>
      </c>
      <c r="AC95" s="189">
        <v>0</v>
      </c>
      <c r="AD95" s="189">
        <v>0</v>
      </c>
      <c r="AE95" s="189">
        <v>0</v>
      </c>
      <c r="AF95" s="189">
        <v>0</v>
      </c>
      <c r="AG95" s="189">
        <v>0</v>
      </c>
      <c r="AH95" s="189">
        <v>0</v>
      </c>
      <c r="AI95" s="189">
        <v>0</v>
      </c>
      <c r="AJ95" s="189">
        <v>0</v>
      </c>
      <c r="AK95" s="189">
        <v>0</v>
      </c>
      <c r="AL95" s="189">
        <v>0</v>
      </c>
      <c r="AM95" s="189">
        <v>0</v>
      </c>
      <c r="AN95" s="189">
        <v>0</v>
      </c>
      <c r="AO95" s="189">
        <v>0</v>
      </c>
      <c r="AP95" s="189">
        <v>0</v>
      </c>
      <c r="AQ95" s="189">
        <v>0</v>
      </c>
      <c r="AR95" s="189">
        <v>0</v>
      </c>
      <c r="AS95" s="189">
        <v>0</v>
      </c>
      <c r="AT95" s="189">
        <v>0</v>
      </c>
      <c r="AU95" s="189">
        <v>0</v>
      </c>
      <c r="AV95" s="189">
        <v>0</v>
      </c>
      <c r="AW95" s="189">
        <v>0</v>
      </c>
      <c r="AX95" s="189">
        <v>0</v>
      </c>
      <c r="AY95" s="189">
        <v>0</v>
      </c>
      <c r="AZ95" s="189">
        <v>0</v>
      </c>
      <c r="BA95" s="189">
        <v>0</v>
      </c>
      <c r="BB95" s="189">
        <v>0</v>
      </c>
      <c r="BC95" s="189">
        <v>0</v>
      </c>
      <c r="BD95" s="189">
        <v>0</v>
      </c>
      <c r="BE95" s="189">
        <v>0</v>
      </c>
      <c r="BF95" s="189">
        <v>0</v>
      </c>
      <c r="BG95" s="189">
        <v>0</v>
      </c>
      <c r="BH95" s="189">
        <v>0</v>
      </c>
      <c r="BI95" s="189">
        <v>0</v>
      </c>
      <c r="BJ95" s="189">
        <v>0</v>
      </c>
      <c r="BK95" s="189">
        <v>0</v>
      </c>
      <c r="BL95" s="189">
        <v>0</v>
      </c>
      <c r="BM95" s="189">
        <v>0</v>
      </c>
      <c r="BN95" s="189">
        <v>0</v>
      </c>
      <c r="BO95" s="189">
        <v>0</v>
      </c>
      <c r="BP95" s="189">
        <v>0</v>
      </c>
      <c r="BQ95" s="189">
        <v>0</v>
      </c>
      <c r="BR95" s="189">
        <v>0</v>
      </c>
      <c r="BS95" s="189">
        <v>0</v>
      </c>
      <c r="BT95" s="189">
        <v>0</v>
      </c>
      <c r="BU95" s="189">
        <v>0</v>
      </c>
      <c r="BV95" s="189">
        <v>0</v>
      </c>
      <c r="BW95" s="189">
        <v>0</v>
      </c>
      <c r="BX95" s="189">
        <v>0</v>
      </c>
      <c r="BY95" s="189">
        <v>0</v>
      </c>
      <c r="BZ95" s="189">
        <v>0</v>
      </c>
      <c r="CA95" s="189">
        <v>0</v>
      </c>
      <c r="CB95" s="189">
        <v>0</v>
      </c>
      <c r="CC95" s="189">
        <v>0</v>
      </c>
      <c r="CD95" s="189">
        <v>0</v>
      </c>
      <c r="CE95" s="189">
        <v>0</v>
      </c>
      <c r="CF95" s="189">
        <v>0</v>
      </c>
      <c r="CG95" s="189">
        <v>0</v>
      </c>
      <c r="CH95" s="189">
        <v>0</v>
      </c>
      <c r="CI95" s="189">
        <v>0</v>
      </c>
      <c r="CJ95" s="189">
        <v>0</v>
      </c>
      <c r="CK95" s="189">
        <v>0</v>
      </c>
      <c r="CL95" s="189">
        <v>0</v>
      </c>
    </row>
    <row r="96" spans="1:90">
      <c r="A96" s="128" t="s">
        <v>67</v>
      </c>
      <c r="B96" s="189">
        <v>215560026.36000001</v>
      </c>
      <c r="C96" s="189">
        <v>73245080.609999999</v>
      </c>
      <c r="D96" s="189">
        <v>73245080.609999999</v>
      </c>
      <c r="E96" s="189">
        <v>73245080.609999999</v>
      </c>
      <c r="F96" s="189">
        <v>73245080.609999999</v>
      </c>
      <c r="G96" s="189">
        <v>69403205.980000004</v>
      </c>
      <c r="H96" s="189">
        <v>69403205.980000004</v>
      </c>
      <c r="I96" s="189">
        <v>69403205.980000004</v>
      </c>
      <c r="J96" s="189">
        <v>69403205.980000004</v>
      </c>
      <c r="K96" s="189">
        <v>51850937.530000001</v>
      </c>
      <c r="L96" s="189">
        <v>51850937.530000001</v>
      </c>
      <c r="M96" s="189">
        <v>51850937.530000001</v>
      </c>
      <c r="N96" s="189">
        <v>51850937.530000001</v>
      </c>
      <c r="O96" s="189">
        <v>47586379.82</v>
      </c>
      <c r="P96" s="189">
        <v>47586379.82</v>
      </c>
      <c r="Q96" s="189">
        <v>47586379.82</v>
      </c>
      <c r="R96" s="189">
        <v>47586379.82</v>
      </c>
      <c r="S96" s="189">
        <v>40522611.950000003</v>
      </c>
      <c r="T96" s="189">
        <v>40522611.950000003</v>
      </c>
      <c r="U96" s="189">
        <v>40522611.950000003</v>
      </c>
      <c r="V96" s="189">
        <v>40522611.950000003</v>
      </c>
      <c r="W96" s="189">
        <v>33518011.359999999</v>
      </c>
      <c r="X96" s="189">
        <v>33518011.359999999</v>
      </c>
      <c r="Y96" s="189">
        <v>33518011.359999999</v>
      </c>
      <c r="Z96" s="189">
        <v>33518011.359999999</v>
      </c>
      <c r="AA96" s="189">
        <v>27422398.620000001</v>
      </c>
      <c r="AB96" s="189">
        <v>27422398.620000001</v>
      </c>
      <c r="AC96" s="189">
        <v>27422398.620000001</v>
      </c>
      <c r="AD96" s="189">
        <v>27422398.620000001</v>
      </c>
      <c r="AE96" s="189">
        <v>22478965.25</v>
      </c>
      <c r="AF96" s="189">
        <v>22478965.25</v>
      </c>
      <c r="AG96" s="189">
        <v>22478965.25</v>
      </c>
      <c r="AH96" s="189">
        <v>22478965.25</v>
      </c>
      <c r="AI96" s="189">
        <v>18452100.649999999</v>
      </c>
      <c r="AJ96" s="189">
        <v>18452100.649999999</v>
      </c>
      <c r="AK96" s="189">
        <v>18452100.649999999</v>
      </c>
      <c r="AL96" s="189">
        <v>18452100.649999999</v>
      </c>
      <c r="AM96" s="189">
        <v>17287829.239999998</v>
      </c>
      <c r="AN96" s="189">
        <v>17287829.239999998</v>
      </c>
      <c r="AO96" s="189">
        <v>17287829.239999998</v>
      </c>
      <c r="AP96" s="189">
        <v>17287829.239999998</v>
      </c>
      <c r="AQ96" s="189">
        <v>17287829.239999998</v>
      </c>
      <c r="AR96" s="189">
        <v>17287829.239999998</v>
      </c>
      <c r="AS96" s="189">
        <v>17287829.239999998</v>
      </c>
      <c r="AT96" s="189">
        <v>17287829.239999998</v>
      </c>
      <c r="AU96" s="189">
        <v>17287829.239999998</v>
      </c>
      <c r="AV96" s="189">
        <v>17287829.239999998</v>
      </c>
      <c r="AW96" s="189">
        <v>17287829.239999998</v>
      </c>
      <c r="AX96" s="189">
        <v>17287829.239999998</v>
      </c>
      <c r="AY96" s="189">
        <v>17287829.239999998</v>
      </c>
      <c r="AZ96" s="189">
        <v>17287829.239999998</v>
      </c>
      <c r="BA96" s="189">
        <v>17287829.239999998</v>
      </c>
      <c r="BB96" s="189">
        <v>17287829.239999998</v>
      </c>
      <c r="BC96" s="189">
        <v>17287829.239999998</v>
      </c>
      <c r="BD96" s="189">
        <v>17287829.239999998</v>
      </c>
      <c r="BE96" s="189">
        <v>17287829.239999998</v>
      </c>
      <c r="BF96" s="189">
        <v>17287829.239999998</v>
      </c>
      <c r="BG96" s="189">
        <v>17287829.239999998</v>
      </c>
      <c r="BH96" s="189">
        <v>17287829.239999998</v>
      </c>
      <c r="BI96" s="189">
        <v>17287829.239999998</v>
      </c>
      <c r="BJ96" s="189">
        <v>17311521.82</v>
      </c>
      <c r="BK96" s="189">
        <v>16986154.039999999</v>
      </c>
      <c r="BL96" s="189">
        <v>17040845.239999998</v>
      </c>
      <c r="BM96" s="189">
        <v>17184905.32</v>
      </c>
      <c r="BN96" s="189">
        <v>17309609.32</v>
      </c>
      <c r="BO96" s="189">
        <v>18441962.489999998</v>
      </c>
      <c r="BP96" s="189">
        <v>18689054.690000001</v>
      </c>
      <c r="BQ96" s="189">
        <v>19033458.16</v>
      </c>
      <c r="BR96" s="189">
        <v>19033458.16</v>
      </c>
      <c r="BS96" s="189">
        <v>20777452.41</v>
      </c>
      <c r="BT96" s="189">
        <v>19028994.07</v>
      </c>
      <c r="BU96" s="189">
        <v>16355714.449999999</v>
      </c>
      <c r="BV96" s="189">
        <v>14964104.49</v>
      </c>
      <c r="BW96" s="189">
        <v>16412665.289999999</v>
      </c>
      <c r="BX96" s="189">
        <v>14854995.43</v>
      </c>
      <c r="BY96" s="189">
        <v>15470105.5</v>
      </c>
      <c r="BZ96" s="189">
        <v>13586814.189999999</v>
      </c>
      <c r="CA96" s="189">
        <v>20302916.600000001</v>
      </c>
      <c r="CB96" s="189">
        <v>20302193.140000001</v>
      </c>
      <c r="CC96" s="189">
        <v>11783864.300000001</v>
      </c>
      <c r="CD96" s="189">
        <v>11783864.300000001</v>
      </c>
      <c r="CE96" s="189">
        <v>0</v>
      </c>
      <c r="CF96" s="189">
        <v>0</v>
      </c>
      <c r="CG96" s="189">
        <v>1136843.69</v>
      </c>
      <c r="CH96" s="189">
        <v>0</v>
      </c>
      <c r="CI96" s="189">
        <v>0</v>
      </c>
      <c r="CJ96" s="189">
        <v>0</v>
      </c>
      <c r="CK96" s="189">
        <v>0</v>
      </c>
      <c r="CL96" s="189">
        <v>0</v>
      </c>
    </row>
    <row r="97" spans="1:90">
      <c r="A97" s="128" t="s">
        <v>68</v>
      </c>
      <c r="B97" s="189">
        <v>0</v>
      </c>
      <c r="C97" s="189">
        <v>0</v>
      </c>
      <c r="D97" s="189">
        <v>0</v>
      </c>
      <c r="E97" s="189">
        <v>0</v>
      </c>
      <c r="F97" s="189">
        <v>0</v>
      </c>
      <c r="G97" s="189">
        <v>0</v>
      </c>
      <c r="H97" s="189">
        <v>0</v>
      </c>
      <c r="I97" s="189">
        <v>0</v>
      </c>
      <c r="J97" s="189">
        <v>0</v>
      </c>
      <c r="K97" s="189">
        <v>0</v>
      </c>
      <c r="L97" s="189">
        <v>0</v>
      </c>
      <c r="M97" s="189">
        <v>0</v>
      </c>
      <c r="N97" s="189">
        <v>0</v>
      </c>
      <c r="O97" s="189">
        <v>0</v>
      </c>
      <c r="P97" s="189">
        <v>0</v>
      </c>
      <c r="Q97" s="189">
        <v>0</v>
      </c>
      <c r="R97" s="189">
        <v>0</v>
      </c>
      <c r="S97" s="189">
        <v>0</v>
      </c>
      <c r="T97" s="189">
        <v>0</v>
      </c>
      <c r="U97" s="189">
        <v>0</v>
      </c>
      <c r="V97" s="189">
        <v>0</v>
      </c>
      <c r="W97" s="189">
        <v>0</v>
      </c>
      <c r="X97" s="189">
        <v>0</v>
      </c>
      <c r="Y97" s="189">
        <v>0</v>
      </c>
      <c r="Z97" s="189">
        <v>0</v>
      </c>
      <c r="AA97" s="189">
        <v>0</v>
      </c>
      <c r="AB97" s="189">
        <v>0</v>
      </c>
      <c r="AC97" s="189">
        <v>0</v>
      </c>
      <c r="AD97" s="189">
        <v>0</v>
      </c>
      <c r="AE97" s="189">
        <v>0</v>
      </c>
      <c r="AF97" s="189">
        <v>0</v>
      </c>
      <c r="AG97" s="189">
        <v>0</v>
      </c>
      <c r="AH97" s="189">
        <v>0</v>
      </c>
      <c r="AI97" s="189">
        <v>0</v>
      </c>
      <c r="AJ97" s="189">
        <v>0</v>
      </c>
      <c r="AK97" s="189">
        <v>0</v>
      </c>
      <c r="AL97" s="189">
        <v>0</v>
      </c>
      <c r="AM97" s="189">
        <v>0</v>
      </c>
      <c r="AN97" s="189">
        <v>0</v>
      </c>
      <c r="AO97" s="189">
        <v>0</v>
      </c>
      <c r="AP97" s="189">
        <v>0</v>
      </c>
      <c r="AQ97" s="189">
        <v>0</v>
      </c>
      <c r="AR97" s="189">
        <v>0</v>
      </c>
      <c r="AS97" s="189">
        <v>0</v>
      </c>
      <c r="AT97" s="189">
        <v>0</v>
      </c>
      <c r="AU97" s="189">
        <v>0</v>
      </c>
      <c r="AV97" s="189">
        <v>0</v>
      </c>
      <c r="AW97" s="189">
        <v>0</v>
      </c>
      <c r="AX97" s="189">
        <v>0</v>
      </c>
      <c r="AY97" s="189">
        <v>0</v>
      </c>
      <c r="AZ97" s="189">
        <v>0</v>
      </c>
      <c r="BA97" s="189">
        <v>0</v>
      </c>
      <c r="BB97" s="189">
        <v>0</v>
      </c>
      <c r="BC97" s="189">
        <v>0</v>
      </c>
      <c r="BD97" s="189">
        <v>0</v>
      </c>
      <c r="BE97" s="189">
        <v>0</v>
      </c>
      <c r="BF97" s="189">
        <v>0</v>
      </c>
      <c r="BG97" s="189">
        <v>0</v>
      </c>
      <c r="BH97" s="189">
        <v>0</v>
      </c>
      <c r="BI97" s="189">
        <v>0</v>
      </c>
      <c r="BJ97" s="189">
        <v>0</v>
      </c>
      <c r="BK97" s="189">
        <v>0</v>
      </c>
      <c r="BL97" s="189">
        <v>0</v>
      </c>
      <c r="BM97" s="189">
        <v>0</v>
      </c>
      <c r="BN97" s="189">
        <v>0</v>
      </c>
      <c r="BO97" s="189">
        <v>0</v>
      </c>
      <c r="BP97" s="189">
        <v>0</v>
      </c>
      <c r="BQ97" s="189">
        <v>0</v>
      </c>
      <c r="BR97" s="189">
        <v>0</v>
      </c>
      <c r="BS97" s="189">
        <v>0</v>
      </c>
      <c r="BT97" s="189">
        <v>0</v>
      </c>
      <c r="BU97" s="189">
        <v>0</v>
      </c>
      <c r="BV97" s="189">
        <v>0</v>
      </c>
      <c r="BW97" s="189">
        <v>0</v>
      </c>
      <c r="BX97" s="189">
        <v>0</v>
      </c>
      <c r="BY97" s="189">
        <v>0</v>
      </c>
      <c r="BZ97" s="189">
        <v>0</v>
      </c>
      <c r="CA97" s="189">
        <v>0</v>
      </c>
      <c r="CB97" s="189">
        <v>0</v>
      </c>
      <c r="CC97" s="189">
        <v>0</v>
      </c>
      <c r="CD97" s="189">
        <v>0</v>
      </c>
      <c r="CE97" s="189">
        <v>0</v>
      </c>
      <c r="CF97" s="189">
        <v>0</v>
      </c>
      <c r="CG97" s="189">
        <v>0</v>
      </c>
      <c r="CH97" s="189">
        <v>0</v>
      </c>
      <c r="CI97" s="189">
        <v>0</v>
      </c>
      <c r="CJ97" s="189">
        <v>0</v>
      </c>
      <c r="CK97" s="189">
        <v>0</v>
      </c>
      <c r="CL97" s="189">
        <v>0</v>
      </c>
    </row>
    <row r="98" spans="1:90">
      <c r="A98" s="128" t="s">
        <v>69</v>
      </c>
      <c r="B98" s="189">
        <v>1638155591.1600001</v>
      </c>
      <c r="C98" s="189">
        <v>1761595929.0599999</v>
      </c>
      <c r="D98" s="189">
        <v>580844395.88</v>
      </c>
      <c r="E98" s="189">
        <v>647938198.60000002</v>
      </c>
      <c r="F98" s="189">
        <v>587790274.44000006</v>
      </c>
      <c r="G98" s="189">
        <v>557733945</v>
      </c>
      <c r="H98" s="189">
        <v>529370998.29000002</v>
      </c>
      <c r="I98" s="189">
        <v>422476335.79000002</v>
      </c>
      <c r="J98" s="189">
        <v>405282297.91000003</v>
      </c>
      <c r="K98" s="189">
        <v>415482044.67000002</v>
      </c>
      <c r="L98" s="189">
        <v>400441402.26999998</v>
      </c>
      <c r="M98" s="189">
        <v>384277186.19999999</v>
      </c>
      <c r="N98" s="189">
        <v>360395722.58999997</v>
      </c>
      <c r="O98" s="189">
        <v>356472245.16000003</v>
      </c>
      <c r="P98" s="189">
        <v>335067334.75</v>
      </c>
      <c r="Q98" s="189">
        <v>310640966.25999999</v>
      </c>
      <c r="R98" s="189">
        <v>280175330.33999997</v>
      </c>
      <c r="S98" s="189">
        <v>270561578.44999999</v>
      </c>
      <c r="T98" s="189">
        <v>242241284.56999999</v>
      </c>
      <c r="U98" s="189">
        <v>253880622.13</v>
      </c>
      <c r="V98" s="189">
        <v>220209082.44999999</v>
      </c>
      <c r="W98" s="189">
        <v>204615724.11000001</v>
      </c>
      <c r="X98" s="189">
        <v>181760697.94</v>
      </c>
      <c r="Y98" s="189">
        <v>202314639.22999999</v>
      </c>
      <c r="Z98" s="189">
        <v>132436829.45999999</v>
      </c>
      <c r="AA98" s="189">
        <v>127025084.48999999</v>
      </c>
      <c r="AB98" s="189">
        <v>117096879.48999999</v>
      </c>
      <c r="AC98" s="189">
        <v>107173349.37</v>
      </c>
      <c r="AD98" s="189">
        <v>78842065.700000003</v>
      </c>
      <c r="AE98" s="189">
        <v>76997312.950000003</v>
      </c>
      <c r="AF98" s="189">
        <v>65703538.990000002</v>
      </c>
      <c r="AG98" s="189">
        <v>59016969.149999999</v>
      </c>
      <c r="AH98" s="189">
        <v>36770428.420000002</v>
      </c>
      <c r="AI98" s="189">
        <v>32872372.66</v>
      </c>
      <c r="AJ98" s="189">
        <v>27294825.09</v>
      </c>
      <c r="AK98" s="189">
        <v>25862558.010000002</v>
      </c>
      <c r="AL98" s="189">
        <v>4722349.09</v>
      </c>
      <c r="AM98" s="189">
        <v>3274797.5</v>
      </c>
      <c r="AN98" s="189">
        <v>-3893323.5</v>
      </c>
      <c r="AO98" s="189">
        <v>-9266876.5899999999</v>
      </c>
      <c r="AP98" s="189">
        <v>-18784875.949999999</v>
      </c>
      <c r="AQ98" s="189">
        <v>-25238024.379999999</v>
      </c>
      <c r="AR98" s="189">
        <v>-27147080.52</v>
      </c>
      <c r="AS98" s="189">
        <v>-28773789.940000001</v>
      </c>
      <c r="AT98" s="189">
        <v>-46607626.109999999</v>
      </c>
      <c r="AU98" s="189">
        <v>-61025218.630000003</v>
      </c>
      <c r="AV98" s="189">
        <v>-67613212.859999999</v>
      </c>
      <c r="AW98" s="189">
        <v>-62459376.32</v>
      </c>
      <c r="AX98" s="189">
        <v>-77063603.700000003</v>
      </c>
      <c r="AY98" s="189">
        <v>-79720718.219999999</v>
      </c>
      <c r="AZ98" s="189">
        <v>-86757973.989999995</v>
      </c>
      <c r="BA98" s="189">
        <v>-103607599.81999999</v>
      </c>
      <c r="BB98" s="189">
        <v>-107221773.26000001</v>
      </c>
      <c r="BC98" s="189">
        <v>-101256896.05</v>
      </c>
      <c r="BD98" s="189">
        <v>-101519138.08</v>
      </c>
      <c r="BE98" s="189">
        <v>-104902765.52</v>
      </c>
      <c r="BF98" s="189">
        <v>-111414070.27</v>
      </c>
      <c r="BG98" s="189">
        <v>0</v>
      </c>
      <c r="BH98" s="189">
        <v>-109909259.98999999</v>
      </c>
      <c r="BI98" s="189">
        <v>-112681937.59</v>
      </c>
      <c r="BJ98" s="189">
        <v>-115582786.53</v>
      </c>
      <c r="BK98" s="189">
        <v>-145236840.63999999</v>
      </c>
      <c r="BL98" s="189">
        <v>-132275536.38</v>
      </c>
      <c r="BM98" s="189">
        <v>-122855240.56999999</v>
      </c>
      <c r="BN98" s="189">
        <v>-117473994.67</v>
      </c>
      <c r="BO98" s="189">
        <v>-65516964.200000003</v>
      </c>
      <c r="BP98" s="189">
        <v>-48703463.710000001</v>
      </c>
      <c r="BQ98" s="189">
        <v>-39002140.43</v>
      </c>
      <c r="BR98" s="189">
        <v>-39161567.020000003</v>
      </c>
      <c r="BS98" s="189">
        <v>11084054.41</v>
      </c>
      <c r="BT98" s="189">
        <v>47421689.710000001</v>
      </c>
      <c r="BU98" s="189">
        <v>31358856.039999999</v>
      </c>
      <c r="BV98" s="189">
        <v>23473066.289999999</v>
      </c>
      <c r="BW98" s="189">
        <v>33890790.350000001</v>
      </c>
      <c r="BX98" s="189">
        <v>25063994.5</v>
      </c>
      <c r="BY98" s="189">
        <v>32555951.550000001</v>
      </c>
      <c r="BZ98" s="189">
        <v>21883967.449999999</v>
      </c>
      <c r="CA98" s="189">
        <v>15217187.800000001</v>
      </c>
      <c r="CB98" s="189">
        <v>21381779.190000001</v>
      </c>
      <c r="CC98" s="189">
        <v>14772790.119999999</v>
      </c>
      <c r="CD98" s="189">
        <v>3711249.1</v>
      </c>
      <c r="CE98" s="189">
        <v>0</v>
      </c>
      <c r="CF98" s="189">
        <v>0</v>
      </c>
      <c r="CG98" s="189">
        <v>12975517.09</v>
      </c>
      <c r="CH98" s="189">
        <v>0</v>
      </c>
      <c r="CI98" s="189">
        <v>0</v>
      </c>
      <c r="CJ98" s="189">
        <v>0</v>
      </c>
      <c r="CK98" s="189">
        <v>0</v>
      </c>
      <c r="CL98" s="189">
        <v>0</v>
      </c>
    </row>
    <row r="99" spans="1:90">
      <c r="A99" s="128" t="s">
        <v>70</v>
      </c>
      <c r="B99" s="189">
        <v>709483.94</v>
      </c>
      <c r="C99" s="189">
        <v>376167.14</v>
      </c>
      <c r="D99" s="189">
        <v>376167.14</v>
      </c>
      <c r="E99" s="189">
        <v>313594.14</v>
      </c>
      <c r="F99" s="189">
        <v>313594.14</v>
      </c>
      <c r="G99" s="189">
        <v>313594.14</v>
      </c>
      <c r="H99" s="189">
        <v>269793.03999999998</v>
      </c>
      <c r="I99" s="189">
        <v>269793.03999999998</v>
      </c>
      <c r="J99" s="189">
        <v>269793.03999999998</v>
      </c>
      <c r="K99" s="189">
        <v>269793.03999999998</v>
      </c>
      <c r="L99" s="189">
        <v>269793.03999999998</v>
      </c>
      <c r="M99" s="189">
        <v>269793.03999999998</v>
      </c>
      <c r="N99" s="189">
        <v>269793.03999999998</v>
      </c>
      <c r="O99" s="189">
        <v>269793.03999999998</v>
      </c>
      <c r="P99" s="189">
        <v>269793.03999999998</v>
      </c>
      <c r="Q99" s="189">
        <v>269793.03999999998</v>
      </c>
      <c r="R99" s="189">
        <v>269793.03999999998</v>
      </c>
      <c r="S99" s="189">
        <v>269793.03999999998</v>
      </c>
      <c r="T99" s="189">
        <v>1263819.04</v>
      </c>
      <c r="U99" s="189">
        <v>202889.04</v>
      </c>
      <c r="V99" s="189">
        <v>202889.04</v>
      </c>
      <c r="W99" s="189">
        <v>214121.04</v>
      </c>
      <c r="X99" s="189">
        <v>214121.04</v>
      </c>
      <c r="Y99" s="189">
        <v>122604.24</v>
      </c>
      <c r="Z99" s="189">
        <v>122604.24</v>
      </c>
      <c r="AA99" s="189">
        <v>122604.24</v>
      </c>
      <c r="AB99" s="189">
        <v>122604.24</v>
      </c>
      <c r="AC99" s="189">
        <v>122604.24</v>
      </c>
      <c r="AD99" s="189">
        <v>122604.24</v>
      </c>
      <c r="AE99" s="189">
        <v>122604.24</v>
      </c>
      <c r="AF99" s="189">
        <v>122604.24</v>
      </c>
      <c r="AG99" s="189">
        <v>122604.24</v>
      </c>
      <c r="AH99" s="189">
        <v>122604.24</v>
      </c>
      <c r="AI99" s="189">
        <v>122604.24</v>
      </c>
      <c r="AJ99" s="189">
        <v>122604.24</v>
      </c>
      <c r="AK99" s="189">
        <v>122604.24</v>
      </c>
      <c r="AL99" s="189">
        <v>122604.24</v>
      </c>
      <c r="AM99" s="189">
        <v>122604.24</v>
      </c>
      <c r="AN99" s="189">
        <v>0</v>
      </c>
      <c r="AO99" s="189">
        <v>122604.24</v>
      </c>
      <c r="AP99" s="189">
        <v>0</v>
      </c>
      <c r="AQ99" s="189">
        <v>122604.24</v>
      </c>
      <c r="AR99" s="189">
        <v>122604.24</v>
      </c>
      <c r="AS99" s="189">
        <v>122604.24</v>
      </c>
      <c r="AT99" s="189">
        <v>122604.24</v>
      </c>
      <c r="AU99" s="189">
        <v>122604.24</v>
      </c>
      <c r="AV99" s="189">
        <v>122604.24</v>
      </c>
      <c r="AW99" s="189">
        <v>122604.24</v>
      </c>
      <c r="AX99" s="189">
        <v>122604.24</v>
      </c>
      <c r="AY99" s="189">
        <v>122604.24</v>
      </c>
      <c r="AZ99" s="189">
        <v>122604.24</v>
      </c>
      <c r="BA99" s="189">
        <v>122604.24</v>
      </c>
      <c r="BB99" s="189">
        <v>122604.24</v>
      </c>
      <c r="BC99" s="189">
        <v>122604.24</v>
      </c>
      <c r="BD99" s="189">
        <v>122604.24</v>
      </c>
      <c r="BE99" s="189">
        <v>122604.24</v>
      </c>
      <c r="BF99" s="189">
        <v>122604.24</v>
      </c>
      <c r="BG99" s="189">
        <v>122604.24</v>
      </c>
      <c r="BH99" s="189">
        <v>122604.24</v>
      </c>
      <c r="BI99" s="189">
        <v>122604.24</v>
      </c>
      <c r="BJ99" s="189">
        <v>122604.24</v>
      </c>
      <c r="BK99" s="189">
        <v>121324.8</v>
      </c>
      <c r="BL99" s="189">
        <v>121324.8</v>
      </c>
      <c r="BM99" s="189">
        <v>158764.79999999999</v>
      </c>
      <c r="BN99" s="189">
        <v>162508.79999999999</v>
      </c>
      <c r="BO99" s="189">
        <v>177484.79999999999</v>
      </c>
      <c r="BP99" s="189">
        <v>177484.79999999999</v>
      </c>
      <c r="BQ99" s="189">
        <v>366744</v>
      </c>
      <c r="BR99" s="189">
        <v>366744</v>
      </c>
      <c r="BS99" s="189">
        <v>366744</v>
      </c>
      <c r="BT99" s="189">
        <v>0</v>
      </c>
      <c r="BU99" s="189">
        <v>0</v>
      </c>
      <c r="BV99" s="189">
        <v>0</v>
      </c>
      <c r="BW99" s="189">
        <v>629907.85</v>
      </c>
      <c r="BX99" s="189">
        <v>1629907.85</v>
      </c>
      <c r="BY99" s="189">
        <v>1629907.85</v>
      </c>
      <c r="BZ99" s="189">
        <v>1629907.85</v>
      </c>
      <c r="CA99" s="189">
        <v>0</v>
      </c>
      <c r="CB99" s="189">
        <v>1779907.85</v>
      </c>
      <c r="CC99" s="189">
        <v>2097907.85</v>
      </c>
      <c r="CD99" s="189">
        <v>3879907.85</v>
      </c>
      <c r="CE99" s="189">
        <v>0</v>
      </c>
      <c r="CF99" s="189">
        <v>0</v>
      </c>
      <c r="CG99" s="189">
        <v>0</v>
      </c>
      <c r="CH99" s="189">
        <v>0</v>
      </c>
      <c r="CI99" s="189">
        <v>0</v>
      </c>
      <c r="CJ99" s="189">
        <v>0</v>
      </c>
      <c r="CK99" s="189">
        <v>0</v>
      </c>
      <c r="CL99" s="189">
        <v>0</v>
      </c>
    </row>
    <row r="100" spans="1:90">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c r="A101" s="128" t="s">
        <v>71</v>
      </c>
      <c r="B101" s="189">
        <v>0</v>
      </c>
      <c r="C101" s="189">
        <v>0</v>
      </c>
      <c r="D101" s="189">
        <v>0</v>
      </c>
      <c r="E101" s="189">
        <v>0</v>
      </c>
      <c r="F101" s="189">
        <v>0</v>
      </c>
      <c r="G101" s="189">
        <v>0</v>
      </c>
      <c r="H101" s="189">
        <v>0</v>
      </c>
      <c r="I101" s="189">
        <v>0</v>
      </c>
      <c r="J101" s="189">
        <v>0</v>
      </c>
      <c r="K101" s="189">
        <v>0</v>
      </c>
      <c r="L101" s="189">
        <v>0</v>
      </c>
      <c r="M101" s="189">
        <v>0</v>
      </c>
      <c r="N101" s="189">
        <v>0</v>
      </c>
      <c r="O101" s="189">
        <v>0</v>
      </c>
      <c r="P101" s="189">
        <v>0</v>
      </c>
      <c r="Q101" s="189">
        <v>0</v>
      </c>
      <c r="R101" s="189">
        <v>0</v>
      </c>
      <c r="S101" s="189">
        <v>0</v>
      </c>
      <c r="T101" s="189">
        <v>0</v>
      </c>
      <c r="U101" s="189">
        <v>0</v>
      </c>
      <c r="V101" s="189">
        <v>0</v>
      </c>
      <c r="W101" s="189">
        <v>0</v>
      </c>
      <c r="X101" s="189">
        <v>0</v>
      </c>
      <c r="Y101" s="189">
        <v>0</v>
      </c>
      <c r="Z101" s="189">
        <v>0</v>
      </c>
      <c r="AA101" s="189">
        <v>0</v>
      </c>
      <c r="AB101" s="189">
        <v>0</v>
      </c>
      <c r="AC101" s="189">
        <v>0</v>
      </c>
      <c r="AD101" s="189">
        <v>0</v>
      </c>
      <c r="AE101" s="189">
        <v>0</v>
      </c>
      <c r="AF101" s="189">
        <v>0</v>
      </c>
      <c r="AG101" s="189">
        <v>0</v>
      </c>
      <c r="AH101" s="189">
        <v>0</v>
      </c>
      <c r="AI101" s="189">
        <v>0</v>
      </c>
      <c r="AJ101" s="189">
        <v>0</v>
      </c>
      <c r="AK101" s="189">
        <v>0</v>
      </c>
      <c r="AL101" s="189">
        <v>0</v>
      </c>
      <c r="AM101" s="189">
        <v>0</v>
      </c>
      <c r="AN101" s="189">
        <v>0</v>
      </c>
      <c r="AO101" s="189">
        <v>0</v>
      </c>
      <c r="AP101" s="189">
        <v>0</v>
      </c>
      <c r="AQ101" s="189">
        <v>0</v>
      </c>
      <c r="AR101" s="189">
        <v>0</v>
      </c>
      <c r="AS101" s="189">
        <v>0</v>
      </c>
      <c r="AT101" s="189">
        <v>0</v>
      </c>
      <c r="AU101" s="189">
        <v>0</v>
      </c>
      <c r="AV101" s="189">
        <v>0</v>
      </c>
      <c r="AW101" s="189">
        <v>0</v>
      </c>
      <c r="AX101" s="189">
        <v>0</v>
      </c>
      <c r="AY101" s="189">
        <v>0</v>
      </c>
      <c r="AZ101" s="189">
        <v>0</v>
      </c>
      <c r="BA101" s="189">
        <v>0</v>
      </c>
      <c r="BB101" s="189">
        <v>0</v>
      </c>
      <c r="BC101" s="189">
        <v>0</v>
      </c>
      <c r="BD101" s="189">
        <v>0</v>
      </c>
      <c r="BE101" s="189">
        <v>0</v>
      </c>
      <c r="BF101" s="189">
        <v>0</v>
      </c>
      <c r="BG101" s="189">
        <v>0</v>
      </c>
      <c r="BH101" s="189">
        <v>0</v>
      </c>
      <c r="BI101" s="189">
        <v>0</v>
      </c>
      <c r="BJ101" s="189">
        <v>0</v>
      </c>
      <c r="BK101" s="189">
        <v>0</v>
      </c>
      <c r="BL101" s="189">
        <v>0</v>
      </c>
      <c r="BM101" s="189">
        <v>0</v>
      </c>
      <c r="BN101" s="189">
        <v>0</v>
      </c>
      <c r="BO101" s="189">
        <v>0</v>
      </c>
      <c r="BP101" s="189">
        <v>0</v>
      </c>
      <c r="BQ101" s="189">
        <v>0</v>
      </c>
      <c r="BR101" s="189">
        <v>0</v>
      </c>
      <c r="BS101" s="189">
        <v>0</v>
      </c>
      <c r="BT101" s="189">
        <v>0</v>
      </c>
      <c r="BU101" s="189">
        <v>0</v>
      </c>
      <c r="BV101" s="189">
        <v>0</v>
      </c>
      <c r="BW101" s="189">
        <v>0</v>
      </c>
      <c r="BX101" s="189"/>
      <c r="BY101" s="189"/>
      <c r="BZ101" s="189"/>
      <c r="CA101" s="189"/>
      <c r="CB101" s="189"/>
      <c r="CC101" s="189"/>
      <c r="CD101" s="189"/>
      <c r="CE101" s="189"/>
      <c r="CF101" s="189"/>
      <c r="CG101" s="189"/>
      <c r="CH101" s="189"/>
      <c r="CI101" s="189"/>
      <c r="CJ101" s="189"/>
      <c r="CK101" s="189"/>
      <c r="CL101" s="189"/>
    </row>
    <row r="102" spans="1:90">
      <c r="A102" s="128" t="s">
        <v>72</v>
      </c>
      <c r="B102" s="189">
        <v>3025280205.8699999</v>
      </c>
      <c r="C102" s="189">
        <v>3006405598.02</v>
      </c>
      <c r="D102" s="189">
        <v>1825654064.8399999</v>
      </c>
      <c r="E102" s="189">
        <v>1892747867.5599999</v>
      </c>
      <c r="F102" s="189">
        <v>1832599943.4000001</v>
      </c>
      <c r="G102" s="189">
        <v>1798701739.3299999</v>
      </c>
      <c r="H102" s="189">
        <v>1770338792.6199999</v>
      </c>
      <c r="I102" s="189">
        <v>1260652933.3900001</v>
      </c>
      <c r="J102" s="189">
        <v>1243458895.51</v>
      </c>
      <c r="K102" s="189">
        <v>1236106373.8199999</v>
      </c>
      <c r="L102" s="189">
        <v>1221065731.4200001</v>
      </c>
      <c r="M102" s="189">
        <v>1204901515.3499999</v>
      </c>
      <c r="N102" s="189">
        <v>1181020051.74</v>
      </c>
      <c r="O102" s="189">
        <v>1172832016.5999999</v>
      </c>
      <c r="P102" s="189">
        <v>1151427106.1900001</v>
      </c>
      <c r="Q102" s="189">
        <v>1127000737.7</v>
      </c>
      <c r="R102" s="189">
        <v>1096535101.78</v>
      </c>
      <c r="S102" s="189">
        <v>1079857582.02</v>
      </c>
      <c r="T102" s="189">
        <v>1051537288.14</v>
      </c>
      <c r="U102" s="189">
        <v>1063176625.7</v>
      </c>
      <c r="V102" s="189">
        <v>1029505086.02</v>
      </c>
      <c r="W102" s="189">
        <v>1006907127.09</v>
      </c>
      <c r="X102" s="189">
        <v>984052100.91999996</v>
      </c>
      <c r="Y102" s="189">
        <v>1004606042.21</v>
      </c>
      <c r="Z102" s="189">
        <v>475371123.25999999</v>
      </c>
      <c r="AA102" s="189">
        <v>459649802.27999997</v>
      </c>
      <c r="AB102" s="189">
        <v>453935560.55000001</v>
      </c>
      <c r="AC102" s="189">
        <v>444012030.43000001</v>
      </c>
      <c r="AD102" s="189">
        <v>415680746.75999999</v>
      </c>
      <c r="AE102" s="189">
        <v>408892560.63999999</v>
      </c>
      <c r="AF102" s="189">
        <v>397598786.68000001</v>
      </c>
      <c r="AG102" s="189">
        <v>390912216.83999997</v>
      </c>
      <c r="AH102" s="189">
        <v>368665676.11000001</v>
      </c>
      <c r="AI102" s="189">
        <v>358412114.44999999</v>
      </c>
      <c r="AJ102" s="189">
        <v>427422358.99000001</v>
      </c>
      <c r="AK102" s="189">
        <v>443294326.60000002</v>
      </c>
      <c r="AL102" s="189">
        <v>424018476.56999999</v>
      </c>
      <c r="AM102" s="189">
        <v>394352207.75</v>
      </c>
      <c r="AN102" s="189">
        <v>387184086.75</v>
      </c>
      <c r="AO102" s="189">
        <v>381810533.66000003</v>
      </c>
      <c r="AP102" s="189">
        <v>372292534.30000001</v>
      </c>
      <c r="AQ102" s="189">
        <v>411633144.19</v>
      </c>
      <c r="AR102" s="189">
        <v>409724088.05000001</v>
      </c>
      <c r="AS102" s="189">
        <v>408097378.63</v>
      </c>
      <c r="AT102" s="189">
        <v>402567101.5</v>
      </c>
      <c r="AU102" s="189">
        <v>313437945.68000001</v>
      </c>
      <c r="AV102" s="189">
        <v>306849951.44999999</v>
      </c>
      <c r="AW102" s="189">
        <v>312003787.99000001</v>
      </c>
      <c r="AX102" s="189">
        <v>307366930.67000002</v>
      </c>
      <c r="AY102" s="189">
        <v>305301354.45999998</v>
      </c>
      <c r="AZ102" s="189">
        <v>298264098.69</v>
      </c>
      <c r="BA102" s="189">
        <v>251398782.86000001</v>
      </c>
      <c r="BB102" s="189">
        <v>247784609.41999999</v>
      </c>
      <c r="BC102" s="189">
        <v>253749486.63</v>
      </c>
      <c r="BD102" s="189">
        <v>253487244.59999999</v>
      </c>
      <c r="BE102" s="189">
        <v>250103617.16</v>
      </c>
      <c r="BF102" s="189">
        <v>243592312.41</v>
      </c>
      <c r="BG102" s="189">
        <v>245414482.97999999</v>
      </c>
      <c r="BH102" s="189">
        <v>244865278.22</v>
      </c>
      <c r="BI102" s="189">
        <v>242092600.62</v>
      </c>
      <c r="BJ102" s="189">
        <v>239215444.25999999</v>
      </c>
      <c r="BK102" s="189">
        <v>209236022.37</v>
      </c>
      <c r="BL102" s="189">
        <v>222252017.83000001</v>
      </c>
      <c r="BM102" s="189">
        <v>231816373.72</v>
      </c>
      <c r="BN102" s="189">
        <v>237322323.62</v>
      </c>
      <c r="BO102" s="189">
        <v>284408907.43000001</v>
      </c>
      <c r="BP102" s="189">
        <v>301486984.26999998</v>
      </c>
      <c r="BQ102" s="189">
        <v>311532711.01999998</v>
      </c>
      <c r="BR102" s="189">
        <v>295195584.80000001</v>
      </c>
      <c r="BS102" s="189">
        <v>362560599.41000003</v>
      </c>
      <c r="BT102" s="189">
        <v>361990208.37</v>
      </c>
      <c r="BU102" s="189">
        <v>343254095.07999998</v>
      </c>
      <c r="BV102" s="189">
        <v>333976695.37</v>
      </c>
      <c r="BW102" s="189">
        <v>345808076.52999997</v>
      </c>
      <c r="BX102" s="189">
        <v>232076102.28</v>
      </c>
      <c r="BY102" s="189">
        <v>224135169.40000001</v>
      </c>
      <c r="BZ102" s="189">
        <v>211579893.99000001</v>
      </c>
      <c r="CA102" s="189">
        <v>211609634.75</v>
      </c>
      <c r="CB102" s="189">
        <v>197713502.68000001</v>
      </c>
      <c r="CC102" s="189">
        <v>182586184.77000001</v>
      </c>
      <c r="CD102" s="189">
        <v>171524643.75</v>
      </c>
      <c r="CE102" s="189">
        <v>0</v>
      </c>
      <c r="CF102" s="189">
        <v>0</v>
      </c>
      <c r="CG102" s="189">
        <v>492362941.67000002</v>
      </c>
      <c r="CH102" s="189">
        <v>203800000</v>
      </c>
      <c r="CI102" s="189">
        <v>162870000</v>
      </c>
      <c r="CJ102" s="189">
        <v>92660000</v>
      </c>
      <c r="CK102" s="189">
        <v>75420000</v>
      </c>
      <c r="CL102" s="189">
        <v>0</v>
      </c>
    </row>
    <row r="103" spans="1:90">
      <c r="A103" s="128" t="s">
        <v>73</v>
      </c>
      <c r="B103" s="189">
        <v>0</v>
      </c>
      <c r="C103" s="189">
        <v>0</v>
      </c>
      <c r="D103" s="189">
        <v>0</v>
      </c>
      <c r="E103" s="189">
        <v>0</v>
      </c>
      <c r="F103" s="189">
        <v>0</v>
      </c>
      <c r="G103" s="189">
        <v>0</v>
      </c>
      <c r="H103" s="189">
        <v>0</v>
      </c>
      <c r="I103" s="189">
        <v>0</v>
      </c>
      <c r="J103" s="189">
        <v>0</v>
      </c>
      <c r="K103" s="189">
        <v>0</v>
      </c>
      <c r="L103" s="189">
        <v>0</v>
      </c>
      <c r="M103" s="189">
        <v>0</v>
      </c>
      <c r="N103" s="189">
        <v>0</v>
      </c>
      <c r="O103" s="189">
        <v>0</v>
      </c>
      <c r="P103" s="189">
        <v>0</v>
      </c>
      <c r="Q103" s="189">
        <v>0</v>
      </c>
      <c r="R103" s="189">
        <v>0</v>
      </c>
      <c r="S103" s="189">
        <v>0</v>
      </c>
      <c r="T103" s="189">
        <v>0</v>
      </c>
      <c r="U103" s="189">
        <v>0</v>
      </c>
      <c r="V103" s="189">
        <v>0</v>
      </c>
      <c r="W103" s="189">
        <v>0</v>
      </c>
      <c r="X103" s="189">
        <v>0</v>
      </c>
      <c r="Y103" s="189">
        <v>0</v>
      </c>
      <c r="Z103" s="189">
        <v>143090.85999999999</v>
      </c>
      <c r="AA103" s="189">
        <v>143099.03</v>
      </c>
      <c r="AB103" s="189">
        <v>143097.85999999999</v>
      </c>
      <c r="AC103" s="189">
        <v>143095.38</v>
      </c>
      <c r="AD103" s="189">
        <v>143097.85999999999</v>
      </c>
      <c r="AE103" s="189">
        <v>143096.1</v>
      </c>
      <c r="AF103" s="189">
        <v>143096.1</v>
      </c>
      <c r="AG103" s="189">
        <v>143096.1</v>
      </c>
      <c r="AH103" s="189">
        <v>143096.1</v>
      </c>
      <c r="AI103" s="189">
        <v>100373.2</v>
      </c>
      <c r="AJ103" s="189">
        <v>100373.2</v>
      </c>
      <c r="AK103" s="189">
        <v>100416.15</v>
      </c>
      <c r="AL103" s="189">
        <v>100416.15</v>
      </c>
      <c r="AM103" s="189">
        <v>101078.29</v>
      </c>
      <c r="AN103" s="189">
        <v>101078.29</v>
      </c>
      <c r="AO103" s="189">
        <v>101078.29</v>
      </c>
      <c r="AP103" s="189">
        <v>101078.29</v>
      </c>
      <c r="AQ103" s="189">
        <v>101197.48</v>
      </c>
      <c r="AR103" s="189">
        <v>101197.48</v>
      </c>
      <c r="AS103" s="189">
        <v>101197.48</v>
      </c>
      <c r="AT103" s="189">
        <v>101197.48</v>
      </c>
      <c r="AU103" s="189">
        <v>98514.87</v>
      </c>
      <c r="AV103" s="189">
        <v>98160.01</v>
      </c>
      <c r="AW103" s="189">
        <v>97569.43</v>
      </c>
      <c r="AX103" s="189">
        <v>97677.03</v>
      </c>
      <c r="AY103" s="189">
        <v>56582.71</v>
      </c>
      <c r="AZ103" s="189">
        <v>56656.43</v>
      </c>
      <c r="BA103" s="189">
        <v>82988.399999999994</v>
      </c>
      <c r="BB103" s="189">
        <v>87736.12</v>
      </c>
      <c r="BC103" s="189">
        <v>138729.29</v>
      </c>
      <c r="BD103" s="189">
        <v>180481.46</v>
      </c>
      <c r="BE103" s="189">
        <v>186005.06</v>
      </c>
      <c r="BF103" s="189">
        <v>203478.67</v>
      </c>
      <c r="BG103" s="189">
        <v>272742.90000000002</v>
      </c>
      <c r="BH103" s="189">
        <v>281908.09000000003</v>
      </c>
      <c r="BI103" s="189">
        <v>752421.05</v>
      </c>
      <c r="BJ103" s="189">
        <v>298733.12</v>
      </c>
      <c r="BK103" s="189">
        <v>1058874.8700000001</v>
      </c>
      <c r="BL103" s="189">
        <v>1110488.83</v>
      </c>
      <c r="BM103" s="189">
        <v>373329.24</v>
      </c>
      <c r="BN103" s="189">
        <v>379621.16</v>
      </c>
      <c r="BO103" s="189">
        <v>2023160.57</v>
      </c>
      <c r="BP103" s="189">
        <v>8749243.0500000007</v>
      </c>
      <c r="BQ103" s="189">
        <v>2800691.68</v>
      </c>
      <c r="BR103" s="189">
        <v>2866903.38</v>
      </c>
      <c r="BS103" s="189">
        <v>0</v>
      </c>
      <c r="BT103" s="189">
        <v>0</v>
      </c>
      <c r="BU103" s="189">
        <v>0</v>
      </c>
      <c r="BV103" s="189">
        <v>0</v>
      </c>
      <c r="BW103" s="189">
        <v>0</v>
      </c>
      <c r="BX103" s="189">
        <v>0</v>
      </c>
      <c r="BY103" s="189">
        <v>0</v>
      </c>
      <c r="BZ103" s="189">
        <v>0</v>
      </c>
      <c r="CA103" s="189">
        <v>0</v>
      </c>
      <c r="CB103" s="189">
        <v>0</v>
      </c>
      <c r="CC103" s="189">
        <v>0</v>
      </c>
      <c r="CD103" s="189">
        <v>0</v>
      </c>
      <c r="CE103" s="189">
        <v>0</v>
      </c>
      <c r="CF103" s="189">
        <v>0</v>
      </c>
      <c r="CG103" s="189">
        <v>326958.7</v>
      </c>
      <c r="CH103" s="189">
        <v>0</v>
      </c>
      <c r="CI103" s="189">
        <v>0</v>
      </c>
      <c r="CJ103" s="189">
        <v>0</v>
      </c>
      <c r="CK103" s="189">
        <v>0</v>
      </c>
      <c r="CL103" s="189">
        <v>0</v>
      </c>
    </row>
    <row r="104" spans="1:90" ht="14.45" hidden="1">
      <c r="A104" s="128"/>
      <c r="B104" s="26"/>
      <c r="C104" s="26"/>
      <c r="D104" s="26"/>
      <c r="E104" s="26"/>
      <c r="F104" s="26"/>
      <c r="G104" s="26"/>
      <c r="H104" s="26"/>
      <c r="I104" s="26"/>
      <c r="J104" s="26"/>
      <c r="K104" s="26"/>
      <c r="L104" s="23"/>
    </row>
    <row r="105" spans="1:90" ht="14.45" hidden="1">
      <c r="A105" s="128"/>
      <c r="B105" s="26"/>
      <c r="C105" s="26"/>
      <c r="D105" s="26"/>
      <c r="E105" s="26"/>
      <c r="F105" s="26"/>
      <c r="G105" s="26"/>
      <c r="H105" s="26"/>
      <c r="I105" s="26"/>
      <c r="J105" s="26"/>
      <c r="K105" s="26"/>
      <c r="L105" s="23"/>
    </row>
    <row r="106" spans="1:90" ht="14.45" hidden="1">
      <c r="A106" s="128"/>
      <c r="B106" s="26"/>
      <c r="C106" s="26"/>
      <c r="D106" s="26"/>
      <c r="E106" s="26"/>
      <c r="F106" s="26"/>
      <c r="G106" s="26"/>
      <c r="H106" s="26"/>
      <c r="I106" s="26"/>
      <c r="J106" s="26"/>
      <c r="K106" s="26"/>
      <c r="L106" s="23"/>
    </row>
    <row r="107" spans="1:90" s="5" customFormat="1">
      <c r="A107" s="129" t="s">
        <v>74</v>
      </c>
      <c r="B107" s="33">
        <f>B102+B103</f>
        <v>3025280205.8699999</v>
      </c>
      <c r="C107" s="33">
        <f>C102+C103</f>
        <v>3006405598.02</v>
      </c>
      <c r="D107" s="33">
        <f>D102+D103</f>
        <v>1825654064.8399999</v>
      </c>
      <c r="E107" s="33">
        <f>E102+E103</f>
        <v>1892747867.5599999</v>
      </c>
      <c r="F107" s="33">
        <f t="shared" ref="F107:BQ107" si="20">F102+F103</f>
        <v>1832599943.4000001</v>
      </c>
      <c r="G107" s="33">
        <f t="shared" si="20"/>
        <v>1798701739.3299999</v>
      </c>
      <c r="H107" s="33">
        <f t="shared" si="20"/>
        <v>1770338792.6199999</v>
      </c>
      <c r="I107" s="33">
        <f t="shared" si="20"/>
        <v>1260652933.3900001</v>
      </c>
      <c r="J107" s="33">
        <f t="shared" si="20"/>
        <v>1243458895.51</v>
      </c>
      <c r="K107" s="33">
        <f t="shared" si="20"/>
        <v>1236106373.8199999</v>
      </c>
      <c r="L107" s="33">
        <f t="shared" si="20"/>
        <v>1221065731.4200001</v>
      </c>
      <c r="M107" s="33">
        <f t="shared" si="20"/>
        <v>1204901515.3499999</v>
      </c>
      <c r="N107" s="33">
        <f t="shared" si="20"/>
        <v>1181020051.74</v>
      </c>
      <c r="O107" s="33">
        <f t="shared" si="20"/>
        <v>1172832016.5999999</v>
      </c>
      <c r="P107" s="33">
        <f t="shared" si="20"/>
        <v>1151427106.1900001</v>
      </c>
      <c r="Q107" s="33">
        <f t="shared" si="20"/>
        <v>1127000737.7</v>
      </c>
      <c r="R107" s="33">
        <f t="shared" si="20"/>
        <v>1096535101.78</v>
      </c>
      <c r="S107" s="33">
        <f t="shared" si="20"/>
        <v>1079857582.02</v>
      </c>
      <c r="T107" s="33">
        <f t="shared" si="20"/>
        <v>1051537288.14</v>
      </c>
      <c r="U107" s="33">
        <f t="shared" si="20"/>
        <v>1063176625.7</v>
      </c>
      <c r="V107" s="33">
        <f t="shared" si="20"/>
        <v>1029505086.02</v>
      </c>
      <c r="W107" s="33">
        <f t="shared" si="20"/>
        <v>1006907127.09</v>
      </c>
      <c r="X107" s="33">
        <f t="shared" si="20"/>
        <v>984052100.91999996</v>
      </c>
      <c r="Y107" s="33">
        <f t="shared" si="20"/>
        <v>1004606042.21</v>
      </c>
      <c r="Z107" s="33">
        <f t="shared" si="20"/>
        <v>475514214.12</v>
      </c>
      <c r="AA107" s="33">
        <f t="shared" si="20"/>
        <v>459792901.30999994</v>
      </c>
      <c r="AB107" s="33">
        <f t="shared" si="20"/>
        <v>454078658.41000003</v>
      </c>
      <c r="AC107" s="33">
        <f t="shared" si="20"/>
        <v>444155125.81</v>
      </c>
      <c r="AD107" s="33">
        <f t="shared" si="20"/>
        <v>415823844.62</v>
      </c>
      <c r="AE107" s="33">
        <f t="shared" si="20"/>
        <v>409035656.74000001</v>
      </c>
      <c r="AF107" s="33">
        <f t="shared" si="20"/>
        <v>397741882.78000003</v>
      </c>
      <c r="AG107" s="33">
        <f t="shared" si="20"/>
        <v>391055312.94</v>
      </c>
      <c r="AH107" s="33">
        <f t="shared" si="20"/>
        <v>368808772.21000004</v>
      </c>
      <c r="AI107" s="33">
        <f t="shared" si="20"/>
        <v>358512487.64999998</v>
      </c>
      <c r="AJ107" s="33">
        <f t="shared" si="20"/>
        <v>427522732.19</v>
      </c>
      <c r="AK107" s="33">
        <f t="shared" si="20"/>
        <v>443394742.75</v>
      </c>
      <c r="AL107" s="33">
        <f t="shared" si="20"/>
        <v>424118892.71999997</v>
      </c>
      <c r="AM107" s="33">
        <f t="shared" si="20"/>
        <v>394453286.04000002</v>
      </c>
      <c r="AN107" s="33">
        <f t="shared" si="20"/>
        <v>387285165.04000002</v>
      </c>
      <c r="AO107" s="33">
        <f t="shared" si="20"/>
        <v>381911611.95000005</v>
      </c>
      <c r="AP107" s="33">
        <f t="shared" si="20"/>
        <v>372393612.59000003</v>
      </c>
      <c r="AQ107" s="33">
        <f t="shared" si="20"/>
        <v>411734341.67000002</v>
      </c>
      <c r="AR107" s="33">
        <f t="shared" si="20"/>
        <v>409825285.53000003</v>
      </c>
      <c r="AS107" s="33">
        <f t="shared" si="20"/>
        <v>408198576.11000001</v>
      </c>
      <c r="AT107" s="33">
        <f t="shared" si="20"/>
        <v>402668298.98000002</v>
      </c>
      <c r="AU107" s="33">
        <f t="shared" si="20"/>
        <v>313536460.55000001</v>
      </c>
      <c r="AV107" s="33">
        <f t="shared" si="20"/>
        <v>306948111.45999998</v>
      </c>
      <c r="AW107" s="33">
        <f t="shared" si="20"/>
        <v>312101357.42000002</v>
      </c>
      <c r="AX107" s="33">
        <f t="shared" si="20"/>
        <v>307464607.69999999</v>
      </c>
      <c r="AY107" s="33">
        <f t="shared" si="20"/>
        <v>305357937.16999996</v>
      </c>
      <c r="AZ107" s="33">
        <f t="shared" si="20"/>
        <v>298320755.12</v>
      </c>
      <c r="BA107" s="33">
        <f t="shared" si="20"/>
        <v>251481771.26000002</v>
      </c>
      <c r="BB107" s="33">
        <f t="shared" si="20"/>
        <v>247872345.53999999</v>
      </c>
      <c r="BC107" s="33">
        <f t="shared" si="20"/>
        <v>253888215.91999999</v>
      </c>
      <c r="BD107" s="33">
        <f t="shared" si="20"/>
        <v>253667726.06</v>
      </c>
      <c r="BE107" s="33">
        <f t="shared" si="20"/>
        <v>250289622.22</v>
      </c>
      <c r="BF107" s="33">
        <f t="shared" si="20"/>
        <v>243795791.07999998</v>
      </c>
      <c r="BG107" s="33">
        <f t="shared" si="20"/>
        <v>245687225.88</v>
      </c>
      <c r="BH107" s="33">
        <f t="shared" si="20"/>
        <v>245147186.31</v>
      </c>
      <c r="BI107" s="33">
        <f t="shared" si="20"/>
        <v>242845021.67000002</v>
      </c>
      <c r="BJ107" s="33">
        <f t="shared" si="20"/>
        <v>239514177.38</v>
      </c>
      <c r="BK107" s="33">
        <f t="shared" si="20"/>
        <v>210294897.24000001</v>
      </c>
      <c r="BL107" s="33">
        <f t="shared" si="20"/>
        <v>223362506.66000003</v>
      </c>
      <c r="BM107" s="33">
        <f t="shared" si="20"/>
        <v>232189702.96000001</v>
      </c>
      <c r="BN107" s="33">
        <f t="shared" si="20"/>
        <v>237701944.78</v>
      </c>
      <c r="BO107" s="33">
        <f t="shared" si="20"/>
        <v>286432068</v>
      </c>
      <c r="BP107" s="33">
        <f t="shared" si="20"/>
        <v>310236227.31999999</v>
      </c>
      <c r="BQ107" s="33">
        <f t="shared" si="20"/>
        <v>314333402.69999999</v>
      </c>
      <c r="BR107" s="33">
        <f t="shared" ref="BR107:CK107" si="21">BR102+BR103</f>
        <v>298062488.18000001</v>
      </c>
      <c r="BS107" s="33">
        <f t="shared" si="21"/>
        <v>362560599.41000003</v>
      </c>
      <c r="BT107" s="33">
        <f t="shared" si="21"/>
        <v>361990208.37</v>
      </c>
      <c r="BU107" s="33">
        <f t="shared" si="21"/>
        <v>343254095.07999998</v>
      </c>
      <c r="BV107" s="33">
        <f t="shared" si="21"/>
        <v>333976695.37</v>
      </c>
      <c r="BW107" s="33">
        <f t="shared" si="21"/>
        <v>345808076.52999997</v>
      </c>
      <c r="BX107" s="33">
        <f t="shared" si="21"/>
        <v>232076102.28</v>
      </c>
      <c r="BY107" s="33">
        <f t="shared" si="21"/>
        <v>224135169.40000001</v>
      </c>
      <c r="BZ107" s="33">
        <f t="shared" si="21"/>
        <v>211579893.99000001</v>
      </c>
      <c r="CA107" s="33">
        <f t="shared" si="21"/>
        <v>211609634.75</v>
      </c>
      <c r="CB107" s="33">
        <f t="shared" si="21"/>
        <v>197713502.68000001</v>
      </c>
      <c r="CC107" s="33">
        <f t="shared" si="21"/>
        <v>182586184.77000001</v>
      </c>
      <c r="CD107" s="33">
        <f t="shared" si="21"/>
        <v>171524643.75</v>
      </c>
      <c r="CE107" s="33">
        <f t="shared" si="21"/>
        <v>0</v>
      </c>
      <c r="CF107" s="33">
        <f t="shared" si="21"/>
        <v>0</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c r="A108" s="130" t="s">
        <v>75</v>
      </c>
      <c r="B108" s="38">
        <f>SUM(B89+B107)</f>
        <v>3631522329.6499996</v>
      </c>
      <c r="C108" s="38">
        <f t="shared" ref="C108:BN108" si="22">SUM(C89+C107)</f>
        <v>3872579496.2200003</v>
      </c>
      <c r="D108" s="38">
        <f t="shared" si="22"/>
        <v>3355590989.3800001</v>
      </c>
      <c r="E108" s="38">
        <f>SUM(E107+E89)</f>
        <v>3453043793.4899998</v>
      </c>
      <c r="F108" s="38">
        <f t="shared" si="22"/>
        <v>3315332152.3099999</v>
      </c>
      <c r="G108" s="38">
        <f t="shared" si="22"/>
        <v>3333563775.1900001</v>
      </c>
      <c r="H108" s="38">
        <f t="shared" si="22"/>
        <v>3326669782.5500002</v>
      </c>
      <c r="I108" s="38">
        <f t="shared" si="22"/>
        <v>1646204686.52</v>
      </c>
      <c r="J108" s="38">
        <f t="shared" si="22"/>
        <v>1629010648.6399999</v>
      </c>
      <c r="K108" s="38">
        <f t="shared" si="22"/>
        <v>1536469561.3199999</v>
      </c>
      <c r="L108" s="38">
        <f t="shared" si="22"/>
        <v>1623137978.6400001</v>
      </c>
      <c r="M108" s="38">
        <f t="shared" si="22"/>
        <v>1607080513.96</v>
      </c>
      <c r="N108" s="38">
        <f t="shared" si="22"/>
        <v>1533111325.3499999</v>
      </c>
      <c r="O108" s="38">
        <f t="shared" si="22"/>
        <v>1474526816.5999999</v>
      </c>
      <c r="P108" s="38">
        <f t="shared" si="22"/>
        <v>1554602502.8600001</v>
      </c>
      <c r="Q108" s="38">
        <f t="shared" si="22"/>
        <v>1329871551.03</v>
      </c>
      <c r="R108" s="38">
        <f t="shared" si="22"/>
        <v>1299405915.1099999</v>
      </c>
      <c r="S108" s="38">
        <f t="shared" si="22"/>
        <v>1282565062.02</v>
      </c>
      <c r="T108" s="38">
        <f t="shared" si="22"/>
        <v>1151537288.1399999</v>
      </c>
      <c r="U108" s="38">
        <f t="shared" si="22"/>
        <v>1063176625.7</v>
      </c>
      <c r="V108" s="38">
        <f t="shared" si="22"/>
        <v>1029505086.02</v>
      </c>
      <c r="W108" s="38">
        <f t="shared" si="22"/>
        <v>1006907127.09</v>
      </c>
      <c r="X108" s="38">
        <f t="shared" si="22"/>
        <v>984052100.91999996</v>
      </c>
      <c r="Y108" s="38">
        <f t="shared" si="22"/>
        <v>1004606042.21</v>
      </c>
      <c r="Z108" s="38">
        <f t="shared" si="22"/>
        <v>525605651.62</v>
      </c>
      <c r="AA108" s="38">
        <f t="shared" si="22"/>
        <v>509876026.30999994</v>
      </c>
      <c r="AB108" s="38">
        <f t="shared" si="22"/>
        <v>504161783.41000003</v>
      </c>
      <c r="AC108" s="38">
        <f t="shared" si="22"/>
        <v>544246563.30999994</v>
      </c>
      <c r="AD108" s="38">
        <f t="shared" si="22"/>
        <v>465906719.62</v>
      </c>
      <c r="AE108" s="38">
        <f t="shared" si="22"/>
        <v>459111219.24000001</v>
      </c>
      <c r="AF108" s="38">
        <f t="shared" si="22"/>
        <v>447817445.28000003</v>
      </c>
      <c r="AG108" s="38">
        <f t="shared" si="22"/>
        <v>441129962.13</v>
      </c>
      <c r="AH108" s="38">
        <f t="shared" si="22"/>
        <v>468951609.71000004</v>
      </c>
      <c r="AI108" s="38">
        <f t="shared" si="22"/>
        <v>458650825.14999998</v>
      </c>
      <c r="AJ108" s="38">
        <f t="shared" si="22"/>
        <v>527656607.19</v>
      </c>
      <c r="AK108" s="38">
        <f t="shared" si="22"/>
        <v>543537226.08000004</v>
      </c>
      <c r="AL108" s="38">
        <f t="shared" si="22"/>
        <v>604653532.72000003</v>
      </c>
      <c r="AM108" s="38">
        <f t="shared" si="22"/>
        <v>644774136.03999996</v>
      </c>
      <c r="AN108" s="38">
        <f t="shared" si="22"/>
        <v>587720006.71000004</v>
      </c>
      <c r="AO108" s="38">
        <f t="shared" si="22"/>
        <v>652373397.77999997</v>
      </c>
      <c r="AP108" s="38">
        <f t="shared" si="22"/>
        <v>633046407.59000003</v>
      </c>
      <c r="AQ108" s="38">
        <f t="shared" si="22"/>
        <v>702416625.84000003</v>
      </c>
      <c r="AR108" s="38">
        <f t="shared" si="22"/>
        <v>735612709.49000001</v>
      </c>
      <c r="AS108" s="38">
        <f t="shared" si="22"/>
        <v>793955825.02999997</v>
      </c>
      <c r="AT108" s="38">
        <f t="shared" si="22"/>
        <v>711377243.48000002</v>
      </c>
      <c r="AU108" s="38">
        <f t="shared" si="22"/>
        <v>622170858.38</v>
      </c>
      <c r="AV108" s="38">
        <f t="shared" si="22"/>
        <v>624948111.46000004</v>
      </c>
      <c r="AW108" s="38">
        <f t="shared" si="22"/>
        <v>590101357.42000008</v>
      </c>
      <c r="AX108" s="38">
        <f t="shared" si="22"/>
        <v>595464607.70000005</v>
      </c>
      <c r="AY108" s="38">
        <f t="shared" si="22"/>
        <v>593357937.16999996</v>
      </c>
      <c r="AZ108" s="38">
        <f t="shared" si="22"/>
        <v>606320755.12</v>
      </c>
      <c r="BA108" s="38">
        <f t="shared" si="22"/>
        <v>549481771.25999999</v>
      </c>
      <c r="BB108" s="38">
        <f t="shared" si="22"/>
        <v>555872345.53999996</v>
      </c>
      <c r="BC108" s="38">
        <f t="shared" si="22"/>
        <v>561888215.91999996</v>
      </c>
      <c r="BD108" s="38">
        <f t="shared" si="22"/>
        <v>573667726.05999994</v>
      </c>
      <c r="BE108" s="38">
        <f t="shared" si="22"/>
        <v>570289622.22000003</v>
      </c>
      <c r="BF108" s="38">
        <f t="shared" si="22"/>
        <v>583795791.07999992</v>
      </c>
      <c r="BG108" s="38">
        <f t="shared" si="22"/>
        <v>639809097.23000002</v>
      </c>
      <c r="BH108" s="38">
        <f t="shared" si="22"/>
        <v>625269057.66000009</v>
      </c>
      <c r="BI108" s="38">
        <f t="shared" si="22"/>
        <v>631981913.01999998</v>
      </c>
      <c r="BJ108" s="38">
        <f t="shared" si="22"/>
        <v>656666154.73000002</v>
      </c>
      <c r="BK108" s="38">
        <f t="shared" si="22"/>
        <v>686392204.59000003</v>
      </c>
      <c r="BL108" s="38">
        <f t="shared" si="22"/>
        <v>681792506.66000009</v>
      </c>
      <c r="BM108" s="38">
        <f t="shared" si="22"/>
        <v>690630591.74000001</v>
      </c>
      <c r="BN108" s="38">
        <f t="shared" si="22"/>
        <v>716752821.97000003</v>
      </c>
      <c r="BO108" s="38">
        <f t="shared" ref="BO108:CK108" si="23">SUM(BO89+BO107)</f>
        <v>740665780.68000007</v>
      </c>
      <c r="BP108" s="38">
        <f t="shared" si="23"/>
        <v>766700880.95000005</v>
      </c>
      <c r="BQ108" s="38">
        <f t="shared" si="23"/>
        <v>757611011.42000008</v>
      </c>
      <c r="BR108" s="38">
        <f t="shared" si="23"/>
        <v>768340096.9000001</v>
      </c>
      <c r="BS108" s="38">
        <f t="shared" si="23"/>
        <v>812193110.72000003</v>
      </c>
      <c r="BT108" s="38">
        <f t="shared" si="23"/>
        <v>797465476.99000001</v>
      </c>
      <c r="BU108" s="38">
        <f t="shared" si="23"/>
        <v>758637853.6099999</v>
      </c>
      <c r="BV108" s="38">
        <f t="shared" si="23"/>
        <v>759794514.06999993</v>
      </c>
      <c r="BW108" s="38">
        <f t="shared" si="23"/>
        <v>729407279.6099999</v>
      </c>
      <c r="BX108" s="38">
        <f t="shared" si="23"/>
        <v>633156102.27999997</v>
      </c>
      <c r="BY108" s="38">
        <f t="shared" si="23"/>
        <v>616161409.39999998</v>
      </c>
      <c r="BZ108" s="38">
        <f t="shared" si="23"/>
        <v>583520199.49000001</v>
      </c>
      <c r="CA108" s="38">
        <f t="shared" si="23"/>
        <v>211609634.75</v>
      </c>
      <c r="CB108" s="38">
        <f t="shared" si="23"/>
        <v>462065732.68000001</v>
      </c>
      <c r="CC108" s="38">
        <f t="shared" si="23"/>
        <v>397621631.57000005</v>
      </c>
      <c r="CD108" s="38">
        <f t="shared" si="23"/>
        <v>350386643.75</v>
      </c>
      <c r="CE108" s="38">
        <f t="shared" si="23"/>
        <v>0</v>
      </c>
      <c r="CF108" s="38">
        <f t="shared" si="23"/>
        <v>0</v>
      </c>
      <c r="CG108" s="38">
        <f t="shared" si="23"/>
        <v>492689900.37</v>
      </c>
      <c r="CH108" s="38">
        <f t="shared" si="23"/>
        <v>203800000</v>
      </c>
      <c r="CI108" s="38">
        <f t="shared" si="23"/>
        <v>162870000</v>
      </c>
      <c r="CJ108" s="38">
        <f t="shared" si="23"/>
        <v>92660000</v>
      </c>
      <c r="CK108" s="38">
        <f t="shared" si="23"/>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topLeftCell="AG31" workbookViewId="0">
      <selection activeCell="BA56" sqref="BA56"/>
    </sheetView>
  </sheetViews>
  <sheetFormatPr defaultRowHeight="13.5"/>
  <cols>
    <col min="1" max="1" width="56" style="17" bestFit="1" customWidth="1"/>
    <col min="2" max="2" width="22" bestFit="1" customWidth="1"/>
    <col min="3" max="3" width="22" hidden="1" customWidth="1"/>
    <col min="4" max="4" width="19.5" hidden="1" customWidth="1"/>
    <col min="5" max="5" width="23.25" hidden="1" customWidth="1"/>
    <col min="6" max="6" width="19.5" bestFit="1" customWidth="1"/>
    <col min="7" max="9" width="19.5" hidden="1" customWidth="1"/>
    <col min="10" max="10" width="19.5" bestFit="1" customWidth="1"/>
    <col min="11" max="13" width="19.5" hidden="1" customWidth="1"/>
    <col min="14" max="14" width="19.5" bestFit="1" customWidth="1"/>
    <col min="15" max="17" width="19.5" hidden="1" customWidth="1"/>
    <col min="18" max="18" width="19.5" bestFit="1" customWidth="1"/>
    <col min="19" max="21" width="19.5" hidden="1" customWidth="1"/>
    <col min="22" max="22" width="19.5" bestFit="1" customWidth="1"/>
    <col min="23" max="25" width="19.5" hidden="1" customWidth="1"/>
    <col min="26" max="26" width="18.25" bestFit="1" customWidth="1"/>
    <col min="27" max="28" width="18.25" hidden="1" customWidth="1"/>
    <col min="29" max="29" width="19.5" hidden="1" customWidth="1"/>
    <col min="30" max="30" width="18.25" bestFit="1" customWidth="1"/>
    <col min="31" max="32" width="18.25" hidden="1" customWidth="1"/>
    <col min="33" max="33" width="19.5" hidden="1" customWidth="1"/>
    <col min="34" max="34" width="19.5" bestFit="1" customWidth="1"/>
    <col min="35" max="35" width="18.25" hidden="1" customWidth="1"/>
    <col min="36" max="37" width="19.5" hidden="1" customWidth="1"/>
    <col min="38" max="38" width="18.25" bestFit="1" customWidth="1"/>
    <col min="39" max="39" width="18.25" hidden="1" customWidth="1"/>
    <col min="40" max="41" width="19.5" hidden="1" customWidth="1"/>
    <col min="42" max="42" width="18.25" bestFit="1" customWidth="1"/>
    <col min="43" max="45" width="19.5" hidden="1" customWidth="1"/>
    <col min="46" max="46" width="19.5" bestFit="1" customWidth="1"/>
    <col min="47" max="49" width="19.5" hidden="1" customWidth="1"/>
    <col min="50" max="50" width="19.5" bestFit="1" customWidth="1"/>
    <col min="51" max="53" width="19.5" hidden="1" customWidth="1"/>
    <col min="54" max="54" width="19.5" bestFit="1" customWidth="1"/>
    <col min="55" max="57" width="19.5" hidden="1" customWidth="1"/>
    <col min="58" max="58" width="19.5" bestFit="1" customWidth="1"/>
    <col min="59" max="61" width="19.5" hidden="1" customWidth="1"/>
    <col min="62" max="62" width="19.5" bestFit="1" customWidth="1"/>
    <col min="63" max="65" width="19.5" hidden="1" customWidth="1"/>
    <col min="66" max="66" width="20.75" bestFit="1" customWidth="1"/>
    <col min="67" max="69" width="19.5" hidden="1" customWidth="1"/>
    <col min="70" max="70" width="19.5" bestFit="1" customWidth="1"/>
    <col min="71" max="71" width="19.5" hidden="1" customWidth="1"/>
    <col min="72" max="72" width="19.5" bestFit="1" customWidth="1"/>
    <col min="73" max="73" width="19.5" hidden="1" customWidth="1"/>
    <col min="74" max="74" width="19.5" bestFit="1" customWidth="1"/>
    <col min="75" max="75" width="19.5" hidden="1" customWidth="1"/>
    <col min="76" max="76" width="19.5" bestFit="1" customWidth="1"/>
    <col min="77" max="77" width="19.5" hidden="1" customWidth="1"/>
    <col min="78" max="78" width="18.25" bestFit="1" customWidth="1"/>
    <col min="79" max="79" width="18.25" hidden="1" customWidth="1"/>
    <col min="80" max="80" width="18.25" bestFit="1" customWidth="1"/>
    <col min="81" max="81" width="18.25" hidden="1" customWidth="1"/>
    <col min="82" max="82" width="18.25" bestFit="1" customWidth="1"/>
    <col min="83" max="83" width="9.625" hidden="1" customWidth="1"/>
    <col min="84" max="84" width="9.625" bestFit="1" customWidth="1"/>
    <col min="85" max="85" width="19.5" bestFit="1" customWidth="1"/>
    <col min="86" max="86" width="18.25" bestFit="1" customWidth="1"/>
    <col min="87" max="87" width="19.5" bestFit="1" customWidth="1"/>
    <col min="88" max="88" width="18.25" bestFit="1" customWidth="1"/>
    <col min="89" max="89" width="9.625" bestFit="1" customWidth="1"/>
  </cols>
  <sheetData>
    <row r="1" spans="1:89" ht="14.45">
      <c r="A1" s="17">
        <v>600738</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37529</v>
      </c>
      <c r="BP1" s="1">
        <v>37437</v>
      </c>
      <c r="BQ1" s="1">
        <v>37346</v>
      </c>
      <c r="BR1" s="1">
        <v>37256</v>
      </c>
      <c r="BS1" s="1">
        <v>37072</v>
      </c>
      <c r="BT1" s="1">
        <v>36891</v>
      </c>
      <c r="BU1" s="1">
        <v>36707</v>
      </c>
      <c r="BV1" s="1">
        <v>36525</v>
      </c>
      <c r="BW1" s="1">
        <v>36341</v>
      </c>
      <c r="BX1" s="1">
        <v>36160</v>
      </c>
      <c r="BY1" s="1">
        <v>35976</v>
      </c>
      <c r="BZ1" s="1">
        <v>35795</v>
      </c>
      <c r="CA1" s="1">
        <v>35611</v>
      </c>
      <c r="CB1" s="1">
        <v>35430</v>
      </c>
      <c r="CC1" s="1">
        <v>35246</v>
      </c>
      <c r="CD1" s="1">
        <v>35064</v>
      </c>
      <c r="CE1" s="1">
        <v>25569</v>
      </c>
      <c r="CF1" s="1"/>
      <c r="CG1" s="1"/>
      <c r="CH1" s="1"/>
      <c r="CI1" s="1"/>
      <c r="CJ1" s="1"/>
      <c r="CK1" s="1"/>
    </row>
    <row r="2" spans="1:89">
      <c r="A2" s="17" t="s">
        <v>84</v>
      </c>
    </row>
    <row r="3" spans="1:89" s="6" customFormat="1">
      <c r="A3" s="18" t="s">
        <v>85</v>
      </c>
    </row>
    <row r="4" spans="1:89">
      <c r="A4" s="17" t="s">
        <v>384</v>
      </c>
      <c r="B4" s="189">
        <v>1382513163.8900001</v>
      </c>
      <c r="C4" s="189">
        <v>1064337666.6900001</v>
      </c>
      <c r="D4" s="189">
        <v>731139998.38</v>
      </c>
      <c r="E4" s="189">
        <v>421474197.36000001</v>
      </c>
      <c r="F4" s="189">
        <v>1366363612.6199999</v>
      </c>
      <c r="G4" s="189">
        <v>1026037642.64</v>
      </c>
      <c r="H4" s="189">
        <v>698379557.87</v>
      </c>
      <c r="I4" s="189">
        <v>284244614.87</v>
      </c>
      <c r="J4" s="189">
        <v>1026535858.9299999</v>
      </c>
      <c r="K4" s="189">
        <v>766151820.29999995</v>
      </c>
      <c r="L4" s="189">
        <v>525882189.83999997</v>
      </c>
      <c r="M4" s="189">
        <v>295249656.20999998</v>
      </c>
      <c r="N4" s="189">
        <v>1120665180.8800001</v>
      </c>
      <c r="O4" s="189">
        <v>857530976.39999998</v>
      </c>
      <c r="P4" s="189">
        <v>593268789.13</v>
      </c>
      <c r="Q4" s="189">
        <v>335552584.61000001</v>
      </c>
      <c r="R4" s="189">
        <v>1214852555.8099999</v>
      </c>
      <c r="S4" s="189">
        <v>927620999.42999995</v>
      </c>
      <c r="T4" s="189">
        <v>630920696.25999999</v>
      </c>
      <c r="U4" s="189">
        <v>359411030.98000002</v>
      </c>
      <c r="V4" s="189">
        <v>1428005507.79</v>
      </c>
      <c r="W4" s="189">
        <v>1090244284</v>
      </c>
      <c r="X4" s="189">
        <v>753590720.29999995</v>
      </c>
      <c r="Y4" s="189">
        <v>407134157.54000002</v>
      </c>
      <c r="Z4" s="189">
        <v>1320057528.8499999</v>
      </c>
      <c r="AA4" s="189">
        <v>999698057.85000002</v>
      </c>
      <c r="AB4" s="189">
        <v>696223866.28999996</v>
      </c>
      <c r="AC4" s="189">
        <v>397167146.08999997</v>
      </c>
      <c r="AD4" s="189">
        <v>1188181022.1600001</v>
      </c>
      <c r="AE4" s="189">
        <v>881523761.17999995</v>
      </c>
      <c r="AF4" s="189">
        <v>619936758.73000002</v>
      </c>
      <c r="AG4" s="189">
        <v>360707870.79000002</v>
      </c>
      <c r="AH4" s="189">
        <v>920899447.85000002</v>
      </c>
      <c r="AI4" s="189">
        <v>652183381.96000004</v>
      </c>
      <c r="AJ4" s="189">
        <v>437443143.19</v>
      </c>
      <c r="AK4" s="189">
        <v>250700453.44</v>
      </c>
      <c r="AL4" s="189">
        <v>729118833.46000004</v>
      </c>
      <c r="AM4" s="189">
        <v>531954310.14999998</v>
      </c>
      <c r="AN4" s="189">
        <v>364490143.06999999</v>
      </c>
      <c r="AO4" s="189">
        <v>208744716.30000001</v>
      </c>
      <c r="AP4" s="189">
        <v>622896991.75999999</v>
      </c>
      <c r="AQ4" s="189">
        <v>458272083.85000002</v>
      </c>
      <c r="AR4" s="189">
        <v>312351104.93000001</v>
      </c>
      <c r="AS4" s="189">
        <v>187257445.02000001</v>
      </c>
      <c r="AT4" s="189">
        <v>547411619.92999995</v>
      </c>
      <c r="AU4" s="189">
        <v>398835936.57999998</v>
      </c>
      <c r="AV4" s="189">
        <v>271330509.35000002</v>
      </c>
      <c r="AW4" s="189">
        <v>152264846.55000001</v>
      </c>
      <c r="AX4" s="189">
        <v>450343864.37</v>
      </c>
      <c r="AY4" s="189">
        <v>331144512.04000002</v>
      </c>
      <c r="AZ4" s="189">
        <v>224380432.09</v>
      </c>
      <c r="BA4" s="189">
        <v>130299434.17</v>
      </c>
      <c r="BB4" s="189">
        <v>439515310.91000003</v>
      </c>
      <c r="BC4" s="189">
        <v>322811947.29000002</v>
      </c>
      <c r="BD4" s="189">
        <v>227255482.66</v>
      </c>
      <c r="BE4" s="189">
        <v>132693042.41</v>
      </c>
      <c r="BF4" s="189">
        <v>403756671.35000002</v>
      </c>
      <c r="BG4" s="189">
        <v>299944780.02999997</v>
      </c>
      <c r="BH4" s="189">
        <v>209668828.09999999</v>
      </c>
      <c r="BI4" s="189">
        <v>123795153.15000001</v>
      </c>
      <c r="BJ4" s="189">
        <v>479585510.57999998</v>
      </c>
      <c r="BK4" s="189">
        <v>364898704.38</v>
      </c>
      <c r="BL4" s="189">
        <v>257249053.94</v>
      </c>
      <c r="BM4" s="189">
        <v>149535383.96000001</v>
      </c>
      <c r="BN4" s="189">
        <v>507279280.06</v>
      </c>
      <c r="BO4" s="189">
        <v>406011008.52999997</v>
      </c>
      <c r="BP4" s="189">
        <v>292249245.88</v>
      </c>
      <c r="BQ4" s="189">
        <v>173938225.12</v>
      </c>
      <c r="BR4" s="189">
        <v>649680863.10000002</v>
      </c>
      <c r="BS4" s="189">
        <v>342143319.51999998</v>
      </c>
      <c r="BT4" s="189">
        <v>649870942.78999996</v>
      </c>
      <c r="BU4" s="189">
        <v>312370113.82999998</v>
      </c>
      <c r="BV4" s="189">
        <v>587005192.25999999</v>
      </c>
      <c r="BW4" s="189">
        <v>318639859.5</v>
      </c>
      <c r="BX4" s="189">
        <v>607433824.57000005</v>
      </c>
      <c r="BY4" s="189">
        <v>312160826.85000002</v>
      </c>
      <c r="BZ4" s="189">
        <v>602599165.12</v>
      </c>
      <c r="CA4" s="189">
        <v>345556667.12</v>
      </c>
      <c r="CB4" s="189">
        <v>612674307.19000006</v>
      </c>
      <c r="CC4" s="189">
        <v>334022343.13999999</v>
      </c>
      <c r="CD4" s="189">
        <v>552412855.38999999</v>
      </c>
      <c r="CE4" s="189">
        <v>0</v>
      </c>
      <c r="CF4" s="189"/>
      <c r="CG4" s="189"/>
      <c r="CH4" s="189"/>
      <c r="CI4" s="189"/>
      <c r="CJ4" s="189"/>
      <c r="CK4" s="189"/>
    </row>
    <row r="5" spans="1:89">
      <c r="A5" s="19" t="s">
        <v>385</v>
      </c>
      <c r="B5" s="189">
        <v>899727803.66999996</v>
      </c>
      <c r="C5" s="189">
        <v>693678730.55999994</v>
      </c>
      <c r="D5" s="189">
        <v>473588853.88999999</v>
      </c>
      <c r="E5" s="189">
        <v>263688083.88999999</v>
      </c>
      <c r="F5" s="189">
        <v>900085415.95000005</v>
      </c>
      <c r="G5" s="189">
        <v>680910529.57000005</v>
      </c>
      <c r="H5" s="189">
        <v>461637531.44999999</v>
      </c>
      <c r="I5" s="189">
        <v>223631303.81</v>
      </c>
      <c r="J5" s="189">
        <v>772490154.46000004</v>
      </c>
      <c r="K5" s="189">
        <v>573439463.30999994</v>
      </c>
      <c r="L5" s="189">
        <v>394363248.07999998</v>
      </c>
      <c r="M5" s="189">
        <v>224168272.72999999</v>
      </c>
      <c r="N5" s="189">
        <v>844167795.64999998</v>
      </c>
      <c r="O5" s="189">
        <v>631605745.25</v>
      </c>
      <c r="P5" s="189">
        <v>438234823.49000001</v>
      </c>
      <c r="Q5" s="189">
        <v>250642805.96000001</v>
      </c>
      <c r="R5" s="189">
        <v>929336217.23000002</v>
      </c>
      <c r="S5" s="189">
        <v>693968455.54999995</v>
      </c>
      <c r="T5" s="189">
        <v>471604028.91000003</v>
      </c>
      <c r="U5" s="189">
        <v>271801418.05000001</v>
      </c>
      <c r="V5" s="189">
        <v>1119633795.79</v>
      </c>
      <c r="W5" s="189">
        <v>839204328.77999997</v>
      </c>
      <c r="X5" s="189">
        <v>580317509.42999995</v>
      </c>
      <c r="Y5" s="189">
        <v>312435103.45999998</v>
      </c>
      <c r="Z5" s="189">
        <v>1069338346.86</v>
      </c>
      <c r="AA5" s="189">
        <v>797821138.41999996</v>
      </c>
      <c r="AB5" s="189">
        <v>556927629.21000004</v>
      </c>
      <c r="AC5" s="189">
        <v>323352462.49000001</v>
      </c>
      <c r="AD5" s="189">
        <v>960325577.27999997</v>
      </c>
      <c r="AE5" s="189">
        <v>701202875.5</v>
      </c>
      <c r="AF5" s="189">
        <v>497118229.79000002</v>
      </c>
      <c r="AG5" s="189">
        <v>290174039.55000001</v>
      </c>
      <c r="AH5" s="189">
        <v>730427935.96000004</v>
      </c>
      <c r="AI5" s="189">
        <v>509425921.22000003</v>
      </c>
      <c r="AJ5" s="189">
        <v>343856277.77999997</v>
      </c>
      <c r="AK5" s="189">
        <v>195030198.22999999</v>
      </c>
      <c r="AL5" s="189">
        <v>570395109.64999998</v>
      </c>
      <c r="AM5" s="189">
        <v>412711422.69999999</v>
      </c>
      <c r="AN5" s="189">
        <v>283640792.91000003</v>
      </c>
      <c r="AO5" s="189">
        <v>162914977.18000001</v>
      </c>
      <c r="AP5" s="189">
        <v>473076544.41000003</v>
      </c>
      <c r="AQ5" s="189">
        <v>345463912.06999999</v>
      </c>
      <c r="AR5" s="189">
        <v>235488980.74000001</v>
      </c>
      <c r="AS5" s="189">
        <v>142727403.27000001</v>
      </c>
      <c r="AT5" s="189">
        <v>411588157.97000003</v>
      </c>
      <c r="AU5" s="189">
        <v>294666651.83999997</v>
      </c>
      <c r="AV5" s="189">
        <v>201837807.18000001</v>
      </c>
      <c r="AW5" s="189">
        <v>114234848.56999999</v>
      </c>
      <c r="AX5" s="189">
        <v>346565490.01999998</v>
      </c>
      <c r="AY5" s="189">
        <v>254753350.65000001</v>
      </c>
      <c r="AZ5" s="189">
        <v>172510142.87</v>
      </c>
      <c r="BA5" s="189">
        <v>100494315.39</v>
      </c>
      <c r="BB5" s="189">
        <v>338479924.23000002</v>
      </c>
      <c r="BC5" s="189">
        <v>246871437.91</v>
      </c>
      <c r="BD5" s="189">
        <v>174264210.16</v>
      </c>
      <c r="BE5" s="189">
        <v>102238954.23999999</v>
      </c>
      <c r="BF5" s="189">
        <v>312399287.14999998</v>
      </c>
      <c r="BG5" s="189">
        <v>229256420.13999999</v>
      </c>
      <c r="BH5" s="189">
        <v>159789254.65000001</v>
      </c>
      <c r="BI5" s="189">
        <v>95341748.280000001</v>
      </c>
      <c r="BJ5" s="189">
        <v>391635877.38999999</v>
      </c>
      <c r="BK5" s="189">
        <v>298646455.82999998</v>
      </c>
      <c r="BL5" s="189">
        <v>212376683.41999999</v>
      </c>
      <c r="BM5" s="189">
        <v>122759882.84999999</v>
      </c>
      <c r="BN5" s="189">
        <v>432871684.63</v>
      </c>
      <c r="BO5" s="189">
        <v>342824117.12</v>
      </c>
      <c r="BP5" s="189">
        <v>245805576.74000001</v>
      </c>
      <c r="BQ5" s="189">
        <v>146503334.08000001</v>
      </c>
      <c r="BR5" s="189">
        <v>546957779.86000001</v>
      </c>
      <c r="BS5" s="189">
        <v>282374903.05000001</v>
      </c>
      <c r="BT5" s="189">
        <v>542540850.66999996</v>
      </c>
      <c r="BU5" s="189">
        <v>257209472.91999999</v>
      </c>
      <c r="BV5" s="189">
        <v>478910059.79000002</v>
      </c>
      <c r="BW5" s="189">
        <v>258255305.94999999</v>
      </c>
      <c r="BX5" s="189">
        <v>490035966.43000001</v>
      </c>
      <c r="BY5" s="189">
        <v>251721971.47</v>
      </c>
      <c r="BZ5" s="189">
        <v>485235735.23000002</v>
      </c>
      <c r="CA5" s="189">
        <v>272066119.88999999</v>
      </c>
      <c r="CB5" s="189">
        <v>493733173.69999999</v>
      </c>
      <c r="CC5" s="189">
        <v>272228569.94999999</v>
      </c>
      <c r="CD5" s="189">
        <v>448944744.41000003</v>
      </c>
      <c r="CE5" s="189">
        <v>0</v>
      </c>
      <c r="CF5" s="189"/>
      <c r="CG5" s="189"/>
      <c r="CH5" s="189"/>
      <c r="CI5" s="189"/>
      <c r="CJ5" s="189"/>
      <c r="CK5" s="189"/>
    </row>
    <row r="6" spans="1:89" s="3" customFormat="1">
      <c r="A6" s="20" t="s">
        <v>386</v>
      </c>
      <c r="B6" s="27">
        <f>B4-B5</f>
        <v>482785360.22000015</v>
      </c>
      <c r="C6" s="27">
        <f t="shared" ref="C6:BN6" si="0">C4-C5</f>
        <v>370658936.13000011</v>
      </c>
      <c r="D6" s="27">
        <f t="shared" si="0"/>
        <v>257551144.49000001</v>
      </c>
      <c r="E6" s="27">
        <f t="shared" si="0"/>
        <v>157786113.47000003</v>
      </c>
      <c r="F6" s="27">
        <f t="shared" si="0"/>
        <v>466278196.66999984</v>
      </c>
      <c r="G6" s="27">
        <f t="shared" si="0"/>
        <v>345127113.06999993</v>
      </c>
      <c r="H6" s="27">
        <f t="shared" si="0"/>
        <v>236742026.42000002</v>
      </c>
      <c r="I6" s="27">
        <f t="shared" si="0"/>
        <v>60613311.060000002</v>
      </c>
      <c r="J6" s="27">
        <f t="shared" si="0"/>
        <v>254045704.46999991</v>
      </c>
      <c r="K6" s="27">
        <f t="shared" si="0"/>
        <v>192712356.99000001</v>
      </c>
      <c r="L6" s="27">
        <f t="shared" si="0"/>
        <v>131518941.75999999</v>
      </c>
      <c r="M6" s="27">
        <f t="shared" si="0"/>
        <v>71081383.479999989</v>
      </c>
      <c r="N6" s="27">
        <f t="shared" si="0"/>
        <v>276497385.23000014</v>
      </c>
      <c r="O6" s="27">
        <f t="shared" si="0"/>
        <v>225925231.14999998</v>
      </c>
      <c r="P6" s="27">
        <f t="shared" si="0"/>
        <v>155033965.63999999</v>
      </c>
      <c r="Q6" s="27">
        <f t="shared" si="0"/>
        <v>84909778.650000006</v>
      </c>
      <c r="R6" s="27">
        <f t="shared" si="0"/>
        <v>285516338.57999992</v>
      </c>
      <c r="S6" s="27">
        <f t="shared" si="0"/>
        <v>233652543.88</v>
      </c>
      <c r="T6" s="27">
        <f t="shared" si="0"/>
        <v>159316667.34999996</v>
      </c>
      <c r="U6" s="27">
        <f t="shared" si="0"/>
        <v>87609612.930000007</v>
      </c>
      <c r="V6" s="27">
        <f t="shared" si="0"/>
        <v>308371712</v>
      </c>
      <c r="W6" s="27">
        <f t="shared" si="0"/>
        <v>251039955.22000003</v>
      </c>
      <c r="X6" s="27">
        <f t="shared" si="0"/>
        <v>173273210.87</v>
      </c>
      <c r="Y6" s="27">
        <f t="shared" si="0"/>
        <v>94699054.080000043</v>
      </c>
      <c r="Z6" s="27">
        <f t="shared" si="0"/>
        <v>250719181.98999989</v>
      </c>
      <c r="AA6" s="27">
        <f t="shared" si="0"/>
        <v>201876919.43000007</v>
      </c>
      <c r="AB6" s="27">
        <f t="shared" si="0"/>
        <v>139296237.07999992</v>
      </c>
      <c r="AC6" s="27">
        <f t="shared" si="0"/>
        <v>73814683.599999964</v>
      </c>
      <c r="AD6" s="27">
        <f t="shared" si="0"/>
        <v>227855444.88000011</v>
      </c>
      <c r="AE6" s="27">
        <f t="shared" si="0"/>
        <v>180320885.67999995</v>
      </c>
      <c r="AF6" s="27">
        <f t="shared" si="0"/>
        <v>122818528.94</v>
      </c>
      <c r="AG6" s="27">
        <f t="shared" si="0"/>
        <v>70533831.24000001</v>
      </c>
      <c r="AH6" s="27">
        <f t="shared" si="0"/>
        <v>190471511.88999999</v>
      </c>
      <c r="AI6" s="27">
        <f t="shared" si="0"/>
        <v>142757460.74000001</v>
      </c>
      <c r="AJ6" s="27">
        <f t="shared" si="0"/>
        <v>93586865.410000026</v>
      </c>
      <c r="AK6" s="27">
        <f t="shared" si="0"/>
        <v>55670255.210000008</v>
      </c>
      <c r="AL6" s="27">
        <f t="shared" si="0"/>
        <v>158723723.81000006</v>
      </c>
      <c r="AM6" s="27">
        <f t="shared" si="0"/>
        <v>119242887.44999999</v>
      </c>
      <c r="AN6" s="27">
        <f t="shared" si="0"/>
        <v>80849350.159999967</v>
      </c>
      <c r="AO6" s="27">
        <f t="shared" si="0"/>
        <v>45829739.120000005</v>
      </c>
      <c r="AP6" s="27">
        <f t="shared" si="0"/>
        <v>149820447.34999996</v>
      </c>
      <c r="AQ6" s="27">
        <f t="shared" si="0"/>
        <v>112808171.78000003</v>
      </c>
      <c r="AR6" s="27">
        <f t="shared" si="0"/>
        <v>76862124.189999998</v>
      </c>
      <c r="AS6" s="27">
        <f t="shared" si="0"/>
        <v>44530041.75</v>
      </c>
      <c r="AT6" s="27">
        <f t="shared" si="0"/>
        <v>135823461.95999992</v>
      </c>
      <c r="AU6" s="27">
        <f t="shared" si="0"/>
        <v>104169284.74000001</v>
      </c>
      <c r="AV6" s="27">
        <f t="shared" si="0"/>
        <v>69492702.170000017</v>
      </c>
      <c r="AW6" s="27">
        <f t="shared" si="0"/>
        <v>38029997.980000019</v>
      </c>
      <c r="AX6" s="27">
        <f t="shared" si="0"/>
        <v>103778374.35000002</v>
      </c>
      <c r="AY6" s="27">
        <f t="shared" si="0"/>
        <v>76391161.390000015</v>
      </c>
      <c r="AZ6" s="27">
        <f t="shared" si="0"/>
        <v>51870289.219999999</v>
      </c>
      <c r="BA6" s="27">
        <f t="shared" si="0"/>
        <v>29805118.780000001</v>
      </c>
      <c r="BB6" s="27">
        <f t="shared" si="0"/>
        <v>101035386.68000001</v>
      </c>
      <c r="BC6" s="27">
        <f t="shared" si="0"/>
        <v>75940509.380000025</v>
      </c>
      <c r="BD6" s="27">
        <f t="shared" si="0"/>
        <v>52991272.5</v>
      </c>
      <c r="BE6" s="27">
        <f t="shared" si="0"/>
        <v>30454088.170000002</v>
      </c>
      <c r="BF6" s="27">
        <f t="shared" si="0"/>
        <v>91357384.200000048</v>
      </c>
      <c r="BG6" s="27">
        <f t="shared" si="0"/>
        <v>70688359.889999986</v>
      </c>
      <c r="BH6" s="27">
        <f t="shared" si="0"/>
        <v>49879573.449999988</v>
      </c>
      <c r="BI6" s="27">
        <f t="shared" si="0"/>
        <v>28453404.870000005</v>
      </c>
      <c r="BJ6" s="27">
        <f t="shared" si="0"/>
        <v>87949633.189999998</v>
      </c>
      <c r="BK6" s="27">
        <f t="shared" si="0"/>
        <v>66252248.550000012</v>
      </c>
      <c r="BL6" s="27">
        <f t="shared" si="0"/>
        <v>44872370.520000011</v>
      </c>
      <c r="BM6" s="27">
        <f t="shared" si="0"/>
        <v>26775501.110000014</v>
      </c>
      <c r="BN6" s="27">
        <f t="shared" si="0"/>
        <v>74407595.430000007</v>
      </c>
      <c r="BO6" s="27">
        <f t="shared" ref="BO6:CK6" si="1">BO4-BO5</f>
        <v>63186891.409999967</v>
      </c>
      <c r="BP6" s="27">
        <f t="shared" si="1"/>
        <v>46443669.139999986</v>
      </c>
      <c r="BQ6" s="27">
        <f t="shared" si="1"/>
        <v>27434891.039999992</v>
      </c>
      <c r="BR6" s="27">
        <f t="shared" si="1"/>
        <v>102723083.24000001</v>
      </c>
      <c r="BS6" s="27">
        <f t="shared" si="1"/>
        <v>59768416.469999969</v>
      </c>
      <c r="BT6" s="27">
        <f t="shared" si="1"/>
        <v>107330092.12</v>
      </c>
      <c r="BU6" s="27">
        <f t="shared" si="1"/>
        <v>55160640.909999996</v>
      </c>
      <c r="BV6" s="27">
        <f t="shared" si="1"/>
        <v>108095132.46999997</v>
      </c>
      <c r="BW6" s="27">
        <f t="shared" si="1"/>
        <v>60384553.550000012</v>
      </c>
      <c r="BX6" s="27">
        <f t="shared" si="1"/>
        <v>117397858.14000005</v>
      </c>
      <c r="BY6" s="27">
        <f t="shared" si="1"/>
        <v>60438855.380000025</v>
      </c>
      <c r="BZ6" s="27">
        <f t="shared" si="1"/>
        <v>117363429.88999999</v>
      </c>
      <c r="CA6" s="27">
        <f t="shared" si="1"/>
        <v>73490547.230000019</v>
      </c>
      <c r="CB6" s="27">
        <f t="shared" si="1"/>
        <v>118941133.49000007</v>
      </c>
      <c r="CC6" s="27">
        <f t="shared" si="1"/>
        <v>61793773.189999998</v>
      </c>
      <c r="CD6" s="27">
        <f t="shared" si="1"/>
        <v>103468110.97999996</v>
      </c>
      <c r="CE6" s="27">
        <f t="shared" si="1"/>
        <v>0</v>
      </c>
      <c r="CF6" s="27">
        <f t="shared" si="1"/>
        <v>0</v>
      </c>
      <c r="CG6" s="27">
        <f t="shared" si="1"/>
        <v>0</v>
      </c>
      <c r="CH6" s="27">
        <f t="shared" si="1"/>
        <v>0</v>
      </c>
      <c r="CI6" s="27">
        <f t="shared" si="1"/>
        <v>0</v>
      </c>
      <c r="CJ6" s="27">
        <f t="shared" si="1"/>
        <v>0</v>
      </c>
      <c r="CK6" s="27">
        <f t="shared" si="1"/>
        <v>0</v>
      </c>
    </row>
    <row r="7" spans="1:89" s="57" customFormat="1">
      <c r="A7" s="57" t="s">
        <v>387</v>
      </c>
      <c r="B7" s="57">
        <f>B6/B4*100</f>
        <v>34.920850869989479</v>
      </c>
      <c r="C7" s="57">
        <f t="shared" ref="C7:D7" si="2">C6/C4*100</f>
        <v>34.825314158308238</v>
      </c>
      <c r="D7" s="57">
        <f t="shared" si="2"/>
        <v>35.225968359091375</v>
      </c>
      <c r="E7" s="57">
        <f>E6/E4</f>
        <v>0.37436719604267454</v>
      </c>
      <c r="F7" s="57">
        <f t="shared" ref="F7:BQ7" si="3">F6/F4</f>
        <v>0.3412548404856246</v>
      </c>
      <c r="G7" s="57">
        <f t="shared" si="3"/>
        <v>0.33636886087530488</v>
      </c>
      <c r="H7" s="57">
        <f t="shared" si="3"/>
        <v>0.33898762320885173</v>
      </c>
      <c r="I7" s="57">
        <f t="shared" si="3"/>
        <v>0.21324348075238525</v>
      </c>
      <c r="J7" s="57">
        <f t="shared" si="3"/>
        <v>0.24747864603074077</v>
      </c>
      <c r="K7" s="57">
        <f t="shared" si="3"/>
        <v>0.25153285795828323</v>
      </c>
      <c r="L7" s="57">
        <f t="shared" si="3"/>
        <v>0.25009202498379862</v>
      </c>
      <c r="M7" s="57">
        <f t="shared" si="3"/>
        <v>0.24075009736655706</v>
      </c>
      <c r="N7" s="57">
        <f t="shared" si="3"/>
        <v>0.24672613189684461</v>
      </c>
      <c r="O7" s="57">
        <f t="shared" si="3"/>
        <v>0.26346014006217766</v>
      </c>
      <c r="P7" s="57">
        <f t="shared" si="3"/>
        <v>0.26132162770158496</v>
      </c>
      <c r="Q7" s="57">
        <f t="shared" si="3"/>
        <v>0.25304462711466641</v>
      </c>
      <c r="R7" s="57">
        <f t="shared" si="3"/>
        <v>0.23502139186728929</v>
      </c>
      <c r="S7" s="57">
        <f t="shared" si="3"/>
        <v>0.25188362922311341</v>
      </c>
      <c r="T7" s="57">
        <f t="shared" si="3"/>
        <v>0.25251456846225595</v>
      </c>
      <c r="U7" s="57">
        <f t="shared" si="3"/>
        <v>0.24375883147246857</v>
      </c>
      <c r="V7" s="57">
        <f t="shared" si="3"/>
        <v>0.21594574412898457</v>
      </c>
      <c r="W7" s="57">
        <f t="shared" si="3"/>
        <v>0.2302602810252386</v>
      </c>
      <c r="X7" s="57">
        <f t="shared" si="3"/>
        <v>0.22993012812182848</v>
      </c>
      <c r="Y7" s="57">
        <f t="shared" si="3"/>
        <v>0.23259913796521992</v>
      </c>
      <c r="Z7" s="57">
        <f t="shared" si="3"/>
        <v>0.18993049659617484</v>
      </c>
      <c r="AA7" s="57">
        <f t="shared" si="3"/>
        <v>0.20193789299157641</v>
      </c>
      <c r="AB7" s="57">
        <f t="shared" si="3"/>
        <v>0.20007391849732784</v>
      </c>
      <c r="AC7" s="57">
        <f t="shared" si="3"/>
        <v>0.18585294460200191</v>
      </c>
      <c r="AD7" s="57">
        <f t="shared" si="3"/>
        <v>0.19176829172526302</v>
      </c>
      <c r="AE7" s="57">
        <f t="shared" si="3"/>
        <v>0.20455589925179554</v>
      </c>
      <c r="AF7" s="57">
        <f t="shared" si="3"/>
        <v>0.19811460961212488</v>
      </c>
      <c r="AG7" s="57">
        <f t="shared" si="3"/>
        <v>0.19554281165398799</v>
      </c>
      <c r="AH7" s="57">
        <f t="shared" si="3"/>
        <v>0.20683204049550563</v>
      </c>
      <c r="AI7" s="57">
        <f t="shared" si="3"/>
        <v>0.21889159504643077</v>
      </c>
      <c r="AJ7" s="57">
        <f t="shared" si="3"/>
        <v>0.21394063861083612</v>
      </c>
      <c r="AK7" s="57">
        <f t="shared" si="3"/>
        <v>0.22205885328932418</v>
      </c>
      <c r="AL7" s="57">
        <f t="shared" si="3"/>
        <v>0.2176925303887487</v>
      </c>
      <c r="AM7" s="57">
        <f t="shared" si="3"/>
        <v>0.2241600174578452</v>
      </c>
      <c r="AN7" s="57">
        <f t="shared" si="3"/>
        <v>0.2218149151552582</v>
      </c>
      <c r="AO7" s="57">
        <f t="shared" si="3"/>
        <v>0.21954921749557119</v>
      </c>
      <c r="AP7" s="57">
        <f t="shared" si="3"/>
        <v>0.24052202744900275</v>
      </c>
      <c r="AQ7" s="57">
        <f t="shared" si="3"/>
        <v>0.24615981587245012</v>
      </c>
      <c r="AR7" s="57">
        <f t="shared" si="3"/>
        <v>0.24607604383927287</v>
      </c>
      <c r="AS7" s="57">
        <f t="shared" si="3"/>
        <v>0.23780118192493749</v>
      </c>
      <c r="AT7" s="57">
        <f t="shared" si="3"/>
        <v>0.24811943520192042</v>
      </c>
      <c r="AU7" s="57">
        <f t="shared" si="3"/>
        <v>0.26118329665387452</v>
      </c>
      <c r="AV7" s="57">
        <f t="shared" si="3"/>
        <v>0.25611827559118544</v>
      </c>
      <c r="AW7" s="57">
        <f t="shared" si="3"/>
        <v>0.24976216665684492</v>
      </c>
      <c r="AX7" s="57">
        <f t="shared" si="3"/>
        <v>0.23044251861891982</v>
      </c>
      <c r="AY7" s="57">
        <f t="shared" si="3"/>
        <v>0.23068829049708811</v>
      </c>
      <c r="AZ7" s="57">
        <f t="shared" si="3"/>
        <v>0.23117117984332339</v>
      </c>
      <c r="BA7" s="57">
        <f t="shared" si="3"/>
        <v>0.22874327098852668</v>
      </c>
      <c r="BB7" s="57">
        <f t="shared" si="3"/>
        <v>0.22987910585142077</v>
      </c>
      <c r="BC7" s="57">
        <f t="shared" si="3"/>
        <v>0.23524689844201591</v>
      </c>
      <c r="BD7" s="57">
        <f t="shared" si="3"/>
        <v>0.23317929178096425</v>
      </c>
      <c r="BE7" s="57">
        <f t="shared" si="3"/>
        <v>0.22950779948131572</v>
      </c>
      <c r="BF7" s="57">
        <f t="shared" si="3"/>
        <v>0.22626842027040117</v>
      </c>
      <c r="BG7" s="57">
        <f t="shared" si="3"/>
        <v>0.23567124549702068</v>
      </c>
      <c r="BH7" s="57">
        <f t="shared" si="3"/>
        <v>0.23789694396636918</v>
      </c>
      <c r="BI7" s="57">
        <f t="shared" si="3"/>
        <v>0.22984264041035279</v>
      </c>
      <c r="BJ7" s="57">
        <f t="shared" si="3"/>
        <v>0.1833867605458632</v>
      </c>
      <c r="BK7" s="57">
        <f t="shared" si="3"/>
        <v>0.18156339760802748</v>
      </c>
      <c r="BL7" s="57">
        <f t="shared" si="3"/>
        <v>0.17443162504483264</v>
      </c>
      <c r="BM7" s="57">
        <f t="shared" si="3"/>
        <v>0.17905796207513219</v>
      </c>
      <c r="BN7" s="57">
        <f t="shared" si="3"/>
        <v>0.14667974497440389</v>
      </c>
      <c r="BO7" s="57">
        <f t="shared" si="3"/>
        <v>0.15562851765712929</v>
      </c>
      <c r="BP7" s="57">
        <f t="shared" si="3"/>
        <v>0.15891801191873783</v>
      </c>
      <c r="BQ7" s="57">
        <f t="shared" si="3"/>
        <v>0.15772778537364432</v>
      </c>
      <c r="BR7" s="57">
        <f t="shared" ref="BR7:CK7" si="4">BR6/BR4</f>
        <v>0.15811314304356952</v>
      </c>
      <c r="BS7" s="57">
        <f t="shared" si="4"/>
        <v>0.17468824629938801</v>
      </c>
      <c r="BT7" s="57">
        <f t="shared" si="4"/>
        <v>0.16515601029831362</v>
      </c>
      <c r="BU7" s="57">
        <f t="shared" si="4"/>
        <v>0.17658744696690115</v>
      </c>
      <c r="BV7" s="57">
        <f t="shared" si="4"/>
        <v>0.1841468080611488</v>
      </c>
      <c r="BW7" s="57">
        <f t="shared" si="4"/>
        <v>0.18950721872886092</v>
      </c>
      <c r="BX7" s="57">
        <f t="shared" si="4"/>
        <v>0.1932685559996688</v>
      </c>
      <c r="BY7" s="57">
        <f t="shared" si="4"/>
        <v>0.19361447747907906</v>
      </c>
      <c r="BZ7" s="57">
        <f t="shared" si="4"/>
        <v>0.19476201874031562</v>
      </c>
      <c r="CA7" s="57">
        <f t="shared" si="4"/>
        <v>0.21267292523248948</v>
      </c>
      <c r="CB7" s="57">
        <f t="shared" si="4"/>
        <v>0.19413435832737561</v>
      </c>
      <c r="CC7" s="57">
        <f t="shared" si="4"/>
        <v>0.18499892135688706</v>
      </c>
      <c r="CD7" s="57">
        <f t="shared" si="4"/>
        <v>0.18730214181375654</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c r="A8" s="17" t="s">
        <v>388</v>
      </c>
      <c r="B8" s="189">
        <v>41001916.640000001</v>
      </c>
      <c r="C8" s="189">
        <v>33290978.93</v>
      </c>
      <c r="D8" s="189">
        <v>22754989.289999999</v>
      </c>
      <c r="E8" s="189">
        <v>12800345.52</v>
      </c>
      <c r="F8" s="189">
        <v>42430471.789999999</v>
      </c>
      <c r="G8" s="189">
        <v>31065916.550000001</v>
      </c>
      <c r="H8" s="189">
        <v>21073570</v>
      </c>
      <c r="I8" s="189">
        <v>5359330.1900000004</v>
      </c>
      <c r="J8" s="189">
        <v>23274484.359999999</v>
      </c>
      <c r="K8" s="189">
        <v>13966510.32</v>
      </c>
      <c r="L8" s="189">
        <v>9757861.6799999997</v>
      </c>
      <c r="M8" s="189">
        <v>6003046.9699999997</v>
      </c>
      <c r="N8" s="189">
        <v>23690317.800000001</v>
      </c>
      <c r="O8" s="189">
        <v>15130726.34</v>
      </c>
      <c r="P8" s="189">
        <v>9867909.3200000003</v>
      </c>
      <c r="Q8" s="189">
        <v>5982304.5700000003</v>
      </c>
      <c r="R8" s="189">
        <v>24030468.309999999</v>
      </c>
      <c r="S8" s="189">
        <v>15172450.869999999</v>
      </c>
      <c r="T8" s="189">
        <v>9890700.2300000004</v>
      </c>
      <c r="U8" s="189">
        <v>5825629.3600000003</v>
      </c>
      <c r="V8" s="189">
        <v>28780411.329999998</v>
      </c>
      <c r="W8" s="189">
        <v>19101053.68</v>
      </c>
      <c r="X8" s="189">
        <v>13461726.199999999</v>
      </c>
      <c r="Y8" s="189">
        <v>7730018.8200000003</v>
      </c>
      <c r="Z8" s="189">
        <v>17209678.609999999</v>
      </c>
      <c r="AA8" s="189">
        <v>13728246.52</v>
      </c>
      <c r="AB8" s="189">
        <v>9422596.2799999993</v>
      </c>
      <c r="AC8" s="189">
        <v>5781182.8799999999</v>
      </c>
      <c r="AD8" s="189">
        <v>15628811.550000001</v>
      </c>
      <c r="AE8" s="189">
        <v>11267320.65</v>
      </c>
      <c r="AF8" s="189">
        <v>7668773.9199999999</v>
      </c>
      <c r="AG8" s="189">
        <v>4902673.45</v>
      </c>
      <c r="AH8" s="189">
        <v>11789509.08</v>
      </c>
      <c r="AI8" s="189">
        <v>8842980.1199999992</v>
      </c>
      <c r="AJ8" s="189">
        <v>5332103.5599999996</v>
      </c>
      <c r="AK8" s="189">
        <v>3323646.91</v>
      </c>
      <c r="AL8" s="189">
        <v>9568690.1500000004</v>
      </c>
      <c r="AM8" s="189">
        <v>6292057.3399999999</v>
      </c>
      <c r="AN8" s="189">
        <v>4123443.17</v>
      </c>
      <c r="AO8" s="189">
        <v>3372966.09</v>
      </c>
      <c r="AP8" s="189">
        <v>7321368.1900000004</v>
      </c>
      <c r="AQ8" s="189">
        <v>5341172.1500000004</v>
      </c>
      <c r="AR8" s="189">
        <v>3476962.36</v>
      </c>
      <c r="AS8" s="189">
        <v>2331810.17</v>
      </c>
      <c r="AT8" s="189">
        <v>7195618.7400000002</v>
      </c>
      <c r="AU8" s="189">
        <v>5182119.78</v>
      </c>
      <c r="AV8" s="189">
        <v>2935967.03</v>
      </c>
      <c r="AW8" s="189">
        <v>2246471.7200000002</v>
      </c>
      <c r="AX8" s="189">
        <v>5199647.32</v>
      </c>
      <c r="AY8" s="189">
        <v>3416238.4</v>
      </c>
      <c r="AZ8" s="189">
        <v>2411258.54</v>
      </c>
      <c r="BA8" s="189">
        <v>1654427.2</v>
      </c>
      <c r="BB8" s="189">
        <v>5017851.07</v>
      </c>
      <c r="BC8" s="189">
        <v>3680631.68</v>
      </c>
      <c r="BD8" s="189">
        <v>2635277.88</v>
      </c>
      <c r="BE8" s="189">
        <v>1780795.38</v>
      </c>
      <c r="BF8" s="189">
        <v>5122455.41</v>
      </c>
      <c r="BG8" s="189">
        <v>3715857.07</v>
      </c>
      <c r="BH8" s="189">
        <v>2641771.5299999998</v>
      </c>
      <c r="BI8" s="189">
        <v>1657253.28</v>
      </c>
      <c r="BJ8" s="189">
        <v>3676415.45</v>
      </c>
      <c r="BK8" s="189">
        <v>3630970.25</v>
      </c>
      <c r="BL8" s="189">
        <v>2559888.2799999998</v>
      </c>
      <c r="BM8" s="189">
        <v>1780762.08</v>
      </c>
      <c r="BN8" s="189">
        <v>2056684.82</v>
      </c>
      <c r="BO8" s="189">
        <v>1689950.79</v>
      </c>
      <c r="BP8" s="189">
        <v>1203923.1000000001</v>
      </c>
      <c r="BQ8" s="189">
        <v>976227.38</v>
      </c>
      <c r="BR8" s="189">
        <v>2853226.08</v>
      </c>
      <c r="BS8" s="189">
        <v>1737263.51</v>
      </c>
      <c r="BT8" s="189">
        <v>3145794.63</v>
      </c>
      <c r="BU8" s="189">
        <v>2023049.19</v>
      </c>
      <c r="BV8" s="189">
        <v>3525065.01</v>
      </c>
      <c r="BW8" s="189">
        <v>1539293.9</v>
      </c>
      <c r="BX8" s="189">
        <v>3927924.23</v>
      </c>
      <c r="BY8" s="189">
        <v>2068186.48</v>
      </c>
      <c r="BZ8" s="189">
        <v>3867464.78</v>
      </c>
      <c r="CA8" s="189">
        <v>3369202.75</v>
      </c>
      <c r="CB8" s="189">
        <v>3675214.17</v>
      </c>
      <c r="CC8" s="189">
        <v>1800905.27</v>
      </c>
      <c r="CD8" s="189">
        <v>3852709.11</v>
      </c>
      <c r="CE8" s="189">
        <v>0</v>
      </c>
      <c r="CF8" s="189"/>
      <c r="CG8" s="189"/>
      <c r="CH8" s="189"/>
      <c r="CI8" s="189"/>
      <c r="CJ8" s="189"/>
      <c r="CK8" s="189"/>
    </row>
    <row r="9" spans="1:89">
      <c r="A9" s="17" t="s">
        <v>389</v>
      </c>
      <c r="B9" s="189">
        <v>76594748.549999997</v>
      </c>
      <c r="C9" s="189">
        <v>57157465.799999997</v>
      </c>
      <c r="D9" s="189">
        <v>39805925.409999996</v>
      </c>
      <c r="E9" s="189">
        <v>20712567.129999999</v>
      </c>
      <c r="F9" s="189">
        <v>66215540.450000003</v>
      </c>
      <c r="G9" s="189">
        <v>46876708.009999998</v>
      </c>
      <c r="H9" s="189">
        <v>28011745.489999998</v>
      </c>
      <c r="I9" s="189">
        <v>13466612.890000001</v>
      </c>
      <c r="J9" s="189">
        <v>62280920.460000001</v>
      </c>
      <c r="K9" s="189">
        <v>46214565.479999997</v>
      </c>
      <c r="L9" s="189">
        <v>27667130.350000001</v>
      </c>
      <c r="M9" s="189">
        <v>15152146.310000001</v>
      </c>
      <c r="N9" s="189">
        <v>69624252.760000005</v>
      </c>
      <c r="O9" s="189">
        <v>45203222.68</v>
      </c>
      <c r="P9" s="189">
        <v>28914261.550000001</v>
      </c>
      <c r="Q9" s="189">
        <v>15950931.119999999</v>
      </c>
      <c r="R9" s="189">
        <v>64788190.049999997</v>
      </c>
      <c r="S9" s="189">
        <v>46098673.969999999</v>
      </c>
      <c r="T9" s="189">
        <v>30855687.890000001</v>
      </c>
      <c r="U9" s="189">
        <v>15652670.6</v>
      </c>
      <c r="V9" s="189">
        <v>63818107.130000003</v>
      </c>
      <c r="W9" s="189">
        <v>43853462.670000002</v>
      </c>
      <c r="X9" s="189">
        <v>31471773.140000001</v>
      </c>
      <c r="Y9" s="189">
        <v>15300488.310000001</v>
      </c>
      <c r="Z9" s="189">
        <v>63764480.609999999</v>
      </c>
      <c r="AA9" s="189">
        <v>59262646.899999999</v>
      </c>
      <c r="AB9" s="189">
        <v>38271496.469999999</v>
      </c>
      <c r="AC9" s="189">
        <v>14157406.01</v>
      </c>
      <c r="AD9" s="189">
        <v>60436077.719999999</v>
      </c>
      <c r="AE9" s="189">
        <v>50918055.979999997</v>
      </c>
      <c r="AF9" s="189">
        <v>31253539.079999998</v>
      </c>
      <c r="AG9" s="189">
        <v>14454602.42</v>
      </c>
      <c r="AH9" s="189">
        <v>47649311.75</v>
      </c>
      <c r="AI9" s="189">
        <v>34910986.399999999</v>
      </c>
      <c r="AJ9" s="189">
        <v>18536523.66</v>
      </c>
      <c r="AK9" s="189">
        <v>8911029.1199999992</v>
      </c>
      <c r="AL9" s="189">
        <v>37549245.609999999</v>
      </c>
      <c r="AM9" s="189">
        <v>26464347.43</v>
      </c>
      <c r="AN9" s="189">
        <v>16838749.199999999</v>
      </c>
      <c r="AO9" s="189">
        <v>8177405.1900000004</v>
      </c>
      <c r="AP9" s="189">
        <v>35359246.619999997</v>
      </c>
      <c r="AQ9" s="189">
        <v>29546380.510000002</v>
      </c>
      <c r="AR9" s="189">
        <v>20797279.23</v>
      </c>
      <c r="AS9" s="189">
        <v>11939247.130000001</v>
      </c>
      <c r="AT9" s="189">
        <v>31073852.68</v>
      </c>
      <c r="AU9" s="189">
        <v>25053798.379999999</v>
      </c>
      <c r="AV9" s="189">
        <v>18005819.629999999</v>
      </c>
      <c r="AW9" s="189">
        <v>10251461.49</v>
      </c>
      <c r="AX9" s="189">
        <v>29916910.109999999</v>
      </c>
      <c r="AY9" s="189">
        <v>21485750.23</v>
      </c>
      <c r="AZ9" s="189">
        <v>13240157.880000001</v>
      </c>
      <c r="BA9" s="189">
        <v>10697604.560000001</v>
      </c>
      <c r="BB9" s="189">
        <v>26039247.969999999</v>
      </c>
      <c r="BC9" s="189">
        <v>22378085.789999999</v>
      </c>
      <c r="BD9" s="189">
        <v>14863945.189999999</v>
      </c>
      <c r="BE9" s="189">
        <v>9278538.8300000001</v>
      </c>
      <c r="BF9" s="189">
        <v>29938251.079999998</v>
      </c>
      <c r="BG9" s="189">
        <v>22679586.149999999</v>
      </c>
      <c r="BH9" s="189">
        <v>16181960.119999999</v>
      </c>
      <c r="BI9" s="189">
        <v>9634115.9900000002</v>
      </c>
      <c r="BJ9" s="189">
        <v>47001736.799999997</v>
      </c>
      <c r="BK9" s="189">
        <v>37266133.659999996</v>
      </c>
      <c r="BL9" s="189">
        <v>24428900.989999998</v>
      </c>
      <c r="BM9" s="189">
        <v>13408942.65</v>
      </c>
      <c r="BN9" s="189">
        <v>47084408.280000001</v>
      </c>
      <c r="BO9" s="189">
        <v>32276098.66</v>
      </c>
      <c r="BP9" s="189">
        <v>20281494.329999998</v>
      </c>
      <c r="BQ9" s="189">
        <v>10327723.1</v>
      </c>
      <c r="BR9" s="189">
        <v>60853687.799999997</v>
      </c>
      <c r="BS9" s="189">
        <v>26685880.23</v>
      </c>
      <c r="BT9" s="189">
        <v>45546451.329999998</v>
      </c>
      <c r="BU9" s="189">
        <v>20960763.789999999</v>
      </c>
      <c r="BV9" s="189">
        <v>39169565.539999999</v>
      </c>
      <c r="BW9" s="189">
        <v>19546535.52</v>
      </c>
      <c r="BX9" s="189">
        <v>45565882.829999998</v>
      </c>
      <c r="BY9" s="189">
        <v>24806518.280000001</v>
      </c>
      <c r="BZ9" s="189">
        <v>40087400.369999997</v>
      </c>
      <c r="CA9" s="189">
        <v>26490963.030000001</v>
      </c>
      <c r="CB9" s="189">
        <v>44131970.909999996</v>
      </c>
      <c r="CC9" s="189">
        <v>23165179.219999999</v>
      </c>
      <c r="CD9" s="189">
        <v>37884747.57</v>
      </c>
      <c r="CE9" s="189">
        <v>0</v>
      </c>
      <c r="CF9" s="189"/>
      <c r="CG9" s="189"/>
      <c r="CH9" s="189"/>
      <c r="CI9" s="189"/>
      <c r="CJ9" s="189"/>
      <c r="CK9" s="189"/>
    </row>
    <row r="10" spans="1:89">
      <c r="A10" s="17" t="s">
        <v>390</v>
      </c>
      <c r="B10" s="189">
        <v>108644118.04000001</v>
      </c>
      <c r="C10" s="189">
        <v>80572210.280000001</v>
      </c>
      <c r="D10" s="189">
        <v>50635248.219999999</v>
      </c>
      <c r="E10" s="189">
        <v>25612670.98</v>
      </c>
      <c r="F10" s="189">
        <v>84384128.180000007</v>
      </c>
      <c r="G10" s="189">
        <v>57346847.810000002</v>
      </c>
      <c r="H10" s="189">
        <v>37277852.420000002</v>
      </c>
      <c r="I10" s="189">
        <v>14555447.640000001</v>
      </c>
      <c r="J10" s="189">
        <v>64452068.909999996</v>
      </c>
      <c r="K10" s="189">
        <v>46223440.880000003</v>
      </c>
      <c r="L10" s="189">
        <v>31444374.699999999</v>
      </c>
      <c r="M10" s="189">
        <v>14148555.98</v>
      </c>
      <c r="N10" s="189">
        <v>61449303.18</v>
      </c>
      <c r="O10" s="189">
        <v>59754809.289999999</v>
      </c>
      <c r="P10" s="189">
        <v>41067936.109999999</v>
      </c>
      <c r="Q10" s="189">
        <v>20156981.18</v>
      </c>
      <c r="R10" s="189">
        <v>63743704.719999999</v>
      </c>
      <c r="S10" s="189">
        <v>65540424.539999999</v>
      </c>
      <c r="T10" s="189">
        <v>43172891.350000001</v>
      </c>
      <c r="U10" s="189">
        <v>21104175.649999999</v>
      </c>
      <c r="V10" s="189">
        <v>82951078.810000002</v>
      </c>
      <c r="W10" s="189">
        <v>78426694.709999993</v>
      </c>
      <c r="X10" s="189">
        <v>48526845.359999999</v>
      </c>
      <c r="Y10" s="189">
        <v>22526207.489999998</v>
      </c>
      <c r="Z10" s="189">
        <v>82963341.980000004</v>
      </c>
      <c r="AA10" s="189">
        <v>60323355.079999998</v>
      </c>
      <c r="AB10" s="189">
        <v>36991693.810000002</v>
      </c>
      <c r="AC10" s="189">
        <v>15188285.460000001</v>
      </c>
      <c r="AD10" s="189">
        <v>77159996.150000006</v>
      </c>
      <c r="AE10" s="189">
        <v>55905589.409999996</v>
      </c>
      <c r="AF10" s="189">
        <v>38209677.479999997</v>
      </c>
      <c r="AG10" s="189">
        <v>19261025.420000002</v>
      </c>
      <c r="AH10" s="189">
        <v>66374311.030000001</v>
      </c>
      <c r="AI10" s="189">
        <v>49817196.240000002</v>
      </c>
      <c r="AJ10" s="189">
        <v>31361864.68</v>
      </c>
      <c r="AK10" s="189">
        <v>13987802.75</v>
      </c>
      <c r="AL10" s="189">
        <v>58817686.049999997</v>
      </c>
      <c r="AM10" s="189">
        <v>45282549.439999998</v>
      </c>
      <c r="AN10" s="189">
        <v>31130407.079999998</v>
      </c>
      <c r="AO10" s="189">
        <v>15497103.26</v>
      </c>
      <c r="AP10" s="189">
        <v>59092367.289999999</v>
      </c>
      <c r="AQ10" s="189">
        <v>47169075.32</v>
      </c>
      <c r="AR10" s="189">
        <v>32011562</v>
      </c>
      <c r="AS10" s="189">
        <v>17011146.690000001</v>
      </c>
      <c r="AT10" s="189">
        <v>45952383.909999996</v>
      </c>
      <c r="AU10" s="189">
        <v>39037662.549999997</v>
      </c>
      <c r="AV10" s="189">
        <v>28468155.370000001</v>
      </c>
      <c r="AW10" s="189">
        <v>14850206.6</v>
      </c>
      <c r="AX10" s="189">
        <v>42803164.68</v>
      </c>
      <c r="AY10" s="189">
        <v>33142935.989999998</v>
      </c>
      <c r="AZ10" s="189">
        <v>23610816.350000001</v>
      </c>
      <c r="BA10" s="189">
        <v>12232547.9</v>
      </c>
      <c r="BB10" s="189">
        <v>60972431.299999997</v>
      </c>
      <c r="BC10" s="189">
        <v>42313573.93</v>
      </c>
      <c r="BD10" s="189">
        <v>27500901.300000001</v>
      </c>
      <c r="BE10" s="189">
        <v>13542487.130000001</v>
      </c>
      <c r="BF10" s="189">
        <v>48811133.219999999</v>
      </c>
      <c r="BG10" s="189">
        <v>39534278.719999999</v>
      </c>
      <c r="BH10" s="189">
        <v>27499425.07</v>
      </c>
      <c r="BI10" s="189">
        <v>14230238.140000001</v>
      </c>
      <c r="BJ10" s="189">
        <v>70523342.989999995</v>
      </c>
      <c r="BK10" s="189">
        <v>50737604.200000003</v>
      </c>
      <c r="BL10" s="189">
        <v>31771093.350000001</v>
      </c>
      <c r="BM10" s="189">
        <v>15123876.210000001</v>
      </c>
      <c r="BN10" s="189">
        <v>73257484.609999999</v>
      </c>
      <c r="BO10" s="189">
        <v>39435887.899999999</v>
      </c>
      <c r="BP10" s="189">
        <v>26357771.5</v>
      </c>
      <c r="BQ10" s="189">
        <v>12689598.439999999</v>
      </c>
      <c r="BR10" s="189">
        <v>55394007.729999997</v>
      </c>
      <c r="BS10" s="189">
        <v>22345575.27</v>
      </c>
      <c r="BT10" s="189">
        <v>51040446.840000004</v>
      </c>
      <c r="BU10" s="189">
        <v>22970148.93</v>
      </c>
      <c r="BV10" s="189">
        <v>43363937.810000002</v>
      </c>
      <c r="BW10" s="189">
        <v>21568347.190000001</v>
      </c>
      <c r="BX10" s="189">
        <v>35930573.810000002</v>
      </c>
      <c r="BY10" s="189">
        <v>16553940.880000001</v>
      </c>
      <c r="BZ10" s="189">
        <v>34373576.189999998</v>
      </c>
      <c r="CA10" s="189">
        <v>20225424.899999999</v>
      </c>
      <c r="CB10" s="189">
        <v>36344082.829999998</v>
      </c>
      <c r="CC10" s="189">
        <v>17172787.5</v>
      </c>
      <c r="CD10" s="189">
        <v>27213721.469999999</v>
      </c>
      <c r="CE10" s="189">
        <v>0</v>
      </c>
      <c r="CF10" s="189"/>
      <c r="CG10" s="189"/>
      <c r="CH10" s="189"/>
      <c r="CI10" s="189"/>
      <c r="CJ10" s="189"/>
      <c r="CK10" s="189"/>
    </row>
    <row r="11" spans="1:89">
      <c r="A11" s="17" t="s">
        <v>391</v>
      </c>
      <c r="B11" s="189">
        <v>3664918.69</v>
      </c>
      <c r="C11" s="189">
        <v>0</v>
      </c>
      <c r="D11" s="189">
        <v>0</v>
      </c>
      <c r="E11" s="189">
        <v>0</v>
      </c>
      <c r="F11" s="189">
        <v>752451.15</v>
      </c>
      <c r="G11" s="189">
        <v>-1322249.77</v>
      </c>
      <c r="H11" s="189">
        <v>219017.68</v>
      </c>
      <c r="I11" s="189">
        <v>208927.68</v>
      </c>
      <c r="J11" s="189">
        <v>1790832.56</v>
      </c>
      <c r="K11" s="189">
        <v>236073.48</v>
      </c>
      <c r="L11" s="189">
        <v>236073.48</v>
      </c>
      <c r="M11" s="189">
        <v>0</v>
      </c>
      <c r="N11" s="189">
        <v>1653478.01</v>
      </c>
      <c r="O11" s="189">
        <v>0</v>
      </c>
      <c r="P11" s="189">
        <v>0</v>
      </c>
      <c r="Q11" s="189">
        <v>0</v>
      </c>
      <c r="R11" s="189">
        <v>790872.63</v>
      </c>
      <c r="S11" s="189">
        <v>502698</v>
      </c>
      <c r="T11" s="189">
        <v>0</v>
      </c>
      <c r="U11" s="189">
        <v>0</v>
      </c>
      <c r="V11" s="189">
        <v>-1832.17</v>
      </c>
      <c r="W11" s="189">
        <v>0</v>
      </c>
      <c r="X11" s="189">
        <v>0</v>
      </c>
      <c r="Y11" s="189">
        <v>0</v>
      </c>
      <c r="Z11" s="189">
        <v>5940057.7800000003</v>
      </c>
      <c r="AA11" s="189">
        <v>3622479.11</v>
      </c>
      <c r="AB11" s="189">
        <v>0</v>
      </c>
      <c r="AC11" s="189">
        <v>121169.97</v>
      </c>
      <c r="AD11" s="189">
        <v>482450.6</v>
      </c>
      <c r="AE11" s="189">
        <v>0</v>
      </c>
      <c r="AF11" s="189">
        <v>0</v>
      </c>
      <c r="AG11" s="189">
        <v>0</v>
      </c>
      <c r="AH11" s="189">
        <v>193452.97</v>
      </c>
      <c r="AI11" s="189">
        <v>22500</v>
      </c>
      <c r="AJ11" s="189">
        <v>0</v>
      </c>
      <c r="AK11" s="189">
        <v>0</v>
      </c>
      <c r="AL11" s="189">
        <v>199262.07999999999</v>
      </c>
      <c r="AM11" s="189">
        <v>0</v>
      </c>
      <c r="AN11" s="189">
        <v>0</v>
      </c>
      <c r="AO11" s="189">
        <v>0</v>
      </c>
      <c r="AP11" s="189">
        <v>461945.9</v>
      </c>
      <c r="AQ11" s="189">
        <v>0</v>
      </c>
      <c r="AR11" s="189">
        <v>0</v>
      </c>
      <c r="AS11" s="189">
        <v>0</v>
      </c>
      <c r="AT11" s="189">
        <v>79777.259999999995</v>
      </c>
      <c r="AU11" s="189">
        <v>0</v>
      </c>
      <c r="AV11" s="189">
        <v>0</v>
      </c>
      <c r="AW11" s="189">
        <v>0</v>
      </c>
      <c r="AX11" s="189">
        <v>0</v>
      </c>
      <c r="AY11" s="189">
        <v>0</v>
      </c>
      <c r="AZ11" s="189">
        <v>0</v>
      </c>
      <c r="BA11" s="189">
        <v>0</v>
      </c>
      <c r="BB11" s="189">
        <v>0</v>
      </c>
      <c r="BC11" s="189">
        <v>0</v>
      </c>
      <c r="BD11" s="189">
        <v>0</v>
      </c>
      <c r="BE11" s="189">
        <v>0</v>
      </c>
      <c r="BF11" s="189">
        <v>0</v>
      </c>
      <c r="BG11" s="189">
        <v>0</v>
      </c>
      <c r="BH11" s="189">
        <v>0</v>
      </c>
      <c r="BI11" s="189">
        <v>0</v>
      </c>
      <c r="BJ11" s="189">
        <v>0</v>
      </c>
      <c r="BK11" s="189">
        <v>0</v>
      </c>
      <c r="BL11" s="189">
        <v>0</v>
      </c>
      <c r="BM11" s="189">
        <v>0</v>
      </c>
      <c r="BN11" s="189">
        <v>0</v>
      </c>
      <c r="BO11" s="189">
        <v>0</v>
      </c>
      <c r="BP11" s="189">
        <v>0</v>
      </c>
      <c r="BQ11" s="189">
        <v>0</v>
      </c>
      <c r="BR11" s="189">
        <v>0</v>
      </c>
      <c r="BS11" s="189">
        <v>0</v>
      </c>
      <c r="BT11" s="189">
        <v>-94528.57</v>
      </c>
      <c r="BU11" s="189">
        <v>0</v>
      </c>
      <c r="BV11" s="189">
        <v>-1940226.06</v>
      </c>
      <c r="BW11" s="189">
        <v>0</v>
      </c>
      <c r="BX11" s="189">
        <v>0</v>
      </c>
      <c r="BY11" s="189">
        <v>0</v>
      </c>
      <c r="BZ11" s="189">
        <v>0</v>
      </c>
      <c r="CA11" s="189">
        <v>0</v>
      </c>
      <c r="CB11" s="189">
        <v>0</v>
      </c>
      <c r="CC11" s="189">
        <v>0</v>
      </c>
      <c r="CD11" s="189">
        <v>0</v>
      </c>
      <c r="CE11" s="189">
        <v>0</v>
      </c>
      <c r="CF11" s="189"/>
      <c r="CG11" s="189"/>
      <c r="CH11" s="189"/>
      <c r="CI11" s="189"/>
      <c r="CJ11" s="189"/>
      <c r="CK11" s="189"/>
    </row>
    <row r="12" spans="1:89" s="7" customFormat="1">
      <c r="A12" s="21" t="s">
        <v>392</v>
      </c>
      <c r="B12" s="29">
        <f>B55</f>
        <v>463</v>
      </c>
      <c r="C12" s="29">
        <f t="shared" ref="C12:BN12" si="5">C55</f>
        <v>603</v>
      </c>
      <c r="D12" s="29">
        <f t="shared" si="5"/>
        <v>653</v>
      </c>
      <c r="E12" s="29">
        <f t="shared" si="5"/>
        <v>9421295.0099999998</v>
      </c>
      <c r="F12" s="29">
        <f t="shared" si="5"/>
        <v>1204</v>
      </c>
      <c r="G12" s="29">
        <f t="shared" si="5"/>
        <v>868</v>
      </c>
      <c r="H12" s="29">
        <f t="shared" si="5"/>
        <v>644</v>
      </c>
      <c r="I12" s="29">
        <f t="shared" si="5"/>
        <v>12088525.34</v>
      </c>
      <c r="J12" s="29">
        <f t="shared" si="5"/>
        <v>0</v>
      </c>
      <c r="K12" s="29">
        <f t="shared" si="5"/>
        <v>0</v>
      </c>
      <c r="L12" s="29">
        <f t="shared" si="5"/>
        <v>0</v>
      </c>
      <c r="M12" s="29">
        <f t="shared" si="5"/>
        <v>4520659.01</v>
      </c>
      <c r="N12" s="29">
        <f t="shared" si="5"/>
        <v>0</v>
      </c>
      <c r="O12" s="29">
        <f t="shared" si="5"/>
        <v>0</v>
      </c>
      <c r="P12" s="29">
        <f t="shared" si="5"/>
        <v>0</v>
      </c>
      <c r="Q12" s="29">
        <f t="shared" si="5"/>
        <v>2839681.06</v>
      </c>
      <c r="R12" s="29">
        <f t="shared" si="5"/>
        <v>0</v>
      </c>
      <c r="S12" s="29">
        <f t="shared" si="5"/>
        <v>0</v>
      </c>
      <c r="T12" s="29">
        <f t="shared" si="5"/>
        <v>0</v>
      </c>
      <c r="U12" s="29">
        <f t="shared" si="5"/>
        <v>2536036.96</v>
      </c>
      <c r="V12" s="29">
        <f t="shared" si="5"/>
        <v>0</v>
      </c>
      <c r="W12" s="29">
        <f t="shared" si="5"/>
        <v>0</v>
      </c>
      <c r="X12" s="29">
        <f t="shared" si="5"/>
        <v>0</v>
      </c>
      <c r="Y12" s="29">
        <f t="shared" si="5"/>
        <v>3043476.19</v>
      </c>
      <c r="Z12" s="29">
        <f t="shared" si="5"/>
        <v>0</v>
      </c>
      <c r="AA12" s="29">
        <f t="shared" si="5"/>
        <v>0</v>
      </c>
      <c r="AB12" s="29">
        <f t="shared" si="5"/>
        <v>0</v>
      </c>
      <c r="AC12" s="29">
        <f t="shared" si="5"/>
        <v>3905552.17</v>
      </c>
      <c r="AD12" s="29">
        <f t="shared" si="5"/>
        <v>0</v>
      </c>
      <c r="AE12" s="29">
        <f t="shared" si="5"/>
        <v>0</v>
      </c>
      <c r="AF12" s="29">
        <f t="shared" si="5"/>
        <v>0</v>
      </c>
      <c r="AG12" s="29">
        <f t="shared" si="5"/>
        <v>7506552.2400000002</v>
      </c>
      <c r="AH12" s="29">
        <f t="shared" si="5"/>
        <v>0</v>
      </c>
      <c r="AI12" s="29">
        <f t="shared" si="5"/>
        <v>0</v>
      </c>
      <c r="AJ12" s="29">
        <f t="shared" si="5"/>
        <v>0</v>
      </c>
      <c r="AK12" s="29">
        <f t="shared" si="5"/>
        <v>1838614.23</v>
      </c>
      <c r="AL12" s="29">
        <f t="shared" si="5"/>
        <v>0</v>
      </c>
      <c r="AM12" s="29">
        <f t="shared" si="5"/>
        <v>0</v>
      </c>
      <c r="AN12" s="29">
        <f t="shared" si="5"/>
        <v>0</v>
      </c>
      <c r="AO12" s="29">
        <f t="shared" si="5"/>
        <v>1438804.71</v>
      </c>
      <c r="AP12" s="29">
        <f t="shared" si="5"/>
        <v>0</v>
      </c>
      <c r="AQ12" s="29">
        <f t="shared" si="5"/>
        <v>0</v>
      </c>
      <c r="AR12" s="29">
        <f t="shared" si="5"/>
        <v>0</v>
      </c>
      <c r="AS12" s="29">
        <f t="shared" si="5"/>
        <v>1510959.01</v>
      </c>
      <c r="AT12" s="29">
        <f t="shared" si="5"/>
        <v>0</v>
      </c>
      <c r="AU12" s="29">
        <f t="shared" si="5"/>
        <v>0</v>
      </c>
      <c r="AV12" s="29">
        <f t="shared" si="5"/>
        <v>0</v>
      </c>
      <c r="AW12" s="29">
        <f t="shared" si="5"/>
        <v>2731701.54</v>
      </c>
      <c r="AX12" s="29">
        <f t="shared" si="5"/>
        <v>0</v>
      </c>
      <c r="AY12" s="29">
        <f t="shared" si="5"/>
        <v>0</v>
      </c>
      <c r="AZ12" s="29">
        <f t="shared" si="5"/>
        <v>0</v>
      </c>
      <c r="BA12" s="29">
        <f t="shared" si="5"/>
        <v>-257469.06</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c r="A13" s="17" t="s">
        <v>393</v>
      </c>
      <c r="B13" s="189">
        <v>3787913.75</v>
      </c>
      <c r="C13" s="189">
        <v>2634612.5699999998</v>
      </c>
      <c r="D13" s="189">
        <v>133131.94</v>
      </c>
      <c r="E13" s="189">
        <v>56765.41</v>
      </c>
      <c r="F13" s="189">
        <v>1055616.3799999999</v>
      </c>
      <c r="G13" s="189">
        <v>1547561.84</v>
      </c>
      <c r="H13" s="189">
        <v>1325270.76</v>
      </c>
      <c r="I13" s="189">
        <v>41342.620000000003</v>
      </c>
      <c r="J13" s="189">
        <v>2483023.9700000002</v>
      </c>
      <c r="K13" s="189">
        <v>846974.7</v>
      </c>
      <c r="L13" s="189">
        <v>740833.25</v>
      </c>
      <c r="M13" s="189">
        <v>1098413.5</v>
      </c>
      <c r="N13" s="189">
        <v>1939408.8</v>
      </c>
      <c r="O13" s="189">
        <v>2148419.9900000002</v>
      </c>
      <c r="P13" s="189">
        <v>559491.67000000004</v>
      </c>
      <c r="Q13" s="189">
        <v>439704.63</v>
      </c>
      <c r="R13" s="189">
        <v>2021516.93</v>
      </c>
      <c r="S13" s="189">
        <v>1790916.24</v>
      </c>
      <c r="T13" s="189">
        <v>187273.85</v>
      </c>
      <c r="U13" s="189">
        <v>145080.79999999999</v>
      </c>
      <c r="V13" s="189">
        <v>1696603.4</v>
      </c>
      <c r="W13" s="189">
        <v>836745.76</v>
      </c>
      <c r="X13" s="189">
        <v>364902.79</v>
      </c>
      <c r="Y13" s="189">
        <v>279695.35999999999</v>
      </c>
      <c r="Z13" s="189">
        <v>1540301</v>
      </c>
      <c r="AA13" s="189">
        <v>911969.87</v>
      </c>
      <c r="AB13" s="189">
        <v>621445.39</v>
      </c>
      <c r="AC13" s="189">
        <v>41435.53</v>
      </c>
      <c r="AD13" s="189">
        <v>1072289.83</v>
      </c>
      <c r="AE13" s="189">
        <v>141711.29999999999</v>
      </c>
      <c r="AF13" s="189">
        <v>19015.7</v>
      </c>
      <c r="AG13" s="189">
        <v>7003.4</v>
      </c>
      <c r="AH13" s="189">
        <v>631953.67000000004</v>
      </c>
      <c r="AI13" s="189">
        <v>85744.15</v>
      </c>
      <c r="AJ13" s="189">
        <v>48035.65</v>
      </c>
      <c r="AK13" s="189">
        <v>37007.75</v>
      </c>
      <c r="AL13" s="189">
        <v>423087.88</v>
      </c>
      <c r="AM13" s="189">
        <v>475185.88</v>
      </c>
      <c r="AN13" s="189">
        <v>203216.83</v>
      </c>
      <c r="AO13" s="189">
        <v>77715.94</v>
      </c>
      <c r="AP13" s="189">
        <v>913996.44</v>
      </c>
      <c r="AQ13" s="189">
        <v>615658.17000000004</v>
      </c>
      <c r="AR13" s="189">
        <v>487799.61</v>
      </c>
      <c r="AS13" s="189">
        <v>198784.54</v>
      </c>
      <c r="AT13" s="189">
        <v>1066435.8</v>
      </c>
      <c r="AU13" s="189">
        <v>227931.01</v>
      </c>
      <c r="AV13" s="189">
        <v>113602.78</v>
      </c>
      <c r="AW13" s="189">
        <v>47026.9</v>
      </c>
      <c r="AX13" s="189">
        <v>4772713.9400000004</v>
      </c>
      <c r="AY13" s="189">
        <v>8107243.2199999997</v>
      </c>
      <c r="AZ13" s="189">
        <v>7972000.6200000001</v>
      </c>
      <c r="BA13" s="189">
        <v>33593.5</v>
      </c>
      <c r="BB13" s="189">
        <v>311151.88</v>
      </c>
      <c r="BC13" s="189">
        <v>181966.37</v>
      </c>
      <c r="BD13" s="189">
        <v>145654.78</v>
      </c>
      <c r="BE13" s="189">
        <v>39214.300000000003</v>
      </c>
      <c r="BF13" s="189">
        <v>1890346.19</v>
      </c>
      <c r="BG13" s="189">
        <v>206499.64</v>
      </c>
      <c r="BH13" s="189">
        <v>234827.19</v>
      </c>
      <c r="BI13" s="189">
        <v>225177.26</v>
      </c>
      <c r="BJ13" s="189">
        <v>2284476.62</v>
      </c>
      <c r="BK13" s="189">
        <v>1425415.01</v>
      </c>
      <c r="BL13" s="189">
        <v>1383751.73</v>
      </c>
      <c r="BM13" s="189">
        <v>1204888.71</v>
      </c>
      <c r="BN13" s="189">
        <v>409386.85</v>
      </c>
      <c r="BO13" s="189">
        <v>108217.7</v>
      </c>
      <c r="BP13" s="189">
        <v>157374.65</v>
      </c>
      <c r="BQ13" s="189">
        <v>157374.65</v>
      </c>
      <c r="BR13" s="189">
        <v>137676.76999999999</v>
      </c>
      <c r="BS13" s="189">
        <v>1053076.1299999999</v>
      </c>
      <c r="BT13" s="189">
        <v>20462921.350000001</v>
      </c>
      <c r="BU13" s="189">
        <v>1050785.3700000001</v>
      </c>
      <c r="BV13" s="189">
        <v>1674273.66</v>
      </c>
      <c r="BW13" s="189">
        <v>353948.14</v>
      </c>
      <c r="BX13" s="189">
        <v>993979.68</v>
      </c>
      <c r="BY13" s="189">
        <v>522833.56</v>
      </c>
      <c r="BZ13" s="189">
        <v>1881657.26</v>
      </c>
      <c r="CA13" s="189">
        <v>262815.59999999998</v>
      </c>
      <c r="CB13" s="189">
        <v>967752.01</v>
      </c>
      <c r="CC13" s="189">
        <v>2811904.88</v>
      </c>
      <c r="CD13" s="189">
        <v>1695859.89</v>
      </c>
      <c r="CE13" s="189">
        <v>0</v>
      </c>
      <c r="CF13" s="189"/>
      <c r="CG13" s="189"/>
      <c r="CH13" s="189"/>
      <c r="CI13" s="189"/>
      <c r="CJ13" s="189"/>
      <c r="CK13" s="189"/>
    </row>
    <row r="14" spans="1:89">
      <c r="A14" s="17" t="s">
        <v>394</v>
      </c>
      <c r="B14" s="189">
        <v>7602536.0099999998</v>
      </c>
      <c r="C14" s="189">
        <v>4754573.82</v>
      </c>
      <c r="D14" s="189">
        <v>823478.38</v>
      </c>
      <c r="E14" s="189">
        <v>40162.120000000003</v>
      </c>
      <c r="F14" s="189">
        <v>5589162.4699999997</v>
      </c>
      <c r="G14" s="189">
        <v>2313129.15</v>
      </c>
      <c r="H14" s="189">
        <v>385823.34</v>
      </c>
      <c r="I14" s="189">
        <v>153400</v>
      </c>
      <c r="J14" s="189">
        <v>3113935.09</v>
      </c>
      <c r="K14" s="189">
        <v>90773.88</v>
      </c>
      <c r="L14" s="189">
        <v>85173.88</v>
      </c>
      <c r="M14" s="189">
        <v>235894.91</v>
      </c>
      <c r="N14" s="189">
        <v>3173530.93</v>
      </c>
      <c r="O14" s="189">
        <v>474601.39</v>
      </c>
      <c r="P14" s="189">
        <v>5616.47</v>
      </c>
      <c r="Q14" s="189">
        <v>377.42</v>
      </c>
      <c r="R14" s="189">
        <v>3047591.48</v>
      </c>
      <c r="S14" s="189">
        <v>97942.66</v>
      </c>
      <c r="T14" s="189">
        <v>24053.88</v>
      </c>
      <c r="U14" s="189">
        <v>19769.509999999998</v>
      </c>
      <c r="V14" s="189">
        <v>2181093.7400000002</v>
      </c>
      <c r="W14" s="189">
        <v>675795.85</v>
      </c>
      <c r="X14" s="189">
        <v>665183.85</v>
      </c>
      <c r="Y14" s="189">
        <v>17952.580000000002</v>
      </c>
      <c r="Z14" s="189">
        <v>2542587.17</v>
      </c>
      <c r="AA14" s="189">
        <v>2109822.5299999998</v>
      </c>
      <c r="AB14" s="189">
        <v>2056413.17</v>
      </c>
      <c r="AC14" s="189">
        <v>124504.7</v>
      </c>
      <c r="AD14" s="189">
        <v>4966251.96</v>
      </c>
      <c r="AE14" s="189">
        <v>3466603.89</v>
      </c>
      <c r="AF14" s="189">
        <v>3465403.89</v>
      </c>
      <c r="AG14" s="189">
        <v>468.45</v>
      </c>
      <c r="AH14" s="189">
        <v>12437437.66</v>
      </c>
      <c r="AI14" s="189">
        <v>11519019.689999999</v>
      </c>
      <c r="AJ14" s="189">
        <v>11289272.609999999</v>
      </c>
      <c r="AK14" s="189">
        <v>248492.64</v>
      </c>
      <c r="AL14" s="189">
        <v>3231520.43</v>
      </c>
      <c r="AM14" s="189">
        <v>786397.3</v>
      </c>
      <c r="AN14" s="189">
        <v>8689.14</v>
      </c>
      <c r="AO14" s="189">
        <v>4164.8599999999997</v>
      </c>
      <c r="AP14" s="189">
        <v>3206828.72</v>
      </c>
      <c r="AQ14" s="189">
        <v>2513436.7599999998</v>
      </c>
      <c r="AR14" s="189">
        <v>1999976.76</v>
      </c>
      <c r="AS14" s="189">
        <v>58065.66</v>
      </c>
      <c r="AT14" s="189">
        <v>13932015.82</v>
      </c>
      <c r="AU14" s="189">
        <v>13855065.08</v>
      </c>
      <c r="AV14" s="189">
        <v>13843182.880000001</v>
      </c>
      <c r="AW14" s="189">
        <v>5181.32</v>
      </c>
      <c r="AX14" s="189">
        <v>4269822.01</v>
      </c>
      <c r="AY14" s="189">
        <v>1234072.21</v>
      </c>
      <c r="AZ14" s="189">
        <v>1197665.9099999999</v>
      </c>
      <c r="BA14" s="189">
        <v>1583.68</v>
      </c>
      <c r="BB14" s="189">
        <v>8405413.1600000001</v>
      </c>
      <c r="BC14" s="189">
        <v>1841245.87</v>
      </c>
      <c r="BD14" s="189">
        <v>532875.87</v>
      </c>
      <c r="BE14" s="189">
        <v>527622.80000000005</v>
      </c>
      <c r="BF14" s="189">
        <v>7332451.2699999996</v>
      </c>
      <c r="BG14" s="189">
        <v>421644.66</v>
      </c>
      <c r="BH14" s="189">
        <v>305275.01</v>
      </c>
      <c r="BI14" s="189">
        <v>32002.21</v>
      </c>
      <c r="BJ14" s="189">
        <v>3372880.16</v>
      </c>
      <c r="BK14" s="189">
        <v>350135.65</v>
      </c>
      <c r="BL14" s="189">
        <v>74162.09</v>
      </c>
      <c r="BM14" s="189">
        <v>42719.11</v>
      </c>
      <c r="BN14" s="189">
        <v>643819.36</v>
      </c>
      <c r="BO14" s="189">
        <v>-194687.79</v>
      </c>
      <c r="BP14" s="189">
        <v>-289741.96999999997</v>
      </c>
      <c r="BQ14" s="189">
        <v>18906.11</v>
      </c>
      <c r="BR14" s="189">
        <v>1530778.64</v>
      </c>
      <c r="BS14" s="189">
        <v>524474.97</v>
      </c>
      <c r="BT14" s="189">
        <v>3422670.28</v>
      </c>
      <c r="BU14" s="189">
        <v>103786.37</v>
      </c>
      <c r="BV14" s="189">
        <v>203596.79999999999</v>
      </c>
      <c r="BW14" s="189">
        <v>155342.17000000001</v>
      </c>
      <c r="BX14" s="189">
        <v>369624.03</v>
      </c>
      <c r="BY14" s="189">
        <v>212183.48</v>
      </c>
      <c r="BZ14" s="189">
        <v>0</v>
      </c>
      <c r="CA14" s="189">
        <v>215277.81</v>
      </c>
      <c r="CB14" s="189">
        <v>1083399.23</v>
      </c>
      <c r="CC14" s="189">
        <v>102228.33</v>
      </c>
      <c r="CD14" s="189">
        <v>1231166.3799999999</v>
      </c>
      <c r="CE14" s="189">
        <v>0</v>
      </c>
      <c r="CF14" s="189"/>
      <c r="CG14" s="189"/>
      <c r="CH14" s="189"/>
      <c r="CI14" s="189"/>
      <c r="CJ14" s="189"/>
      <c r="CK14" s="189"/>
    </row>
    <row r="15" spans="1:89" s="2" customFormat="1">
      <c r="A15" s="20" t="s">
        <v>397</v>
      </c>
      <c r="B15" s="28">
        <f>B6-(B8+B9+B10+B11+B12)+B13-B14</f>
        <v>249064573.04000014</v>
      </c>
      <c r="C15" s="28">
        <f t="shared" ref="C15:BN15" si="7">C6-(C8+C9+C10+C11+C12)+C13-C14</f>
        <v>197517716.87000012</v>
      </c>
      <c r="D15" s="28">
        <f t="shared" si="7"/>
        <v>143663982.13000003</v>
      </c>
      <c r="E15" s="28">
        <f t="shared" si="7"/>
        <v>89255838.12000002</v>
      </c>
      <c r="F15" s="28">
        <f t="shared" si="7"/>
        <v>267960855.00999978</v>
      </c>
      <c r="G15" s="28">
        <f t="shared" si="7"/>
        <v>210393455.15999991</v>
      </c>
      <c r="H15" s="28">
        <f t="shared" si="7"/>
        <v>151098644.25</v>
      </c>
      <c r="I15" s="28">
        <f t="shared" si="7"/>
        <v>14822409.939999992</v>
      </c>
      <c r="J15" s="28">
        <f t="shared" si="7"/>
        <v>101616487.05999991</v>
      </c>
      <c r="K15" s="28">
        <f t="shared" si="7"/>
        <v>86827967.650000006</v>
      </c>
      <c r="L15" s="28">
        <f t="shared" si="7"/>
        <v>63069160.919999979</v>
      </c>
      <c r="M15" s="28">
        <f t="shared" si="7"/>
        <v>32119493.799999986</v>
      </c>
      <c r="N15" s="28">
        <f t="shared" si="7"/>
        <v>118845911.35000013</v>
      </c>
      <c r="O15" s="28">
        <f t="shared" si="7"/>
        <v>107510291.43999997</v>
      </c>
      <c r="P15" s="28">
        <f t="shared" si="7"/>
        <v>75737733.859999985</v>
      </c>
      <c r="Q15" s="28">
        <f t="shared" si="7"/>
        <v>40419207.930000007</v>
      </c>
      <c r="R15" s="28">
        <f t="shared" si="7"/>
        <v>131137028.31999995</v>
      </c>
      <c r="S15" s="28">
        <f t="shared" si="7"/>
        <v>108031270.08</v>
      </c>
      <c r="T15" s="28">
        <f t="shared" si="7"/>
        <v>75560607.849999964</v>
      </c>
      <c r="U15" s="28">
        <f t="shared" si="7"/>
        <v>42616411.650000006</v>
      </c>
      <c r="V15" s="28">
        <f t="shared" si="7"/>
        <v>132339456.55999999</v>
      </c>
      <c r="W15" s="28">
        <f t="shared" si="7"/>
        <v>109819694.07000004</v>
      </c>
      <c r="X15" s="28">
        <f t="shared" si="7"/>
        <v>79512585.110000014</v>
      </c>
      <c r="Y15" s="28">
        <f t="shared" si="7"/>
        <v>46360606.050000042</v>
      </c>
      <c r="Z15" s="28">
        <f t="shared" si="7"/>
        <v>79839336.839999899</v>
      </c>
      <c r="AA15" s="28">
        <f t="shared" si="7"/>
        <v>63742339.160000049</v>
      </c>
      <c r="AB15" s="28">
        <f t="shared" si="7"/>
        <v>53175482.73999992</v>
      </c>
      <c r="AC15" s="28">
        <f t="shared" si="7"/>
        <v>34578017.93999996</v>
      </c>
      <c r="AD15" s="28">
        <f t="shared" si="7"/>
        <v>70254146.730000108</v>
      </c>
      <c r="AE15" s="28">
        <f t="shared" si="7"/>
        <v>58905027.049999952</v>
      </c>
      <c r="AF15" s="28">
        <f t="shared" si="7"/>
        <v>42240150.270000011</v>
      </c>
      <c r="AG15" s="28">
        <f t="shared" si="7"/>
        <v>24415512.66</v>
      </c>
      <c r="AH15" s="28">
        <f t="shared" si="7"/>
        <v>52659443.069999993</v>
      </c>
      <c r="AI15" s="28">
        <f t="shared" si="7"/>
        <v>37730522.44000002</v>
      </c>
      <c r="AJ15" s="28">
        <f t="shared" si="7"/>
        <v>27115136.550000027</v>
      </c>
      <c r="AK15" s="28">
        <f t="shared" si="7"/>
        <v>27397677.310000006</v>
      </c>
      <c r="AL15" s="28">
        <f t="shared" si="7"/>
        <v>49780407.370000064</v>
      </c>
      <c r="AM15" s="28">
        <f t="shared" si="7"/>
        <v>40892721.82</v>
      </c>
      <c r="AN15" s="28">
        <f t="shared" si="7"/>
        <v>28951278.399999969</v>
      </c>
      <c r="AO15" s="28">
        <f t="shared" si="7"/>
        <v>17417010.950000007</v>
      </c>
      <c r="AP15" s="28">
        <f t="shared" si="7"/>
        <v>45292687.069999963</v>
      </c>
      <c r="AQ15" s="28">
        <f t="shared" si="7"/>
        <v>28853765.210000031</v>
      </c>
      <c r="AR15" s="28">
        <f t="shared" si="7"/>
        <v>19064143.449999992</v>
      </c>
      <c r="AS15" s="28">
        <f t="shared" si="7"/>
        <v>11877597.629999995</v>
      </c>
      <c r="AT15" s="28">
        <f t="shared" si="7"/>
        <v>38656249.349999912</v>
      </c>
      <c r="AU15" s="28">
        <f t="shared" si="7"/>
        <v>21268569.960000016</v>
      </c>
      <c r="AV15" s="28">
        <f t="shared" si="7"/>
        <v>6353180.0400000159</v>
      </c>
      <c r="AW15" s="28">
        <f t="shared" si="7"/>
        <v>7992002.2100000177</v>
      </c>
      <c r="AX15" s="28">
        <f t="shared" si="7"/>
        <v>26361544.170000024</v>
      </c>
      <c r="AY15" s="28">
        <f t="shared" si="7"/>
        <v>25219407.780000016</v>
      </c>
      <c r="AZ15" s="28">
        <f t="shared" si="7"/>
        <v>19382391.159999996</v>
      </c>
      <c r="BA15" s="28">
        <f t="shared" si="7"/>
        <v>5510018</v>
      </c>
      <c r="BB15" s="28">
        <f t="shared" si="7"/>
        <v>911595.06000000425</v>
      </c>
      <c r="BC15" s="28">
        <f t="shared" si="7"/>
        <v>5908938.4800000191</v>
      </c>
      <c r="BD15" s="28">
        <f t="shared" si="7"/>
        <v>7603927.0399999954</v>
      </c>
      <c r="BE15" s="28">
        <f t="shared" si="7"/>
        <v>5363858.3299999982</v>
      </c>
      <c r="BF15" s="28">
        <f t="shared" si="7"/>
        <v>2043439.4100000542</v>
      </c>
      <c r="BG15" s="28">
        <f t="shared" si="7"/>
        <v>4543492.9299999876</v>
      </c>
      <c r="BH15" s="28">
        <f t="shared" si="7"/>
        <v>3485968.909999989</v>
      </c>
      <c r="BI15" s="28">
        <f t="shared" si="7"/>
        <v>3124972.5100000044</v>
      </c>
      <c r="BJ15" s="28">
        <f t="shared" si="7"/>
        <v>-34340265.589999996</v>
      </c>
      <c r="BK15" s="28">
        <f t="shared" si="7"/>
        <v>-24307180.199999984</v>
      </c>
      <c r="BL15" s="28">
        <f t="shared" si="7"/>
        <v>-12577922.459999993</v>
      </c>
      <c r="BM15" s="28">
        <f t="shared" si="7"/>
        <v>-2375910.2299999869</v>
      </c>
      <c r="BN15" s="28">
        <f t="shared" si="7"/>
        <v>-48225414.789999999</v>
      </c>
      <c r="BO15" s="28">
        <f t="shared" ref="BO15:CJ15" si="8">BO6-(BO8+BO9+BO10+BO11+BO12)+BO13-BO14</f>
        <v>-9912140.4500000291</v>
      </c>
      <c r="BP15" s="28">
        <f t="shared" si="8"/>
        <v>-952403.17000001413</v>
      </c>
      <c r="BQ15" s="28">
        <f t="shared" si="8"/>
        <v>3579810.6599999899</v>
      </c>
      <c r="BR15" s="28">
        <f t="shared" si="8"/>
        <v>-17770940.239999976</v>
      </c>
      <c r="BS15" s="28">
        <f t="shared" si="8"/>
        <v>9528298.6199999619</v>
      </c>
      <c r="BT15" s="28">
        <f t="shared" si="8"/>
        <v>24732178.959999986</v>
      </c>
      <c r="BU15" s="28">
        <f t="shared" si="8"/>
        <v>10153678.000000002</v>
      </c>
      <c r="BV15" s="28">
        <f t="shared" si="8"/>
        <v>25447467.029999971</v>
      </c>
      <c r="BW15" s="28">
        <f t="shared" si="8"/>
        <v>17928982.910000011</v>
      </c>
      <c r="BX15" s="28">
        <f t="shared" si="8"/>
        <v>32597832.920000039</v>
      </c>
      <c r="BY15" s="28">
        <f t="shared" si="8"/>
        <v>17320859.820000023</v>
      </c>
      <c r="BZ15" s="28">
        <f t="shared" si="8"/>
        <v>40916645.80999998</v>
      </c>
      <c r="CA15" s="28">
        <f t="shared" si="8"/>
        <v>23452494.340000022</v>
      </c>
      <c r="CB15" s="28">
        <f t="shared" si="8"/>
        <v>34674218.360000074</v>
      </c>
      <c r="CC15" s="28">
        <f t="shared" si="8"/>
        <v>22364577.750000004</v>
      </c>
      <c r="CD15" s="28">
        <f t="shared" si="8"/>
        <v>34981626.339999951</v>
      </c>
      <c r="CE15" s="28">
        <f t="shared" si="8"/>
        <v>0</v>
      </c>
      <c r="CF15" s="28">
        <f t="shared" si="8"/>
        <v>0</v>
      </c>
      <c r="CG15" s="28">
        <f t="shared" si="8"/>
        <v>0</v>
      </c>
      <c r="CH15" s="28">
        <f t="shared" si="8"/>
        <v>0</v>
      </c>
      <c r="CI15" s="28">
        <f t="shared" si="8"/>
        <v>0</v>
      </c>
      <c r="CJ15" s="28">
        <f t="shared" si="8"/>
        <v>0</v>
      </c>
    </row>
    <row r="16" spans="1:89" s="23" customFormat="1">
      <c r="A16" s="17" t="s">
        <v>395</v>
      </c>
      <c r="B16" s="26">
        <f>B15*B41</f>
        <v>55299079.476856083</v>
      </c>
      <c r="C16" s="26">
        <f t="shared" ref="C16:BN16" si="9">C15*C41</f>
        <v>42148333.668154366</v>
      </c>
      <c r="D16" s="26">
        <f t="shared" si="9"/>
        <v>45752198.285509676</v>
      </c>
      <c r="E16" s="26">
        <f t="shared" si="9"/>
        <v>2926173919.2987313</v>
      </c>
      <c r="F16" s="26">
        <f t="shared" si="9"/>
        <v>73661637.309719175</v>
      </c>
      <c r="G16" s="26">
        <f t="shared" si="9"/>
        <v>62080188.535076484</v>
      </c>
      <c r="H16" s="26">
        <f t="shared" si="9"/>
        <v>43995544.551577926</v>
      </c>
      <c r="I16" s="26">
        <f t="shared" si="9"/>
        <v>1305540.7529913911</v>
      </c>
      <c r="J16" s="26">
        <f t="shared" si="9"/>
        <v>28133761.082313411</v>
      </c>
      <c r="K16" s="26">
        <f t="shared" si="9"/>
        <v>23298449.863071214</v>
      </c>
      <c r="L16" s="26">
        <f t="shared" si="9"/>
        <v>16493213.996491352</v>
      </c>
      <c r="M16" s="26">
        <f t="shared" si="9"/>
        <v>3770993.3349947846</v>
      </c>
      <c r="N16" s="26">
        <f t="shared" si="9"/>
        <v>30018121.996290773</v>
      </c>
      <c r="O16" s="26">
        <f t="shared" si="9"/>
        <v>26910392.569722909</v>
      </c>
      <c r="P16" s="26">
        <f t="shared" si="9"/>
        <v>19143787.756847251</v>
      </c>
      <c r="Q16" s="26">
        <f t="shared" si="9"/>
        <v>10594308.69219321</v>
      </c>
      <c r="R16" s="26">
        <f t="shared" si="9"/>
        <v>32932155.967720773</v>
      </c>
      <c r="S16" s="26">
        <f t="shared" si="9"/>
        <v>26313996.990344241</v>
      </c>
      <c r="T16" s="26">
        <f t="shared" si="9"/>
        <v>19275570.655170251</v>
      </c>
      <c r="U16" s="26">
        <f t="shared" si="9"/>
        <v>61030065.149927832</v>
      </c>
      <c r="V16" s="26">
        <f t="shared" si="9"/>
        <v>27437343.217665181</v>
      </c>
      <c r="W16" s="26">
        <f t="shared" si="9"/>
        <v>23966940.165929686</v>
      </c>
      <c r="X16" s="26">
        <f t="shared" si="9"/>
        <v>16341777.419564672</v>
      </c>
      <c r="Y16" s="26">
        <f t="shared" si="9"/>
        <v>10723194.123314569</v>
      </c>
      <c r="Z16" s="26">
        <f t="shared" si="9"/>
        <v>20170692.631666671</v>
      </c>
      <c r="AA16" s="26">
        <f t="shared" si="9"/>
        <v>16107347.274433935</v>
      </c>
      <c r="AB16" s="26">
        <f t="shared" si="9"/>
        <v>13431502.263314776</v>
      </c>
      <c r="AC16" s="26">
        <f t="shared" si="9"/>
        <v>119214992.19025271</v>
      </c>
      <c r="AD16" s="26">
        <f t="shared" si="9"/>
        <v>19229215.637866538</v>
      </c>
      <c r="AE16" s="26">
        <f t="shared" si="9"/>
        <v>14893910.550074408</v>
      </c>
      <c r="AF16" s="26">
        <f t="shared" si="9"/>
        <v>10667712.071287926</v>
      </c>
      <c r="AG16" s="26">
        <f t="shared" si="9"/>
        <v>124184137.00770868</v>
      </c>
      <c r="AH16" s="26">
        <f t="shared" si="9"/>
        <v>207113615.98492509</v>
      </c>
      <c r="AI16" s="26">
        <f t="shared" si="9"/>
        <v>8185425.2512443066</v>
      </c>
      <c r="AJ16" s="26">
        <f t="shared" si="9"/>
        <v>17137848.538881667</v>
      </c>
      <c r="AK16" s="26">
        <f t="shared" si="9"/>
        <v>8469933.0274081491</v>
      </c>
      <c r="AL16" s="26">
        <f t="shared" si="9"/>
        <v>7472091.991731029</v>
      </c>
      <c r="AM16" s="26">
        <f t="shared" si="9"/>
        <v>10304777.406835368</v>
      </c>
      <c r="AN16" s="26">
        <f t="shared" si="9"/>
        <v>7034538.636109042</v>
      </c>
      <c r="AO16" s="26">
        <f t="shared" si="9"/>
        <v>-8769914.0605090745</v>
      </c>
      <c r="AP16" s="26">
        <f t="shared" si="9"/>
        <v>6703910.2283757292</v>
      </c>
      <c r="AQ16" s="26">
        <f t="shared" si="9"/>
        <v>2657298.239637251</v>
      </c>
      <c r="AR16" s="26">
        <f t="shared" si="9"/>
        <v>1197615.5972780476</v>
      </c>
      <c r="AS16" s="26">
        <f t="shared" si="9"/>
        <v>-2364316.5330860773</v>
      </c>
      <c r="AT16" s="26">
        <f t="shared" si="9"/>
        <v>10686995.329119107</v>
      </c>
      <c r="AU16" s="26">
        <f t="shared" si="9"/>
        <v>7079563.3360121306</v>
      </c>
      <c r="AV16" s="26">
        <f t="shared" si="9"/>
        <v>2053528.1142871731</v>
      </c>
      <c r="AW16" s="26">
        <f t="shared" si="9"/>
        <v>-652705.65568508219</v>
      </c>
      <c r="AX16" s="26">
        <f t="shared" si="9"/>
        <v>7869620.4869555542</v>
      </c>
      <c r="AY16" s="26">
        <f t="shared" si="9"/>
        <v>134002.87766839235</v>
      </c>
      <c r="AZ16" s="26">
        <f t="shared" si="9"/>
        <v>104944.15734304882</v>
      </c>
      <c r="BA16" s="26">
        <f t="shared" si="9"/>
        <v>0</v>
      </c>
      <c r="BB16" s="26">
        <f t="shared" si="9"/>
        <v>-2195.5510445165728</v>
      </c>
      <c r="BC16" s="26">
        <f t="shared" si="9"/>
        <v>0</v>
      </c>
      <c r="BD16" s="26">
        <f t="shared" si="9"/>
        <v>0</v>
      </c>
      <c r="BE16" s="26">
        <f t="shared" si="9"/>
        <v>0</v>
      </c>
      <c r="BF16" s="26">
        <f t="shared" si="9"/>
        <v>0</v>
      </c>
      <c r="BG16" s="26">
        <f t="shared" si="9"/>
        <v>0</v>
      </c>
      <c r="BH16" s="26">
        <f t="shared" si="9"/>
        <v>0</v>
      </c>
      <c r="BI16" s="26">
        <f t="shared" si="9"/>
        <v>0</v>
      </c>
      <c r="BJ16" s="26">
        <f t="shared" si="9"/>
        <v>3532.968610664358</v>
      </c>
      <c r="BK16" s="26">
        <f t="shared" si="9"/>
        <v>3307.1131167859021</v>
      </c>
      <c r="BL16" s="26">
        <f t="shared" si="9"/>
        <v>2951.6210557226209</v>
      </c>
      <c r="BM16" s="26">
        <f t="shared" si="9"/>
        <v>1412.7105623979237</v>
      </c>
      <c r="BN16" s="26">
        <f t="shared" si="9"/>
        <v>19651.767332386029</v>
      </c>
      <c r="BO16" s="26">
        <f t="shared" ref="BO16:CK16" si="10">BO15*BO41</f>
        <v>0</v>
      </c>
      <c r="BP16" s="26">
        <f t="shared" si="10"/>
        <v>5165.029084977511</v>
      </c>
      <c r="BQ16" s="26">
        <f t="shared" si="10"/>
        <v>0</v>
      </c>
      <c r="BR16" s="26">
        <f t="shared" si="10"/>
        <v>3643.5510904084654</v>
      </c>
      <c r="BS16" s="26">
        <f t="shared" si="10"/>
        <v>-6027420.8072807798</v>
      </c>
      <c r="BT16" s="26">
        <f t="shared" si="10"/>
        <v>100312547.50926781</v>
      </c>
      <c r="BU16" s="26">
        <f t="shared" si="10"/>
        <v>79549479.417522654</v>
      </c>
      <c r="BV16" s="26">
        <f t="shared" si="10"/>
        <v>222306018.77105427</v>
      </c>
      <c r="BW16" s="26">
        <f t="shared" si="10"/>
        <v>5773113.3155251909</v>
      </c>
      <c r="BX16" s="26">
        <f t="shared" si="10"/>
        <v>37676201.554055057</v>
      </c>
      <c r="BY16" s="26">
        <f t="shared" si="10"/>
        <v>4329606.8976101307</v>
      </c>
      <c r="BZ16" s="26">
        <f t="shared" si="10"/>
        <v>17847169.016104139</v>
      </c>
      <c r="CA16" s="26">
        <f t="shared" si="10"/>
        <v>9851187.3193336185</v>
      </c>
      <c r="CB16" s="26">
        <f t="shared" si="10"/>
        <v>14472729.656071786</v>
      </c>
      <c r="CC16" s="26">
        <f t="shared" si="10"/>
        <v>7399072.0730065824</v>
      </c>
      <c r="CD16" s="26">
        <f t="shared" si="10"/>
        <v>11585469.707158303</v>
      </c>
      <c r="CE16" s="26" t="e">
        <f t="shared" si="10"/>
        <v>#DIV/0!</v>
      </c>
      <c r="CF16" s="26" t="e">
        <f t="shared" si="10"/>
        <v>#DIV/0!</v>
      </c>
      <c r="CG16" s="26" t="e">
        <f t="shared" si="10"/>
        <v>#DIV/0!</v>
      </c>
      <c r="CH16" s="26" t="e">
        <f t="shared" si="10"/>
        <v>#DIV/0!</v>
      </c>
      <c r="CI16" s="26" t="e">
        <f t="shared" si="10"/>
        <v>#DIV/0!</v>
      </c>
      <c r="CJ16" s="26" t="e">
        <f t="shared" si="10"/>
        <v>#DIV/0!</v>
      </c>
      <c r="CK16" s="26">
        <f t="shared" si="10"/>
        <v>0</v>
      </c>
    </row>
    <row r="17" spans="1:89" s="25" customFormat="1">
      <c r="A17" s="20" t="s">
        <v>396</v>
      </c>
      <c r="B17" s="27">
        <f>B15-B16</f>
        <v>193765493.56314406</v>
      </c>
      <c r="C17" s="27">
        <f t="shared" ref="C17:BN17" si="11">C15-C16</f>
        <v>155369383.20184577</v>
      </c>
      <c r="D17" s="27">
        <f t="shared" si="11"/>
        <v>97911783.844490349</v>
      </c>
      <c r="E17" s="27">
        <f t="shared" si="11"/>
        <v>-2836918081.1787314</v>
      </c>
      <c r="F17" s="27">
        <f t="shared" si="11"/>
        <v>194299217.70028061</v>
      </c>
      <c r="G17" s="27">
        <f t="shared" si="11"/>
        <v>148313266.62492341</v>
      </c>
      <c r="H17" s="27">
        <f t="shared" si="11"/>
        <v>107103099.69842207</v>
      </c>
      <c r="I17" s="27">
        <f t="shared" si="11"/>
        <v>13516869.187008601</v>
      </c>
      <c r="J17" s="27">
        <f t="shared" si="11"/>
        <v>73482725.977686495</v>
      </c>
      <c r="K17" s="27">
        <f t="shared" si="11"/>
        <v>63529517.786928788</v>
      </c>
      <c r="L17" s="27">
        <f t="shared" si="11"/>
        <v>46575946.923508629</v>
      </c>
      <c r="M17" s="27">
        <f t="shared" si="11"/>
        <v>28348500.4650052</v>
      </c>
      <c r="N17" s="27">
        <f t="shared" si="11"/>
        <v>88827789.353709355</v>
      </c>
      <c r="O17" s="27">
        <f t="shared" si="11"/>
        <v>80599898.870277062</v>
      </c>
      <c r="P17" s="27">
        <f t="shared" si="11"/>
        <v>56593946.103152737</v>
      </c>
      <c r="Q17" s="27">
        <f t="shared" si="11"/>
        <v>29824899.237806797</v>
      </c>
      <c r="R17" s="27">
        <f t="shared" si="11"/>
        <v>98204872.352279171</v>
      </c>
      <c r="S17" s="27">
        <f t="shared" si="11"/>
        <v>81717273.089655757</v>
      </c>
      <c r="T17" s="27">
        <f t="shared" si="11"/>
        <v>56285037.194829717</v>
      </c>
      <c r="U17" s="27">
        <f t="shared" si="11"/>
        <v>-18413653.499927826</v>
      </c>
      <c r="V17" s="27">
        <f t="shared" si="11"/>
        <v>104902113.34233481</v>
      </c>
      <c r="W17" s="27">
        <f t="shared" si="11"/>
        <v>85852753.904070348</v>
      </c>
      <c r="X17" s="27">
        <f t="shared" si="11"/>
        <v>63170807.690435342</v>
      </c>
      <c r="Y17" s="27">
        <f t="shared" si="11"/>
        <v>35637411.926685475</v>
      </c>
      <c r="Z17" s="27">
        <f t="shared" si="11"/>
        <v>59668644.208333224</v>
      </c>
      <c r="AA17" s="27">
        <f t="shared" si="11"/>
        <v>47634991.885566115</v>
      </c>
      <c r="AB17" s="27">
        <f t="shared" si="11"/>
        <v>39743980.476685144</v>
      </c>
      <c r="AC17" s="27">
        <f t="shared" si="11"/>
        <v>-84636974.250252753</v>
      </c>
      <c r="AD17" s="27">
        <f t="shared" si="11"/>
        <v>51024931.092133567</v>
      </c>
      <c r="AE17" s="27">
        <f t="shared" si="11"/>
        <v>44011116.499925546</v>
      </c>
      <c r="AF17" s="27">
        <f t="shared" si="11"/>
        <v>31572438.198712084</v>
      </c>
      <c r="AG17" s="27">
        <f t="shared" si="11"/>
        <v>-99768624.347708687</v>
      </c>
      <c r="AH17" s="27">
        <f t="shared" si="11"/>
        <v>-154454172.9149251</v>
      </c>
      <c r="AI17" s="27">
        <f t="shared" si="11"/>
        <v>29545097.188755713</v>
      </c>
      <c r="AJ17" s="27">
        <f t="shared" si="11"/>
        <v>9977288.0111183599</v>
      </c>
      <c r="AK17" s="27">
        <f t="shared" si="11"/>
        <v>18927744.282591857</v>
      </c>
      <c r="AL17" s="27">
        <f t="shared" si="11"/>
        <v>42308315.378269032</v>
      </c>
      <c r="AM17" s="27">
        <f t="shared" si="11"/>
        <v>30587944.413164631</v>
      </c>
      <c r="AN17" s="27">
        <f t="shared" si="11"/>
        <v>21916739.763890926</v>
      </c>
      <c r="AO17" s="27">
        <f t="shared" si="11"/>
        <v>26186925.010509081</v>
      </c>
      <c r="AP17" s="27">
        <f t="shared" si="11"/>
        <v>38588776.84162423</v>
      </c>
      <c r="AQ17" s="27">
        <f t="shared" si="11"/>
        <v>26196466.970362779</v>
      </c>
      <c r="AR17" s="27">
        <f t="shared" si="11"/>
        <v>17866527.852721944</v>
      </c>
      <c r="AS17" s="27">
        <f t="shared" si="11"/>
        <v>14241914.163086072</v>
      </c>
      <c r="AT17" s="27">
        <f t="shared" si="11"/>
        <v>27969254.020880803</v>
      </c>
      <c r="AU17" s="27">
        <f t="shared" si="11"/>
        <v>14189006.623987885</v>
      </c>
      <c r="AV17" s="27">
        <f t="shared" si="11"/>
        <v>4299651.9257128425</v>
      </c>
      <c r="AW17" s="27">
        <f t="shared" si="11"/>
        <v>8644707.8656850997</v>
      </c>
      <c r="AX17" s="27">
        <f t="shared" si="11"/>
        <v>18491923.683044471</v>
      </c>
      <c r="AY17" s="27">
        <f t="shared" si="11"/>
        <v>25085404.902331624</v>
      </c>
      <c r="AZ17" s="27">
        <f t="shared" si="11"/>
        <v>19277447.002656948</v>
      </c>
      <c r="BA17" s="27">
        <f t="shared" si="11"/>
        <v>5510018</v>
      </c>
      <c r="BB17" s="27">
        <f t="shared" si="11"/>
        <v>913790.61104452086</v>
      </c>
      <c r="BC17" s="27">
        <f t="shared" si="11"/>
        <v>5908938.4800000191</v>
      </c>
      <c r="BD17" s="27">
        <f t="shared" si="11"/>
        <v>7603927.0399999954</v>
      </c>
      <c r="BE17" s="27">
        <f t="shared" si="11"/>
        <v>5363858.3299999982</v>
      </c>
      <c r="BF17" s="27">
        <f t="shared" si="11"/>
        <v>2043439.4100000542</v>
      </c>
      <c r="BG17" s="27">
        <f t="shared" si="11"/>
        <v>4543492.9299999876</v>
      </c>
      <c r="BH17" s="27">
        <f t="shared" si="11"/>
        <v>3485968.909999989</v>
      </c>
      <c r="BI17" s="27">
        <f t="shared" si="11"/>
        <v>3124972.5100000044</v>
      </c>
      <c r="BJ17" s="27">
        <f t="shared" si="11"/>
        <v>-34343798.558610663</v>
      </c>
      <c r="BK17" s="27">
        <f t="shared" si="11"/>
        <v>-24310487.31311677</v>
      </c>
      <c r="BL17" s="27">
        <f t="shared" si="11"/>
        <v>-12580874.081055716</v>
      </c>
      <c r="BM17" s="27">
        <f t="shared" si="11"/>
        <v>-2377322.9405623847</v>
      </c>
      <c r="BN17" s="27">
        <f t="shared" si="11"/>
        <v>-48245066.557332382</v>
      </c>
      <c r="BO17" s="27">
        <f t="shared" ref="BO17:CJ17" si="12">BO15-BO16</f>
        <v>-9912140.4500000291</v>
      </c>
      <c r="BP17" s="27">
        <f t="shared" si="12"/>
        <v>-957568.19908499159</v>
      </c>
      <c r="BQ17" s="27">
        <f t="shared" si="12"/>
        <v>3579810.6599999899</v>
      </c>
      <c r="BR17" s="27">
        <f t="shared" si="12"/>
        <v>-17774583.791090384</v>
      </c>
      <c r="BS17" s="27">
        <f t="shared" si="12"/>
        <v>15555719.427280743</v>
      </c>
      <c r="BT17" s="27">
        <f t="shared" si="12"/>
        <v>-75580368.549267828</v>
      </c>
      <c r="BU17" s="27">
        <f t="shared" si="12"/>
        <v>-69395801.417522654</v>
      </c>
      <c r="BV17" s="27">
        <f t="shared" si="12"/>
        <v>-196858551.7410543</v>
      </c>
      <c r="BW17" s="27">
        <f t="shared" si="12"/>
        <v>12155869.59447482</v>
      </c>
      <c r="BX17" s="27">
        <f t="shared" si="12"/>
        <v>-5078368.6340550184</v>
      </c>
      <c r="BY17" s="27">
        <f t="shared" si="12"/>
        <v>12991252.922389891</v>
      </c>
      <c r="BZ17" s="27">
        <f t="shared" si="12"/>
        <v>23069476.793895841</v>
      </c>
      <c r="CA17" s="27">
        <f t="shared" si="12"/>
        <v>13601307.020666404</v>
      </c>
      <c r="CB17" s="27">
        <f t="shared" si="12"/>
        <v>20201488.703928288</v>
      </c>
      <c r="CC17" s="27">
        <f t="shared" si="12"/>
        <v>14965505.676993422</v>
      </c>
      <c r="CD17" s="27">
        <f t="shared" si="12"/>
        <v>23396156.632841647</v>
      </c>
      <c r="CE17" s="27" t="e">
        <f t="shared" si="12"/>
        <v>#DIV/0!</v>
      </c>
      <c r="CF17" s="27" t="e">
        <f t="shared" si="12"/>
        <v>#DIV/0!</v>
      </c>
      <c r="CG17" s="27" t="e">
        <f t="shared" si="12"/>
        <v>#DIV/0!</v>
      </c>
      <c r="CH17" s="27" t="e">
        <f t="shared" si="12"/>
        <v>#DIV/0!</v>
      </c>
      <c r="CI17" s="27" t="e">
        <f t="shared" si="12"/>
        <v>#DIV/0!</v>
      </c>
      <c r="CJ17" s="27" t="e">
        <f t="shared" si="12"/>
        <v>#DIV/0!</v>
      </c>
    </row>
    <row r="18" spans="1:89" s="57" customFormat="1">
      <c r="A18" s="57" t="s">
        <v>398</v>
      </c>
      <c r="B18" s="57">
        <f>B17/B4*100</f>
        <v>14.015453785477375</v>
      </c>
      <c r="C18" s="57">
        <f t="shared" ref="C18:D18" si="13">C17/C4*100</f>
        <v>14.597752956073743</v>
      </c>
      <c r="D18" s="57">
        <f t="shared" si="13"/>
        <v>13.391660155570101</v>
      </c>
      <c r="E18" s="57">
        <f>E17/E4</f>
        <v>-6.7309412983010972</v>
      </c>
      <c r="F18" s="57">
        <f t="shared" ref="F18:BQ18" si="14">F17/F4</f>
        <v>0.1422016920720775</v>
      </c>
      <c r="G18" s="57">
        <f t="shared" si="14"/>
        <v>0.14454953742565685</v>
      </c>
      <c r="H18" s="57">
        <f t="shared" si="14"/>
        <v>0.15335944257171227</v>
      </c>
      <c r="I18" s="57">
        <f t="shared" si="14"/>
        <v>4.7553650904487939E-2</v>
      </c>
      <c r="J18" s="57">
        <f t="shared" si="14"/>
        <v>7.1583204170072079E-2</v>
      </c>
      <c r="K18" s="57">
        <f t="shared" si="14"/>
        <v>8.2920272593038691E-2</v>
      </c>
      <c r="L18" s="57">
        <f t="shared" si="14"/>
        <v>8.856726434808411E-2</v>
      </c>
      <c r="M18" s="57">
        <f t="shared" si="14"/>
        <v>9.6015354696440278E-2</v>
      </c>
      <c r="N18" s="57">
        <f t="shared" si="14"/>
        <v>7.9263450733748603E-2</v>
      </c>
      <c r="O18" s="57">
        <f t="shared" si="14"/>
        <v>9.3990655834548881E-2</v>
      </c>
      <c r="P18" s="57">
        <f t="shared" si="14"/>
        <v>9.539343235322563E-2</v>
      </c>
      <c r="Q18" s="57">
        <f t="shared" si="14"/>
        <v>8.8882936999192363E-2</v>
      </c>
      <c r="R18" s="57">
        <f t="shared" si="14"/>
        <v>8.083686524971033E-2</v>
      </c>
      <c r="S18" s="57">
        <f t="shared" si="14"/>
        <v>8.8093384194481358E-2</v>
      </c>
      <c r="T18" s="57">
        <f t="shared" si="14"/>
        <v>8.9210953973262702E-2</v>
      </c>
      <c r="U18" s="57">
        <f t="shared" si="14"/>
        <v>-5.1232855735450375E-2</v>
      </c>
      <c r="V18" s="57">
        <f t="shared" si="14"/>
        <v>7.3460580347958659E-2</v>
      </c>
      <c r="W18" s="57">
        <f t="shared" si="14"/>
        <v>7.8746346267540124E-2</v>
      </c>
      <c r="X18" s="57">
        <f t="shared" si="14"/>
        <v>8.3826413978780712E-2</v>
      </c>
      <c r="Y18" s="57">
        <f t="shared" si="14"/>
        <v>8.7532355776815854E-2</v>
      </c>
      <c r="Z18" s="57">
        <f t="shared" si="14"/>
        <v>4.5201548344877822E-2</v>
      </c>
      <c r="AA18" s="57">
        <f t="shared" si="14"/>
        <v>4.7649379241580483E-2</v>
      </c>
      <c r="AB18" s="57">
        <f t="shared" si="14"/>
        <v>5.7085058988958125E-2</v>
      </c>
      <c r="AC18" s="57">
        <f t="shared" si="14"/>
        <v>-0.21310165023335945</v>
      </c>
      <c r="AD18" s="57">
        <f t="shared" si="14"/>
        <v>4.2943735121585343E-2</v>
      </c>
      <c r="AE18" s="57">
        <f t="shared" si="14"/>
        <v>4.9926182864331023E-2</v>
      </c>
      <c r="AF18" s="57">
        <f t="shared" si="14"/>
        <v>5.0928482226785934E-2</v>
      </c>
      <c r="AG18" s="57">
        <f t="shared" si="14"/>
        <v>-0.2765912042041157</v>
      </c>
      <c r="AH18" s="57">
        <f t="shared" si="14"/>
        <v>-0.16772099633192877</v>
      </c>
      <c r="AI18" s="57">
        <f t="shared" si="14"/>
        <v>4.5301824618658844E-2</v>
      </c>
      <c r="AJ18" s="57">
        <f t="shared" si="14"/>
        <v>2.2808193856600933E-2</v>
      </c>
      <c r="AK18" s="57">
        <f t="shared" si="14"/>
        <v>7.5499441755584318E-2</v>
      </c>
      <c r="AL18" s="57">
        <f t="shared" si="14"/>
        <v>5.8026639056210985E-2</v>
      </c>
      <c r="AM18" s="57">
        <f t="shared" si="14"/>
        <v>5.7501074489911493E-2</v>
      </c>
      <c r="AN18" s="57">
        <f t="shared" si="14"/>
        <v>6.0129855856436251E-2</v>
      </c>
      <c r="AO18" s="57">
        <f t="shared" si="14"/>
        <v>0.12544952262587677</v>
      </c>
      <c r="AP18" s="57">
        <f t="shared" si="14"/>
        <v>6.1950494788217486E-2</v>
      </c>
      <c r="AQ18" s="57">
        <f t="shared" si="14"/>
        <v>5.7163567002124688E-2</v>
      </c>
      <c r="AR18" s="57">
        <f t="shared" si="14"/>
        <v>5.720014295043379E-2</v>
      </c>
      <c r="AS18" s="57">
        <f t="shared" si="14"/>
        <v>7.6055262644243407E-2</v>
      </c>
      <c r="AT18" s="57">
        <f t="shared" si="14"/>
        <v>5.109364325232512E-2</v>
      </c>
      <c r="AU18" s="57">
        <f t="shared" si="14"/>
        <v>3.5576048501692131E-2</v>
      </c>
      <c r="AV18" s="57">
        <f t="shared" si="14"/>
        <v>1.5846547946314987E-2</v>
      </c>
      <c r="AW18" s="57">
        <f t="shared" si="14"/>
        <v>5.6774154123922435E-2</v>
      </c>
      <c r="AX18" s="57">
        <f t="shared" si="14"/>
        <v>4.1061786661429032E-2</v>
      </c>
      <c r="AY18" s="57">
        <f t="shared" si="14"/>
        <v>7.5753648302350471E-2</v>
      </c>
      <c r="AZ18" s="57">
        <f t="shared" si="14"/>
        <v>8.5914118370735093E-2</v>
      </c>
      <c r="BA18" s="57">
        <f t="shared" si="14"/>
        <v>4.2287351707231129E-2</v>
      </c>
      <c r="BB18" s="57">
        <f t="shared" si="14"/>
        <v>2.0790870951743444E-3</v>
      </c>
      <c r="BC18" s="57">
        <f t="shared" si="14"/>
        <v>1.8304584231176826E-2</v>
      </c>
      <c r="BD18" s="57">
        <f t="shared" si="14"/>
        <v>3.3459817783038193E-2</v>
      </c>
      <c r="BE18" s="57">
        <f t="shared" si="14"/>
        <v>4.0423056345535779E-2</v>
      </c>
      <c r="BF18" s="57">
        <f t="shared" si="14"/>
        <v>5.061066615116511E-3</v>
      </c>
      <c r="BG18" s="57">
        <f t="shared" si="14"/>
        <v>1.5147764630361479E-2</v>
      </c>
      <c r="BH18" s="57">
        <f t="shared" si="14"/>
        <v>1.6626071417432553E-2</v>
      </c>
      <c r="BI18" s="57">
        <f t="shared" si="14"/>
        <v>2.5243092564484655E-2</v>
      </c>
      <c r="BJ18" s="57">
        <f t="shared" si="14"/>
        <v>-7.1611418195424714E-2</v>
      </c>
      <c r="BK18" s="57">
        <f t="shared" si="14"/>
        <v>-6.6622564074111365E-2</v>
      </c>
      <c r="BL18" s="57">
        <f t="shared" si="14"/>
        <v>-4.8905424095320643E-2</v>
      </c>
      <c r="BM18" s="57">
        <f t="shared" si="14"/>
        <v>-1.5898062903949923E-2</v>
      </c>
      <c r="BN18" s="57">
        <f t="shared" si="14"/>
        <v>-9.5105533487640281E-2</v>
      </c>
      <c r="BO18" s="57">
        <f t="shared" si="14"/>
        <v>-2.4413477077599055E-2</v>
      </c>
      <c r="BP18" s="57">
        <f t="shared" si="14"/>
        <v>-3.2765463472852799E-3</v>
      </c>
      <c r="BQ18" s="57">
        <f t="shared" si="14"/>
        <v>2.0580931290579044E-2</v>
      </c>
      <c r="BR18" s="57">
        <f t="shared" ref="BR18:CK18" si="15">BR17/BR4</f>
        <v>-2.7358946215958479E-2</v>
      </c>
      <c r="BS18" s="57">
        <f t="shared" si="15"/>
        <v>4.5465506820662721E-2</v>
      </c>
      <c r="BT18" s="57">
        <f t="shared" si="15"/>
        <v>-0.11630058150436641</v>
      </c>
      <c r="BU18" s="57">
        <f t="shared" si="15"/>
        <v>-0.22215890171647365</v>
      </c>
      <c r="BV18" s="57">
        <f t="shared" si="15"/>
        <v>-0.33536083553731239</v>
      </c>
      <c r="BW18" s="57">
        <f t="shared" si="15"/>
        <v>3.8149243517585786E-2</v>
      </c>
      <c r="BX18" s="57">
        <f t="shared" si="15"/>
        <v>-8.3603652425018899E-3</v>
      </c>
      <c r="BY18" s="57">
        <f t="shared" si="15"/>
        <v>4.1617178726376408E-2</v>
      </c>
      <c r="BZ18" s="57">
        <f t="shared" si="15"/>
        <v>3.8283287016008138E-2</v>
      </c>
      <c r="CA18" s="57">
        <f t="shared" si="15"/>
        <v>3.9360568945246643E-2</v>
      </c>
      <c r="CB18" s="57">
        <f t="shared" si="15"/>
        <v>3.2972638915742036E-2</v>
      </c>
      <c r="CC18" s="57">
        <f t="shared" si="15"/>
        <v>4.4803906039066602E-2</v>
      </c>
      <c r="CD18" s="57">
        <f t="shared" si="15"/>
        <v>4.2352665048542557E-2</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c r="A19" s="18" t="s">
        <v>86</v>
      </c>
      <c r="B19" s="30"/>
      <c r="C19" s="30"/>
      <c r="D19" s="30"/>
      <c r="E19" s="30"/>
      <c r="F19" s="30"/>
      <c r="G19" s="30"/>
      <c r="H19" s="30"/>
      <c r="I19" s="30"/>
      <c r="J19" s="30"/>
      <c r="K19" s="30"/>
    </row>
    <row r="20" spans="1:89">
      <c r="A20" s="17" t="s">
        <v>399</v>
      </c>
      <c r="B20" s="189">
        <v>0</v>
      </c>
      <c r="C20" s="189">
        <v>0</v>
      </c>
      <c r="D20" s="189">
        <v>0</v>
      </c>
      <c r="E20" s="189">
        <v>0</v>
      </c>
      <c r="F20" s="189">
        <v>0</v>
      </c>
      <c r="G20" s="189">
        <v>0</v>
      </c>
      <c r="H20" s="189">
        <v>0</v>
      </c>
      <c r="I20" s="189">
        <v>0</v>
      </c>
      <c r="J20" s="189">
        <v>0</v>
      </c>
      <c r="K20" s="189">
        <v>0</v>
      </c>
      <c r="L20" s="189">
        <v>0</v>
      </c>
      <c r="M20" s="189">
        <v>0</v>
      </c>
      <c r="N20" s="189">
        <v>0</v>
      </c>
      <c r="O20" s="189">
        <v>0</v>
      </c>
      <c r="P20" s="189">
        <v>0</v>
      </c>
      <c r="Q20" s="189">
        <v>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5367333.3499999996</v>
      </c>
      <c r="AI20" s="189">
        <v>5367333.3499999996</v>
      </c>
      <c r="AJ20" s="189">
        <v>0</v>
      </c>
      <c r="AK20" s="189">
        <v>1364388.6</v>
      </c>
      <c r="AL20" s="189">
        <v>-257351.65</v>
      </c>
      <c r="AM20" s="189">
        <v>1436815.75</v>
      </c>
      <c r="AN20" s="189">
        <v>603902.77</v>
      </c>
      <c r="AO20" s="189">
        <v>0</v>
      </c>
      <c r="AP20" s="189">
        <v>14236997.41</v>
      </c>
      <c r="AQ20" s="189">
        <v>0</v>
      </c>
      <c r="AR20" s="189">
        <v>0</v>
      </c>
      <c r="AS20" s="189">
        <v>14129967.779999999</v>
      </c>
      <c r="AT20" s="189">
        <v>5037313.24</v>
      </c>
      <c r="AU20" s="189">
        <v>0</v>
      </c>
      <c r="AV20" s="189">
        <v>0</v>
      </c>
      <c r="AW20" s="189">
        <v>-1383627.67</v>
      </c>
      <c r="AX20" s="189">
        <v>0</v>
      </c>
      <c r="AY20" s="189">
        <v>0</v>
      </c>
      <c r="AZ20" s="189">
        <v>0</v>
      </c>
      <c r="BA20" s="189">
        <v>0</v>
      </c>
      <c r="BB20" s="189">
        <v>0</v>
      </c>
      <c r="BC20" s="189">
        <v>0</v>
      </c>
      <c r="BD20" s="189">
        <v>0</v>
      </c>
      <c r="BE20" s="189">
        <v>0</v>
      </c>
      <c r="BF20" s="189">
        <v>0</v>
      </c>
      <c r="BG20" s="189">
        <v>0</v>
      </c>
      <c r="BH20" s="189">
        <v>0</v>
      </c>
      <c r="BI20" s="189">
        <v>0</v>
      </c>
      <c r="BJ20" s="189">
        <v>0</v>
      </c>
      <c r="BK20" s="189">
        <v>0</v>
      </c>
      <c r="BL20" s="189">
        <v>0</v>
      </c>
      <c r="BM20" s="189">
        <v>0</v>
      </c>
      <c r="BN20" s="189">
        <v>0</v>
      </c>
      <c r="BO20" s="189">
        <v>0</v>
      </c>
      <c r="BP20" s="189">
        <v>0</v>
      </c>
      <c r="BQ20" s="189">
        <v>0</v>
      </c>
      <c r="BR20" s="189">
        <v>0</v>
      </c>
      <c r="BS20" s="189">
        <v>0</v>
      </c>
      <c r="BT20" s="189">
        <v>0</v>
      </c>
      <c r="BU20" s="189">
        <v>0</v>
      </c>
      <c r="BV20" s="189">
        <v>0</v>
      </c>
      <c r="BW20" s="189">
        <v>0</v>
      </c>
      <c r="BX20" s="189">
        <v>0</v>
      </c>
      <c r="BY20" s="189">
        <v>0</v>
      </c>
      <c r="BZ20" s="189">
        <v>0</v>
      </c>
      <c r="CA20" s="189">
        <v>0</v>
      </c>
      <c r="CB20" s="189">
        <v>0</v>
      </c>
      <c r="CC20" s="189">
        <v>0</v>
      </c>
      <c r="CD20" s="189">
        <v>0</v>
      </c>
      <c r="CE20" s="189">
        <v>0</v>
      </c>
      <c r="CF20" s="189"/>
      <c r="CG20" s="189"/>
      <c r="CH20" s="189"/>
      <c r="CI20" s="189"/>
      <c r="CJ20" s="189"/>
      <c r="CK20" s="189"/>
    </row>
    <row r="21" spans="1:89" s="16" customFormat="1">
      <c r="A21" s="18" t="s">
        <v>87</v>
      </c>
      <c r="B21" s="30"/>
      <c r="C21" s="30"/>
      <c r="D21" s="30"/>
      <c r="E21" s="30"/>
      <c r="F21" s="30"/>
      <c r="G21" s="30"/>
      <c r="H21" s="30"/>
      <c r="I21" s="30"/>
      <c r="J21" s="30"/>
      <c r="K21" s="30"/>
    </row>
    <row r="22" spans="1:89">
      <c r="A22" s="17" t="s">
        <v>400</v>
      </c>
      <c r="B22" s="189">
        <v>0</v>
      </c>
      <c r="C22" s="189">
        <v>0</v>
      </c>
      <c r="D22" s="189">
        <v>0</v>
      </c>
      <c r="E22" s="189">
        <v>0</v>
      </c>
      <c r="F22" s="189">
        <v>0</v>
      </c>
      <c r="G22" s="189">
        <v>0</v>
      </c>
      <c r="H22" s="189">
        <v>0</v>
      </c>
      <c r="I22" s="189">
        <v>0</v>
      </c>
      <c r="J22" s="189">
        <v>0</v>
      </c>
      <c r="K22" s="189">
        <v>0</v>
      </c>
      <c r="L22" s="189">
        <v>0</v>
      </c>
      <c r="M22" s="189">
        <v>0</v>
      </c>
      <c r="N22" s="189">
        <v>0</v>
      </c>
      <c r="O22" s="189">
        <v>0</v>
      </c>
      <c r="P22" s="189">
        <v>0</v>
      </c>
      <c r="Q22" s="189">
        <v>0</v>
      </c>
      <c r="R22" s="189">
        <v>0</v>
      </c>
      <c r="S22" s="189">
        <v>0</v>
      </c>
      <c r="T22" s="189">
        <v>0</v>
      </c>
      <c r="U22" s="189">
        <v>0</v>
      </c>
      <c r="V22" s="189">
        <v>0</v>
      </c>
      <c r="W22" s="189">
        <v>0</v>
      </c>
      <c r="X22" s="189">
        <v>0</v>
      </c>
      <c r="Y22" s="189">
        <v>0</v>
      </c>
      <c r="Z22" s="189">
        <v>0</v>
      </c>
      <c r="AA22" s="189">
        <v>0</v>
      </c>
      <c r="AB22" s="189">
        <v>0</v>
      </c>
      <c r="AC22" s="189">
        <v>0</v>
      </c>
      <c r="AD22" s="189">
        <v>0</v>
      </c>
      <c r="AE22" s="189">
        <v>0</v>
      </c>
      <c r="AF22" s="189">
        <v>0</v>
      </c>
      <c r="AG22" s="189">
        <v>0</v>
      </c>
      <c r="AH22" s="189">
        <v>0</v>
      </c>
      <c r="AI22" s="189">
        <v>0</v>
      </c>
      <c r="AJ22" s="189">
        <v>0</v>
      </c>
      <c r="AK22" s="189">
        <v>0</v>
      </c>
      <c r="AL22" s="189">
        <v>0</v>
      </c>
      <c r="AM22" s="189">
        <v>0</v>
      </c>
      <c r="AN22" s="189">
        <v>0</v>
      </c>
      <c r="AO22" s="189">
        <v>0</v>
      </c>
      <c r="AP22" s="189">
        <v>0</v>
      </c>
      <c r="AQ22" s="189">
        <v>0</v>
      </c>
      <c r="AR22" s="189">
        <v>0</v>
      </c>
      <c r="AS22" s="189">
        <v>0</v>
      </c>
      <c r="AT22" s="189">
        <v>0</v>
      </c>
      <c r="AU22" s="189">
        <v>0</v>
      </c>
      <c r="AV22" s="189">
        <v>0</v>
      </c>
      <c r="AW22" s="189">
        <v>0</v>
      </c>
      <c r="AX22" s="189">
        <v>0</v>
      </c>
      <c r="AY22" s="189">
        <v>0</v>
      </c>
      <c r="AZ22" s="189">
        <v>0</v>
      </c>
      <c r="BA22" s="189">
        <v>0</v>
      </c>
      <c r="BB22" s="189">
        <v>0</v>
      </c>
      <c r="BC22" s="189">
        <v>0</v>
      </c>
      <c r="BD22" s="189">
        <v>0</v>
      </c>
      <c r="BE22" s="189">
        <v>0</v>
      </c>
      <c r="BF22" s="189">
        <v>0</v>
      </c>
      <c r="BG22" s="189">
        <v>0</v>
      </c>
      <c r="BH22" s="189">
        <v>0</v>
      </c>
      <c r="BI22" s="189">
        <v>0</v>
      </c>
      <c r="BJ22" s="189">
        <v>0</v>
      </c>
      <c r="BK22" s="189">
        <v>0</v>
      </c>
      <c r="BL22" s="189">
        <v>0</v>
      </c>
      <c r="BM22" s="189">
        <v>0</v>
      </c>
      <c r="BN22" s="189">
        <v>0</v>
      </c>
      <c r="BO22" s="189">
        <v>0</v>
      </c>
      <c r="BP22" s="189">
        <v>0</v>
      </c>
      <c r="BQ22" s="189">
        <v>0</v>
      </c>
      <c r="BR22" s="189">
        <v>0</v>
      </c>
      <c r="BS22" s="189">
        <v>0</v>
      </c>
      <c r="BT22" s="189">
        <v>0</v>
      </c>
      <c r="BU22" s="189">
        <v>0</v>
      </c>
      <c r="BV22" s="189">
        <v>0</v>
      </c>
      <c r="BW22" s="189">
        <v>0</v>
      </c>
      <c r="BX22" s="189">
        <v>0</v>
      </c>
      <c r="BY22" s="189">
        <v>0</v>
      </c>
      <c r="BZ22" s="189">
        <v>0</v>
      </c>
      <c r="CA22" s="189">
        <v>0</v>
      </c>
      <c r="CB22" s="189">
        <v>0</v>
      </c>
      <c r="CC22" s="189">
        <v>0</v>
      </c>
      <c r="CD22" s="189">
        <v>0</v>
      </c>
      <c r="CE22" s="189">
        <v>0</v>
      </c>
      <c r="CF22" s="189"/>
      <c r="CG22" s="189"/>
      <c r="CH22" s="189"/>
      <c r="CI22" s="189"/>
      <c r="CJ22" s="189"/>
      <c r="CK22" s="189"/>
    </row>
    <row r="23" spans="1:89" s="7" customFormat="1">
      <c r="A23" s="21" t="s">
        <v>401</v>
      </c>
      <c r="B23" s="29">
        <f>-B52</f>
        <v>25636</v>
      </c>
      <c r="C23" s="29">
        <f t="shared" ref="C23:BN23" si="16">-C52</f>
        <v>27718</v>
      </c>
      <c r="D23" s="29">
        <f t="shared" si="16"/>
        <v>35317</v>
      </c>
      <c r="E23" s="29">
        <f t="shared" si="16"/>
        <v>195433894.47999999</v>
      </c>
      <c r="F23" s="29">
        <f t="shared" si="16"/>
        <v>34414</v>
      </c>
      <c r="G23" s="29">
        <f t="shared" si="16"/>
        <v>23309</v>
      </c>
      <c r="H23" s="29">
        <f t="shared" si="16"/>
        <v>16814</v>
      </c>
      <c r="I23" s="29">
        <f t="shared" si="16"/>
        <v>123093414.43000001</v>
      </c>
      <c r="J23" s="29">
        <f t="shared" si="16"/>
        <v>0</v>
      </c>
      <c r="K23" s="29">
        <f t="shared" si="16"/>
        <v>0</v>
      </c>
      <c r="L23" s="29">
        <f t="shared" si="16"/>
        <v>0</v>
      </c>
      <c r="M23" s="29">
        <f t="shared" si="16"/>
        <v>83981673.659999996</v>
      </c>
      <c r="N23" s="29">
        <f t="shared" si="16"/>
        <v>0</v>
      </c>
      <c r="O23" s="29">
        <f t="shared" si="16"/>
        <v>0</v>
      </c>
      <c r="P23" s="29">
        <f t="shared" si="16"/>
        <v>0</v>
      </c>
      <c r="Q23" s="29">
        <f t="shared" si="16"/>
        <v>29881510.210000001</v>
      </c>
      <c r="R23" s="29">
        <f t="shared" si="16"/>
        <v>0</v>
      </c>
      <c r="S23" s="29">
        <f t="shared" si="16"/>
        <v>0</v>
      </c>
      <c r="T23" s="29">
        <f t="shared" si="16"/>
        <v>0</v>
      </c>
      <c r="U23" s="29">
        <f t="shared" si="16"/>
        <v>17642421.68</v>
      </c>
      <c r="V23" s="29">
        <f t="shared" si="16"/>
        <v>0</v>
      </c>
      <c r="W23" s="29">
        <f t="shared" si="16"/>
        <v>0</v>
      </c>
      <c r="X23" s="29">
        <f t="shared" si="16"/>
        <v>0</v>
      </c>
      <c r="Y23" s="29">
        <f t="shared" si="16"/>
        <v>24171770.039999999</v>
      </c>
      <c r="Z23" s="29">
        <f t="shared" si="16"/>
        <v>0</v>
      </c>
      <c r="AA23" s="29">
        <f t="shared" si="16"/>
        <v>0</v>
      </c>
      <c r="AB23" s="29">
        <f t="shared" si="16"/>
        <v>0</v>
      </c>
      <c r="AC23" s="29">
        <f t="shared" si="16"/>
        <v>47083684.490000002</v>
      </c>
      <c r="AD23" s="29">
        <f t="shared" si="16"/>
        <v>0</v>
      </c>
      <c r="AE23" s="29">
        <f t="shared" si="16"/>
        <v>0</v>
      </c>
      <c r="AF23" s="29">
        <f t="shared" si="16"/>
        <v>0</v>
      </c>
      <c r="AG23" s="29">
        <f t="shared" si="16"/>
        <v>22259880.469999999</v>
      </c>
      <c r="AH23" s="29">
        <f t="shared" si="16"/>
        <v>0</v>
      </c>
      <c r="AI23" s="29">
        <f t="shared" si="16"/>
        <v>0</v>
      </c>
      <c r="AJ23" s="29">
        <f t="shared" si="16"/>
        <v>0</v>
      </c>
      <c r="AK23" s="29">
        <f t="shared" si="16"/>
        <v>7625395.2999999998</v>
      </c>
      <c r="AL23" s="29">
        <f t="shared" si="16"/>
        <v>0</v>
      </c>
      <c r="AM23" s="29">
        <f t="shared" si="16"/>
        <v>0</v>
      </c>
      <c r="AN23" s="29">
        <f t="shared" si="16"/>
        <v>0</v>
      </c>
      <c r="AO23" s="29">
        <f t="shared" si="16"/>
        <v>31615513.420000002</v>
      </c>
      <c r="AP23" s="29">
        <f t="shared" si="16"/>
        <v>0</v>
      </c>
      <c r="AQ23" s="29">
        <f t="shared" si="16"/>
        <v>0</v>
      </c>
      <c r="AR23" s="29">
        <f t="shared" si="16"/>
        <v>0</v>
      </c>
      <c r="AS23" s="29">
        <f t="shared" si="16"/>
        <v>17760774.129999999</v>
      </c>
      <c r="AT23" s="29">
        <f t="shared" si="16"/>
        <v>0</v>
      </c>
      <c r="AU23" s="29">
        <f t="shared" si="16"/>
        <v>0</v>
      </c>
      <c r="AV23" s="29">
        <f t="shared" si="16"/>
        <v>0</v>
      </c>
      <c r="AW23" s="29">
        <f t="shared" si="16"/>
        <v>19868494.289999999</v>
      </c>
      <c r="AX23" s="29">
        <f t="shared" si="16"/>
        <v>0</v>
      </c>
      <c r="AY23" s="29">
        <f t="shared" si="16"/>
        <v>0</v>
      </c>
      <c r="AZ23" s="29">
        <f t="shared" si="16"/>
        <v>0</v>
      </c>
      <c r="BA23" s="29">
        <f t="shared" si="16"/>
        <v>9550531.7799999993</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c r="A24" s="17" t="s">
        <v>402</v>
      </c>
      <c r="B24" s="26">
        <f>B67</f>
        <v>1846187716.4200001</v>
      </c>
      <c r="C24" s="26">
        <f t="shared" ref="C24:BN24" si="18">C67</f>
        <v>1450310211.1300001</v>
      </c>
      <c r="D24" s="26">
        <f t="shared" si="18"/>
        <v>0</v>
      </c>
      <c r="E24" s="26">
        <f>E67</f>
        <v>0</v>
      </c>
      <c r="F24" s="26">
        <f t="shared" si="18"/>
        <v>0</v>
      </c>
      <c r="G24" s="26">
        <f t="shared" si="18"/>
        <v>0</v>
      </c>
      <c r="H24" s="26">
        <f t="shared" si="18"/>
        <v>0</v>
      </c>
      <c r="I24" s="26">
        <f t="shared" si="18"/>
        <v>0</v>
      </c>
      <c r="J24" s="26">
        <f t="shared" si="18"/>
        <v>0</v>
      </c>
      <c r="K24" s="26">
        <f t="shared" si="18"/>
        <v>0</v>
      </c>
      <c r="L24" s="26">
        <f t="shared" si="18"/>
        <v>0</v>
      </c>
      <c r="M24" s="26">
        <f t="shared" si="18"/>
        <v>0</v>
      </c>
      <c r="N24" s="26">
        <f t="shared" si="18"/>
        <v>955750</v>
      </c>
      <c r="O24" s="26">
        <f t="shared" si="18"/>
        <v>955750</v>
      </c>
      <c r="P24" s="26">
        <f t="shared" si="18"/>
        <v>0</v>
      </c>
      <c r="Q24" s="26">
        <f t="shared" si="18"/>
        <v>0</v>
      </c>
      <c r="R24" s="26">
        <f t="shared" si="18"/>
        <v>4829200</v>
      </c>
      <c r="S24" s="26">
        <f t="shared" si="18"/>
        <v>4829200</v>
      </c>
      <c r="T24" s="26">
        <f t="shared" si="18"/>
        <v>0</v>
      </c>
      <c r="U24" s="26">
        <f t="shared" si="18"/>
        <v>0</v>
      </c>
      <c r="V24" s="26">
        <f t="shared" si="18"/>
        <v>625000</v>
      </c>
      <c r="W24" s="26">
        <f t="shared" si="18"/>
        <v>625000</v>
      </c>
      <c r="X24" s="26">
        <f t="shared" si="18"/>
        <v>0</v>
      </c>
      <c r="Y24" s="26">
        <f t="shared" si="18"/>
        <v>0</v>
      </c>
      <c r="Z24" s="26">
        <f t="shared" si="18"/>
        <v>3750000</v>
      </c>
      <c r="AA24" s="26">
        <f t="shared" si="18"/>
        <v>3750000</v>
      </c>
      <c r="AB24" s="26">
        <f t="shared" si="18"/>
        <v>0</v>
      </c>
      <c r="AC24" s="26">
        <f t="shared" si="18"/>
        <v>0</v>
      </c>
      <c r="AD24" s="26">
        <f t="shared" si="18"/>
        <v>0</v>
      </c>
      <c r="AE24" s="26">
        <f t="shared" si="18"/>
        <v>0</v>
      </c>
      <c r="AF24" s="26">
        <f t="shared" si="18"/>
        <v>0</v>
      </c>
      <c r="AG24" s="26">
        <f t="shared" si="18"/>
        <v>0</v>
      </c>
      <c r="AH24" s="26">
        <f t="shared" si="18"/>
        <v>0</v>
      </c>
      <c r="AI24" s="26">
        <f t="shared" si="18"/>
        <v>0</v>
      </c>
      <c r="AJ24" s="26">
        <f t="shared" si="18"/>
        <v>5108833.7</v>
      </c>
      <c r="AK24" s="26">
        <f t="shared" si="18"/>
        <v>0</v>
      </c>
      <c r="AL24" s="26">
        <f t="shared" si="18"/>
        <v>0</v>
      </c>
      <c r="AM24" s="26">
        <f t="shared" si="18"/>
        <v>0</v>
      </c>
      <c r="AN24" s="26">
        <f t="shared" si="18"/>
        <v>0</v>
      </c>
      <c r="AO24" s="26">
        <f t="shared" si="18"/>
        <v>-978148.56</v>
      </c>
      <c r="AP24" s="26">
        <f t="shared" si="18"/>
        <v>0</v>
      </c>
      <c r="AQ24" s="26">
        <f t="shared" si="18"/>
        <v>15021905.439999999</v>
      </c>
      <c r="AR24" s="26">
        <f t="shared" si="18"/>
        <v>15597802.74</v>
      </c>
      <c r="AS24" s="26">
        <f t="shared" si="18"/>
        <v>0</v>
      </c>
      <c r="AT24" s="26">
        <f t="shared" si="18"/>
        <v>1041131.0199999996</v>
      </c>
      <c r="AU24" s="26">
        <f t="shared" si="18"/>
        <v>1987541.73</v>
      </c>
      <c r="AV24" s="26">
        <f t="shared" si="18"/>
        <v>1082858.17</v>
      </c>
      <c r="AW24" s="26">
        <f t="shared" si="18"/>
        <v>0</v>
      </c>
      <c r="AX24" s="26">
        <f t="shared" si="18"/>
        <v>2473905.91</v>
      </c>
      <c r="AY24" s="26">
        <f t="shared" si="18"/>
        <v>61418.26</v>
      </c>
      <c r="AZ24" s="26">
        <f t="shared" si="18"/>
        <v>380039.99</v>
      </c>
      <c r="BA24" s="26">
        <f t="shared" si="18"/>
        <v>-1546402.37</v>
      </c>
      <c r="BB24" s="26">
        <f t="shared" si="18"/>
        <v>-811144.49</v>
      </c>
      <c r="BC24" s="26">
        <f t="shared" si="18"/>
        <v>-706478.82</v>
      </c>
      <c r="BD24" s="26">
        <f t="shared" si="18"/>
        <v>-440429.37</v>
      </c>
      <c r="BE24" s="26">
        <f t="shared" si="18"/>
        <v>-1247584.1100000001</v>
      </c>
      <c r="BF24" s="26">
        <f t="shared" si="18"/>
        <v>-3075827.53</v>
      </c>
      <c r="BG24" s="26">
        <f t="shared" si="18"/>
        <v>-261312.94</v>
      </c>
      <c r="BH24" s="26">
        <f t="shared" si="18"/>
        <v>173901.5</v>
      </c>
      <c r="BI24" s="26">
        <f t="shared" si="18"/>
        <v>135884.13</v>
      </c>
      <c r="BJ24" s="26">
        <f t="shared" si="18"/>
        <v>1126588.4099999999</v>
      </c>
      <c r="BK24" s="26">
        <f t="shared" si="18"/>
        <v>885635.35</v>
      </c>
      <c r="BL24" s="26">
        <f t="shared" si="18"/>
        <v>870605.37</v>
      </c>
      <c r="BM24" s="26">
        <f t="shared" si="18"/>
        <v>542065.75</v>
      </c>
      <c r="BN24" s="26">
        <f t="shared" si="18"/>
        <v>-17215676.059999999</v>
      </c>
      <c r="BO24" s="26">
        <f t="shared" ref="BO24:CJ24" si="19">BO67</f>
        <v>-9031138.9000000004</v>
      </c>
      <c r="BP24" s="26">
        <f t="shared" si="19"/>
        <v>-2297328.16</v>
      </c>
      <c r="BQ24" s="26">
        <f t="shared" si="19"/>
        <v>-447559.93</v>
      </c>
      <c r="BR24" s="26">
        <f t="shared" si="19"/>
        <v>-7253243.5800000001</v>
      </c>
      <c r="BS24" s="26">
        <f t="shared" si="19"/>
        <v>0</v>
      </c>
      <c r="BT24" s="26">
        <f t="shared" si="19"/>
        <v>3919490.34</v>
      </c>
      <c r="BU24" s="26">
        <f t="shared" si="19"/>
        <v>3000000</v>
      </c>
      <c r="BV24" s="26">
        <f t="shared" si="19"/>
        <v>-3250510.98</v>
      </c>
      <c r="BW24" s="26">
        <f t="shared" si="19"/>
        <v>0</v>
      </c>
      <c r="BX24" s="26">
        <f t="shared" si="19"/>
        <v>-2745614.49</v>
      </c>
      <c r="BY24" s="26">
        <f t="shared" si="19"/>
        <v>0</v>
      </c>
      <c r="BZ24" s="26">
        <f t="shared" si="19"/>
        <v>1075817.82</v>
      </c>
      <c r="CA24" s="26">
        <f t="shared" si="19"/>
        <v>40000</v>
      </c>
      <c r="CB24" s="26">
        <f t="shared" si="19"/>
        <v>-27004.75</v>
      </c>
      <c r="CC24" s="26">
        <f t="shared" si="19"/>
        <v>-113064.75</v>
      </c>
      <c r="CD24" s="26">
        <f t="shared" si="19"/>
        <v>-621426.89</v>
      </c>
      <c r="CE24" s="26">
        <f t="shared" si="19"/>
        <v>0</v>
      </c>
      <c r="CF24" s="26">
        <f t="shared" si="19"/>
        <v>0</v>
      </c>
      <c r="CG24" s="26">
        <f t="shared" si="19"/>
        <v>0</v>
      </c>
      <c r="CH24" s="26">
        <f t="shared" si="19"/>
        <v>0</v>
      </c>
      <c r="CI24" s="26">
        <f t="shared" si="19"/>
        <v>0</v>
      </c>
      <c r="CJ24" s="26">
        <f t="shared" si="19"/>
        <v>0</v>
      </c>
    </row>
    <row r="25" spans="1:89" s="7" customFormat="1">
      <c r="A25" s="21" t="s">
        <v>403</v>
      </c>
      <c r="B25" s="29">
        <f>-B54</f>
        <v>-3104</v>
      </c>
      <c r="C25" s="29">
        <f t="shared" ref="C25:BN25" si="20">-C54</f>
        <v>1424</v>
      </c>
      <c r="D25" s="29">
        <f t="shared" si="20"/>
        <v>340</v>
      </c>
      <c r="E25" s="29">
        <f t="shared" si="20"/>
        <v>-70731617.239999995</v>
      </c>
      <c r="F25" s="29">
        <f t="shared" si="20"/>
        <v>-2684</v>
      </c>
      <c r="G25" s="29">
        <f t="shared" si="20"/>
        <v>377</v>
      </c>
      <c r="H25" s="29">
        <f t="shared" si="20"/>
        <v>-1008</v>
      </c>
      <c r="I25" s="29">
        <f t="shared" si="20"/>
        <v>57584688.789999999</v>
      </c>
      <c r="J25" s="29">
        <f t="shared" si="20"/>
        <v>0</v>
      </c>
      <c r="K25" s="29">
        <f t="shared" si="20"/>
        <v>0</v>
      </c>
      <c r="L25" s="29">
        <f t="shared" si="20"/>
        <v>0</v>
      </c>
      <c r="M25" s="29">
        <f t="shared" si="20"/>
        <v>40188776.259999998</v>
      </c>
      <c r="N25" s="29">
        <f t="shared" si="20"/>
        <v>0</v>
      </c>
      <c r="O25" s="29">
        <f t="shared" si="20"/>
        <v>0</v>
      </c>
      <c r="P25" s="29">
        <f t="shared" si="20"/>
        <v>0</v>
      </c>
      <c r="Q25" s="29">
        <f t="shared" si="20"/>
        <v>1235973.8999999999</v>
      </c>
      <c r="R25" s="29">
        <f t="shared" si="20"/>
        <v>0</v>
      </c>
      <c r="S25" s="29">
        <f t="shared" si="20"/>
        <v>0</v>
      </c>
      <c r="T25" s="29">
        <f t="shared" si="20"/>
        <v>0</v>
      </c>
      <c r="U25" s="29">
        <f t="shared" si="20"/>
        <v>-34546399.18</v>
      </c>
      <c r="V25" s="29">
        <f t="shared" si="20"/>
        <v>0</v>
      </c>
      <c r="W25" s="29">
        <f t="shared" si="20"/>
        <v>0</v>
      </c>
      <c r="X25" s="29">
        <f t="shared" si="20"/>
        <v>0</v>
      </c>
      <c r="Y25" s="29">
        <f t="shared" si="20"/>
        <v>-9292368.6400000006</v>
      </c>
      <c r="Z25" s="29">
        <f t="shared" si="20"/>
        <v>0</v>
      </c>
      <c r="AA25" s="29">
        <f t="shared" si="20"/>
        <v>0</v>
      </c>
      <c r="AB25" s="29">
        <f t="shared" si="20"/>
        <v>0</v>
      </c>
      <c r="AC25" s="29">
        <f t="shared" si="20"/>
        <v>-31172114.969999999</v>
      </c>
      <c r="AD25" s="29">
        <f t="shared" si="20"/>
        <v>0</v>
      </c>
      <c r="AE25" s="29">
        <f t="shared" si="20"/>
        <v>0</v>
      </c>
      <c r="AF25" s="29">
        <f t="shared" si="20"/>
        <v>0</v>
      </c>
      <c r="AG25" s="29">
        <f t="shared" si="20"/>
        <v>-20727938.690000001</v>
      </c>
      <c r="AH25" s="29">
        <f t="shared" si="20"/>
        <v>0</v>
      </c>
      <c r="AI25" s="29">
        <f t="shared" si="20"/>
        <v>0</v>
      </c>
      <c r="AJ25" s="29">
        <f t="shared" si="20"/>
        <v>0</v>
      </c>
      <c r="AK25" s="29">
        <f t="shared" si="20"/>
        <v>-1576455.6</v>
      </c>
      <c r="AL25" s="29">
        <f t="shared" si="20"/>
        <v>0</v>
      </c>
      <c r="AM25" s="29">
        <f t="shared" si="20"/>
        <v>0</v>
      </c>
      <c r="AN25" s="29">
        <f t="shared" si="20"/>
        <v>0</v>
      </c>
      <c r="AO25" s="29">
        <f t="shared" si="20"/>
        <v>-18620657.690000001</v>
      </c>
      <c r="AP25" s="29">
        <f t="shared" si="20"/>
        <v>0</v>
      </c>
      <c r="AQ25" s="29">
        <f t="shared" si="20"/>
        <v>0</v>
      </c>
      <c r="AR25" s="29">
        <f t="shared" si="20"/>
        <v>0</v>
      </c>
      <c r="AS25" s="29">
        <f t="shared" si="20"/>
        <v>-27442492.27</v>
      </c>
      <c r="AT25" s="29">
        <f t="shared" si="20"/>
        <v>0</v>
      </c>
      <c r="AU25" s="29">
        <f t="shared" si="20"/>
        <v>0</v>
      </c>
      <c r="AV25" s="29">
        <f t="shared" si="20"/>
        <v>0</v>
      </c>
      <c r="AW25" s="29">
        <f t="shared" si="20"/>
        <v>-16443241.59</v>
      </c>
      <c r="AX25" s="29">
        <f t="shared" si="20"/>
        <v>0</v>
      </c>
      <c r="AY25" s="29">
        <f t="shared" si="20"/>
        <v>0</v>
      </c>
      <c r="AZ25" s="29">
        <f t="shared" si="20"/>
        <v>0</v>
      </c>
      <c r="BA25" s="29">
        <f t="shared" si="20"/>
        <v>-180239.55</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c r="A26" s="17" t="s">
        <v>404</v>
      </c>
      <c r="B26" s="189">
        <v>0</v>
      </c>
      <c r="C26" s="189">
        <v>0</v>
      </c>
      <c r="D26" s="189">
        <v>0</v>
      </c>
      <c r="E26" s="189">
        <v>0</v>
      </c>
      <c r="F26" s="189">
        <v>0</v>
      </c>
      <c r="G26" s="189">
        <v>0</v>
      </c>
      <c r="H26" s="189">
        <v>0</v>
      </c>
      <c r="I26" s="189">
        <v>0</v>
      </c>
      <c r="J26" s="189">
        <v>0</v>
      </c>
      <c r="K26" s="189">
        <v>0</v>
      </c>
      <c r="L26" s="189">
        <v>0</v>
      </c>
      <c r="M26" s="189">
        <v>0</v>
      </c>
      <c r="N26" s="189">
        <v>0</v>
      </c>
      <c r="O26" s="189">
        <v>0</v>
      </c>
      <c r="P26" s="189">
        <v>0</v>
      </c>
      <c r="Q26" s="189">
        <v>0</v>
      </c>
      <c r="R26" s="189">
        <v>0</v>
      </c>
      <c r="S26" s="189">
        <v>0</v>
      </c>
      <c r="T26" s="189">
        <v>0</v>
      </c>
      <c r="U26" s="189">
        <v>0</v>
      </c>
      <c r="V26" s="189">
        <v>0</v>
      </c>
      <c r="W26" s="189">
        <v>0</v>
      </c>
      <c r="X26" s="189">
        <v>0</v>
      </c>
      <c r="Y26" s="189">
        <v>0</v>
      </c>
      <c r="Z26" s="189">
        <v>0</v>
      </c>
      <c r="AA26" s="189">
        <v>0</v>
      </c>
      <c r="AB26" s="189">
        <v>0</v>
      </c>
      <c r="AC26" s="189">
        <v>0</v>
      </c>
      <c r="AD26" s="189">
        <v>0</v>
      </c>
      <c r="AE26" s="189">
        <v>0</v>
      </c>
      <c r="AF26" s="189">
        <v>0</v>
      </c>
      <c r="AG26" s="189">
        <v>0</v>
      </c>
      <c r="AH26" s="189">
        <v>-46084140.880000003</v>
      </c>
      <c r="AI26" s="189">
        <v>0</v>
      </c>
      <c r="AJ26" s="189">
        <v>-19168593.579999998</v>
      </c>
      <c r="AK26" s="189">
        <v>-1864358.89</v>
      </c>
      <c r="AL26" s="189">
        <v>27054445.82</v>
      </c>
      <c r="AM26" s="189">
        <v>0</v>
      </c>
      <c r="AN26" s="189">
        <v>0</v>
      </c>
      <c r="AO26" s="189">
        <v>0</v>
      </c>
      <c r="AP26" s="189">
        <v>0</v>
      </c>
      <c r="AQ26" s="189">
        <v>0</v>
      </c>
      <c r="AR26" s="189">
        <v>0</v>
      </c>
      <c r="AS26" s="189">
        <v>0</v>
      </c>
      <c r="AT26" s="189">
        <v>0</v>
      </c>
      <c r="AU26" s="189">
        <v>0</v>
      </c>
      <c r="AV26" s="189">
        <v>0</v>
      </c>
      <c r="AW26" s="189">
        <v>0</v>
      </c>
      <c r="AX26" s="189">
        <v>0</v>
      </c>
      <c r="AY26" s="189">
        <v>0</v>
      </c>
      <c r="AZ26" s="189">
        <v>0</v>
      </c>
      <c r="BA26" s="189">
        <v>0</v>
      </c>
      <c r="BB26" s="189">
        <v>0</v>
      </c>
      <c r="BC26" s="189">
        <v>0</v>
      </c>
      <c r="BD26" s="189">
        <v>0</v>
      </c>
      <c r="BE26" s="189">
        <v>0</v>
      </c>
      <c r="BF26" s="189">
        <v>0</v>
      </c>
      <c r="BG26" s="189">
        <v>0</v>
      </c>
      <c r="BH26" s="189">
        <v>0</v>
      </c>
      <c r="BI26" s="189">
        <v>0</v>
      </c>
      <c r="BJ26" s="189">
        <v>0</v>
      </c>
      <c r="BK26" s="189">
        <v>0</v>
      </c>
      <c r="BL26" s="189">
        <v>0</v>
      </c>
      <c r="BM26" s="189">
        <v>0</v>
      </c>
      <c r="BN26" s="189">
        <v>0</v>
      </c>
      <c r="BO26" s="189">
        <v>0</v>
      </c>
      <c r="BP26" s="189">
        <v>0</v>
      </c>
      <c r="BQ26" s="189">
        <v>0</v>
      </c>
      <c r="BR26" s="189">
        <v>0</v>
      </c>
      <c r="BS26" s="189">
        <v>0</v>
      </c>
      <c r="BT26" s="189">
        <v>0</v>
      </c>
      <c r="BU26" s="189">
        <v>0</v>
      </c>
      <c r="BV26" s="189">
        <v>0</v>
      </c>
      <c r="BW26" s="189">
        <v>0</v>
      </c>
      <c r="BX26" s="189">
        <v>0</v>
      </c>
      <c r="BY26" s="189">
        <v>0</v>
      </c>
      <c r="BZ26" s="189">
        <v>0</v>
      </c>
      <c r="CA26" s="189">
        <v>0</v>
      </c>
      <c r="CB26" s="189">
        <v>0</v>
      </c>
      <c r="CC26" s="189">
        <v>0</v>
      </c>
      <c r="CD26" s="189">
        <v>0</v>
      </c>
      <c r="CE26" s="189">
        <v>0</v>
      </c>
      <c r="CF26" s="189"/>
      <c r="CG26" s="189"/>
      <c r="CH26" s="189"/>
      <c r="CI26" s="189"/>
      <c r="CJ26" s="189"/>
      <c r="CK26" s="189"/>
    </row>
    <row r="27" spans="1:89">
      <c r="A27" s="17" t="s">
        <v>405</v>
      </c>
      <c r="B27" s="26">
        <f>SUM(B22:B26)</f>
        <v>1846210248.4200001</v>
      </c>
      <c r="C27" s="26">
        <f t="shared" ref="C27:BN27" si="22">SUM(C22:C26)</f>
        <v>1450339353.1300001</v>
      </c>
      <c r="D27" s="26">
        <f t="shared" si="22"/>
        <v>35657</v>
      </c>
      <c r="E27" s="26">
        <f t="shared" si="22"/>
        <v>124702277.23999999</v>
      </c>
      <c r="F27" s="26">
        <f t="shared" si="22"/>
        <v>31730</v>
      </c>
      <c r="G27" s="26">
        <f t="shared" si="22"/>
        <v>23686</v>
      </c>
      <c r="H27" s="26">
        <f t="shared" si="22"/>
        <v>15806</v>
      </c>
      <c r="I27" s="26">
        <f t="shared" si="22"/>
        <v>180678103.22</v>
      </c>
      <c r="J27" s="26">
        <f t="shared" si="22"/>
        <v>0</v>
      </c>
      <c r="K27" s="26">
        <f t="shared" si="22"/>
        <v>0</v>
      </c>
      <c r="L27" s="26">
        <f t="shared" si="22"/>
        <v>0</v>
      </c>
      <c r="M27" s="26">
        <f t="shared" si="22"/>
        <v>124170449.91999999</v>
      </c>
      <c r="N27" s="26">
        <f t="shared" si="22"/>
        <v>955750</v>
      </c>
      <c r="O27" s="26">
        <f t="shared" si="22"/>
        <v>955750</v>
      </c>
      <c r="P27" s="26">
        <f t="shared" si="22"/>
        <v>0</v>
      </c>
      <c r="Q27" s="26">
        <f t="shared" si="22"/>
        <v>31117484.109999999</v>
      </c>
      <c r="R27" s="26">
        <f t="shared" si="22"/>
        <v>4829200</v>
      </c>
      <c r="S27" s="26">
        <f t="shared" si="22"/>
        <v>4829200</v>
      </c>
      <c r="T27" s="26">
        <f t="shared" si="22"/>
        <v>0</v>
      </c>
      <c r="U27" s="26">
        <f t="shared" si="22"/>
        <v>-16903977.5</v>
      </c>
      <c r="V27" s="26">
        <f t="shared" si="22"/>
        <v>625000</v>
      </c>
      <c r="W27" s="26">
        <f t="shared" si="22"/>
        <v>625000</v>
      </c>
      <c r="X27" s="26">
        <f t="shared" si="22"/>
        <v>0</v>
      </c>
      <c r="Y27" s="26">
        <f t="shared" si="22"/>
        <v>14879401.399999999</v>
      </c>
      <c r="Z27" s="26">
        <f t="shared" si="22"/>
        <v>3750000</v>
      </c>
      <c r="AA27" s="26">
        <f t="shared" si="22"/>
        <v>3750000</v>
      </c>
      <c r="AB27" s="26">
        <f t="shared" si="22"/>
        <v>0</v>
      </c>
      <c r="AC27" s="26">
        <f t="shared" si="22"/>
        <v>15911569.520000003</v>
      </c>
      <c r="AD27" s="26">
        <f t="shared" si="22"/>
        <v>0</v>
      </c>
      <c r="AE27" s="26">
        <f t="shared" si="22"/>
        <v>0</v>
      </c>
      <c r="AF27" s="26">
        <f t="shared" si="22"/>
        <v>0</v>
      </c>
      <c r="AG27" s="26">
        <f t="shared" si="22"/>
        <v>1531941.7799999975</v>
      </c>
      <c r="AH27" s="26">
        <f t="shared" si="22"/>
        <v>-46084140.880000003</v>
      </c>
      <c r="AI27" s="26">
        <f t="shared" si="22"/>
        <v>0</v>
      </c>
      <c r="AJ27" s="26">
        <f t="shared" si="22"/>
        <v>-14059759.879999999</v>
      </c>
      <c r="AK27" s="26">
        <f t="shared" si="22"/>
        <v>4184580.8099999996</v>
      </c>
      <c r="AL27" s="26">
        <f t="shared" si="22"/>
        <v>27054445.82</v>
      </c>
      <c r="AM27" s="26">
        <f t="shared" si="22"/>
        <v>0</v>
      </c>
      <c r="AN27" s="26">
        <f t="shared" si="22"/>
        <v>0</v>
      </c>
      <c r="AO27" s="26">
        <f t="shared" si="22"/>
        <v>12016707.170000002</v>
      </c>
      <c r="AP27" s="26">
        <f t="shared" si="22"/>
        <v>0</v>
      </c>
      <c r="AQ27" s="26">
        <f t="shared" si="22"/>
        <v>15021905.439999999</v>
      </c>
      <c r="AR27" s="26">
        <f t="shared" si="22"/>
        <v>15597802.74</v>
      </c>
      <c r="AS27" s="26">
        <f t="shared" si="22"/>
        <v>-9681718.1400000006</v>
      </c>
      <c r="AT27" s="26">
        <f t="shared" si="22"/>
        <v>1041131.0199999996</v>
      </c>
      <c r="AU27" s="26">
        <f t="shared" si="22"/>
        <v>1987541.73</v>
      </c>
      <c r="AV27" s="26">
        <f t="shared" si="22"/>
        <v>1082858.17</v>
      </c>
      <c r="AW27" s="26">
        <f t="shared" si="22"/>
        <v>3425252.6999999993</v>
      </c>
      <c r="AX27" s="26">
        <f t="shared" si="22"/>
        <v>2473905.91</v>
      </c>
      <c r="AY27" s="26">
        <f t="shared" si="22"/>
        <v>61418.26</v>
      </c>
      <c r="AZ27" s="26">
        <f t="shared" si="22"/>
        <v>380039.99</v>
      </c>
      <c r="BA27" s="26">
        <f t="shared" si="22"/>
        <v>7823889.8599999994</v>
      </c>
      <c r="BB27" s="26">
        <f t="shared" si="22"/>
        <v>-811144.49</v>
      </c>
      <c r="BC27" s="26">
        <f t="shared" si="22"/>
        <v>-706478.82</v>
      </c>
      <c r="BD27" s="26">
        <f t="shared" si="22"/>
        <v>-440429.37</v>
      </c>
      <c r="BE27" s="26">
        <f t="shared" si="22"/>
        <v>-1247584.1100000001</v>
      </c>
      <c r="BF27" s="26">
        <f t="shared" si="22"/>
        <v>-3075827.53</v>
      </c>
      <c r="BG27" s="26">
        <f t="shared" si="22"/>
        <v>-261312.94</v>
      </c>
      <c r="BH27" s="26">
        <f t="shared" si="22"/>
        <v>173901.5</v>
      </c>
      <c r="BI27" s="26">
        <f t="shared" si="22"/>
        <v>135884.13</v>
      </c>
      <c r="BJ27" s="26">
        <f t="shared" si="22"/>
        <v>1126588.4099999999</v>
      </c>
      <c r="BK27" s="26">
        <f t="shared" si="22"/>
        <v>885635.35</v>
      </c>
      <c r="BL27" s="26">
        <f t="shared" si="22"/>
        <v>870605.37</v>
      </c>
      <c r="BM27" s="26">
        <f t="shared" si="22"/>
        <v>542065.75</v>
      </c>
      <c r="BN27" s="26">
        <f t="shared" si="22"/>
        <v>-17215676.059999999</v>
      </c>
      <c r="BO27" s="26">
        <f t="shared" ref="BO27:CJ27" si="23">SUM(BO22:BO26)</f>
        <v>-9031138.9000000004</v>
      </c>
      <c r="BP27" s="26">
        <f t="shared" si="23"/>
        <v>-2297328.16</v>
      </c>
      <c r="BQ27" s="26">
        <f t="shared" si="23"/>
        <v>-447559.93</v>
      </c>
      <c r="BR27" s="26">
        <f t="shared" si="23"/>
        <v>-7253243.5800000001</v>
      </c>
      <c r="BS27" s="26">
        <f t="shared" si="23"/>
        <v>0</v>
      </c>
      <c r="BT27" s="26">
        <f t="shared" si="23"/>
        <v>3919490.34</v>
      </c>
      <c r="BU27" s="26">
        <f t="shared" si="23"/>
        <v>3000000</v>
      </c>
      <c r="BV27" s="26">
        <f t="shared" si="23"/>
        <v>-3250510.98</v>
      </c>
      <c r="BW27" s="26">
        <f t="shared" si="23"/>
        <v>0</v>
      </c>
      <c r="BX27" s="26">
        <f t="shared" si="23"/>
        <v>-2745614.49</v>
      </c>
      <c r="BY27" s="26">
        <f t="shared" si="23"/>
        <v>0</v>
      </c>
      <c r="BZ27" s="26">
        <f t="shared" si="23"/>
        <v>1075817.82</v>
      </c>
      <c r="CA27" s="26">
        <f t="shared" si="23"/>
        <v>40000</v>
      </c>
      <c r="CB27" s="26">
        <f t="shared" si="23"/>
        <v>-27004.75</v>
      </c>
      <c r="CC27" s="26">
        <f t="shared" si="23"/>
        <v>-113064.75</v>
      </c>
      <c r="CD27" s="26">
        <f t="shared" si="23"/>
        <v>-621426.89</v>
      </c>
      <c r="CE27" s="26">
        <f t="shared" si="23"/>
        <v>0</v>
      </c>
      <c r="CF27" s="26">
        <f t="shared" si="23"/>
        <v>0</v>
      </c>
      <c r="CG27" s="26">
        <f t="shared" si="23"/>
        <v>0</v>
      </c>
      <c r="CH27" s="26">
        <f t="shared" si="23"/>
        <v>0</v>
      </c>
      <c r="CI27" s="26">
        <f t="shared" si="23"/>
        <v>0</v>
      </c>
      <c r="CJ27" s="26">
        <f t="shared" si="23"/>
        <v>0</v>
      </c>
    </row>
    <row r="28" spans="1:89">
      <c r="A28" s="17" t="s">
        <v>406</v>
      </c>
      <c r="B28" s="26">
        <f>SUM(B22:B25)*B41</f>
        <v>409908667.50835496</v>
      </c>
      <c r="C28" s="26">
        <f t="shared" ref="C28:BN28" si="24">SUM(C22:C25)*C41</f>
        <v>309488120.6429286</v>
      </c>
      <c r="D28" s="26">
        <f t="shared" si="24"/>
        <v>11355.568111638408</v>
      </c>
      <c r="E28" s="26">
        <f t="shared" si="24"/>
        <v>4088254158.1902709</v>
      </c>
      <c r="F28" s="26">
        <f t="shared" si="24"/>
        <v>8722.4820645917353</v>
      </c>
      <c r="G28" s="26">
        <f t="shared" si="24"/>
        <v>6988.9595402270888</v>
      </c>
      <c r="H28" s="26">
        <f t="shared" si="24"/>
        <v>4602.2489522253982</v>
      </c>
      <c r="I28" s="26">
        <f t="shared" si="24"/>
        <v>15913918.713740231</v>
      </c>
      <c r="J28" s="26">
        <f t="shared" si="24"/>
        <v>0</v>
      </c>
      <c r="K28" s="26">
        <f t="shared" si="24"/>
        <v>0</v>
      </c>
      <c r="L28" s="26">
        <f t="shared" si="24"/>
        <v>0</v>
      </c>
      <c r="M28" s="26">
        <f t="shared" si="24"/>
        <v>14578247.775860772</v>
      </c>
      <c r="N28" s="26">
        <f t="shared" si="24"/>
        <v>241403.50957016644</v>
      </c>
      <c r="O28" s="26">
        <f t="shared" si="24"/>
        <v>239229.26218525262</v>
      </c>
      <c r="P28" s="26">
        <f t="shared" si="24"/>
        <v>0</v>
      </c>
      <c r="Q28" s="26">
        <f t="shared" si="24"/>
        <v>8156226.9343994306</v>
      </c>
      <c r="R28" s="26">
        <f t="shared" si="24"/>
        <v>1212746.4655614914</v>
      </c>
      <c r="S28" s="26">
        <f t="shared" si="24"/>
        <v>1176284.9235380425</v>
      </c>
      <c r="T28" s="26">
        <f t="shared" si="24"/>
        <v>0</v>
      </c>
      <c r="U28" s="26">
        <f t="shared" si="24"/>
        <v>-24207829.992601316</v>
      </c>
      <c r="V28" s="26">
        <f t="shared" si="24"/>
        <v>129578.43380039901</v>
      </c>
      <c r="W28" s="26">
        <f t="shared" si="24"/>
        <v>136399.37472561246</v>
      </c>
      <c r="X28" s="26">
        <f t="shared" si="24"/>
        <v>0</v>
      </c>
      <c r="Y28" s="26">
        <f t="shared" si="24"/>
        <v>3441601.0325412564</v>
      </c>
      <c r="Z28" s="26">
        <f t="shared" si="24"/>
        <v>947403.87837056734</v>
      </c>
      <c r="AA28" s="26">
        <f t="shared" si="24"/>
        <v>947604.88985994738</v>
      </c>
      <c r="AB28" s="26">
        <f t="shared" si="24"/>
        <v>0</v>
      </c>
      <c r="AC28" s="26">
        <f t="shared" si="24"/>
        <v>54858483.772926912</v>
      </c>
      <c r="AD28" s="26">
        <f t="shared" si="24"/>
        <v>0</v>
      </c>
      <c r="AE28" s="26">
        <f t="shared" si="24"/>
        <v>0</v>
      </c>
      <c r="AF28" s="26">
        <f t="shared" si="24"/>
        <v>0</v>
      </c>
      <c r="AG28" s="26">
        <f t="shared" si="24"/>
        <v>7791885.0422923211</v>
      </c>
      <c r="AH28" s="26">
        <f t="shared" si="24"/>
        <v>0</v>
      </c>
      <c r="AI28" s="26">
        <f t="shared" si="24"/>
        <v>0</v>
      </c>
      <c r="AJ28" s="26">
        <f t="shared" si="24"/>
        <v>3228986.80592978</v>
      </c>
      <c r="AK28" s="26">
        <f t="shared" si="24"/>
        <v>1870016.7012745328</v>
      </c>
      <c r="AL28" s="26">
        <f t="shared" si="24"/>
        <v>0</v>
      </c>
      <c r="AM28" s="26">
        <f t="shared" si="24"/>
        <v>0</v>
      </c>
      <c r="AN28" s="26">
        <f t="shared" si="24"/>
        <v>0</v>
      </c>
      <c r="AO28" s="26">
        <f t="shared" si="24"/>
        <v>-6050721.8760865051</v>
      </c>
      <c r="AP28" s="26">
        <f t="shared" si="24"/>
        <v>0</v>
      </c>
      <c r="AQ28" s="26">
        <f t="shared" si="24"/>
        <v>1383447.9691362679</v>
      </c>
      <c r="AR28" s="26">
        <f t="shared" si="24"/>
        <v>979858.96369712194</v>
      </c>
      <c r="AS28" s="26">
        <f t="shared" si="24"/>
        <v>1927211.7965391453</v>
      </c>
      <c r="AT28" s="26">
        <f t="shared" si="24"/>
        <v>287833.46896899689</v>
      </c>
      <c r="AU28" s="26">
        <f t="shared" si="24"/>
        <v>661583.15236828045</v>
      </c>
      <c r="AV28" s="26">
        <f t="shared" si="24"/>
        <v>350010.49582730752</v>
      </c>
      <c r="AW28" s="26">
        <f t="shared" si="24"/>
        <v>-279739.88879072055</v>
      </c>
      <c r="AX28" s="26">
        <f t="shared" si="24"/>
        <v>738526.56379257946</v>
      </c>
      <c r="AY28" s="26">
        <f t="shared" si="24"/>
        <v>326.34483938645093</v>
      </c>
      <c r="AZ28" s="26">
        <f t="shared" si="24"/>
        <v>2057.6912403624565</v>
      </c>
      <c r="BA28" s="26">
        <f t="shared" si="24"/>
        <v>0</v>
      </c>
      <c r="BB28" s="26">
        <f t="shared" si="24"/>
        <v>1953.6186739245325</v>
      </c>
      <c r="BC28" s="26">
        <f t="shared" si="24"/>
        <v>0</v>
      </c>
      <c r="BD28" s="26">
        <f t="shared" si="24"/>
        <v>0</v>
      </c>
      <c r="BE28" s="26">
        <f t="shared" si="24"/>
        <v>0</v>
      </c>
      <c r="BF28" s="26">
        <f t="shared" si="24"/>
        <v>0</v>
      </c>
      <c r="BG28" s="26">
        <f t="shared" si="24"/>
        <v>0</v>
      </c>
      <c r="BH28" s="26">
        <f t="shared" si="24"/>
        <v>0</v>
      </c>
      <c r="BI28" s="26">
        <f t="shared" si="24"/>
        <v>0</v>
      </c>
      <c r="BJ28" s="26">
        <f t="shared" si="24"/>
        <v>-115.90479634576025</v>
      </c>
      <c r="BK28" s="26">
        <f t="shared" si="24"/>
        <v>-120.49510714839209</v>
      </c>
      <c r="BL28" s="26">
        <f t="shared" si="24"/>
        <v>-204.30219294873794</v>
      </c>
      <c r="BM28" s="26">
        <f t="shared" si="24"/>
        <v>-322.31100353448812</v>
      </c>
      <c r="BN28" s="26">
        <f t="shared" si="24"/>
        <v>7015.3561534737028</v>
      </c>
      <c r="BO28" s="26">
        <f t="shared" ref="BO28:CJ28" si="25">SUM(BO22:BO25)*BO41</f>
        <v>0</v>
      </c>
      <c r="BP28" s="26">
        <f t="shared" si="25"/>
        <v>12458.764458057918</v>
      </c>
      <c r="BQ28" s="26">
        <f t="shared" si="25"/>
        <v>0</v>
      </c>
      <c r="BR28" s="26">
        <f t="shared" si="25"/>
        <v>1487.1224143459974</v>
      </c>
      <c r="BS28" s="26">
        <f t="shared" si="25"/>
        <v>0</v>
      </c>
      <c r="BT28" s="26">
        <f t="shared" si="25"/>
        <v>15897267.34467097</v>
      </c>
      <c r="BU28" s="26">
        <f t="shared" si="25"/>
        <v>23503644.517047707</v>
      </c>
      <c r="BV28" s="26">
        <f t="shared" si="25"/>
        <v>-28396073.922937658</v>
      </c>
      <c r="BW28" s="26">
        <f t="shared" si="25"/>
        <v>0</v>
      </c>
      <c r="BX28" s="26">
        <f t="shared" si="25"/>
        <v>-3173349.749010677</v>
      </c>
      <c r="BY28" s="26">
        <f t="shared" si="25"/>
        <v>0</v>
      </c>
      <c r="BZ28" s="26">
        <f t="shared" si="25"/>
        <v>469254.06723793986</v>
      </c>
      <c r="CA28" s="26">
        <f t="shared" si="25"/>
        <v>16801.943838496813</v>
      </c>
      <c r="CB28" s="26">
        <f t="shared" si="25"/>
        <v>-11271.557504830909</v>
      </c>
      <c r="CC28" s="26">
        <f t="shared" si="25"/>
        <v>-37406.216362232495</v>
      </c>
      <c r="CD28" s="26">
        <f t="shared" si="25"/>
        <v>-205808.68194444859</v>
      </c>
      <c r="CE28" s="26" t="e">
        <f t="shared" si="25"/>
        <v>#DIV/0!</v>
      </c>
      <c r="CF28" s="26" t="e">
        <f t="shared" si="25"/>
        <v>#DIV/0!</v>
      </c>
      <c r="CG28" s="26" t="e">
        <f t="shared" si="25"/>
        <v>#DIV/0!</v>
      </c>
      <c r="CH28" s="26" t="e">
        <f t="shared" si="25"/>
        <v>#DIV/0!</v>
      </c>
      <c r="CI28" s="26" t="e">
        <f t="shared" si="25"/>
        <v>#DIV/0!</v>
      </c>
      <c r="CJ28" s="26" t="e">
        <f t="shared" si="25"/>
        <v>#DIV/0!</v>
      </c>
    </row>
    <row r="29" spans="1:89" s="2" customFormat="1">
      <c r="A29" s="20" t="s">
        <v>407</v>
      </c>
      <c r="B29" s="28">
        <f>B27-B28</f>
        <v>1436301580.9116452</v>
      </c>
      <c r="C29" s="28">
        <f t="shared" ref="C29:BN29" si="26">C27-C28</f>
        <v>1140851232.4870715</v>
      </c>
      <c r="D29" s="28">
        <f t="shared" si="26"/>
        <v>24301.431888361592</v>
      </c>
      <c r="E29" s="28">
        <f t="shared" si="26"/>
        <v>-3963551880.9502711</v>
      </c>
      <c r="F29" s="28">
        <f t="shared" si="26"/>
        <v>23007.517935408265</v>
      </c>
      <c r="G29" s="28">
        <f t="shared" si="26"/>
        <v>16697.04045977291</v>
      </c>
      <c r="H29" s="28">
        <f t="shared" si="26"/>
        <v>11203.751047774602</v>
      </c>
      <c r="I29" s="28">
        <f t="shared" si="26"/>
        <v>164764184.50625977</v>
      </c>
      <c r="J29" s="28">
        <f t="shared" si="26"/>
        <v>0</v>
      </c>
      <c r="K29" s="28">
        <f t="shared" si="26"/>
        <v>0</v>
      </c>
      <c r="L29" s="28">
        <f t="shared" si="26"/>
        <v>0</v>
      </c>
      <c r="M29" s="28">
        <f t="shared" si="26"/>
        <v>109592202.14413922</v>
      </c>
      <c r="N29" s="28">
        <f t="shared" si="26"/>
        <v>714346.49042983353</v>
      </c>
      <c r="O29" s="28">
        <f t="shared" si="26"/>
        <v>716520.73781474738</v>
      </c>
      <c r="P29" s="28">
        <f t="shared" si="26"/>
        <v>0</v>
      </c>
      <c r="Q29" s="28">
        <f t="shared" si="26"/>
        <v>22961257.17560057</v>
      </c>
      <c r="R29" s="28">
        <f t="shared" si="26"/>
        <v>3616453.5344385086</v>
      </c>
      <c r="S29" s="28">
        <f t="shared" si="26"/>
        <v>3652915.0764619578</v>
      </c>
      <c r="T29" s="28">
        <f t="shared" si="26"/>
        <v>0</v>
      </c>
      <c r="U29" s="28">
        <f t="shared" si="26"/>
        <v>7303852.4926013164</v>
      </c>
      <c r="V29" s="28">
        <f t="shared" si="26"/>
        <v>495421.56619960099</v>
      </c>
      <c r="W29" s="28">
        <f t="shared" si="26"/>
        <v>488600.62527438754</v>
      </c>
      <c r="X29" s="28">
        <f t="shared" si="26"/>
        <v>0</v>
      </c>
      <c r="Y29" s="28">
        <f t="shared" si="26"/>
        <v>11437800.367458742</v>
      </c>
      <c r="Z29" s="28">
        <f t="shared" si="26"/>
        <v>2802596.1216294328</v>
      </c>
      <c r="AA29" s="28">
        <f t="shared" si="26"/>
        <v>2802395.1101400526</v>
      </c>
      <c r="AB29" s="28">
        <f t="shared" si="26"/>
        <v>0</v>
      </c>
      <c r="AC29" s="28">
        <f t="shared" si="26"/>
        <v>-38946914.252926908</v>
      </c>
      <c r="AD29" s="28">
        <f t="shared" si="26"/>
        <v>0</v>
      </c>
      <c r="AE29" s="28">
        <f t="shared" si="26"/>
        <v>0</v>
      </c>
      <c r="AF29" s="28">
        <f t="shared" si="26"/>
        <v>0</v>
      </c>
      <c r="AG29" s="28">
        <f t="shared" si="26"/>
        <v>-6259943.2622923236</v>
      </c>
      <c r="AH29" s="28">
        <f t="shared" si="26"/>
        <v>-46084140.880000003</v>
      </c>
      <c r="AI29" s="28">
        <f t="shared" si="26"/>
        <v>0</v>
      </c>
      <c r="AJ29" s="28">
        <f t="shared" si="26"/>
        <v>-17288746.685929779</v>
      </c>
      <c r="AK29" s="28">
        <f t="shared" si="26"/>
        <v>2314564.1087254668</v>
      </c>
      <c r="AL29" s="28">
        <f t="shared" si="26"/>
        <v>27054445.82</v>
      </c>
      <c r="AM29" s="28">
        <f t="shared" si="26"/>
        <v>0</v>
      </c>
      <c r="AN29" s="28">
        <f t="shared" si="26"/>
        <v>0</v>
      </c>
      <c r="AO29" s="28">
        <f t="shared" si="26"/>
        <v>18067429.046086505</v>
      </c>
      <c r="AP29" s="28">
        <f t="shared" si="26"/>
        <v>0</v>
      </c>
      <c r="AQ29" s="28">
        <f t="shared" si="26"/>
        <v>13638457.470863732</v>
      </c>
      <c r="AR29" s="28">
        <f t="shared" si="26"/>
        <v>14617943.776302878</v>
      </c>
      <c r="AS29" s="28">
        <f t="shared" si="26"/>
        <v>-11608929.936539145</v>
      </c>
      <c r="AT29" s="28">
        <f t="shared" si="26"/>
        <v>753297.55103100266</v>
      </c>
      <c r="AU29" s="28">
        <f t="shared" si="26"/>
        <v>1325958.5776317194</v>
      </c>
      <c r="AV29" s="28">
        <f t="shared" si="26"/>
        <v>732847.67417269247</v>
      </c>
      <c r="AW29" s="28">
        <f t="shared" si="26"/>
        <v>3704992.5887907199</v>
      </c>
      <c r="AX29" s="28">
        <f t="shared" si="26"/>
        <v>1735379.3462074208</v>
      </c>
      <c r="AY29" s="28">
        <f t="shared" si="26"/>
        <v>61091.915160613549</v>
      </c>
      <c r="AZ29" s="28">
        <f t="shared" si="26"/>
        <v>377982.29875963752</v>
      </c>
      <c r="BA29" s="28">
        <f t="shared" si="26"/>
        <v>7823889.8599999994</v>
      </c>
      <c r="BB29" s="28">
        <f t="shared" si="26"/>
        <v>-813098.10867392458</v>
      </c>
      <c r="BC29" s="28">
        <f t="shared" si="26"/>
        <v>-706478.82</v>
      </c>
      <c r="BD29" s="28">
        <f t="shared" si="26"/>
        <v>-440429.37</v>
      </c>
      <c r="BE29" s="28">
        <f t="shared" si="26"/>
        <v>-1247584.1100000001</v>
      </c>
      <c r="BF29" s="28">
        <f t="shared" si="26"/>
        <v>-3075827.53</v>
      </c>
      <c r="BG29" s="28">
        <f t="shared" si="26"/>
        <v>-261312.94</v>
      </c>
      <c r="BH29" s="28">
        <f t="shared" si="26"/>
        <v>173901.5</v>
      </c>
      <c r="BI29" s="28">
        <f t="shared" si="26"/>
        <v>135884.13</v>
      </c>
      <c r="BJ29" s="28">
        <f t="shared" si="26"/>
        <v>1126704.3147963458</v>
      </c>
      <c r="BK29" s="28">
        <f t="shared" si="26"/>
        <v>885755.8451071484</v>
      </c>
      <c r="BL29" s="28">
        <f t="shared" si="26"/>
        <v>870809.67219294875</v>
      </c>
      <c r="BM29" s="28">
        <f t="shared" si="26"/>
        <v>542388.06100353447</v>
      </c>
      <c r="BN29" s="28">
        <f t="shared" si="26"/>
        <v>-17222691.416153472</v>
      </c>
      <c r="BO29" s="28">
        <f t="shared" ref="BO29:CK29" si="27">BO27-BO28</f>
        <v>-9031138.9000000004</v>
      </c>
      <c r="BP29" s="28">
        <f t="shared" si="27"/>
        <v>-2309786.9244580581</v>
      </c>
      <c r="BQ29" s="28">
        <f t="shared" si="27"/>
        <v>-447559.93</v>
      </c>
      <c r="BR29" s="28">
        <f t="shared" si="27"/>
        <v>-7254730.7024143459</v>
      </c>
      <c r="BS29" s="28">
        <f t="shared" si="27"/>
        <v>0</v>
      </c>
      <c r="BT29" s="28">
        <f t="shared" si="27"/>
        <v>-11977777.00467097</v>
      </c>
      <c r="BU29" s="28">
        <f t="shared" si="27"/>
        <v>-20503644.517047707</v>
      </c>
      <c r="BV29" s="28">
        <f t="shared" si="27"/>
        <v>25145562.942937657</v>
      </c>
      <c r="BW29" s="28">
        <f t="shared" si="27"/>
        <v>0</v>
      </c>
      <c r="BX29" s="28">
        <f t="shared" si="27"/>
        <v>427735.25901067676</v>
      </c>
      <c r="BY29" s="28">
        <f t="shared" si="27"/>
        <v>0</v>
      </c>
      <c r="BZ29" s="28">
        <f t="shared" si="27"/>
        <v>606563.75276206015</v>
      </c>
      <c r="CA29" s="28">
        <f t="shared" si="27"/>
        <v>23198.056161503187</v>
      </c>
      <c r="CB29" s="28">
        <f t="shared" si="27"/>
        <v>-15733.192495169091</v>
      </c>
      <c r="CC29" s="28">
        <f t="shared" si="27"/>
        <v>-75658.533637767512</v>
      </c>
      <c r="CD29" s="28">
        <f t="shared" si="27"/>
        <v>-415618.2080555514</v>
      </c>
      <c r="CE29" s="28" t="e">
        <f t="shared" si="27"/>
        <v>#DIV/0!</v>
      </c>
      <c r="CF29" s="28" t="e">
        <f t="shared" si="27"/>
        <v>#DIV/0!</v>
      </c>
      <c r="CG29" s="28" t="e">
        <f t="shared" si="27"/>
        <v>#DIV/0!</v>
      </c>
      <c r="CH29" s="28" t="e">
        <f t="shared" si="27"/>
        <v>#DIV/0!</v>
      </c>
      <c r="CI29" s="28" t="e">
        <f t="shared" si="27"/>
        <v>#DIV/0!</v>
      </c>
      <c r="CJ29" s="28" t="e">
        <f t="shared" si="27"/>
        <v>#DIV/0!</v>
      </c>
      <c r="CK29" s="28">
        <f t="shared" si="27"/>
        <v>0</v>
      </c>
    </row>
    <row r="30" spans="1:89" s="16" customFormat="1">
      <c r="A30" s="18" t="s">
        <v>88</v>
      </c>
      <c r="B30" s="30"/>
      <c r="C30" s="30"/>
      <c r="D30" s="30"/>
      <c r="E30" s="30"/>
      <c r="F30" s="30"/>
      <c r="G30" s="30"/>
      <c r="H30" s="30"/>
      <c r="I30" s="30"/>
      <c r="J30" s="30"/>
      <c r="K30" s="30"/>
    </row>
    <row r="31" spans="1:89">
      <c r="A31" s="17" t="s">
        <v>408</v>
      </c>
      <c r="B31" s="26">
        <f>B15+B20+B27</f>
        <v>2095274821.4600003</v>
      </c>
      <c r="C31" s="26">
        <f t="shared" ref="C31:BN31" si="28">C15+C20+C27</f>
        <v>1647857070.0000002</v>
      </c>
      <c r="D31" s="26">
        <f t="shared" si="28"/>
        <v>143699639.13000003</v>
      </c>
      <c r="E31" s="26">
        <f t="shared" si="28"/>
        <v>213958115.36000001</v>
      </c>
      <c r="F31" s="26">
        <f t="shared" si="28"/>
        <v>267992585.00999978</v>
      </c>
      <c r="G31" s="26">
        <f t="shared" si="28"/>
        <v>210417141.15999991</v>
      </c>
      <c r="H31" s="26">
        <f t="shared" si="28"/>
        <v>151114450.25</v>
      </c>
      <c r="I31" s="26">
        <f t="shared" si="28"/>
        <v>195500513.16</v>
      </c>
      <c r="J31" s="26">
        <f t="shared" si="28"/>
        <v>101616487.05999991</v>
      </c>
      <c r="K31" s="26">
        <f t="shared" si="28"/>
        <v>86827967.650000006</v>
      </c>
      <c r="L31" s="26">
        <f t="shared" si="28"/>
        <v>63069160.919999979</v>
      </c>
      <c r="M31" s="26">
        <f t="shared" si="28"/>
        <v>156289943.71999997</v>
      </c>
      <c r="N31" s="26">
        <f t="shared" si="28"/>
        <v>119801661.35000013</v>
      </c>
      <c r="O31" s="26">
        <f t="shared" si="28"/>
        <v>108466041.43999997</v>
      </c>
      <c r="P31" s="26">
        <f t="shared" si="28"/>
        <v>75737733.859999985</v>
      </c>
      <c r="Q31" s="26">
        <f t="shared" si="28"/>
        <v>71536692.040000007</v>
      </c>
      <c r="R31" s="26">
        <f t="shared" si="28"/>
        <v>135966228.31999993</v>
      </c>
      <c r="S31" s="26">
        <f t="shared" si="28"/>
        <v>112860470.08</v>
      </c>
      <c r="T31" s="26">
        <f t="shared" si="28"/>
        <v>75560607.849999964</v>
      </c>
      <c r="U31" s="26">
        <f t="shared" si="28"/>
        <v>25712434.150000006</v>
      </c>
      <c r="V31" s="26">
        <f t="shared" si="28"/>
        <v>132964456.55999999</v>
      </c>
      <c r="W31" s="26">
        <f t="shared" si="28"/>
        <v>110444694.07000004</v>
      </c>
      <c r="X31" s="26">
        <f t="shared" si="28"/>
        <v>79512585.110000014</v>
      </c>
      <c r="Y31" s="26">
        <f t="shared" si="28"/>
        <v>61240007.45000004</v>
      </c>
      <c r="Z31" s="26">
        <f t="shared" si="28"/>
        <v>83589336.839999899</v>
      </c>
      <c r="AA31" s="26">
        <f t="shared" si="28"/>
        <v>67492339.160000056</v>
      </c>
      <c r="AB31" s="26">
        <f t="shared" si="28"/>
        <v>53175482.73999992</v>
      </c>
      <c r="AC31" s="26">
        <f t="shared" si="28"/>
        <v>50489587.459999964</v>
      </c>
      <c r="AD31" s="26">
        <f t="shared" si="28"/>
        <v>70254146.730000108</v>
      </c>
      <c r="AE31" s="26">
        <f t="shared" si="28"/>
        <v>58905027.049999952</v>
      </c>
      <c r="AF31" s="26">
        <f t="shared" si="28"/>
        <v>42240150.270000011</v>
      </c>
      <c r="AG31" s="26">
        <f t="shared" si="28"/>
        <v>25947454.439999998</v>
      </c>
      <c r="AH31" s="26">
        <f t="shared" si="28"/>
        <v>11942635.539999992</v>
      </c>
      <c r="AI31" s="26">
        <f t="shared" si="28"/>
        <v>43097855.790000021</v>
      </c>
      <c r="AJ31" s="26">
        <f t="shared" si="28"/>
        <v>13055376.670000028</v>
      </c>
      <c r="AK31" s="26">
        <f t="shared" si="28"/>
        <v>32946646.720000006</v>
      </c>
      <c r="AL31" s="26">
        <f t="shared" si="28"/>
        <v>76577501.540000066</v>
      </c>
      <c r="AM31" s="26">
        <f t="shared" si="28"/>
        <v>42329537.57</v>
      </c>
      <c r="AN31" s="26">
        <f t="shared" si="28"/>
        <v>29555181.169999968</v>
      </c>
      <c r="AO31" s="26">
        <f t="shared" si="28"/>
        <v>29433718.120000008</v>
      </c>
      <c r="AP31" s="26">
        <f t="shared" si="28"/>
        <v>59529684.479999959</v>
      </c>
      <c r="AQ31" s="26">
        <f t="shared" si="28"/>
        <v>43875670.650000028</v>
      </c>
      <c r="AR31" s="26">
        <f t="shared" si="28"/>
        <v>34661946.18999999</v>
      </c>
      <c r="AS31" s="26">
        <f t="shared" si="28"/>
        <v>16325847.269999996</v>
      </c>
      <c r="AT31" s="26">
        <f t="shared" si="28"/>
        <v>44734693.60999991</v>
      </c>
      <c r="AU31" s="26">
        <f t="shared" si="28"/>
        <v>23256111.690000016</v>
      </c>
      <c r="AV31" s="26">
        <f t="shared" si="28"/>
        <v>7436038.2100000158</v>
      </c>
      <c r="AW31" s="26">
        <f t="shared" si="28"/>
        <v>10033627.240000017</v>
      </c>
      <c r="AX31" s="26">
        <f t="shared" si="28"/>
        <v>28835450.080000024</v>
      </c>
      <c r="AY31" s="26">
        <f t="shared" si="28"/>
        <v>25280826.040000018</v>
      </c>
      <c r="AZ31" s="26">
        <f t="shared" si="28"/>
        <v>19762431.149999995</v>
      </c>
      <c r="BA31" s="26">
        <f t="shared" si="28"/>
        <v>13333907.859999999</v>
      </c>
      <c r="BB31" s="26">
        <f t="shared" si="28"/>
        <v>100450.57000000426</v>
      </c>
      <c r="BC31" s="26">
        <f t="shared" si="28"/>
        <v>5202459.6600000188</v>
      </c>
      <c r="BD31" s="26">
        <f t="shared" si="28"/>
        <v>7163497.6699999953</v>
      </c>
      <c r="BE31" s="26">
        <f t="shared" si="28"/>
        <v>4116274.2199999979</v>
      </c>
      <c r="BF31" s="26">
        <f t="shared" si="28"/>
        <v>-1032388.1199999456</v>
      </c>
      <c r="BG31" s="26">
        <f t="shared" si="28"/>
        <v>4282179.9899999872</v>
      </c>
      <c r="BH31" s="26">
        <f t="shared" si="28"/>
        <v>3659870.409999989</v>
      </c>
      <c r="BI31" s="26">
        <f t="shared" si="28"/>
        <v>3260856.6400000043</v>
      </c>
      <c r="BJ31" s="26">
        <f t="shared" si="28"/>
        <v>-33213677.179999996</v>
      </c>
      <c r="BK31" s="26">
        <f t="shared" si="28"/>
        <v>-23421544.849999983</v>
      </c>
      <c r="BL31" s="26">
        <f t="shared" si="28"/>
        <v>-11707317.089999994</v>
      </c>
      <c r="BM31" s="26">
        <f t="shared" si="28"/>
        <v>-1833844.4799999869</v>
      </c>
      <c r="BN31" s="26">
        <f t="shared" si="28"/>
        <v>-65441090.849999994</v>
      </c>
      <c r="BO31" s="26">
        <f t="shared" ref="BO31:CJ31" si="29">BO15+BO20+BO27</f>
        <v>-18943279.350000031</v>
      </c>
      <c r="BP31" s="26">
        <f t="shared" si="29"/>
        <v>-3249731.330000014</v>
      </c>
      <c r="BQ31" s="26">
        <f t="shared" si="29"/>
        <v>3132250.7299999897</v>
      </c>
      <c r="BR31" s="26">
        <f t="shared" si="29"/>
        <v>-25024183.819999978</v>
      </c>
      <c r="BS31" s="26">
        <f t="shared" si="29"/>
        <v>9528298.6199999619</v>
      </c>
      <c r="BT31" s="26">
        <f t="shared" si="29"/>
        <v>28651669.299999986</v>
      </c>
      <c r="BU31" s="26">
        <f t="shared" si="29"/>
        <v>13153678.000000002</v>
      </c>
      <c r="BV31" s="26">
        <f t="shared" si="29"/>
        <v>22196956.049999971</v>
      </c>
      <c r="BW31" s="26">
        <f t="shared" si="29"/>
        <v>17928982.910000011</v>
      </c>
      <c r="BX31" s="26">
        <f t="shared" si="29"/>
        <v>29852218.430000037</v>
      </c>
      <c r="BY31" s="26">
        <f t="shared" si="29"/>
        <v>17320859.820000023</v>
      </c>
      <c r="BZ31" s="26">
        <f t="shared" si="29"/>
        <v>41992463.62999998</v>
      </c>
      <c r="CA31" s="26">
        <f t="shared" si="29"/>
        <v>23492494.340000022</v>
      </c>
      <c r="CB31" s="26">
        <f t="shared" si="29"/>
        <v>34647213.610000074</v>
      </c>
      <c r="CC31" s="26">
        <f t="shared" si="29"/>
        <v>22251513.000000004</v>
      </c>
      <c r="CD31" s="26">
        <f t="shared" si="29"/>
        <v>34360199.449999951</v>
      </c>
      <c r="CE31" s="26">
        <f t="shared" si="29"/>
        <v>0</v>
      </c>
      <c r="CF31" s="26">
        <f t="shared" si="29"/>
        <v>0</v>
      </c>
      <c r="CG31" s="26">
        <f t="shared" si="29"/>
        <v>0</v>
      </c>
      <c r="CH31" s="26">
        <f t="shared" si="29"/>
        <v>0</v>
      </c>
      <c r="CI31" s="26">
        <f t="shared" si="29"/>
        <v>0</v>
      </c>
      <c r="CJ31" s="26">
        <f t="shared" si="29"/>
        <v>0</v>
      </c>
    </row>
    <row r="32" spans="1:89" s="57" customFormat="1">
      <c r="A32" s="57" t="s">
        <v>409</v>
      </c>
      <c r="B32" s="57">
        <f>B31/B4*100</f>
        <v>151.555506029649</v>
      </c>
      <c r="C32" s="57">
        <f t="shared" ref="C32:D32" si="30">C31/C4*100</f>
        <v>154.82465025640747</v>
      </c>
      <c r="D32" s="57">
        <f t="shared" si="30"/>
        <v>19.654189272697142</v>
      </c>
      <c r="E32" s="57">
        <f>E31/E4</f>
        <v>0.50764226303810667</v>
      </c>
      <c r="F32" s="57">
        <f t="shared" ref="F32:BQ32" si="31">F31/F4</f>
        <v>0.19613562783344651</v>
      </c>
      <c r="G32" s="57">
        <f t="shared" si="31"/>
        <v>0.20507740887419643</v>
      </c>
      <c r="H32" s="57">
        <f t="shared" si="31"/>
        <v>0.21637868483849471</v>
      </c>
      <c r="I32" s="57">
        <f t="shared" si="31"/>
        <v>0.68778968160720533</v>
      </c>
      <c r="J32" s="57">
        <f t="shared" si="31"/>
        <v>9.8989710077852427E-2</v>
      </c>
      <c r="K32" s="57">
        <f t="shared" si="31"/>
        <v>0.11332997631722785</v>
      </c>
      <c r="L32" s="57">
        <f t="shared" si="31"/>
        <v>0.11993020896788464</v>
      </c>
      <c r="M32" s="57">
        <f t="shared" si="31"/>
        <v>0.52934843591769265</v>
      </c>
      <c r="N32" s="57">
        <f t="shared" si="31"/>
        <v>0.10690227856988124</v>
      </c>
      <c r="O32" s="57">
        <f t="shared" si="31"/>
        <v>0.12648644121912792</v>
      </c>
      <c r="P32" s="57">
        <f t="shared" si="31"/>
        <v>0.12766175340365657</v>
      </c>
      <c r="Q32" s="57">
        <f t="shared" si="31"/>
        <v>0.21319070488801145</v>
      </c>
      <c r="R32" s="57">
        <f t="shared" si="31"/>
        <v>0.11191994260517053</v>
      </c>
      <c r="S32" s="57">
        <f t="shared" si="31"/>
        <v>0.12166657519541919</v>
      </c>
      <c r="T32" s="57">
        <f t="shared" si="31"/>
        <v>0.11976244922366872</v>
      </c>
      <c r="U32" s="57">
        <f t="shared" si="31"/>
        <v>7.1540470196171616E-2</v>
      </c>
      <c r="V32" s="57">
        <f t="shared" si="31"/>
        <v>9.3112005405201495E-2</v>
      </c>
      <c r="W32" s="57">
        <f t="shared" si="31"/>
        <v>0.10130270407361296</v>
      </c>
      <c r="X32" s="57">
        <f t="shared" si="31"/>
        <v>0.10551162981193098</v>
      </c>
      <c r="Y32" s="57">
        <f t="shared" si="31"/>
        <v>0.15041726741874598</v>
      </c>
      <c r="Z32" s="57">
        <f t="shared" si="31"/>
        <v>6.3322495431559545E-2</v>
      </c>
      <c r="AA32" s="57">
        <f t="shared" si="31"/>
        <v>6.7512724097066282E-2</v>
      </c>
      <c r="AB32" s="57">
        <f t="shared" si="31"/>
        <v>7.6376989233877535E-2</v>
      </c>
      <c r="AC32" s="57">
        <f t="shared" si="31"/>
        <v>0.12712427993366496</v>
      </c>
      <c r="AD32" s="57">
        <f t="shared" si="31"/>
        <v>5.9127477564222285E-2</v>
      </c>
      <c r="AE32" s="57">
        <f t="shared" si="31"/>
        <v>6.6821825620616518E-2</v>
      </c>
      <c r="AF32" s="57">
        <f t="shared" si="31"/>
        <v>6.813622466351732E-2</v>
      </c>
      <c r="AG32" s="57">
        <f t="shared" si="31"/>
        <v>7.1934816346456459E-2</v>
      </c>
      <c r="AH32" s="57">
        <f t="shared" si="31"/>
        <v>1.2968446846050512E-2</v>
      </c>
      <c r="AI32" s="57">
        <f t="shared" si="31"/>
        <v>6.6082419426999925E-2</v>
      </c>
      <c r="AJ32" s="57">
        <f t="shared" si="31"/>
        <v>2.9844739535280652E-2</v>
      </c>
      <c r="AK32" s="57">
        <f t="shared" si="31"/>
        <v>0.13141837706282852</v>
      </c>
      <c r="AL32" s="57">
        <f t="shared" si="31"/>
        <v>0.10502746332392079</v>
      </c>
      <c r="AM32" s="57">
        <f t="shared" si="31"/>
        <v>7.9573633980076136E-2</v>
      </c>
      <c r="AN32" s="57">
        <f t="shared" si="31"/>
        <v>8.1086366070327237E-2</v>
      </c>
      <c r="AO32" s="57">
        <f t="shared" si="31"/>
        <v>0.14100341623832519</v>
      </c>
      <c r="AP32" s="57">
        <f t="shared" si="31"/>
        <v>9.5569067225382484E-2</v>
      </c>
      <c r="AQ32" s="57">
        <f t="shared" si="31"/>
        <v>9.5741530405681993E-2</v>
      </c>
      <c r="AR32" s="57">
        <f t="shared" si="31"/>
        <v>0.1109711015677949</v>
      </c>
      <c r="AS32" s="57">
        <f t="shared" si="31"/>
        <v>8.7183968937824152E-2</v>
      </c>
      <c r="AT32" s="57">
        <f t="shared" si="31"/>
        <v>8.1720394637805352E-2</v>
      </c>
      <c r="AU32" s="57">
        <f t="shared" si="31"/>
        <v>5.8309970484154754E-2</v>
      </c>
      <c r="AV32" s="57">
        <f t="shared" si="31"/>
        <v>2.740583146294092E-2</v>
      </c>
      <c r="AW32" s="57">
        <f t="shared" si="31"/>
        <v>6.5895887772790832E-2</v>
      </c>
      <c r="AX32" s="57">
        <f t="shared" si="31"/>
        <v>6.4029849991048132E-2</v>
      </c>
      <c r="AY32" s="57">
        <f t="shared" si="31"/>
        <v>7.6343786838739047E-2</v>
      </c>
      <c r="AZ32" s="57">
        <f t="shared" si="31"/>
        <v>8.807555527869379E-2</v>
      </c>
      <c r="BA32" s="57">
        <f t="shared" si="31"/>
        <v>0.10233281475807041</v>
      </c>
      <c r="BB32" s="57">
        <f t="shared" si="31"/>
        <v>2.2854851129537469E-4</v>
      </c>
      <c r="BC32" s="57">
        <f t="shared" si="31"/>
        <v>1.6116069134598537E-2</v>
      </c>
      <c r="BD32" s="57">
        <f t="shared" si="31"/>
        <v>3.1521781504023828E-2</v>
      </c>
      <c r="BE32" s="57">
        <f t="shared" si="31"/>
        <v>3.1021025256783078E-2</v>
      </c>
      <c r="BF32" s="57">
        <f t="shared" si="31"/>
        <v>-2.556956189845866E-3</v>
      </c>
      <c r="BG32" s="57">
        <f t="shared" si="31"/>
        <v>1.4276561137592361E-2</v>
      </c>
      <c r="BH32" s="57">
        <f t="shared" si="31"/>
        <v>1.7455481786040415E-2</v>
      </c>
      <c r="BI32" s="57">
        <f t="shared" si="31"/>
        <v>2.6340745635242215E-2</v>
      </c>
      <c r="BJ32" s="57">
        <f t="shared" si="31"/>
        <v>-6.925496381204703E-2</v>
      </c>
      <c r="BK32" s="57">
        <f t="shared" si="31"/>
        <v>-6.4186429189425506E-2</v>
      </c>
      <c r="BL32" s="57">
        <f t="shared" si="31"/>
        <v>-4.5509660427091696E-2</v>
      </c>
      <c r="BM32" s="57">
        <f t="shared" si="31"/>
        <v>-1.2263615683700197E-2</v>
      </c>
      <c r="BN32" s="57">
        <f t="shared" si="31"/>
        <v>-0.12900406821713623</v>
      </c>
      <c r="BO32" s="57">
        <f t="shared" si="31"/>
        <v>-4.6657058434415137E-2</v>
      </c>
      <c r="BP32" s="57">
        <f t="shared" si="31"/>
        <v>-1.1119725288647558E-2</v>
      </c>
      <c r="BQ32" s="57">
        <f t="shared" si="31"/>
        <v>1.8007834263222184E-2</v>
      </c>
      <c r="BR32" s="57">
        <f t="shared" ref="BR32:CK32" si="32">BR31/BR4</f>
        <v>-3.8517655731146586E-2</v>
      </c>
      <c r="BS32" s="57">
        <f t="shared" si="32"/>
        <v>2.7848851859412049E-2</v>
      </c>
      <c r="BT32" s="57">
        <f t="shared" si="32"/>
        <v>4.4088244932130344E-2</v>
      </c>
      <c r="BU32" s="57">
        <f t="shared" si="32"/>
        <v>4.2109271718480015E-2</v>
      </c>
      <c r="BV32" s="57">
        <f t="shared" si="32"/>
        <v>3.781390069914127E-2</v>
      </c>
      <c r="BW32" s="57">
        <f t="shared" si="32"/>
        <v>5.6267232034729199E-2</v>
      </c>
      <c r="BX32" s="57">
        <f t="shared" si="32"/>
        <v>4.914480758645981E-2</v>
      </c>
      <c r="BY32" s="57">
        <f t="shared" si="32"/>
        <v>5.5486974438093306E-2</v>
      </c>
      <c r="BZ32" s="57">
        <f t="shared" si="32"/>
        <v>6.9685565564362686E-2</v>
      </c>
      <c r="CA32" s="57">
        <f t="shared" si="32"/>
        <v>6.7984491619841561E-2</v>
      </c>
      <c r="CB32" s="57">
        <f t="shared" si="32"/>
        <v>5.6550785961480547E-2</v>
      </c>
      <c r="CC32" s="57">
        <f t="shared" si="32"/>
        <v>6.6616840031786875E-2</v>
      </c>
      <c r="CD32" s="57">
        <f t="shared" si="32"/>
        <v>6.2200216947778789E-2</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c r="A33" s="17" t="s">
        <v>410</v>
      </c>
      <c r="B33" s="26">
        <f>B17+B20+B29</f>
        <v>1630067074.4747891</v>
      </c>
      <c r="C33" s="26">
        <f t="shared" ref="C33:BN33" si="33">C17+C20+C29</f>
        <v>1296220615.6889172</v>
      </c>
      <c r="D33" s="26">
        <f t="shared" si="33"/>
        <v>97936085.276378706</v>
      </c>
      <c r="E33" s="26">
        <f t="shared" si="33"/>
        <v>-6800469962.1290026</v>
      </c>
      <c r="F33" s="26">
        <f t="shared" si="33"/>
        <v>194322225.218216</v>
      </c>
      <c r="G33" s="26">
        <f t="shared" si="33"/>
        <v>148329963.66538319</v>
      </c>
      <c r="H33" s="26">
        <f t="shared" si="33"/>
        <v>107114303.44946985</v>
      </c>
      <c r="I33" s="26">
        <f t="shared" si="33"/>
        <v>178281053.69326836</v>
      </c>
      <c r="J33" s="26">
        <f t="shared" si="33"/>
        <v>73482725.977686495</v>
      </c>
      <c r="K33" s="26">
        <f t="shared" si="33"/>
        <v>63529517.786928788</v>
      </c>
      <c r="L33" s="26">
        <f t="shared" si="33"/>
        <v>46575946.923508629</v>
      </c>
      <c r="M33" s="26">
        <f t="shared" si="33"/>
        <v>137940702.60914442</v>
      </c>
      <c r="N33" s="26">
        <f t="shared" si="33"/>
        <v>89542135.844139189</v>
      </c>
      <c r="O33" s="26">
        <f t="shared" si="33"/>
        <v>81316419.608091816</v>
      </c>
      <c r="P33" s="26">
        <f t="shared" si="33"/>
        <v>56593946.103152737</v>
      </c>
      <c r="Q33" s="26">
        <f t="shared" si="33"/>
        <v>52786156.41340737</v>
      </c>
      <c r="R33" s="26">
        <f t="shared" si="33"/>
        <v>101821325.88671768</v>
      </c>
      <c r="S33" s="26">
        <f t="shared" si="33"/>
        <v>85370188.166117713</v>
      </c>
      <c r="T33" s="26">
        <f t="shared" si="33"/>
        <v>56285037.194829717</v>
      </c>
      <c r="U33" s="26">
        <f t="shared" si="33"/>
        <v>-11109801.00732651</v>
      </c>
      <c r="V33" s="26">
        <f t="shared" si="33"/>
        <v>105397534.90853441</v>
      </c>
      <c r="W33" s="26">
        <f t="shared" si="33"/>
        <v>86341354.529344738</v>
      </c>
      <c r="X33" s="26">
        <f t="shared" si="33"/>
        <v>63170807.690435342</v>
      </c>
      <c r="Y33" s="26">
        <f t="shared" si="33"/>
        <v>47075212.294144213</v>
      </c>
      <c r="Z33" s="26">
        <f t="shared" si="33"/>
        <v>62471240.329962656</v>
      </c>
      <c r="AA33" s="26">
        <f t="shared" si="33"/>
        <v>50437386.995706171</v>
      </c>
      <c r="AB33" s="26">
        <f t="shared" si="33"/>
        <v>39743980.476685144</v>
      </c>
      <c r="AC33" s="26">
        <f t="shared" si="33"/>
        <v>-123583888.50317967</v>
      </c>
      <c r="AD33" s="26">
        <f t="shared" si="33"/>
        <v>51024931.092133567</v>
      </c>
      <c r="AE33" s="26">
        <f t="shared" si="33"/>
        <v>44011116.499925546</v>
      </c>
      <c r="AF33" s="26">
        <f t="shared" si="33"/>
        <v>31572438.198712084</v>
      </c>
      <c r="AG33" s="26">
        <f t="shared" si="33"/>
        <v>-106028567.61000101</v>
      </c>
      <c r="AH33" s="26">
        <f t="shared" si="33"/>
        <v>-195170980.4449251</v>
      </c>
      <c r="AI33" s="26">
        <f t="shared" si="33"/>
        <v>34912430.538755715</v>
      </c>
      <c r="AJ33" s="26">
        <f t="shared" si="33"/>
        <v>-7311458.6748114191</v>
      </c>
      <c r="AK33" s="26">
        <f t="shared" si="33"/>
        <v>22606696.991317324</v>
      </c>
      <c r="AL33" s="26">
        <f t="shared" si="33"/>
        <v>69105409.548269033</v>
      </c>
      <c r="AM33" s="26">
        <f t="shared" si="33"/>
        <v>32024760.163164631</v>
      </c>
      <c r="AN33" s="26">
        <f t="shared" si="33"/>
        <v>22520642.533890925</v>
      </c>
      <c r="AO33" s="26">
        <f t="shared" si="33"/>
        <v>44254354.056595586</v>
      </c>
      <c r="AP33" s="26">
        <f t="shared" si="33"/>
        <v>52825774.251624227</v>
      </c>
      <c r="AQ33" s="26">
        <f t="shared" si="33"/>
        <v>39834924.441226512</v>
      </c>
      <c r="AR33" s="26">
        <f t="shared" si="33"/>
        <v>32484471.629024822</v>
      </c>
      <c r="AS33" s="26">
        <f t="shared" si="33"/>
        <v>16762952.006546928</v>
      </c>
      <c r="AT33" s="26">
        <f t="shared" si="33"/>
        <v>33759864.811911806</v>
      </c>
      <c r="AU33" s="26">
        <f t="shared" si="33"/>
        <v>15514965.201619605</v>
      </c>
      <c r="AV33" s="26">
        <f t="shared" si="33"/>
        <v>5032499.5998855345</v>
      </c>
      <c r="AW33" s="26">
        <f t="shared" si="33"/>
        <v>10966072.78447582</v>
      </c>
      <c r="AX33" s="26">
        <f t="shared" si="33"/>
        <v>20227303.029251892</v>
      </c>
      <c r="AY33" s="26">
        <f t="shared" si="33"/>
        <v>25146496.817492239</v>
      </c>
      <c r="AZ33" s="26">
        <f t="shared" si="33"/>
        <v>19655429.301416587</v>
      </c>
      <c r="BA33" s="26">
        <f t="shared" si="33"/>
        <v>13333907.859999999</v>
      </c>
      <c r="BB33" s="26">
        <f t="shared" si="33"/>
        <v>100692.50237059628</v>
      </c>
      <c r="BC33" s="26">
        <f t="shared" si="33"/>
        <v>5202459.6600000188</v>
      </c>
      <c r="BD33" s="26">
        <f t="shared" si="33"/>
        <v>7163497.6699999953</v>
      </c>
      <c r="BE33" s="26">
        <f t="shared" si="33"/>
        <v>4116274.2199999979</v>
      </c>
      <c r="BF33" s="26">
        <f t="shared" si="33"/>
        <v>-1032388.1199999456</v>
      </c>
      <c r="BG33" s="26">
        <f t="shared" si="33"/>
        <v>4282179.9899999872</v>
      </c>
      <c r="BH33" s="26">
        <f t="shared" si="33"/>
        <v>3659870.409999989</v>
      </c>
      <c r="BI33" s="26">
        <f t="shared" si="33"/>
        <v>3260856.6400000043</v>
      </c>
      <c r="BJ33" s="26">
        <f t="shared" si="33"/>
        <v>-33217094.243814316</v>
      </c>
      <c r="BK33" s="26">
        <f t="shared" si="33"/>
        <v>-23424731.468009621</v>
      </c>
      <c r="BL33" s="26">
        <f t="shared" si="33"/>
        <v>-11710064.408862768</v>
      </c>
      <c r="BM33" s="26">
        <f t="shared" si="33"/>
        <v>-1834934.8795588501</v>
      </c>
      <c r="BN33" s="26">
        <f t="shared" si="33"/>
        <v>-65467757.973485857</v>
      </c>
      <c r="BO33" s="26">
        <f t="shared" ref="BO33:CJ33" si="34">BO17+BO20+BO29</f>
        <v>-18943279.350000031</v>
      </c>
      <c r="BP33" s="26">
        <f t="shared" si="34"/>
        <v>-3267355.1235430497</v>
      </c>
      <c r="BQ33" s="26">
        <f t="shared" si="34"/>
        <v>3132250.7299999897</v>
      </c>
      <c r="BR33" s="26">
        <f t="shared" si="34"/>
        <v>-25029314.493504729</v>
      </c>
      <c r="BS33" s="26">
        <f t="shared" si="34"/>
        <v>15555719.427280743</v>
      </c>
      <c r="BT33" s="26">
        <f t="shared" si="34"/>
        <v>-87558145.553938806</v>
      </c>
      <c r="BU33" s="26">
        <f t="shared" si="34"/>
        <v>-89899445.934570357</v>
      </c>
      <c r="BV33" s="26">
        <f t="shared" si="34"/>
        <v>-171712988.79811662</v>
      </c>
      <c r="BW33" s="26">
        <f t="shared" si="34"/>
        <v>12155869.59447482</v>
      </c>
      <c r="BX33" s="26">
        <f t="shared" si="34"/>
        <v>-4650633.3750443421</v>
      </c>
      <c r="BY33" s="26">
        <f t="shared" si="34"/>
        <v>12991252.922389891</v>
      </c>
      <c r="BZ33" s="26">
        <f t="shared" si="34"/>
        <v>23676040.546657901</v>
      </c>
      <c r="CA33" s="26">
        <f t="shared" si="34"/>
        <v>13624505.076827906</v>
      </c>
      <c r="CB33" s="26">
        <f t="shared" si="34"/>
        <v>20185755.511433121</v>
      </c>
      <c r="CC33" s="26">
        <f t="shared" si="34"/>
        <v>14889847.143355655</v>
      </c>
      <c r="CD33" s="26">
        <f t="shared" si="34"/>
        <v>22980538.424786095</v>
      </c>
      <c r="CE33" s="26" t="e">
        <f t="shared" si="34"/>
        <v>#DIV/0!</v>
      </c>
      <c r="CF33" s="26" t="e">
        <f t="shared" si="34"/>
        <v>#DIV/0!</v>
      </c>
      <c r="CG33" s="26" t="e">
        <f t="shared" si="34"/>
        <v>#DIV/0!</v>
      </c>
      <c r="CH33" s="26" t="e">
        <f t="shared" si="34"/>
        <v>#DIV/0!</v>
      </c>
      <c r="CI33" s="26" t="e">
        <f t="shared" si="34"/>
        <v>#DIV/0!</v>
      </c>
      <c r="CJ33" s="26" t="e">
        <f t="shared" si="34"/>
        <v>#DIV/0!</v>
      </c>
    </row>
    <row r="34" spans="1:89" s="57" customFormat="1">
      <c r="A34" s="57" t="s">
        <v>411</v>
      </c>
      <c r="B34" s="57">
        <f>B33/B4*100</f>
        <v>117.90607981541692</v>
      </c>
      <c r="C34" s="57">
        <f t="shared" ref="C34:D34" si="35">C33/C4*100</f>
        <v>121.78659613917952</v>
      </c>
      <c r="D34" s="57">
        <f t="shared" si="35"/>
        <v>13.394983928300661</v>
      </c>
      <c r="E34" s="57">
        <f>E33/E4</f>
        <v>-16.13496153436035</v>
      </c>
      <c r="F34" s="57">
        <f t="shared" ref="F34:BQ34" si="36">F33/F4</f>
        <v>0.14221853057518377</v>
      </c>
      <c r="G34" s="57">
        <f t="shared" si="36"/>
        <v>0.14456581074718608</v>
      </c>
      <c r="H34" s="57">
        <f t="shared" si="36"/>
        <v>0.15337548506740323</v>
      </c>
      <c r="I34" s="57">
        <f t="shared" si="36"/>
        <v>0.6272099605996253</v>
      </c>
      <c r="J34" s="57">
        <f t="shared" si="36"/>
        <v>7.1583204170072079E-2</v>
      </c>
      <c r="K34" s="57">
        <f t="shared" si="36"/>
        <v>8.2920272593038691E-2</v>
      </c>
      <c r="L34" s="57">
        <f t="shared" si="36"/>
        <v>8.856726434808411E-2</v>
      </c>
      <c r="M34" s="57">
        <f t="shared" si="36"/>
        <v>0.46720021415040153</v>
      </c>
      <c r="N34" s="57">
        <f t="shared" si="36"/>
        <v>7.9900881522727785E-2</v>
      </c>
      <c r="O34" s="57">
        <f t="shared" si="36"/>
        <v>9.4826218347780517E-2</v>
      </c>
      <c r="P34" s="57">
        <f t="shared" si="36"/>
        <v>9.539343235322563E-2</v>
      </c>
      <c r="Q34" s="57">
        <f t="shared" si="36"/>
        <v>0.15731113045890768</v>
      </c>
      <c r="R34" s="57">
        <f t="shared" si="36"/>
        <v>8.3813731468695446E-2</v>
      </c>
      <c r="S34" s="57">
        <f t="shared" si="36"/>
        <v>9.2031323372989152E-2</v>
      </c>
      <c r="T34" s="57">
        <f t="shared" si="36"/>
        <v>8.9210953973262702E-2</v>
      </c>
      <c r="U34" s="57">
        <f t="shared" si="36"/>
        <v>-3.0911129736429073E-2</v>
      </c>
      <c r="V34" s="57">
        <f t="shared" si="36"/>
        <v>7.3807512879729018E-2</v>
      </c>
      <c r="W34" s="57">
        <f t="shared" si="36"/>
        <v>7.9194503283765663E-2</v>
      </c>
      <c r="X34" s="57">
        <f t="shared" si="36"/>
        <v>8.3826413978780712E-2</v>
      </c>
      <c r="Y34" s="57">
        <f t="shared" si="36"/>
        <v>0.11562579906973092</v>
      </c>
      <c r="Z34" s="57">
        <f t="shared" si="36"/>
        <v>4.7324634695569662E-2</v>
      </c>
      <c r="AA34" s="57">
        <f t="shared" si="36"/>
        <v>5.045262076849414E-2</v>
      </c>
      <c r="AB34" s="57">
        <f t="shared" si="36"/>
        <v>5.7085058988958125E-2</v>
      </c>
      <c r="AC34" s="57">
        <f t="shared" si="36"/>
        <v>-0.31116342255352353</v>
      </c>
      <c r="AD34" s="57">
        <f t="shared" si="36"/>
        <v>4.2943735121585343E-2</v>
      </c>
      <c r="AE34" s="57">
        <f t="shared" si="36"/>
        <v>4.9926182864331023E-2</v>
      </c>
      <c r="AF34" s="57">
        <f t="shared" si="36"/>
        <v>5.0928482226785934E-2</v>
      </c>
      <c r="AG34" s="57">
        <f t="shared" si="36"/>
        <v>-0.29394581099043893</v>
      </c>
      <c r="AH34" s="57">
        <f t="shared" si="36"/>
        <v>-0.21193516936141693</v>
      </c>
      <c r="AI34" s="57">
        <f t="shared" si="36"/>
        <v>5.3531616266936678E-2</v>
      </c>
      <c r="AJ34" s="57">
        <f t="shared" si="36"/>
        <v>-1.6714077677600594E-2</v>
      </c>
      <c r="AK34" s="57">
        <f t="shared" si="36"/>
        <v>9.0174136827908744E-2</v>
      </c>
      <c r="AL34" s="57">
        <f t="shared" si="36"/>
        <v>9.477935060370403E-2</v>
      </c>
      <c r="AM34" s="57">
        <f t="shared" si="36"/>
        <v>6.0202087946489839E-2</v>
      </c>
      <c r="AN34" s="57">
        <f t="shared" si="36"/>
        <v>6.1786698384229989E-2</v>
      </c>
      <c r="AO34" s="57">
        <f t="shared" si="36"/>
        <v>0.21200227167903452</v>
      </c>
      <c r="AP34" s="57">
        <f t="shared" si="36"/>
        <v>8.4806597158808894E-2</v>
      </c>
      <c r="AQ34" s="57">
        <f t="shared" si="36"/>
        <v>8.692417855036777E-2</v>
      </c>
      <c r="AR34" s="57">
        <f t="shared" si="36"/>
        <v>0.10399986142614995</v>
      </c>
      <c r="AS34" s="57">
        <f t="shared" si="36"/>
        <v>8.951821384061158E-2</v>
      </c>
      <c r="AT34" s="57">
        <f t="shared" si="36"/>
        <v>6.1671808896254038E-2</v>
      </c>
      <c r="AU34" s="57">
        <f t="shared" si="36"/>
        <v>3.8900619975872096E-2</v>
      </c>
      <c r="AV34" s="57">
        <f t="shared" si="36"/>
        <v>1.8547488861246755E-2</v>
      </c>
      <c r="AW34" s="57">
        <f t="shared" si="36"/>
        <v>7.2019727684648691E-2</v>
      </c>
      <c r="AX34" s="57">
        <f t="shared" si="36"/>
        <v>4.4915240618518239E-2</v>
      </c>
      <c r="AY34" s="57">
        <f t="shared" si="36"/>
        <v>7.5938135476195698E-2</v>
      </c>
      <c r="AZ34" s="57">
        <f t="shared" si="36"/>
        <v>8.7598678362169766E-2</v>
      </c>
      <c r="BA34" s="57">
        <f t="shared" si="36"/>
        <v>0.10233281475807041</v>
      </c>
      <c r="BB34" s="57">
        <f t="shared" si="36"/>
        <v>2.2909896395216864E-4</v>
      </c>
      <c r="BC34" s="57">
        <f t="shared" si="36"/>
        <v>1.6116069134598537E-2</v>
      </c>
      <c r="BD34" s="57">
        <f t="shared" si="36"/>
        <v>3.1521781504023828E-2</v>
      </c>
      <c r="BE34" s="57">
        <f t="shared" si="36"/>
        <v>3.1021025256783078E-2</v>
      </c>
      <c r="BF34" s="57">
        <f t="shared" si="36"/>
        <v>-2.556956189845866E-3</v>
      </c>
      <c r="BG34" s="57">
        <f t="shared" si="36"/>
        <v>1.4276561137592361E-2</v>
      </c>
      <c r="BH34" s="57">
        <f t="shared" si="36"/>
        <v>1.7455481786040415E-2</v>
      </c>
      <c r="BI34" s="57">
        <f t="shared" si="36"/>
        <v>2.6340745635242215E-2</v>
      </c>
      <c r="BJ34" s="57">
        <f t="shared" si="36"/>
        <v>-6.9262088847601558E-2</v>
      </c>
      <c r="BK34" s="57">
        <f t="shared" si="36"/>
        <v>-6.4195162073295439E-2</v>
      </c>
      <c r="BL34" s="57">
        <f t="shared" si="36"/>
        <v>-4.5520340034346594E-2</v>
      </c>
      <c r="BM34" s="57">
        <f t="shared" si="36"/>
        <v>-1.2270907600368929E-2</v>
      </c>
      <c r="BN34" s="57">
        <f t="shared" si="36"/>
        <v>-0.12905663713633733</v>
      </c>
      <c r="BO34" s="57">
        <f t="shared" si="36"/>
        <v>-4.6657058434415137E-2</v>
      </c>
      <c r="BP34" s="57">
        <f t="shared" si="36"/>
        <v>-1.1180029271605557E-2</v>
      </c>
      <c r="BQ34" s="57">
        <f t="shared" si="36"/>
        <v>1.8007834263222184E-2</v>
      </c>
      <c r="BR34" s="57">
        <f t="shared" ref="BR34:CK34" si="37">BR33/BR4</f>
        <v>-3.8525552952376516E-2</v>
      </c>
      <c r="BS34" s="57">
        <f t="shared" si="37"/>
        <v>4.5465506820662721E-2</v>
      </c>
      <c r="BT34" s="57">
        <f t="shared" si="37"/>
        <v>-0.13473159021087738</v>
      </c>
      <c r="BU34" s="57">
        <f t="shared" si="37"/>
        <v>-0.28779784606249492</v>
      </c>
      <c r="BV34" s="57">
        <f t="shared" si="37"/>
        <v>-0.29252379887307783</v>
      </c>
      <c r="BW34" s="57">
        <f t="shared" si="37"/>
        <v>3.8149243517585786E-2</v>
      </c>
      <c r="BX34" s="57">
        <f t="shared" si="37"/>
        <v>-7.6561975756560914E-3</v>
      </c>
      <c r="BY34" s="57">
        <f t="shared" si="37"/>
        <v>4.1617178726376408E-2</v>
      </c>
      <c r="BZ34" s="57">
        <f t="shared" si="37"/>
        <v>3.9289866161601995E-2</v>
      </c>
      <c r="CA34" s="57">
        <f t="shared" si="37"/>
        <v>3.9427701367708186E-2</v>
      </c>
      <c r="CB34" s="57">
        <f t="shared" si="37"/>
        <v>3.2946959378815921E-2</v>
      </c>
      <c r="CC34" s="57">
        <f t="shared" si="37"/>
        <v>4.4577398635620068E-2</v>
      </c>
      <c r="CD34" s="57">
        <f t="shared" si="37"/>
        <v>4.1600296228736351E-2</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c r="A35" s="17" t="s">
        <v>412</v>
      </c>
      <c r="B35" s="26">
        <f>B23+B68</f>
        <v>57407189.920000002</v>
      </c>
      <c r="C35" s="26">
        <f t="shared" ref="C35:BN35" si="38">C23+C68</f>
        <v>53523023.600000001</v>
      </c>
      <c r="D35" s="26">
        <f t="shared" si="38"/>
        <v>36051696.780000001</v>
      </c>
      <c r="E35" s="26">
        <f t="shared" si="38"/>
        <v>213226900.29999998</v>
      </c>
      <c r="F35" s="26">
        <f t="shared" si="38"/>
        <v>71439822.109999999</v>
      </c>
      <c r="G35" s="26">
        <f t="shared" si="38"/>
        <v>55015977.07</v>
      </c>
      <c r="H35" s="26">
        <f t="shared" si="38"/>
        <v>36644692.390000001</v>
      </c>
      <c r="I35" s="26">
        <f t="shared" si="38"/>
        <v>126755314.07000001</v>
      </c>
      <c r="J35" s="26">
        <f t="shared" si="38"/>
        <v>15272167.689999999</v>
      </c>
      <c r="K35" s="26">
        <f t="shared" si="38"/>
        <v>12246412.49</v>
      </c>
      <c r="L35" s="26">
        <f t="shared" si="38"/>
        <v>8842728.9800000004</v>
      </c>
      <c r="M35" s="26">
        <f t="shared" si="38"/>
        <v>88818918.379999995</v>
      </c>
      <c r="N35" s="26">
        <f t="shared" si="38"/>
        <v>6766191.8600000003</v>
      </c>
      <c r="O35" s="26">
        <f t="shared" si="38"/>
        <v>6695398.2599999998</v>
      </c>
      <c r="P35" s="26">
        <f t="shared" si="38"/>
        <v>2277650.1</v>
      </c>
      <c r="Q35" s="26">
        <f t="shared" si="38"/>
        <v>32422517.990000002</v>
      </c>
      <c r="R35" s="26">
        <f t="shared" si="38"/>
        <v>-2798144.5</v>
      </c>
      <c r="S35" s="26">
        <f t="shared" si="38"/>
        <v>-2470934.92</v>
      </c>
      <c r="T35" s="26">
        <f t="shared" si="38"/>
        <v>-3535951.69</v>
      </c>
      <c r="U35" s="26">
        <f t="shared" si="38"/>
        <v>17818282.800000001</v>
      </c>
      <c r="V35" s="26">
        <f t="shared" si="38"/>
        <v>-6316810.3099999996</v>
      </c>
      <c r="W35" s="26">
        <f t="shared" si="38"/>
        <v>-2279958.35</v>
      </c>
      <c r="X35" s="26">
        <f t="shared" si="38"/>
        <v>-2640613.79</v>
      </c>
      <c r="Y35" s="26">
        <f t="shared" si="38"/>
        <v>23224291.859999999</v>
      </c>
      <c r="Z35" s="26">
        <f t="shared" si="38"/>
        <v>3720930.58</v>
      </c>
      <c r="AA35" s="26">
        <f t="shared" si="38"/>
        <v>3016662.69</v>
      </c>
      <c r="AB35" s="26">
        <f t="shared" si="38"/>
        <v>1992431.47</v>
      </c>
      <c r="AC35" s="26">
        <f t="shared" si="38"/>
        <v>47733384.789999999</v>
      </c>
      <c r="AD35" s="26">
        <f t="shared" si="38"/>
        <v>5521010.8899999997</v>
      </c>
      <c r="AE35" s="26">
        <f t="shared" si="38"/>
        <v>5064863.25</v>
      </c>
      <c r="AF35" s="26">
        <f t="shared" si="38"/>
        <v>3531105.04</v>
      </c>
      <c r="AG35" s="26">
        <f t="shared" si="38"/>
        <v>24482075.169999998</v>
      </c>
      <c r="AH35" s="26">
        <f t="shared" si="38"/>
        <v>9185948.9900000002</v>
      </c>
      <c r="AI35" s="26">
        <f t="shared" si="38"/>
        <v>7148964.8899999997</v>
      </c>
      <c r="AJ35" s="26">
        <f t="shared" si="38"/>
        <v>3804809.59</v>
      </c>
      <c r="AK35" s="26">
        <f t="shared" si="38"/>
        <v>9988362.2400000002</v>
      </c>
      <c r="AL35" s="26">
        <f t="shared" si="38"/>
        <v>15716994.73</v>
      </c>
      <c r="AM35" s="26">
        <f t="shared" si="38"/>
        <v>12838177.26</v>
      </c>
      <c r="AN35" s="26">
        <f t="shared" si="38"/>
        <v>9883939.6699999999</v>
      </c>
      <c r="AO35" s="26">
        <f t="shared" si="38"/>
        <v>36444880.260000005</v>
      </c>
      <c r="AP35" s="26">
        <f t="shared" si="38"/>
        <v>26873512.890000001</v>
      </c>
      <c r="AQ35" s="26">
        <f t="shared" si="38"/>
        <v>20338394.739999998</v>
      </c>
      <c r="AR35" s="26">
        <f t="shared" si="38"/>
        <v>13896936.01</v>
      </c>
      <c r="AS35" s="26">
        <f t="shared" si="38"/>
        <v>25599482.299999997</v>
      </c>
      <c r="AT35" s="26">
        <f t="shared" si="38"/>
        <v>23198276.48</v>
      </c>
      <c r="AU35" s="26">
        <f t="shared" si="38"/>
        <v>17284716.18</v>
      </c>
      <c r="AV35" s="26">
        <f t="shared" si="38"/>
        <v>11284636.890000001</v>
      </c>
      <c r="AW35" s="26">
        <f t="shared" si="38"/>
        <v>25404601.530000001</v>
      </c>
      <c r="AX35" s="26">
        <f t="shared" si="38"/>
        <v>20588166.149999999</v>
      </c>
      <c r="AY35" s="26">
        <f t="shared" si="38"/>
        <v>15491387.26</v>
      </c>
      <c r="AZ35" s="26">
        <f t="shared" si="38"/>
        <v>10155468</v>
      </c>
      <c r="BA35" s="26">
        <f t="shared" si="38"/>
        <v>14652944.719999999</v>
      </c>
      <c r="BB35" s="26">
        <f t="shared" si="38"/>
        <v>20311220.280000001</v>
      </c>
      <c r="BC35" s="26">
        <f t="shared" si="38"/>
        <v>14791670.08</v>
      </c>
      <c r="BD35" s="26">
        <f t="shared" si="38"/>
        <v>10948932.130000001</v>
      </c>
      <c r="BE35" s="26">
        <f t="shared" si="38"/>
        <v>5103790.47</v>
      </c>
      <c r="BF35" s="26">
        <f t="shared" si="38"/>
        <v>23957003.359999999</v>
      </c>
      <c r="BG35" s="26">
        <f t="shared" si="38"/>
        <v>18185802.100000001</v>
      </c>
      <c r="BH35" s="26">
        <f t="shared" si="38"/>
        <v>12138505.26</v>
      </c>
      <c r="BI35" s="26">
        <f t="shared" si="38"/>
        <v>6332527.2199999997</v>
      </c>
      <c r="BJ35" s="26">
        <f t="shared" si="38"/>
        <v>28136194.620000001</v>
      </c>
      <c r="BK35" s="26">
        <f t="shared" si="38"/>
        <v>22969624.489999998</v>
      </c>
      <c r="BL35" s="26">
        <f t="shared" si="38"/>
        <v>15189327.359999999</v>
      </c>
      <c r="BM35" s="26">
        <f t="shared" si="38"/>
        <v>8781317.4600000009</v>
      </c>
      <c r="BN35" s="26">
        <f t="shared" si="38"/>
        <v>28262058.370000001</v>
      </c>
      <c r="BO35" s="26">
        <f t="shared" ref="BO35:CJ35" si="39">BO23+BO68</f>
        <v>20824824.140000001</v>
      </c>
      <c r="BP35" s="26">
        <f t="shared" si="39"/>
        <v>13802557.720000001</v>
      </c>
      <c r="BQ35" s="26">
        <f t="shared" si="39"/>
        <v>7078588.29</v>
      </c>
      <c r="BR35" s="26">
        <f t="shared" si="39"/>
        <v>28662763.859999999</v>
      </c>
      <c r="BS35" s="26">
        <f t="shared" si="39"/>
        <v>13277576.35</v>
      </c>
      <c r="BT35" s="26">
        <f t="shared" si="39"/>
        <v>26518955.510000002</v>
      </c>
      <c r="BU35" s="26">
        <f t="shared" si="39"/>
        <v>12759034.49</v>
      </c>
      <c r="BV35" s="26">
        <f t="shared" si="39"/>
        <v>21672424.699999999</v>
      </c>
      <c r="BW35" s="26">
        <f t="shared" si="39"/>
        <v>12237806.33</v>
      </c>
      <c r="BX35" s="26">
        <f t="shared" si="39"/>
        <v>24380904.510000002</v>
      </c>
      <c r="BY35" s="26">
        <f t="shared" si="39"/>
        <v>11280993.73</v>
      </c>
      <c r="BZ35" s="26">
        <f t="shared" si="39"/>
        <v>14667390.84</v>
      </c>
      <c r="CA35" s="26">
        <f t="shared" si="39"/>
        <v>8976099.0500000007</v>
      </c>
      <c r="CB35" s="26">
        <f t="shared" si="39"/>
        <v>10115605.449999999</v>
      </c>
      <c r="CC35" s="26">
        <f t="shared" si="39"/>
        <v>5783613.1900000004</v>
      </c>
      <c r="CD35" s="26">
        <f t="shared" si="39"/>
        <v>4451597.3</v>
      </c>
      <c r="CE35" s="26">
        <f t="shared" si="39"/>
        <v>0</v>
      </c>
      <c r="CF35" s="26">
        <f t="shared" si="39"/>
        <v>0</v>
      </c>
      <c r="CG35" s="26">
        <f t="shared" si="39"/>
        <v>0</v>
      </c>
      <c r="CH35" s="26">
        <f t="shared" si="39"/>
        <v>0</v>
      </c>
      <c r="CI35" s="26">
        <f t="shared" si="39"/>
        <v>0</v>
      </c>
      <c r="CJ35" s="26">
        <f t="shared" si="39"/>
        <v>0</v>
      </c>
    </row>
    <row r="36" spans="1:89" s="23" customFormat="1">
      <c r="A36" s="17" t="s">
        <v>413</v>
      </c>
      <c r="B36" s="26">
        <f>B35*B41</f>
        <v>12745950.655211056</v>
      </c>
      <c r="C36" s="26">
        <f t="shared" ref="C36:BN36" si="40">C35*C41</f>
        <v>11421285.611083012</v>
      </c>
      <c r="D36" s="26">
        <f t="shared" si="40"/>
        <v>11481265.90362131</v>
      </c>
      <c r="E36" s="26">
        <f t="shared" si="40"/>
        <v>6990455836.7590027</v>
      </c>
      <c r="F36" s="26">
        <f t="shared" si="40"/>
        <v>19638593.351783771</v>
      </c>
      <c r="G36" s="26">
        <f t="shared" si="40"/>
        <v>16233405.294616705</v>
      </c>
      <c r="H36" s="26">
        <f t="shared" si="40"/>
        <v>10669872.020530147</v>
      </c>
      <c r="I36" s="26">
        <f t="shared" si="40"/>
        <v>11164461.706731623</v>
      </c>
      <c r="J36" s="26">
        <f t="shared" si="40"/>
        <v>4228285.4823134122</v>
      </c>
      <c r="K36" s="26">
        <f t="shared" si="40"/>
        <v>3286065.943071214</v>
      </c>
      <c r="L36" s="26">
        <f t="shared" si="40"/>
        <v>2312461.7364913528</v>
      </c>
      <c r="M36" s="26">
        <f t="shared" si="40"/>
        <v>10427796.630855557</v>
      </c>
      <c r="N36" s="26">
        <f t="shared" si="40"/>
        <v>1709005.9758609389</v>
      </c>
      <c r="O36" s="26">
        <f t="shared" si="40"/>
        <v>1675893.4719081603</v>
      </c>
      <c r="P36" s="26">
        <f t="shared" si="40"/>
        <v>575708.40684725402</v>
      </c>
      <c r="Q36" s="26">
        <f t="shared" si="40"/>
        <v>8498290.3365926426</v>
      </c>
      <c r="R36" s="26">
        <f t="shared" si="40"/>
        <v>-702691.92671774351</v>
      </c>
      <c r="S36" s="26">
        <f t="shared" si="40"/>
        <v>-601864.38611771702</v>
      </c>
      <c r="T36" s="26">
        <f t="shared" si="40"/>
        <v>-902024.06482974964</v>
      </c>
      <c r="U36" s="26">
        <f t="shared" si="40"/>
        <v>25517187.347326517</v>
      </c>
      <c r="V36" s="26">
        <f t="shared" si="40"/>
        <v>-1309635.8185344206</v>
      </c>
      <c r="W36" s="26">
        <f t="shared" si="40"/>
        <v>-497575.82934470254</v>
      </c>
      <c r="X36" s="26">
        <f t="shared" si="40"/>
        <v>-542710.60043532623</v>
      </c>
      <c r="Y36" s="26">
        <f t="shared" si="40"/>
        <v>5371771.6658558259</v>
      </c>
      <c r="Z36" s="26">
        <f t="shared" si="40"/>
        <v>940059.75003723858</v>
      </c>
      <c r="AA36" s="26">
        <f t="shared" si="40"/>
        <v>762294.48429388332</v>
      </c>
      <c r="AB36" s="26">
        <f t="shared" si="40"/>
        <v>503264.78331477439</v>
      </c>
      <c r="AC36" s="26">
        <f t="shared" si="40"/>
        <v>164570887.34317961</v>
      </c>
      <c r="AD36" s="26">
        <f t="shared" si="40"/>
        <v>1511152.207866539</v>
      </c>
      <c r="AE36" s="26">
        <f t="shared" si="40"/>
        <v>1280631.2800744094</v>
      </c>
      <c r="AF36" s="26">
        <f t="shared" si="40"/>
        <v>891777.41128792695</v>
      </c>
      <c r="AG36" s="26">
        <f t="shared" si="40"/>
        <v>124522692.58000101</v>
      </c>
      <c r="AH36" s="26">
        <f t="shared" si="40"/>
        <v>36129039.743981682</v>
      </c>
      <c r="AI36" s="26">
        <f t="shared" si="40"/>
        <v>1550927.8416147197</v>
      </c>
      <c r="AJ36" s="26">
        <f t="shared" si="40"/>
        <v>2404791.5212399838</v>
      </c>
      <c r="AK36" s="26">
        <f t="shared" si="40"/>
        <v>3087880.7086107847</v>
      </c>
      <c r="AL36" s="26">
        <f t="shared" si="40"/>
        <v>2359137.593696868</v>
      </c>
      <c r="AM36" s="26">
        <f t="shared" si="40"/>
        <v>3235161.4929454844</v>
      </c>
      <c r="AN36" s="26">
        <f t="shared" si="40"/>
        <v>2401584.984433224</v>
      </c>
      <c r="AO36" s="26">
        <f t="shared" si="40"/>
        <v>-18350936.83659558</v>
      </c>
      <c r="AP36" s="26">
        <f t="shared" si="40"/>
        <v>3977631.4807117525</v>
      </c>
      <c r="AQ36" s="26">
        <f t="shared" si="40"/>
        <v>1873072.0287735183</v>
      </c>
      <c r="AR36" s="26">
        <f t="shared" si="40"/>
        <v>873009.97097516933</v>
      </c>
      <c r="AS36" s="26">
        <f t="shared" si="40"/>
        <v>-5095750.9359857319</v>
      </c>
      <c r="AT36" s="26">
        <f t="shared" si="40"/>
        <v>6413448.7063312102</v>
      </c>
      <c r="AU36" s="26">
        <f t="shared" si="40"/>
        <v>5753477.6983804116</v>
      </c>
      <c r="AV36" s="26">
        <f t="shared" si="40"/>
        <v>3647514.9401144809</v>
      </c>
      <c r="AW36" s="26">
        <f t="shared" si="40"/>
        <v>-2074790.1043256666</v>
      </c>
      <c r="AX36" s="26">
        <f t="shared" si="40"/>
        <v>6146113.9407481337</v>
      </c>
      <c r="AY36" s="26">
        <f t="shared" si="40"/>
        <v>82313.212507778822</v>
      </c>
      <c r="AZ36" s="26">
        <f t="shared" si="40"/>
        <v>54985.838583411271</v>
      </c>
      <c r="BA36" s="26">
        <f t="shared" si="40"/>
        <v>0</v>
      </c>
      <c r="BB36" s="26">
        <f t="shared" si="40"/>
        <v>-48919.002370592039</v>
      </c>
      <c r="BC36" s="26">
        <f t="shared" si="40"/>
        <v>0</v>
      </c>
      <c r="BD36" s="26">
        <f t="shared" si="40"/>
        <v>0</v>
      </c>
      <c r="BE36" s="26">
        <f t="shared" si="40"/>
        <v>0</v>
      </c>
      <c r="BF36" s="26">
        <f t="shared" si="40"/>
        <v>0</v>
      </c>
      <c r="BG36" s="26">
        <f t="shared" si="40"/>
        <v>0</v>
      </c>
      <c r="BH36" s="26">
        <f t="shared" si="40"/>
        <v>0</v>
      </c>
      <c r="BI36" s="26">
        <f t="shared" si="40"/>
        <v>0</v>
      </c>
      <c r="BJ36" s="26">
        <f t="shared" si="40"/>
        <v>-2894.6861856814021</v>
      </c>
      <c r="BK36" s="26">
        <f t="shared" si="40"/>
        <v>-3125.1319903624908</v>
      </c>
      <c r="BL36" s="26">
        <f t="shared" si="40"/>
        <v>-3564.4311372261163</v>
      </c>
      <c r="BM36" s="26">
        <f t="shared" si="40"/>
        <v>-5221.3504411365639</v>
      </c>
      <c r="BN36" s="26">
        <f t="shared" si="40"/>
        <v>-11516.736514140268</v>
      </c>
      <c r="BO36" s="26">
        <f t="shared" ref="BO36:CJ36" si="41">BO35*BO41</f>
        <v>0</v>
      </c>
      <c r="BP36" s="26">
        <f t="shared" si="41"/>
        <v>-74853.396456964561</v>
      </c>
      <c r="BQ36" s="26">
        <f t="shared" si="41"/>
        <v>0</v>
      </c>
      <c r="BR36" s="26">
        <f t="shared" si="41"/>
        <v>-5876.6864952455371</v>
      </c>
      <c r="BS36" s="26">
        <f t="shared" si="41"/>
        <v>-8399142.7172807809</v>
      </c>
      <c r="BT36" s="26">
        <f t="shared" si="41"/>
        <v>107559628.64393878</v>
      </c>
      <c r="BU36" s="26">
        <f t="shared" si="41"/>
        <v>99961270.344570354</v>
      </c>
      <c r="BV36" s="26">
        <f t="shared" si="41"/>
        <v>189327701.90811661</v>
      </c>
      <c r="BW36" s="26">
        <f t="shared" si="41"/>
        <v>3940560.5455251904</v>
      </c>
      <c r="BX36" s="26">
        <f t="shared" si="41"/>
        <v>28179169.905044381</v>
      </c>
      <c r="BY36" s="26">
        <f t="shared" si="41"/>
        <v>2819852.4076101305</v>
      </c>
      <c r="BZ36" s="26">
        <f t="shared" si="41"/>
        <v>6397675.0333420793</v>
      </c>
      <c r="CA36" s="26">
        <f t="shared" si="41"/>
        <v>3770397.8031721148</v>
      </c>
      <c r="CB36" s="26">
        <f t="shared" si="41"/>
        <v>4222169.3785669534</v>
      </c>
      <c r="CC36" s="26">
        <f t="shared" si="41"/>
        <v>1913444.1666443495</v>
      </c>
      <c r="CD36" s="26">
        <f t="shared" si="41"/>
        <v>1474312.4052138557</v>
      </c>
      <c r="CE36" s="26" t="e">
        <f t="shared" si="41"/>
        <v>#DIV/0!</v>
      </c>
      <c r="CF36" s="26" t="e">
        <f t="shared" si="41"/>
        <v>#DIV/0!</v>
      </c>
      <c r="CG36" s="26" t="e">
        <f t="shared" si="41"/>
        <v>#DIV/0!</v>
      </c>
      <c r="CH36" s="26" t="e">
        <f t="shared" si="41"/>
        <v>#DIV/0!</v>
      </c>
      <c r="CI36" s="26" t="e">
        <f t="shared" si="41"/>
        <v>#DIV/0!</v>
      </c>
      <c r="CJ36" s="26" t="e">
        <f t="shared" si="41"/>
        <v>#DIV/0!</v>
      </c>
    </row>
    <row r="37" spans="1:89" s="23" customFormat="1">
      <c r="A37" s="17" t="s">
        <v>414</v>
      </c>
      <c r="B37" s="26">
        <f>B35-B36</f>
        <v>44661239.264788948</v>
      </c>
      <c r="C37" s="26">
        <f t="shared" ref="C37:BN37" si="42">C35-C36</f>
        <v>42101737.988916993</v>
      </c>
      <c r="D37" s="26">
        <f t="shared" si="42"/>
        <v>24570430.876378693</v>
      </c>
      <c r="E37" s="26">
        <f t="shared" si="42"/>
        <v>-6777228936.4590025</v>
      </c>
      <c r="F37" s="26">
        <f t="shared" si="42"/>
        <v>51801228.758216232</v>
      </c>
      <c r="G37" s="26">
        <f t="shared" si="42"/>
        <v>38782571.775383294</v>
      </c>
      <c r="H37" s="26">
        <f t="shared" si="42"/>
        <v>25974820.369469851</v>
      </c>
      <c r="I37" s="26">
        <f t="shared" si="42"/>
        <v>115590852.36326839</v>
      </c>
      <c r="J37" s="26">
        <f t="shared" si="42"/>
        <v>11043882.207686588</v>
      </c>
      <c r="K37" s="26">
        <f t="shared" si="42"/>
        <v>8960346.5469287857</v>
      </c>
      <c r="L37" s="26">
        <f t="shared" si="42"/>
        <v>6530267.2435086481</v>
      </c>
      <c r="M37" s="26">
        <f t="shared" si="42"/>
        <v>78391121.749144435</v>
      </c>
      <c r="N37" s="26">
        <f t="shared" si="42"/>
        <v>5057185.884139061</v>
      </c>
      <c r="O37" s="26">
        <f t="shared" si="42"/>
        <v>5019504.7880918393</v>
      </c>
      <c r="P37" s="26">
        <f t="shared" si="42"/>
        <v>1701941.6931527462</v>
      </c>
      <c r="Q37" s="26">
        <f t="shared" si="42"/>
        <v>23924227.653407358</v>
      </c>
      <c r="R37" s="26">
        <f t="shared" si="42"/>
        <v>-2095452.5732822565</v>
      </c>
      <c r="S37" s="26">
        <f t="shared" si="42"/>
        <v>-1869070.5338822829</v>
      </c>
      <c r="T37" s="26">
        <f t="shared" si="42"/>
        <v>-2633927.6251702504</v>
      </c>
      <c r="U37" s="26">
        <f t="shared" si="42"/>
        <v>-7698904.5473265164</v>
      </c>
      <c r="V37" s="26">
        <f t="shared" si="42"/>
        <v>-5007174.4914655788</v>
      </c>
      <c r="W37" s="26">
        <f t="shared" si="42"/>
        <v>-1782382.5206552977</v>
      </c>
      <c r="X37" s="26">
        <f t="shared" si="42"/>
        <v>-2097903.1895646737</v>
      </c>
      <c r="Y37" s="26">
        <f t="shared" si="42"/>
        <v>17852520.194144174</v>
      </c>
      <c r="Z37" s="26">
        <f t="shared" si="42"/>
        <v>2780870.8299627616</v>
      </c>
      <c r="AA37" s="26">
        <f t="shared" si="42"/>
        <v>2254368.2057061167</v>
      </c>
      <c r="AB37" s="26">
        <f t="shared" si="42"/>
        <v>1489166.6866852255</v>
      </c>
      <c r="AC37" s="26">
        <f t="shared" si="42"/>
        <v>-116837502.55317962</v>
      </c>
      <c r="AD37" s="26">
        <f t="shared" si="42"/>
        <v>4009858.6821334604</v>
      </c>
      <c r="AE37" s="26">
        <f t="shared" si="42"/>
        <v>3784231.9699255908</v>
      </c>
      <c r="AF37" s="26">
        <f t="shared" si="42"/>
        <v>2639327.628712073</v>
      </c>
      <c r="AG37" s="26">
        <f t="shared" si="42"/>
        <v>-100040617.41000101</v>
      </c>
      <c r="AH37" s="26">
        <f t="shared" si="42"/>
        <v>-26943090.75398168</v>
      </c>
      <c r="AI37" s="26">
        <f t="shared" si="42"/>
        <v>5598037.0483852802</v>
      </c>
      <c r="AJ37" s="26">
        <f t="shared" si="42"/>
        <v>1400018.068760016</v>
      </c>
      <c r="AK37" s="26">
        <f t="shared" si="42"/>
        <v>6900481.531389216</v>
      </c>
      <c r="AL37" s="26">
        <f t="shared" si="42"/>
        <v>13357857.136303132</v>
      </c>
      <c r="AM37" s="26">
        <f t="shared" si="42"/>
        <v>9603015.767054515</v>
      </c>
      <c r="AN37" s="26">
        <f t="shared" si="42"/>
        <v>7482354.6855667755</v>
      </c>
      <c r="AO37" s="26">
        <f t="shared" si="42"/>
        <v>54795817.096595585</v>
      </c>
      <c r="AP37" s="26">
        <f t="shared" si="42"/>
        <v>22895881.40928825</v>
      </c>
      <c r="AQ37" s="26">
        <f t="shared" si="42"/>
        <v>18465322.711226478</v>
      </c>
      <c r="AR37" s="26">
        <f t="shared" si="42"/>
        <v>13023926.03902483</v>
      </c>
      <c r="AS37" s="26">
        <f t="shared" si="42"/>
        <v>30695233.23598573</v>
      </c>
      <c r="AT37" s="26">
        <f t="shared" si="42"/>
        <v>16784827.773668788</v>
      </c>
      <c r="AU37" s="26">
        <f t="shared" si="42"/>
        <v>11531238.481619589</v>
      </c>
      <c r="AV37" s="26">
        <f t="shared" si="42"/>
        <v>7637121.9498855192</v>
      </c>
      <c r="AW37" s="26">
        <f t="shared" si="42"/>
        <v>27479391.634325668</v>
      </c>
      <c r="AX37" s="26">
        <f t="shared" si="42"/>
        <v>14442052.209251866</v>
      </c>
      <c r="AY37" s="26">
        <f t="shared" si="42"/>
        <v>15409074.047492221</v>
      </c>
      <c r="AZ37" s="26">
        <f t="shared" si="42"/>
        <v>10100482.161416588</v>
      </c>
      <c r="BA37" s="26">
        <f t="shared" si="42"/>
        <v>14652944.719999999</v>
      </c>
      <c r="BB37" s="26">
        <f t="shared" si="42"/>
        <v>20360139.282370593</v>
      </c>
      <c r="BC37" s="26">
        <f t="shared" si="42"/>
        <v>14791670.08</v>
      </c>
      <c r="BD37" s="26">
        <f t="shared" si="42"/>
        <v>10948932.130000001</v>
      </c>
      <c r="BE37" s="26">
        <f t="shared" si="42"/>
        <v>5103790.47</v>
      </c>
      <c r="BF37" s="26">
        <f t="shared" si="42"/>
        <v>23957003.359999999</v>
      </c>
      <c r="BG37" s="26">
        <f t="shared" si="42"/>
        <v>18185802.100000001</v>
      </c>
      <c r="BH37" s="26">
        <f t="shared" si="42"/>
        <v>12138505.26</v>
      </c>
      <c r="BI37" s="26">
        <f t="shared" si="42"/>
        <v>6332527.2199999997</v>
      </c>
      <c r="BJ37" s="26">
        <f t="shared" si="42"/>
        <v>28139089.306185681</v>
      </c>
      <c r="BK37" s="26">
        <f t="shared" si="42"/>
        <v>22972749.62199036</v>
      </c>
      <c r="BL37" s="26">
        <f t="shared" si="42"/>
        <v>15192891.791137226</v>
      </c>
      <c r="BM37" s="26">
        <f t="shared" si="42"/>
        <v>8786538.8104411382</v>
      </c>
      <c r="BN37" s="26">
        <f t="shared" si="42"/>
        <v>28273575.106514141</v>
      </c>
      <c r="BO37" s="26">
        <f t="shared" ref="BO37:CJ37" si="43">BO35-BO36</f>
        <v>20824824.140000001</v>
      </c>
      <c r="BP37" s="26">
        <f t="shared" si="43"/>
        <v>13877411.116456965</v>
      </c>
      <c r="BQ37" s="26">
        <f t="shared" si="43"/>
        <v>7078588.29</v>
      </c>
      <c r="BR37" s="26">
        <f t="shared" si="43"/>
        <v>28668640.546495244</v>
      </c>
      <c r="BS37" s="26">
        <f t="shared" si="43"/>
        <v>21676719.067280781</v>
      </c>
      <c r="BT37" s="26">
        <f t="shared" si="43"/>
        <v>-81040673.133938774</v>
      </c>
      <c r="BU37" s="26">
        <f t="shared" si="43"/>
        <v>-87202235.854570359</v>
      </c>
      <c r="BV37" s="26">
        <f t="shared" si="43"/>
        <v>-167655277.20811662</v>
      </c>
      <c r="BW37" s="26">
        <f t="shared" si="43"/>
        <v>8297245.7844748097</v>
      </c>
      <c r="BX37" s="26">
        <f t="shared" si="43"/>
        <v>-3798265.3950443789</v>
      </c>
      <c r="BY37" s="26">
        <f t="shared" si="43"/>
        <v>8461141.3223898709</v>
      </c>
      <c r="BZ37" s="26">
        <f t="shared" si="43"/>
        <v>8269715.8066579206</v>
      </c>
      <c r="CA37" s="26">
        <f t="shared" si="43"/>
        <v>5205701.2468278855</v>
      </c>
      <c r="CB37" s="26">
        <f t="shared" si="43"/>
        <v>5893436.0714330459</v>
      </c>
      <c r="CC37" s="26">
        <f t="shared" si="43"/>
        <v>3870169.0233556507</v>
      </c>
      <c r="CD37" s="26">
        <f t="shared" si="43"/>
        <v>2977284.8947861441</v>
      </c>
      <c r="CE37" s="26" t="e">
        <f t="shared" si="43"/>
        <v>#DIV/0!</v>
      </c>
      <c r="CF37" s="26" t="e">
        <f t="shared" si="43"/>
        <v>#DIV/0!</v>
      </c>
      <c r="CG37" s="26" t="e">
        <f t="shared" si="43"/>
        <v>#DIV/0!</v>
      </c>
      <c r="CH37" s="26" t="e">
        <f t="shared" si="43"/>
        <v>#DIV/0!</v>
      </c>
      <c r="CI37" s="26" t="e">
        <f t="shared" si="43"/>
        <v>#DIV/0!</v>
      </c>
      <c r="CJ37" s="26" t="e">
        <f t="shared" si="43"/>
        <v>#DIV/0!</v>
      </c>
    </row>
    <row r="38" spans="1:89" s="2" customFormat="1">
      <c r="A38" s="20" t="s">
        <v>415</v>
      </c>
      <c r="B38" s="28">
        <f>B31-B35</f>
        <v>2037867631.5400002</v>
      </c>
      <c r="C38" s="28">
        <f t="shared" ref="C38:BN38" si="44">C31-C35</f>
        <v>1594334046.4000003</v>
      </c>
      <c r="D38" s="28">
        <f t="shared" si="44"/>
        <v>107647942.35000002</v>
      </c>
      <c r="E38" s="28">
        <f t="shared" si="44"/>
        <v>731215.06000003219</v>
      </c>
      <c r="F38" s="28">
        <f t="shared" si="44"/>
        <v>196552762.8999998</v>
      </c>
      <c r="G38" s="28">
        <f t="shared" si="44"/>
        <v>155401164.08999991</v>
      </c>
      <c r="H38" s="28">
        <f t="shared" si="44"/>
        <v>114469757.86</v>
      </c>
      <c r="I38" s="28">
        <f t="shared" si="44"/>
        <v>68745199.089999989</v>
      </c>
      <c r="J38" s="28">
        <f t="shared" si="44"/>
        <v>86344319.369999915</v>
      </c>
      <c r="K38" s="28">
        <f t="shared" si="44"/>
        <v>74581555.160000011</v>
      </c>
      <c r="L38" s="28">
        <f t="shared" si="44"/>
        <v>54226431.939999983</v>
      </c>
      <c r="M38" s="28">
        <f t="shared" si="44"/>
        <v>67471025.339999974</v>
      </c>
      <c r="N38" s="28">
        <f t="shared" si="44"/>
        <v>113035469.49000013</v>
      </c>
      <c r="O38" s="28">
        <f t="shared" si="44"/>
        <v>101770643.17999996</v>
      </c>
      <c r="P38" s="28">
        <f t="shared" si="44"/>
        <v>73460083.75999999</v>
      </c>
      <c r="Q38" s="28">
        <f t="shared" si="44"/>
        <v>39114174.050000004</v>
      </c>
      <c r="R38" s="28">
        <f t="shared" si="44"/>
        <v>138764372.81999993</v>
      </c>
      <c r="S38" s="28">
        <f t="shared" si="44"/>
        <v>115331405</v>
      </c>
      <c r="T38" s="28">
        <f t="shared" si="44"/>
        <v>79096559.539999962</v>
      </c>
      <c r="U38" s="28">
        <f t="shared" si="44"/>
        <v>7894151.3500000052</v>
      </c>
      <c r="V38" s="28">
        <f t="shared" si="44"/>
        <v>139281266.86999997</v>
      </c>
      <c r="W38" s="28">
        <f t="shared" si="44"/>
        <v>112724652.42000003</v>
      </c>
      <c r="X38" s="28">
        <f t="shared" si="44"/>
        <v>82153198.900000021</v>
      </c>
      <c r="Y38" s="28">
        <f t="shared" si="44"/>
        <v>38015715.590000041</v>
      </c>
      <c r="Z38" s="28">
        <f t="shared" si="44"/>
        <v>79868406.259999901</v>
      </c>
      <c r="AA38" s="28">
        <f t="shared" si="44"/>
        <v>64475676.470000058</v>
      </c>
      <c r="AB38" s="28">
        <f t="shared" si="44"/>
        <v>51183051.269999921</v>
      </c>
      <c r="AC38" s="28">
        <f t="shared" si="44"/>
        <v>2756202.6699999645</v>
      </c>
      <c r="AD38" s="28">
        <f t="shared" si="44"/>
        <v>64733135.840000108</v>
      </c>
      <c r="AE38" s="28">
        <f t="shared" si="44"/>
        <v>53840163.799999952</v>
      </c>
      <c r="AF38" s="28">
        <f t="shared" si="44"/>
        <v>38709045.230000012</v>
      </c>
      <c r="AG38" s="28">
        <f t="shared" si="44"/>
        <v>1465379.2699999996</v>
      </c>
      <c r="AH38" s="28">
        <f t="shared" si="44"/>
        <v>2756686.5499999914</v>
      </c>
      <c r="AI38" s="28">
        <f t="shared" si="44"/>
        <v>35948890.900000021</v>
      </c>
      <c r="AJ38" s="28">
        <f t="shared" si="44"/>
        <v>9250567.080000028</v>
      </c>
      <c r="AK38" s="28">
        <f t="shared" si="44"/>
        <v>22958284.480000004</v>
      </c>
      <c r="AL38" s="28">
        <f t="shared" si="44"/>
        <v>60860506.810000062</v>
      </c>
      <c r="AM38" s="28">
        <f t="shared" si="44"/>
        <v>29491360.310000002</v>
      </c>
      <c r="AN38" s="28">
        <f t="shared" si="44"/>
        <v>19671241.49999997</v>
      </c>
      <c r="AO38" s="28">
        <f t="shared" si="44"/>
        <v>-7011162.1399999969</v>
      </c>
      <c r="AP38" s="28">
        <f t="shared" si="44"/>
        <v>32656171.589999959</v>
      </c>
      <c r="AQ38" s="28">
        <f t="shared" si="44"/>
        <v>23537275.91000003</v>
      </c>
      <c r="AR38" s="28">
        <f t="shared" si="44"/>
        <v>20765010.179999992</v>
      </c>
      <c r="AS38" s="28">
        <f t="shared" si="44"/>
        <v>-9273635.0300000012</v>
      </c>
      <c r="AT38" s="28">
        <f t="shared" si="44"/>
        <v>21536417.12999991</v>
      </c>
      <c r="AU38" s="28">
        <f t="shared" si="44"/>
        <v>5971395.5100000165</v>
      </c>
      <c r="AV38" s="28">
        <f t="shared" si="44"/>
        <v>-3848598.6799999848</v>
      </c>
      <c r="AW38" s="28">
        <f t="shared" si="44"/>
        <v>-15370974.289999984</v>
      </c>
      <c r="AX38" s="28">
        <f t="shared" si="44"/>
        <v>8247283.9300000258</v>
      </c>
      <c r="AY38" s="28">
        <f t="shared" si="44"/>
        <v>9789438.780000018</v>
      </c>
      <c r="AZ38" s="28">
        <f t="shared" si="44"/>
        <v>9606963.1499999948</v>
      </c>
      <c r="BA38" s="28">
        <f t="shared" si="44"/>
        <v>-1319036.8599999994</v>
      </c>
      <c r="BB38" s="28">
        <f t="shared" si="44"/>
        <v>-20210769.709999997</v>
      </c>
      <c r="BC38" s="28">
        <f t="shared" si="44"/>
        <v>-9589210.4199999813</v>
      </c>
      <c r="BD38" s="28">
        <f t="shared" si="44"/>
        <v>-3785434.4600000056</v>
      </c>
      <c r="BE38" s="28">
        <f t="shared" si="44"/>
        <v>-987516.25000000186</v>
      </c>
      <c r="BF38" s="28">
        <f t="shared" si="44"/>
        <v>-24989391.479999945</v>
      </c>
      <c r="BG38" s="28">
        <f t="shared" si="44"/>
        <v>-13903622.110000014</v>
      </c>
      <c r="BH38" s="28">
        <f t="shared" si="44"/>
        <v>-8478634.8500000108</v>
      </c>
      <c r="BI38" s="28">
        <f t="shared" si="44"/>
        <v>-3071670.5799999954</v>
      </c>
      <c r="BJ38" s="28">
        <f t="shared" si="44"/>
        <v>-61349871.799999997</v>
      </c>
      <c r="BK38" s="28">
        <f t="shared" si="44"/>
        <v>-46391169.339999981</v>
      </c>
      <c r="BL38" s="28">
        <f t="shared" si="44"/>
        <v>-26896644.449999996</v>
      </c>
      <c r="BM38" s="28">
        <f t="shared" si="44"/>
        <v>-10615161.939999988</v>
      </c>
      <c r="BN38" s="28">
        <f t="shared" si="44"/>
        <v>-93703149.219999999</v>
      </c>
      <c r="BO38" s="28">
        <f t="shared" ref="BO38:CJ38" si="45">BO31-BO35</f>
        <v>-39768103.490000032</v>
      </c>
      <c r="BP38" s="28">
        <f t="shared" si="45"/>
        <v>-17052289.050000016</v>
      </c>
      <c r="BQ38" s="28">
        <f t="shared" si="45"/>
        <v>-3946337.5600000103</v>
      </c>
      <c r="BR38" s="28">
        <f t="shared" si="45"/>
        <v>-53686947.679999977</v>
      </c>
      <c r="BS38" s="28">
        <f t="shared" si="45"/>
        <v>-3749277.7300000377</v>
      </c>
      <c r="BT38" s="28">
        <f t="shared" si="45"/>
        <v>2132713.7899999842</v>
      </c>
      <c r="BU38" s="28">
        <f t="shared" si="45"/>
        <v>394643.51000000164</v>
      </c>
      <c r="BV38" s="28">
        <f t="shared" si="45"/>
        <v>524531.34999997169</v>
      </c>
      <c r="BW38" s="28">
        <f t="shared" si="45"/>
        <v>5691176.5800000113</v>
      </c>
      <c r="BX38" s="28">
        <f t="shared" si="45"/>
        <v>5471313.9200000353</v>
      </c>
      <c r="BY38" s="28">
        <f t="shared" si="45"/>
        <v>6039866.0900000222</v>
      </c>
      <c r="BZ38" s="28">
        <f t="shared" si="45"/>
        <v>27325072.78999998</v>
      </c>
      <c r="CA38" s="28">
        <f t="shared" si="45"/>
        <v>14516395.290000021</v>
      </c>
      <c r="CB38" s="28">
        <f t="shared" si="45"/>
        <v>24531608.160000075</v>
      </c>
      <c r="CC38" s="28">
        <f t="shared" si="45"/>
        <v>16467899.810000002</v>
      </c>
      <c r="CD38" s="28">
        <f t="shared" si="45"/>
        <v>29908602.14999995</v>
      </c>
      <c r="CE38" s="28">
        <f t="shared" si="45"/>
        <v>0</v>
      </c>
      <c r="CF38" s="28">
        <f t="shared" si="45"/>
        <v>0</v>
      </c>
      <c r="CG38" s="28">
        <f t="shared" si="45"/>
        <v>0</v>
      </c>
      <c r="CH38" s="28">
        <f t="shared" si="45"/>
        <v>0</v>
      </c>
      <c r="CI38" s="28">
        <f t="shared" si="45"/>
        <v>0</v>
      </c>
      <c r="CJ38" s="28">
        <f t="shared" si="45"/>
        <v>0</v>
      </c>
    </row>
    <row r="39" spans="1:89" s="57" customFormat="1">
      <c r="A39" s="57" t="s">
        <v>416</v>
      </c>
      <c r="B39" s="57">
        <f>B38/B4*100</f>
        <v>147.40312676705503</v>
      </c>
      <c r="C39" s="57">
        <f t="shared" ref="C39:D39" si="46">C38/C4*100</f>
        <v>149.79588680331534</v>
      </c>
      <c r="D39" s="57">
        <f t="shared" si="46"/>
        <v>14.723300953103029</v>
      </c>
      <c r="E39" s="57">
        <f>E38/E4</f>
        <v>1.734898754372545E-3</v>
      </c>
      <c r="F39" s="57">
        <f t="shared" ref="F39:BQ39" si="47">F38/F4</f>
        <v>0.1438509933114438</v>
      </c>
      <c r="G39" s="57">
        <f t="shared" si="47"/>
        <v>0.15145756610854152</v>
      </c>
      <c r="H39" s="57">
        <f t="shared" si="47"/>
        <v>0.16390765819252115</v>
      </c>
      <c r="I39" s="57">
        <f t="shared" si="47"/>
        <v>0.24185224800631941</v>
      </c>
      <c r="J39" s="57">
        <f t="shared" si="47"/>
        <v>8.411232653869502E-2</v>
      </c>
      <c r="K39" s="57">
        <f t="shared" si="47"/>
        <v>9.7345660721391114E-2</v>
      </c>
      <c r="L39" s="57">
        <f t="shared" si="47"/>
        <v>0.10311517101672223</v>
      </c>
      <c r="M39" s="57">
        <f t="shared" si="47"/>
        <v>0.22852194378851493</v>
      </c>
      <c r="N39" s="57">
        <f t="shared" si="47"/>
        <v>0.10086462167160333</v>
      </c>
      <c r="O39" s="57">
        <f t="shared" si="47"/>
        <v>0.11867867864930455</v>
      </c>
      <c r="P39" s="57">
        <f t="shared" si="47"/>
        <v>0.12382259964783526</v>
      </c>
      <c r="Q39" s="57">
        <f t="shared" si="47"/>
        <v>0.1165664514116645</v>
      </c>
      <c r="R39" s="57">
        <f t="shared" si="47"/>
        <v>0.11422322170403562</v>
      </c>
      <c r="S39" s="57">
        <f t="shared" si="47"/>
        <v>0.12433030846743258</v>
      </c>
      <c r="T39" s="57">
        <f t="shared" si="47"/>
        <v>0.12536688051108816</v>
      </c>
      <c r="U39" s="57">
        <f t="shared" si="47"/>
        <v>2.1964132064826045E-2</v>
      </c>
      <c r="V39" s="57">
        <f t="shared" si="47"/>
        <v>9.7535524975357751E-2</v>
      </c>
      <c r="W39" s="57">
        <f t="shared" si="47"/>
        <v>0.10339394030705143</v>
      </c>
      <c r="X39" s="57">
        <f t="shared" si="47"/>
        <v>0.10901567215065404</v>
      </c>
      <c r="Y39" s="57">
        <f t="shared" si="47"/>
        <v>9.3373928190402647E-2</v>
      </c>
      <c r="Z39" s="57">
        <f t="shared" si="47"/>
        <v>6.0503731477202512E-2</v>
      </c>
      <c r="AA39" s="57">
        <f t="shared" si="47"/>
        <v>6.449515027433847E-2</v>
      </c>
      <c r="AB39" s="57">
        <f t="shared" si="47"/>
        <v>7.3515220819334148E-2</v>
      </c>
      <c r="AC39" s="57">
        <f t="shared" si="47"/>
        <v>6.9396542416310433E-3</v>
      </c>
      <c r="AD39" s="57">
        <f t="shared" si="47"/>
        <v>5.4480870029653752E-2</v>
      </c>
      <c r="AE39" s="57">
        <f t="shared" si="47"/>
        <v>6.1076247936788432E-2</v>
      </c>
      <c r="AF39" s="57">
        <f t="shared" si="47"/>
        <v>6.2440312959178623E-2</v>
      </c>
      <c r="AG39" s="57">
        <f t="shared" si="47"/>
        <v>4.0625098276636344E-3</v>
      </c>
      <c r="AH39" s="57">
        <f t="shared" si="47"/>
        <v>2.9934718241344978E-3</v>
      </c>
      <c r="AI39" s="57">
        <f t="shared" si="47"/>
        <v>5.5120832413673569E-2</v>
      </c>
      <c r="AJ39" s="57">
        <f t="shared" si="47"/>
        <v>2.1146901543687282E-2</v>
      </c>
      <c r="AK39" s="57">
        <f t="shared" si="47"/>
        <v>9.1576557461211766E-2</v>
      </c>
      <c r="AL39" s="57">
        <f t="shared" si="47"/>
        <v>8.3471313614530182E-2</v>
      </c>
      <c r="AM39" s="57">
        <f t="shared" si="47"/>
        <v>5.5439649133934184E-2</v>
      </c>
      <c r="AN39" s="57">
        <f t="shared" si="47"/>
        <v>5.3969200193768004E-2</v>
      </c>
      <c r="AO39" s="57">
        <f t="shared" si="47"/>
        <v>-3.3587255592729924E-2</v>
      </c>
      <c r="AP39" s="57">
        <f t="shared" si="47"/>
        <v>5.2426279179370747E-2</v>
      </c>
      <c r="AQ39" s="57">
        <f t="shared" si="47"/>
        <v>5.1360920159614534E-2</v>
      </c>
      <c r="AR39" s="57">
        <f t="shared" si="47"/>
        <v>6.6479707778378347E-2</v>
      </c>
      <c r="AS39" s="57">
        <f t="shared" si="47"/>
        <v>-4.9523451679101632E-2</v>
      </c>
      <c r="AT39" s="57">
        <f t="shared" si="47"/>
        <v>3.9342272516527638E-2</v>
      </c>
      <c r="AU39" s="57">
        <f t="shared" si="47"/>
        <v>1.4972059842963154E-2</v>
      </c>
      <c r="AV39" s="57">
        <f t="shared" si="47"/>
        <v>-1.4184172245206395E-2</v>
      </c>
      <c r="AW39" s="57">
        <f t="shared" si="47"/>
        <v>-0.10094893626647131</v>
      </c>
      <c r="AX39" s="57">
        <f t="shared" si="47"/>
        <v>1.8313303638626023E-2</v>
      </c>
      <c r="AY39" s="57">
        <f t="shared" si="47"/>
        <v>2.9562437014862924E-2</v>
      </c>
      <c r="AZ39" s="57">
        <f t="shared" si="47"/>
        <v>4.2815512299872023E-2</v>
      </c>
      <c r="BA39" s="57">
        <f t="shared" si="47"/>
        <v>-1.0123120398812085E-2</v>
      </c>
      <c r="BB39" s="57">
        <f t="shared" si="47"/>
        <v>-4.5984222183646693E-2</v>
      </c>
      <c r="BC39" s="57">
        <f t="shared" si="47"/>
        <v>-2.9705252548739954E-2</v>
      </c>
      <c r="BD39" s="57">
        <f t="shared" si="47"/>
        <v>-1.6657175508779452E-2</v>
      </c>
      <c r="BE39" s="57">
        <f t="shared" si="47"/>
        <v>-7.4421102422893935E-3</v>
      </c>
      <c r="BF39" s="57">
        <f t="shared" si="47"/>
        <v>-6.1892206997956133E-2</v>
      </c>
      <c r="BG39" s="57">
        <f t="shared" si="47"/>
        <v>-4.6353939243781464E-2</v>
      </c>
      <c r="BH39" s="57">
        <f t="shared" si="47"/>
        <v>-4.0438223110381429E-2</v>
      </c>
      <c r="BI39" s="57">
        <f t="shared" si="47"/>
        <v>-2.4812526999971607E-2</v>
      </c>
      <c r="BJ39" s="57">
        <f t="shared" si="47"/>
        <v>-0.12792269667572909</v>
      </c>
      <c r="BK39" s="57">
        <f t="shared" si="47"/>
        <v>-0.12713437670003047</v>
      </c>
      <c r="BL39" s="57">
        <f t="shared" si="47"/>
        <v>-0.10455488188607018</v>
      </c>
      <c r="BM39" s="57">
        <f t="shared" si="47"/>
        <v>-7.0987626198488862E-2</v>
      </c>
      <c r="BN39" s="57">
        <f t="shared" si="47"/>
        <v>-0.18471708367216769</v>
      </c>
      <c r="BO39" s="57">
        <f t="shared" si="47"/>
        <v>-9.7948337987149886E-2</v>
      </c>
      <c r="BP39" s="57">
        <f t="shared" si="47"/>
        <v>-5.8348445001640242E-2</v>
      </c>
      <c r="BQ39" s="57">
        <f t="shared" si="47"/>
        <v>-2.2688155851178955E-2</v>
      </c>
      <c r="BR39" s="57">
        <f t="shared" ref="BR39:CK39" si="48">BR38/BR4</f>
        <v>-8.2635876673092634E-2</v>
      </c>
      <c r="BS39" s="57">
        <f t="shared" si="48"/>
        <v>-1.0958208201346669E-2</v>
      </c>
      <c r="BT39" s="57">
        <f t="shared" si="48"/>
        <v>3.2817497284059242E-3</v>
      </c>
      <c r="BU39" s="57">
        <f t="shared" si="48"/>
        <v>1.2633843396899903E-3</v>
      </c>
      <c r="BV39" s="57">
        <f t="shared" si="48"/>
        <v>8.93571908589938E-4</v>
      </c>
      <c r="BW39" s="57">
        <f t="shared" si="48"/>
        <v>1.7860843238289247E-2</v>
      </c>
      <c r="BX39" s="57">
        <f t="shared" si="48"/>
        <v>9.0072592251067944E-3</v>
      </c>
      <c r="BY39" s="57">
        <f t="shared" si="48"/>
        <v>1.9348571539062161E-2</v>
      </c>
      <c r="BZ39" s="57">
        <f t="shared" si="48"/>
        <v>4.5345354543527353E-2</v>
      </c>
      <c r="CA39" s="57">
        <f t="shared" si="48"/>
        <v>4.2008725836445729E-2</v>
      </c>
      <c r="CB39" s="57">
        <f t="shared" si="48"/>
        <v>4.0040210389289968E-2</v>
      </c>
      <c r="CC39" s="57">
        <f t="shared" si="48"/>
        <v>4.9301791177178082E-2</v>
      </c>
      <c r="CD39" s="57">
        <f t="shared" si="48"/>
        <v>5.4141756221231789E-2</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c r="A40" s="17" t="s">
        <v>417</v>
      </c>
      <c r="B40" s="26">
        <f>B60</f>
        <v>452461796.32999998</v>
      </c>
      <c r="C40" s="26">
        <f t="shared" ref="C40:BN40" si="49">C60</f>
        <v>340215168.69999999</v>
      </c>
      <c r="D40" s="26">
        <f t="shared" si="49"/>
        <v>34282287.950000003</v>
      </c>
      <c r="E40" s="26">
        <f t="shared" si="49"/>
        <v>23972240.73</v>
      </c>
      <c r="F40" s="26">
        <f t="shared" si="49"/>
        <v>54031766.439999998</v>
      </c>
      <c r="G40" s="26">
        <f t="shared" si="49"/>
        <v>45853772.200000003</v>
      </c>
      <c r="H40" s="26">
        <f t="shared" si="49"/>
        <v>33330274.780000001</v>
      </c>
      <c r="I40" s="26">
        <f t="shared" si="49"/>
        <v>6054997.7599999998</v>
      </c>
      <c r="J40" s="26">
        <f t="shared" si="49"/>
        <v>23905475.600000001</v>
      </c>
      <c r="K40" s="26">
        <f t="shared" si="49"/>
        <v>20012383.920000002</v>
      </c>
      <c r="L40" s="26">
        <f t="shared" si="49"/>
        <v>14180752.26</v>
      </c>
      <c r="M40" s="26">
        <f t="shared" si="49"/>
        <v>7921444.4800000004</v>
      </c>
      <c r="N40" s="26">
        <f t="shared" si="49"/>
        <v>28550519.530000001</v>
      </c>
      <c r="O40" s="26">
        <f t="shared" si="49"/>
        <v>25473728.359999999</v>
      </c>
      <c r="P40" s="26">
        <f t="shared" si="49"/>
        <v>18568079.350000001</v>
      </c>
      <c r="Q40" s="26">
        <f t="shared" si="49"/>
        <v>10252245.289999999</v>
      </c>
      <c r="R40" s="26">
        <f t="shared" si="49"/>
        <v>34847594.359999999</v>
      </c>
      <c r="S40" s="26">
        <f t="shared" si="49"/>
        <v>28092146.300000001</v>
      </c>
      <c r="T40" s="26">
        <f t="shared" si="49"/>
        <v>20177594.719999999</v>
      </c>
      <c r="U40" s="26">
        <f t="shared" si="49"/>
        <v>11305047.810000001</v>
      </c>
      <c r="V40" s="26">
        <f t="shared" si="49"/>
        <v>28876557.469999999</v>
      </c>
      <c r="W40" s="26">
        <f t="shared" si="49"/>
        <v>24600915.370000001</v>
      </c>
      <c r="X40" s="26">
        <f t="shared" si="49"/>
        <v>16884488.02</v>
      </c>
      <c r="Y40" s="26">
        <f t="shared" si="49"/>
        <v>8793023.4900000002</v>
      </c>
      <c r="Z40" s="26">
        <f t="shared" si="49"/>
        <v>20178036.760000002</v>
      </c>
      <c r="AA40" s="26">
        <f t="shared" si="49"/>
        <v>16292657.68</v>
      </c>
      <c r="AB40" s="26">
        <f t="shared" si="49"/>
        <v>12928237.48</v>
      </c>
      <c r="AC40" s="26">
        <f t="shared" si="49"/>
        <v>9502588.6199999992</v>
      </c>
      <c r="AD40" s="26">
        <f t="shared" si="49"/>
        <v>17718063.43</v>
      </c>
      <c r="AE40" s="26">
        <f t="shared" si="49"/>
        <v>13613279.27</v>
      </c>
      <c r="AF40" s="26">
        <f t="shared" si="49"/>
        <v>9775934.6600000001</v>
      </c>
      <c r="AG40" s="26">
        <f t="shared" si="49"/>
        <v>7453329.4699999997</v>
      </c>
      <c r="AH40" s="26">
        <f t="shared" si="49"/>
        <v>10842258.98</v>
      </c>
      <c r="AI40" s="26">
        <f t="shared" si="49"/>
        <v>7798910.2800000003</v>
      </c>
      <c r="AJ40" s="26">
        <f t="shared" si="49"/>
        <v>5846727.6100000003</v>
      </c>
      <c r="AK40" s="26">
        <f t="shared" si="49"/>
        <v>7097504.2800000003</v>
      </c>
      <c r="AL40" s="26">
        <f t="shared" si="49"/>
        <v>9135226.6799999997</v>
      </c>
      <c r="AM40" s="26">
        <f t="shared" si="49"/>
        <v>7431686.8600000003</v>
      </c>
      <c r="AN40" s="26">
        <f t="shared" si="49"/>
        <v>4779689.05</v>
      </c>
      <c r="AO40" s="26">
        <f t="shared" si="49"/>
        <v>3530300.9</v>
      </c>
      <c r="AP40" s="26">
        <f t="shared" si="49"/>
        <v>4833540.62</v>
      </c>
      <c r="AQ40" s="26">
        <f t="shared" si="49"/>
        <v>2167674.1800000002</v>
      </c>
      <c r="AR40" s="26">
        <f t="shared" si="49"/>
        <v>1304464.5900000001</v>
      </c>
      <c r="AS40" s="26">
        <f t="shared" si="49"/>
        <v>1845980.08</v>
      </c>
      <c r="AT40" s="26">
        <f t="shared" si="49"/>
        <v>5954007.2599999998</v>
      </c>
      <c r="AU40" s="26">
        <f t="shared" si="49"/>
        <v>1987668.79</v>
      </c>
      <c r="AV40" s="26">
        <f t="shared" si="49"/>
        <v>-1243976.33</v>
      </c>
      <c r="AW40" s="26">
        <f t="shared" si="49"/>
        <v>1255345.23</v>
      </c>
      <c r="AX40" s="26">
        <f t="shared" si="49"/>
        <v>2462033.11</v>
      </c>
      <c r="AY40" s="26">
        <f t="shared" si="49"/>
        <v>52016.01</v>
      </c>
      <c r="AZ40" s="26">
        <f t="shared" si="49"/>
        <v>52016.01</v>
      </c>
      <c r="BA40" s="26">
        <f t="shared" si="49"/>
        <v>0</v>
      </c>
      <c r="BB40" s="26">
        <f t="shared" si="49"/>
        <v>48677.07</v>
      </c>
      <c r="BC40" s="26">
        <f t="shared" si="49"/>
        <v>0</v>
      </c>
      <c r="BD40" s="26">
        <f t="shared" si="49"/>
        <v>0</v>
      </c>
      <c r="BE40" s="26">
        <f t="shared" si="49"/>
        <v>0</v>
      </c>
      <c r="BF40" s="26">
        <f t="shared" si="49"/>
        <v>0</v>
      </c>
      <c r="BG40" s="26">
        <f t="shared" si="49"/>
        <v>0</v>
      </c>
      <c r="BH40" s="26">
        <f t="shared" si="49"/>
        <v>0</v>
      </c>
      <c r="BI40" s="26">
        <f t="shared" si="49"/>
        <v>0</v>
      </c>
      <c r="BJ40" s="26">
        <f t="shared" si="49"/>
        <v>6311.75</v>
      </c>
      <c r="BK40" s="26">
        <f t="shared" si="49"/>
        <v>6311.75</v>
      </c>
      <c r="BL40" s="26">
        <f t="shared" si="49"/>
        <v>6311.75</v>
      </c>
      <c r="BM40" s="26">
        <f t="shared" si="49"/>
        <v>6311.75</v>
      </c>
      <c r="BN40" s="26">
        <f t="shared" si="49"/>
        <v>38183.86</v>
      </c>
      <c r="BO40" s="26">
        <f t="shared" ref="BO40:CJ40" si="50">BO60</f>
        <v>0</v>
      </c>
      <c r="BP40" s="26">
        <f t="shared" si="50"/>
        <v>92477.19</v>
      </c>
      <c r="BQ40" s="26">
        <f t="shared" si="50"/>
        <v>0</v>
      </c>
      <c r="BR40" s="26">
        <f t="shared" si="50"/>
        <v>11007.36</v>
      </c>
      <c r="BS40" s="26">
        <f t="shared" si="50"/>
        <v>2371721.91</v>
      </c>
      <c r="BT40" s="26">
        <f t="shared" si="50"/>
        <v>8650186.2100000009</v>
      </c>
      <c r="BU40" s="26">
        <f t="shared" si="50"/>
        <v>3091853.59</v>
      </c>
      <c r="BV40" s="26">
        <f t="shared" si="50"/>
        <v>4582242.9400000004</v>
      </c>
      <c r="BW40" s="26">
        <f t="shared" si="50"/>
        <v>1832552.77</v>
      </c>
      <c r="BX40" s="26">
        <f t="shared" si="50"/>
        <v>6323681.9000000004</v>
      </c>
      <c r="BY40" s="26">
        <f t="shared" si="50"/>
        <v>1509754.49</v>
      </c>
      <c r="BZ40" s="26">
        <f t="shared" si="50"/>
        <v>11918748.050000001</v>
      </c>
      <c r="CA40" s="26">
        <f t="shared" si="50"/>
        <v>6097591.46</v>
      </c>
      <c r="CB40" s="26">
        <f t="shared" si="50"/>
        <v>10239288.720000001</v>
      </c>
      <c r="CC40" s="26">
        <f t="shared" si="50"/>
        <v>5448221.6900000004</v>
      </c>
      <c r="CD40" s="26">
        <f t="shared" si="50"/>
        <v>9905348.6199999992</v>
      </c>
      <c r="CE40" s="26">
        <f t="shared" si="50"/>
        <v>0</v>
      </c>
      <c r="CF40" s="26">
        <f t="shared" si="50"/>
        <v>0</v>
      </c>
      <c r="CG40" s="26">
        <f t="shared" si="50"/>
        <v>4330000</v>
      </c>
      <c r="CH40" s="26">
        <f t="shared" si="50"/>
        <v>4220000</v>
      </c>
      <c r="CI40" s="26">
        <f t="shared" si="50"/>
        <v>12510000</v>
      </c>
      <c r="CJ40" s="26">
        <f t="shared" si="50"/>
        <v>3630000</v>
      </c>
    </row>
    <row r="41" spans="1:89" s="57" customFormat="1">
      <c r="A41" s="57" t="s">
        <v>608</v>
      </c>
      <c r="B41" s="57">
        <f>B40/B38</f>
        <v>0.22202707836724322</v>
      </c>
      <c r="C41" s="57">
        <f t="shared" ref="C41:BN41" si="51">C40/C38</f>
        <v>0.21339014208986154</v>
      </c>
      <c r="D41" s="57">
        <f t="shared" si="51"/>
        <v>0.31846672775719798</v>
      </c>
      <c r="E41" s="57">
        <f t="shared" si="51"/>
        <v>32.784117890021228</v>
      </c>
      <c r="F41" s="57">
        <f t="shared" si="51"/>
        <v>0.2748970080236916</v>
      </c>
      <c r="G41" s="57">
        <f t="shared" si="51"/>
        <v>0.29506710885025283</v>
      </c>
      <c r="H41" s="57">
        <f t="shared" si="51"/>
        <v>0.29117100798591661</v>
      </c>
      <c r="I41" s="57">
        <f t="shared" si="51"/>
        <v>8.8078845361592523E-2</v>
      </c>
      <c r="J41" s="57">
        <f t="shared" si="51"/>
        <v>0.27686216967628202</v>
      </c>
      <c r="K41" s="57">
        <f t="shared" si="51"/>
        <v>0.26832886331033701</v>
      </c>
      <c r="L41" s="57">
        <f t="shared" si="51"/>
        <v>0.2615099639174232</v>
      </c>
      <c r="M41" s="57">
        <f t="shared" si="51"/>
        <v>0.11740512968466478</v>
      </c>
      <c r="N41" s="57">
        <f t="shared" si="51"/>
        <v>0.2525801826525414</v>
      </c>
      <c r="O41" s="57">
        <f t="shared" si="51"/>
        <v>0.25030527040047357</v>
      </c>
      <c r="P41" s="57">
        <f t="shared" si="51"/>
        <v>0.25276420063259675</v>
      </c>
      <c r="Q41" s="57">
        <f t="shared" si="51"/>
        <v>0.26211074473653617</v>
      </c>
      <c r="R41" s="57">
        <f t="shared" si="51"/>
        <v>0.25112781942381585</v>
      </c>
      <c r="S41" s="57">
        <f t="shared" si="51"/>
        <v>0.24357759536528667</v>
      </c>
      <c r="T41" s="57">
        <f t="shared" si="51"/>
        <v>0.25510078867331742</v>
      </c>
      <c r="U41" s="57">
        <f t="shared" si="51"/>
        <v>1.432078928914885</v>
      </c>
      <c r="V41" s="57">
        <f t="shared" si="51"/>
        <v>0.20732549408063841</v>
      </c>
      <c r="W41" s="57">
        <f t="shared" si="51"/>
        <v>0.21823899956097992</v>
      </c>
      <c r="X41" s="57">
        <f t="shared" si="51"/>
        <v>0.20552441348695913</v>
      </c>
      <c r="Y41" s="57">
        <f t="shared" si="51"/>
        <v>0.23129969681046825</v>
      </c>
      <c r="Z41" s="57">
        <f t="shared" si="51"/>
        <v>0.25264103423215128</v>
      </c>
      <c r="AA41" s="57">
        <f t="shared" si="51"/>
        <v>0.25269463729598596</v>
      </c>
      <c r="AB41" s="57">
        <f t="shared" si="51"/>
        <v>0.25258825254088885</v>
      </c>
      <c r="AC41" s="57">
        <f t="shared" si="51"/>
        <v>3.4477104036765631</v>
      </c>
      <c r="AD41" s="57">
        <f t="shared" si="51"/>
        <v>0.27370933294184085</v>
      </c>
      <c r="AE41" s="57">
        <f t="shared" si="51"/>
        <v>0.25284617113293423</v>
      </c>
      <c r="AF41" s="57">
        <f t="shared" si="51"/>
        <v>0.25254910323707813</v>
      </c>
      <c r="AG41" s="57">
        <f t="shared" si="51"/>
        <v>5.0862801341525747</v>
      </c>
      <c r="AH41" s="57">
        <f t="shared" si="51"/>
        <v>3.9330764609418631</v>
      </c>
      <c r="AI41" s="57">
        <f t="shared" si="51"/>
        <v>0.21694439201739033</v>
      </c>
      <c r="AJ41" s="57">
        <f t="shared" si="51"/>
        <v>0.63203991273581284</v>
      </c>
      <c r="AK41" s="57">
        <f t="shared" si="51"/>
        <v>0.30914784970902143</v>
      </c>
      <c r="AL41" s="57">
        <f t="shared" si="51"/>
        <v>0.15010106157214878</v>
      </c>
      <c r="AM41" s="57">
        <f t="shared" si="51"/>
        <v>0.25199539057817033</v>
      </c>
      <c r="AN41" s="57">
        <f t="shared" si="51"/>
        <v>0.24297851510795632</v>
      </c>
      <c r="AO41" s="57">
        <f t="shared" si="51"/>
        <v>-0.50352578210379273</v>
      </c>
      <c r="AP41" s="57">
        <f t="shared" si="51"/>
        <v>0.14801308250965148</v>
      </c>
      <c r="AQ41" s="57">
        <f t="shared" si="51"/>
        <v>9.2095371966092465E-2</v>
      </c>
      <c r="AR41" s="57">
        <f t="shared" si="51"/>
        <v>6.2820320273977381E-2</v>
      </c>
      <c r="AS41" s="57">
        <f t="shared" si="51"/>
        <v>-0.19905679639411039</v>
      </c>
      <c r="AT41" s="57">
        <f t="shared" si="51"/>
        <v>0.27646229287164742</v>
      </c>
      <c r="AU41" s="57">
        <f t="shared" si="51"/>
        <v>0.3328650374391286</v>
      </c>
      <c r="AV41" s="57">
        <f t="shared" si="51"/>
        <v>0.32322838348008914</v>
      </c>
      <c r="AW41" s="57">
        <f t="shared" si="51"/>
        <v>-8.1669854253591453E-2</v>
      </c>
      <c r="AX41" s="57">
        <f t="shared" si="51"/>
        <v>0.29852653684496006</v>
      </c>
      <c r="AY41" s="57">
        <f t="shared" si="51"/>
        <v>5.3134823322323185E-3</v>
      </c>
      <c r="AZ41" s="57">
        <f t="shared" si="51"/>
        <v>5.4144071532115775E-3</v>
      </c>
      <c r="BA41" s="57">
        <f t="shared" si="51"/>
        <v>0</v>
      </c>
      <c r="BB41" s="57">
        <f t="shared" si="51"/>
        <v>-2.4084718542864447E-3</v>
      </c>
      <c r="BC41" s="57">
        <f t="shared" si="51"/>
        <v>0</v>
      </c>
      <c r="BD41" s="57">
        <f t="shared" si="51"/>
        <v>0</v>
      </c>
      <c r="BE41" s="57">
        <f t="shared" si="51"/>
        <v>0</v>
      </c>
      <c r="BF41" s="57">
        <f t="shared" si="51"/>
        <v>0</v>
      </c>
      <c r="BG41" s="57">
        <f t="shared" si="51"/>
        <v>0</v>
      </c>
      <c r="BH41" s="57">
        <f t="shared" si="51"/>
        <v>0</v>
      </c>
      <c r="BI41" s="57">
        <f t="shared" si="51"/>
        <v>0</v>
      </c>
      <c r="BJ41" s="57">
        <f t="shared" si="51"/>
        <v>-1.0288122558065395E-4</v>
      </c>
      <c r="BK41" s="57">
        <f t="shared" si="51"/>
        <v>-1.3605498826169495E-4</v>
      </c>
      <c r="BL41" s="57">
        <f t="shared" si="51"/>
        <v>-2.3466681919126909E-4</v>
      </c>
      <c r="BM41" s="57">
        <f t="shared" si="51"/>
        <v>-5.9459761760356214E-4</v>
      </c>
      <c r="BN41" s="57">
        <f t="shared" si="51"/>
        <v>-4.0749815046611088E-4</v>
      </c>
      <c r="BO41" s="57">
        <f t="shared" ref="BO41:CJ41" si="52">BO40/BO38</f>
        <v>0</v>
      </c>
      <c r="BP41" s="57">
        <f t="shared" si="52"/>
        <v>-5.4231540251776294E-3</v>
      </c>
      <c r="BQ41" s="57">
        <f t="shared" si="52"/>
        <v>0</v>
      </c>
      <c r="BR41" s="57">
        <f t="shared" si="52"/>
        <v>-2.0502860519486336E-4</v>
      </c>
      <c r="BS41" s="57">
        <f t="shared" si="52"/>
        <v>-0.63258101447714743</v>
      </c>
      <c r="BT41" s="57">
        <f t="shared" si="52"/>
        <v>4.0559526789574818</v>
      </c>
      <c r="BU41" s="57">
        <f t="shared" si="52"/>
        <v>7.8345481723492352</v>
      </c>
      <c r="BV41" s="57">
        <f t="shared" si="52"/>
        <v>8.7358800193739565</v>
      </c>
      <c r="BW41" s="57">
        <f t="shared" si="52"/>
        <v>0.32199893014038167</v>
      </c>
      <c r="BX41" s="57">
        <f t="shared" si="52"/>
        <v>1.1557885349777115</v>
      </c>
      <c r="BY41" s="57">
        <f t="shared" si="52"/>
        <v>0.24996489450314857</v>
      </c>
      <c r="BZ41" s="57">
        <f t="shared" si="52"/>
        <v>0.43618357914720157</v>
      </c>
      <c r="CA41" s="57">
        <f t="shared" si="52"/>
        <v>0.42004859596242028</v>
      </c>
      <c r="CB41" s="57">
        <f t="shared" si="52"/>
        <v>0.41739166275677092</v>
      </c>
      <c r="CC41" s="57">
        <f t="shared" si="52"/>
        <v>0.33083888977097192</v>
      </c>
      <c r="CD41" s="57">
        <f t="shared" si="52"/>
        <v>0.33118728084722659</v>
      </c>
      <c r="CE41" s="57" t="e">
        <f t="shared" si="52"/>
        <v>#DIV/0!</v>
      </c>
      <c r="CF41" s="57" t="e">
        <f t="shared" si="52"/>
        <v>#DIV/0!</v>
      </c>
      <c r="CG41" s="57" t="e">
        <f t="shared" si="52"/>
        <v>#DIV/0!</v>
      </c>
      <c r="CH41" s="57" t="e">
        <f t="shared" si="52"/>
        <v>#DIV/0!</v>
      </c>
      <c r="CI41" s="57" t="e">
        <f t="shared" si="52"/>
        <v>#DIV/0!</v>
      </c>
      <c r="CJ41" s="57" t="e">
        <f t="shared" si="52"/>
        <v>#DIV/0!</v>
      </c>
    </row>
    <row r="42" spans="1:89" s="2" customFormat="1">
      <c r="A42" s="20" t="s">
        <v>419</v>
      </c>
      <c r="B42" s="28">
        <f>B38-B40</f>
        <v>1585405835.2100003</v>
      </c>
      <c r="C42" s="28">
        <f t="shared" ref="C42:BN42" si="53">C38-C40</f>
        <v>1254118877.7000003</v>
      </c>
      <c r="D42" s="28">
        <f t="shared" si="53"/>
        <v>73365654.400000021</v>
      </c>
      <c r="E42" s="28">
        <f t="shared" si="53"/>
        <v>-23241025.669999968</v>
      </c>
      <c r="F42" s="28">
        <f t="shared" si="53"/>
        <v>142520996.4599998</v>
      </c>
      <c r="G42" s="28">
        <f t="shared" si="53"/>
        <v>109547391.88999991</v>
      </c>
      <c r="H42" s="28">
        <f t="shared" si="53"/>
        <v>81139483.079999998</v>
      </c>
      <c r="I42" s="28">
        <f t="shared" si="53"/>
        <v>62690201.329999991</v>
      </c>
      <c r="J42" s="28">
        <f t="shared" si="53"/>
        <v>62438843.769999914</v>
      </c>
      <c r="K42" s="28">
        <f t="shared" si="53"/>
        <v>54569171.24000001</v>
      </c>
      <c r="L42" s="28">
        <f t="shared" si="53"/>
        <v>40045679.679999985</v>
      </c>
      <c r="M42" s="28">
        <f t="shared" si="53"/>
        <v>59549580.85999997</v>
      </c>
      <c r="N42" s="28">
        <f t="shared" si="53"/>
        <v>84484949.960000128</v>
      </c>
      <c r="O42" s="28">
        <f t="shared" si="53"/>
        <v>76296914.819999963</v>
      </c>
      <c r="P42" s="28">
        <f t="shared" si="53"/>
        <v>54892004.409999989</v>
      </c>
      <c r="Q42" s="28">
        <f t="shared" si="53"/>
        <v>28861928.760000005</v>
      </c>
      <c r="R42" s="28">
        <f t="shared" si="53"/>
        <v>103916778.45999993</v>
      </c>
      <c r="S42" s="28">
        <f t="shared" si="53"/>
        <v>87239258.700000003</v>
      </c>
      <c r="T42" s="28">
        <f t="shared" si="53"/>
        <v>58918964.819999963</v>
      </c>
      <c r="U42" s="28">
        <f t="shared" si="53"/>
        <v>-3410896.4599999953</v>
      </c>
      <c r="V42" s="28">
        <f t="shared" si="53"/>
        <v>110404709.39999998</v>
      </c>
      <c r="W42" s="28">
        <f t="shared" si="53"/>
        <v>88123737.050000027</v>
      </c>
      <c r="X42" s="28">
        <f t="shared" si="53"/>
        <v>65268710.880000025</v>
      </c>
      <c r="Y42" s="28">
        <f t="shared" si="53"/>
        <v>29222692.100000039</v>
      </c>
      <c r="Z42" s="28">
        <f t="shared" si="53"/>
        <v>59690369.499999896</v>
      </c>
      <c r="AA42" s="28">
        <f t="shared" si="53"/>
        <v>48183018.790000059</v>
      </c>
      <c r="AB42" s="28">
        <f t="shared" si="53"/>
        <v>38254813.789999917</v>
      </c>
      <c r="AC42" s="28">
        <f t="shared" si="53"/>
        <v>-6746385.9500000346</v>
      </c>
      <c r="AD42" s="28">
        <f t="shared" si="53"/>
        <v>47015072.410000108</v>
      </c>
      <c r="AE42" s="28">
        <f t="shared" si="53"/>
        <v>40226884.529999956</v>
      </c>
      <c r="AF42" s="28">
        <f t="shared" si="53"/>
        <v>28933110.570000011</v>
      </c>
      <c r="AG42" s="28">
        <f t="shared" si="53"/>
        <v>-5987950.2000000002</v>
      </c>
      <c r="AH42" s="28">
        <f t="shared" si="53"/>
        <v>-8085572.430000009</v>
      </c>
      <c r="AI42" s="28">
        <f t="shared" si="53"/>
        <v>28149980.62000002</v>
      </c>
      <c r="AJ42" s="28">
        <f t="shared" si="53"/>
        <v>3403839.4700000277</v>
      </c>
      <c r="AK42" s="28">
        <f t="shared" si="53"/>
        <v>15860780.200000003</v>
      </c>
      <c r="AL42" s="28">
        <f t="shared" si="53"/>
        <v>51725280.130000062</v>
      </c>
      <c r="AM42" s="28">
        <f t="shared" si="53"/>
        <v>22059673.450000003</v>
      </c>
      <c r="AN42" s="28">
        <f t="shared" si="53"/>
        <v>14891552.449999969</v>
      </c>
      <c r="AO42" s="28">
        <f t="shared" si="53"/>
        <v>-10541463.039999997</v>
      </c>
      <c r="AP42" s="28">
        <f t="shared" si="53"/>
        <v>27822630.969999958</v>
      </c>
      <c r="AQ42" s="28">
        <f t="shared" si="53"/>
        <v>21369601.73000003</v>
      </c>
      <c r="AR42" s="28">
        <f t="shared" si="53"/>
        <v>19460545.589999992</v>
      </c>
      <c r="AS42" s="28">
        <f t="shared" si="53"/>
        <v>-11119615.110000001</v>
      </c>
      <c r="AT42" s="28">
        <f t="shared" si="53"/>
        <v>15582409.86999991</v>
      </c>
      <c r="AU42" s="28">
        <f t="shared" si="53"/>
        <v>3983726.7200000165</v>
      </c>
      <c r="AV42" s="28">
        <f t="shared" si="53"/>
        <v>-2604622.3499999847</v>
      </c>
      <c r="AW42" s="28">
        <f t="shared" si="53"/>
        <v>-16626319.519999985</v>
      </c>
      <c r="AX42" s="28">
        <f t="shared" si="53"/>
        <v>5785250.8200000264</v>
      </c>
      <c r="AY42" s="28">
        <f t="shared" si="53"/>
        <v>9737422.7700000182</v>
      </c>
      <c r="AZ42" s="28">
        <f t="shared" si="53"/>
        <v>9554947.139999995</v>
      </c>
      <c r="BA42" s="28">
        <f t="shared" si="53"/>
        <v>-1319036.8599999994</v>
      </c>
      <c r="BB42" s="28">
        <f t="shared" si="53"/>
        <v>-20259446.779999997</v>
      </c>
      <c r="BC42" s="28">
        <f t="shared" si="53"/>
        <v>-9589210.4199999813</v>
      </c>
      <c r="BD42" s="28">
        <f t="shared" si="53"/>
        <v>-3785434.4600000056</v>
      </c>
      <c r="BE42" s="28">
        <f t="shared" si="53"/>
        <v>-987516.25000000186</v>
      </c>
      <c r="BF42" s="28">
        <f t="shared" si="53"/>
        <v>-24989391.479999945</v>
      </c>
      <c r="BG42" s="28">
        <f t="shared" si="53"/>
        <v>-13903622.110000014</v>
      </c>
      <c r="BH42" s="28">
        <f t="shared" si="53"/>
        <v>-8478634.8500000108</v>
      </c>
      <c r="BI42" s="28">
        <f t="shared" si="53"/>
        <v>-3071670.5799999954</v>
      </c>
      <c r="BJ42" s="28">
        <f t="shared" si="53"/>
        <v>-61356183.549999997</v>
      </c>
      <c r="BK42" s="28">
        <f t="shared" si="53"/>
        <v>-46397481.089999981</v>
      </c>
      <c r="BL42" s="28">
        <f t="shared" si="53"/>
        <v>-26902956.199999996</v>
      </c>
      <c r="BM42" s="28">
        <f t="shared" si="53"/>
        <v>-10621473.689999988</v>
      </c>
      <c r="BN42" s="28">
        <f t="shared" si="53"/>
        <v>-93741333.079999998</v>
      </c>
      <c r="BO42" s="28">
        <f t="shared" ref="BO42:CK42" si="54">BO38-BO40</f>
        <v>-39768103.490000032</v>
      </c>
      <c r="BP42" s="28">
        <f t="shared" si="54"/>
        <v>-17144766.240000017</v>
      </c>
      <c r="BQ42" s="28">
        <f t="shared" si="54"/>
        <v>-3946337.5600000103</v>
      </c>
      <c r="BR42" s="28">
        <f t="shared" si="54"/>
        <v>-53697955.039999977</v>
      </c>
      <c r="BS42" s="28">
        <f t="shared" si="54"/>
        <v>-6120999.6400000378</v>
      </c>
      <c r="BT42" s="28">
        <f t="shared" si="54"/>
        <v>-6517472.4200000167</v>
      </c>
      <c r="BU42" s="28">
        <f t="shared" si="54"/>
        <v>-2697210.0799999982</v>
      </c>
      <c r="BV42" s="28">
        <f t="shared" si="54"/>
        <v>-4057711.5900000287</v>
      </c>
      <c r="BW42" s="28">
        <f t="shared" si="54"/>
        <v>3858623.8100000112</v>
      </c>
      <c r="BX42" s="28">
        <f t="shared" si="54"/>
        <v>-852367.97999996506</v>
      </c>
      <c r="BY42" s="28">
        <f t="shared" si="54"/>
        <v>4530111.600000022</v>
      </c>
      <c r="BZ42" s="28">
        <f t="shared" si="54"/>
        <v>15406324.73999998</v>
      </c>
      <c r="CA42" s="28">
        <f t="shared" si="54"/>
        <v>8418803.8300000206</v>
      </c>
      <c r="CB42" s="28">
        <f t="shared" si="54"/>
        <v>14292319.440000074</v>
      </c>
      <c r="CC42" s="28">
        <f t="shared" si="54"/>
        <v>11019678.120000001</v>
      </c>
      <c r="CD42" s="28">
        <f t="shared" si="54"/>
        <v>20003253.529999949</v>
      </c>
      <c r="CE42" s="28">
        <f t="shared" si="54"/>
        <v>0</v>
      </c>
      <c r="CF42" s="28">
        <f t="shared" si="54"/>
        <v>0</v>
      </c>
      <c r="CG42" s="28">
        <f t="shared" si="54"/>
        <v>-4330000</v>
      </c>
      <c r="CH42" s="28">
        <f t="shared" si="54"/>
        <v>-4220000</v>
      </c>
      <c r="CI42" s="28">
        <f t="shared" si="54"/>
        <v>-12510000</v>
      </c>
      <c r="CJ42" s="28">
        <f t="shared" si="54"/>
        <v>-3630000</v>
      </c>
      <c r="CK42" s="28">
        <f t="shared" si="54"/>
        <v>0</v>
      </c>
    </row>
    <row r="43" spans="1:89" s="57" customFormat="1">
      <c r="A43" s="57" t="s">
        <v>418</v>
      </c>
      <c r="B43" s="57">
        <f>B42/B4*100</f>
        <v>114.67564118876943</v>
      </c>
      <c r="C43" s="57">
        <f t="shared" ref="C43:D43" si="55">C42/C4*100</f>
        <v>117.83092123387905</v>
      </c>
      <c r="D43" s="57">
        <f t="shared" si="55"/>
        <v>10.034419476783874</v>
      </c>
      <c r="E43" s="57">
        <f>E42/E4</f>
        <v>-5.5142226536227947E-2</v>
      </c>
      <c r="F43" s="57">
        <f t="shared" ref="F43:BQ43" si="56">F42/F4</f>
        <v>0.10430678564889183</v>
      </c>
      <c r="G43" s="57">
        <f t="shared" si="56"/>
        <v>0.10676741996339816</v>
      </c>
      <c r="H43" s="57">
        <f t="shared" si="56"/>
        <v>0.11618250013999368</v>
      </c>
      <c r="I43" s="57">
        <f t="shared" si="56"/>
        <v>0.22055018125381728</v>
      </c>
      <c r="J43" s="57">
        <f t="shared" si="56"/>
        <v>6.0824805316671997E-2</v>
      </c>
      <c r="K43" s="57">
        <f t="shared" si="56"/>
        <v>7.1225010231826522E-2</v>
      </c>
      <c r="L43" s="57">
        <f t="shared" si="56"/>
        <v>7.6149526364800282E-2</v>
      </c>
      <c r="M43" s="57">
        <f t="shared" si="56"/>
        <v>0.20169229534223265</v>
      </c>
      <c r="N43" s="57">
        <f t="shared" si="56"/>
        <v>7.5388217106610284E-2</v>
      </c>
      <c r="O43" s="57">
        <f t="shared" si="56"/>
        <v>8.8972779899219465E-2</v>
      </c>
      <c r="P43" s="57">
        <f t="shared" si="56"/>
        <v>9.2524679227600118E-2</v>
      </c>
      <c r="Q43" s="57">
        <f t="shared" si="56"/>
        <v>8.6013132020857849E-2</v>
      </c>
      <c r="R43" s="57">
        <f t="shared" si="56"/>
        <v>8.5538593109938083E-2</v>
      </c>
      <c r="S43" s="57">
        <f t="shared" si="56"/>
        <v>9.4046230899911015E-2</v>
      </c>
      <c r="T43" s="57">
        <f t="shared" si="56"/>
        <v>9.3385690419196019E-2</v>
      </c>
      <c r="U43" s="57">
        <f t="shared" si="56"/>
        <v>-9.4902386571151173E-3</v>
      </c>
      <c r="V43" s="57">
        <f t="shared" si="56"/>
        <v>7.7313924069427262E-2</v>
      </c>
      <c r="W43" s="57">
        <f t="shared" si="56"/>
        <v>8.0829350213772855E-2</v>
      </c>
      <c r="X43" s="57">
        <f t="shared" si="56"/>
        <v>8.6610290071004251E-2</v>
      </c>
      <c r="Y43" s="57">
        <f t="shared" si="56"/>
        <v>7.1776566909960079E-2</v>
      </c>
      <c r="Z43" s="57">
        <f t="shared" si="56"/>
        <v>4.5218006181897696E-2</v>
      </c>
      <c r="AA43" s="57">
        <f t="shared" si="56"/>
        <v>4.8197571668414395E-2</v>
      </c>
      <c r="AB43" s="57">
        <f t="shared" si="56"/>
        <v>5.4946139657420963E-2</v>
      </c>
      <c r="AC43" s="57">
        <f t="shared" si="56"/>
        <v>-1.6986263885158497E-2</v>
      </c>
      <c r="AD43" s="57">
        <f t="shared" si="56"/>
        <v>3.9568947435746092E-2</v>
      </c>
      <c r="AE43" s="57">
        <f t="shared" si="56"/>
        <v>4.5633352498805707E-2</v>
      </c>
      <c r="AF43" s="57">
        <f t="shared" si="56"/>
        <v>4.6671067915495551E-2</v>
      </c>
      <c r="AG43" s="57">
        <f t="shared" si="56"/>
        <v>-1.660055320358151E-2</v>
      </c>
      <c r="AH43" s="57">
        <f t="shared" si="56"/>
        <v>-8.7800817438615959E-3</v>
      </c>
      <c r="AI43" s="57">
        <f t="shared" si="56"/>
        <v>4.3162676938196691E-2</v>
      </c>
      <c r="AJ43" s="57">
        <f t="shared" si="56"/>
        <v>7.7812157373823472E-3</v>
      </c>
      <c r="AK43" s="57">
        <f t="shared" si="56"/>
        <v>6.3265861638323498E-2</v>
      </c>
      <c r="AL43" s="57">
        <f t="shared" si="56"/>
        <v>7.0942180830167442E-2</v>
      </c>
      <c r="AM43" s="57">
        <f t="shared" si="56"/>
        <v>4.1469113096911717E-2</v>
      </c>
      <c r="AN43" s="57">
        <f t="shared" si="56"/>
        <v>4.0855844069122224E-2</v>
      </c>
      <c r="AO43" s="57">
        <f t="shared" si="56"/>
        <v>-5.0499304733779248E-2</v>
      </c>
      <c r="AP43" s="57">
        <f t="shared" si="56"/>
        <v>4.4666503993520519E-2</v>
      </c>
      <c r="AQ43" s="57">
        <f t="shared" si="56"/>
        <v>4.6630817112994064E-2</v>
      </c>
      <c r="AR43" s="57">
        <f t="shared" si="56"/>
        <v>6.2303431244020192E-2</v>
      </c>
      <c r="AS43" s="57">
        <f t="shared" si="56"/>
        <v>-5.9381431316722133E-2</v>
      </c>
      <c r="AT43" s="57">
        <f t="shared" si="56"/>
        <v>2.8465617649827208E-2</v>
      </c>
      <c r="AU43" s="57">
        <f t="shared" si="56"/>
        <v>9.9883845827943487E-3</v>
      </c>
      <c r="AV43" s="57">
        <f t="shared" si="56"/>
        <v>-9.5994451793851854E-3</v>
      </c>
      <c r="AW43" s="57">
        <f t="shared" si="56"/>
        <v>-0.10919342117840911</v>
      </c>
      <c r="AX43" s="57">
        <f t="shared" si="56"/>
        <v>1.2846296525196792E-2</v>
      </c>
      <c r="AY43" s="57">
        <f t="shared" si="56"/>
        <v>2.940535752808672E-2</v>
      </c>
      <c r="AZ43" s="57">
        <f t="shared" si="56"/>
        <v>4.2583691683807177E-2</v>
      </c>
      <c r="BA43" s="57">
        <f t="shared" si="56"/>
        <v>-1.0123120398812085E-2</v>
      </c>
      <c r="BB43" s="57">
        <f t="shared" si="56"/>
        <v>-4.6094973888517264E-2</v>
      </c>
      <c r="BC43" s="57">
        <f t="shared" si="56"/>
        <v>-2.9705252548739954E-2</v>
      </c>
      <c r="BD43" s="57">
        <f t="shared" si="56"/>
        <v>-1.6657175508779452E-2</v>
      </c>
      <c r="BE43" s="57">
        <f t="shared" si="56"/>
        <v>-7.4421102422893935E-3</v>
      </c>
      <c r="BF43" s="57">
        <f t="shared" si="56"/>
        <v>-6.1892206997956133E-2</v>
      </c>
      <c r="BG43" s="57">
        <f t="shared" si="56"/>
        <v>-4.6353939243781464E-2</v>
      </c>
      <c r="BH43" s="57">
        <f t="shared" si="56"/>
        <v>-4.0438223110381429E-2</v>
      </c>
      <c r="BI43" s="57">
        <f t="shared" si="56"/>
        <v>-2.4812526999971607E-2</v>
      </c>
      <c r="BJ43" s="57">
        <f t="shared" si="56"/>
        <v>-0.12793585751954267</v>
      </c>
      <c r="BK43" s="57">
        <f t="shared" si="56"/>
        <v>-0.12715167396616006</v>
      </c>
      <c r="BL43" s="57">
        <f t="shared" si="56"/>
        <v>-0.1045794174476333</v>
      </c>
      <c r="BM43" s="57">
        <f t="shared" si="56"/>
        <v>-7.1029835271905817E-2</v>
      </c>
      <c r="BN43" s="57">
        <f t="shared" si="56"/>
        <v>-0.18479235554212359</v>
      </c>
      <c r="BO43" s="57">
        <f t="shared" si="56"/>
        <v>-9.7948337987149886E-2</v>
      </c>
      <c r="BP43" s="57">
        <f t="shared" si="56"/>
        <v>-5.866487760601375E-2</v>
      </c>
      <c r="BQ43" s="57">
        <f t="shared" si="56"/>
        <v>-2.2688155851178955E-2</v>
      </c>
      <c r="BR43" s="57">
        <f t="shared" ref="BR43:CK43" si="57">BR42/BR4</f>
        <v>-8.265281939162597E-2</v>
      </c>
      <c r="BS43" s="57">
        <f t="shared" si="57"/>
        <v>-1.7890162662206343E-2</v>
      </c>
      <c r="BT43" s="57">
        <f t="shared" si="57"/>
        <v>-1.0028871874190073E-2</v>
      </c>
      <c r="BU43" s="57">
        <f t="shared" si="57"/>
        <v>-8.6346611298028682E-3</v>
      </c>
      <c r="BV43" s="57">
        <f t="shared" si="57"/>
        <v>-6.9125650735347528E-3</v>
      </c>
      <c r="BW43" s="57">
        <f t="shared" si="57"/>
        <v>1.2109670824155041E-2</v>
      </c>
      <c r="BX43" s="57">
        <f t="shared" si="57"/>
        <v>-1.4032277188438639E-3</v>
      </c>
      <c r="BY43" s="57">
        <f t="shared" si="57"/>
        <v>1.4512107895513866E-2</v>
      </c>
      <c r="BZ43" s="57">
        <f t="shared" si="57"/>
        <v>2.5566455501032773E-2</v>
      </c>
      <c r="CA43" s="57">
        <f t="shared" si="57"/>
        <v>2.436301953067645E-2</v>
      </c>
      <c r="CB43" s="57">
        <f t="shared" si="57"/>
        <v>2.3327760397773296E-2</v>
      </c>
      <c r="CC43" s="57">
        <f t="shared" si="57"/>
        <v>3.2990841320400185E-2</v>
      </c>
      <c r="CD43" s="57">
        <f t="shared" si="57"/>
        <v>3.6210695198028615E-2</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c r="A44" s="18" t="s">
        <v>89</v>
      </c>
      <c r="B44" s="30"/>
      <c r="C44" s="30"/>
      <c r="D44" s="30"/>
      <c r="E44" s="30"/>
      <c r="F44" s="30"/>
      <c r="G44" s="30"/>
      <c r="H44" s="30"/>
      <c r="I44" s="30"/>
      <c r="J44" s="30"/>
      <c r="K44" s="30"/>
    </row>
    <row r="45" spans="1:89">
      <c r="A45" s="17" t="s">
        <v>420</v>
      </c>
      <c r="B45" s="26">
        <f>B70*B69</f>
        <v>242022416.46959999</v>
      </c>
      <c r="C45" s="26">
        <f t="shared" ref="C45:BN45" si="58">C70*C69</f>
        <v>240512447.8416</v>
      </c>
      <c r="D45" s="26">
        <f t="shared" si="58"/>
        <v>146052325.18720001</v>
      </c>
      <c r="E45" s="26">
        <f t="shared" si="58"/>
        <v>151419829.4048</v>
      </c>
      <c r="F45" s="26">
        <f t="shared" si="58"/>
        <v>146607995.472</v>
      </c>
      <c r="G45" s="26">
        <f t="shared" si="58"/>
        <v>143896139.1464</v>
      </c>
      <c r="H45" s="26">
        <f t="shared" si="58"/>
        <v>141627103.40959999</v>
      </c>
      <c r="I45" s="26">
        <f t="shared" si="58"/>
        <v>100852234.67120001</v>
      </c>
      <c r="J45" s="26">
        <f t="shared" si="58"/>
        <v>99476711.640799999</v>
      </c>
      <c r="K45" s="26">
        <f t="shared" si="58"/>
        <v>98888509.905599996</v>
      </c>
      <c r="L45" s="26">
        <f t="shared" si="58"/>
        <v>97685258.513600007</v>
      </c>
      <c r="M45" s="26">
        <f t="shared" si="58"/>
        <v>96392121.228</v>
      </c>
      <c r="N45" s="26">
        <f t="shared" si="58"/>
        <v>94481604.139200002</v>
      </c>
      <c r="O45" s="26">
        <f t="shared" si="58"/>
        <v>93826561.327999994</v>
      </c>
      <c r="P45" s="26">
        <f t="shared" si="58"/>
        <v>92114168.495200008</v>
      </c>
      <c r="Q45" s="26">
        <f t="shared" si="58"/>
        <v>90160059.016000003</v>
      </c>
      <c r="R45" s="26">
        <f t="shared" si="58"/>
        <v>87722808.142399997</v>
      </c>
      <c r="S45" s="26">
        <f t="shared" si="58"/>
        <v>86388606.5616</v>
      </c>
      <c r="T45" s="26">
        <f t="shared" si="58"/>
        <v>84122983.051200002</v>
      </c>
      <c r="U45" s="26">
        <f t="shared" si="58"/>
        <v>85054130.056000009</v>
      </c>
      <c r="V45" s="26">
        <f t="shared" si="58"/>
        <v>82360406.881600007</v>
      </c>
      <c r="W45" s="26">
        <f t="shared" si="58"/>
        <v>80552570.167199999</v>
      </c>
      <c r="X45" s="26">
        <f t="shared" si="58"/>
        <v>78724168.073599994</v>
      </c>
      <c r="Y45" s="26">
        <f t="shared" si="58"/>
        <v>80368483.376800001</v>
      </c>
      <c r="Z45" s="26">
        <f t="shared" si="58"/>
        <v>38041137.129600003</v>
      </c>
      <c r="AA45" s="26">
        <f t="shared" si="58"/>
        <v>36783432.104800001</v>
      </c>
      <c r="AB45" s="26">
        <f t="shared" si="58"/>
        <v>36326292.672800004</v>
      </c>
      <c r="AC45" s="26">
        <f t="shared" si="58"/>
        <v>35532410.064800002</v>
      </c>
      <c r="AD45" s="26">
        <f t="shared" si="58"/>
        <v>33265907.569600001</v>
      </c>
      <c r="AE45" s="26">
        <f t="shared" si="58"/>
        <v>32722852.5392</v>
      </c>
      <c r="AF45" s="26">
        <f t="shared" si="58"/>
        <v>31819350.622399997</v>
      </c>
      <c r="AG45" s="26">
        <f t="shared" si="58"/>
        <v>31284425.0352</v>
      </c>
      <c r="AH45" s="26">
        <f t="shared" si="58"/>
        <v>29504701.776799999</v>
      </c>
      <c r="AI45" s="26">
        <f t="shared" si="58"/>
        <v>28680999.011999998</v>
      </c>
      <c r="AJ45" s="26">
        <f t="shared" si="58"/>
        <v>34201818.575199999</v>
      </c>
      <c r="AK45" s="26">
        <f t="shared" si="58"/>
        <v>35471579.420000002</v>
      </c>
      <c r="AL45" s="26">
        <f t="shared" si="58"/>
        <v>33929511.417600006</v>
      </c>
      <c r="AM45" s="26">
        <f t="shared" si="58"/>
        <v>31556262.883200001</v>
      </c>
      <c r="AN45" s="26">
        <f t="shared" si="58"/>
        <v>30982813.203200001</v>
      </c>
      <c r="AO45" s="26">
        <f t="shared" si="58"/>
        <v>30552928.956</v>
      </c>
      <c r="AP45" s="26">
        <f t="shared" si="58"/>
        <v>29791489.007199999</v>
      </c>
      <c r="AQ45" s="26">
        <f t="shared" si="58"/>
        <v>32938747.333600003</v>
      </c>
      <c r="AR45" s="26">
        <f t="shared" si="58"/>
        <v>32786022.842399999</v>
      </c>
      <c r="AS45" s="26">
        <f t="shared" si="58"/>
        <v>32655886.088800002</v>
      </c>
      <c r="AT45" s="26">
        <f t="shared" si="58"/>
        <v>32213463.918400001</v>
      </c>
      <c r="AU45" s="26">
        <f t="shared" si="58"/>
        <v>25082916.844000001</v>
      </c>
      <c r="AV45" s="26">
        <f t="shared" si="58"/>
        <v>24555848.9168</v>
      </c>
      <c r="AW45" s="26">
        <f t="shared" si="58"/>
        <v>24968108.593600001</v>
      </c>
      <c r="AX45" s="26">
        <f t="shared" si="58"/>
        <v>24597168.616</v>
      </c>
      <c r="AY45" s="26">
        <f t="shared" si="58"/>
        <v>24428634.9736</v>
      </c>
      <c r="AZ45" s="26">
        <f t="shared" si="58"/>
        <v>23865660.409600001</v>
      </c>
      <c r="BA45" s="26">
        <f t="shared" si="58"/>
        <v>20118541.700799998</v>
      </c>
      <c r="BB45" s="26">
        <f t="shared" si="58"/>
        <v>19829787.643199999</v>
      </c>
      <c r="BC45" s="26">
        <f t="shared" si="58"/>
        <v>20311057.273600001</v>
      </c>
      <c r="BD45" s="26">
        <f t="shared" si="58"/>
        <v>20293418.084800001</v>
      </c>
      <c r="BE45" s="26">
        <f t="shared" si="58"/>
        <v>20023169.777600002</v>
      </c>
      <c r="BF45" s="26">
        <f t="shared" si="58"/>
        <v>19503663.286400001</v>
      </c>
      <c r="BG45" s="26">
        <f t="shared" si="58"/>
        <v>19654978.0704</v>
      </c>
      <c r="BH45" s="26">
        <f t="shared" si="58"/>
        <v>19611774.904800002</v>
      </c>
      <c r="BI45" s="26">
        <f t="shared" si="58"/>
        <v>19427601.733599998</v>
      </c>
      <c r="BJ45" s="26">
        <f t="shared" si="58"/>
        <v>19161134.190400001</v>
      </c>
      <c r="BK45" s="26">
        <f t="shared" si="58"/>
        <v>16823591.779200003</v>
      </c>
      <c r="BL45" s="26">
        <f t="shared" si="58"/>
        <v>17869000.5328</v>
      </c>
      <c r="BM45" s="26">
        <f t="shared" si="58"/>
        <v>18575176.2368</v>
      </c>
      <c r="BN45" s="26">
        <f t="shared" si="58"/>
        <v>19016155.582400002</v>
      </c>
      <c r="BO45" s="26">
        <f t="shared" ref="BO45:CJ45" si="59">BO70*BO69</f>
        <v>22914565.440000001</v>
      </c>
      <c r="BP45" s="26">
        <f t="shared" si="59"/>
        <v>24818898.185600001</v>
      </c>
      <c r="BQ45" s="26">
        <f t="shared" si="59"/>
        <v>25146672.215999998</v>
      </c>
      <c r="BR45" s="26">
        <f t="shared" si="59"/>
        <v>23844999.054400001</v>
      </c>
      <c r="BS45" s="26">
        <f t="shared" si="59"/>
        <v>29004847.952800002</v>
      </c>
      <c r="BT45" s="26">
        <f t="shared" si="59"/>
        <v>28959216.669600002</v>
      </c>
      <c r="BU45" s="26">
        <f t="shared" si="59"/>
        <v>27460327.606399998</v>
      </c>
      <c r="BV45" s="26">
        <f t="shared" si="59"/>
        <v>26718135.6296</v>
      </c>
      <c r="BW45" s="26">
        <f t="shared" si="59"/>
        <v>27664646.122399997</v>
      </c>
      <c r="BX45" s="26">
        <f t="shared" si="59"/>
        <v>18566088.182399999</v>
      </c>
      <c r="BY45" s="26">
        <f t="shared" si="59"/>
        <v>17930813.552000001</v>
      </c>
      <c r="BZ45" s="26">
        <f t="shared" si="59"/>
        <v>16926391.519200001</v>
      </c>
      <c r="CA45" s="26">
        <f t="shared" si="59"/>
        <v>16928770.780000001</v>
      </c>
      <c r="CB45" s="26">
        <f t="shared" si="59"/>
        <v>15817080.214400001</v>
      </c>
      <c r="CC45" s="26">
        <f t="shared" si="59"/>
        <v>14606894.7816</v>
      </c>
      <c r="CD45" s="26">
        <f t="shared" si="59"/>
        <v>0</v>
      </c>
      <c r="CE45" s="26">
        <f t="shared" si="59"/>
        <v>0</v>
      </c>
      <c r="CF45" s="26">
        <f t="shared" si="59"/>
        <v>0</v>
      </c>
      <c r="CG45" s="26">
        <f t="shared" si="59"/>
        <v>39415192.029600002</v>
      </c>
      <c r="CH45" s="26">
        <f t="shared" si="59"/>
        <v>0</v>
      </c>
      <c r="CI45" s="26">
        <f t="shared" si="59"/>
        <v>0</v>
      </c>
      <c r="CJ45" s="26">
        <f t="shared" si="59"/>
        <v>0</v>
      </c>
    </row>
    <row r="46" spans="1:89" s="63" customFormat="1">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c r="A47" s="20" t="s">
        <v>422</v>
      </c>
      <c r="B47" s="28">
        <f>B42-B45</f>
        <v>1343383418.7404003</v>
      </c>
      <c r="C47" s="28">
        <f t="shared" ref="C47:BN47" si="62">C42-C45</f>
        <v>1013606429.8584003</v>
      </c>
      <c r="D47" s="28">
        <f t="shared" si="62"/>
        <v>-72686670.787199989</v>
      </c>
      <c r="E47" s="28">
        <f t="shared" si="62"/>
        <v>-174660855.07479995</v>
      </c>
      <c r="F47" s="28">
        <f t="shared" si="62"/>
        <v>-4086999.0120002031</v>
      </c>
      <c r="G47" s="28">
        <f t="shared" si="62"/>
        <v>-34348747.256400093</v>
      </c>
      <c r="H47" s="28">
        <f t="shared" si="62"/>
        <v>-60487620.329599991</v>
      </c>
      <c r="I47" s="28">
        <f t="shared" si="62"/>
        <v>-38162033.341200016</v>
      </c>
      <c r="J47" s="28">
        <f t="shared" si="62"/>
        <v>-37037867.870800085</v>
      </c>
      <c r="K47" s="28">
        <f t="shared" si="62"/>
        <v>-44319338.665599987</v>
      </c>
      <c r="L47" s="28">
        <f t="shared" si="62"/>
        <v>-57639578.833600022</v>
      </c>
      <c r="M47" s="28">
        <f t="shared" si="62"/>
        <v>-36842540.368000031</v>
      </c>
      <c r="N47" s="28">
        <f t="shared" si="62"/>
        <v>-9996654.1791998744</v>
      </c>
      <c r="O47" s="28">
        <f t="shared" si="62"/>
        <v>-17529646.508000031</v>
      </c>
      <c r="P47" s="28">
        <f t="shared" si="62"/>
        <v>-37222164.085200019</v>
      </c>
      <c r="Q47" s="28">
        <f t="shared" si="62"/>
        <v>-61298130.255999997</v>
      </c>
      <c r="R47" s="28">
        <f t="shared" si="62"/>
        <v>16193970.317599937</v>
      </c>
      <c r="S47" s="28">
        <f t="shared" si="62"/>
        <v>850652.13840000331</v>
      </c>
      <c r="T47" s="28">
        <f t="shared" si="62"/>
        <v>-25204018.231200039</v>
      </c>
      <c r="U47" s="28">
        <f t="shared" si="62"/>
        <v>-88465026.516000003</v>
      </c>
      <c r="V47" s="28">
        <f t="shared" si="62"/>
        <v>28044302.518399969</v>
      </c>
      <c r="W47" s="28">
        <f t="shared" si="62"/>
        <v>7571166.8828000277</v>
      </c>
      <c r="X47" s="28">
        <f t="shared" si="62"/>
        <v>-13455457.193599969</v>
      </c>
      <c r="Y47" s="28">
        <f t="shared" si="62"/>
        <v>-51145791.276799962</v>
      </c>
      <c r="Z47" s="28">
        <f t="shared" si="62"/>
        <v>21649232.370399892</v>
      </c>
      <c r="AA47" s="28">
        <f t="shared" si="62"/>
        <v>11399586.685200058</v>
      </c>
      <c r="AB47" s="28">
        <f t="shared" si="62"/>
        <v>1928521.1171999127</v>
      </c>
      <c r="AC47" s="28">
        <f t="shared" si="62"/>
        <v>-42278796.014800034</v>
      </c>
      <c r="AD47" s="28">
        <f t="shared" si="62"/>
        <v>13749164.840400107</v>
      </c>
      <c r="AE47" s="28">
        <f t="shared" si="62"/>
        <v>7504031.990799956</v>
      </c>
      <c r="AF47" s="28">
        <f t="shared" si="62"/>
        <v>-2886240.0523999855</v>
      </c>
      <c r="AG47" s="28">
        <f t="shared" si="62"/>
        <v>-37272375.235200003</v>
      </c>
      <c r="AH47" s="28">
        <f t="shared" si="62"/>
        <v>-37590274.206800006</v>
      </c>
      <c r="AI47" s="28">
        <f t="shared" si="62"/>
        <v>-531018.39199997857</v>
      </c>
      <c r="AJ47" s="28">
        <f t="shared" si="62"/>
        <v>-30797979.10519997</v>
      </c>
      <c r="AK47" s="28">
        <f t="shared" si="62"/>
        <v>-19610799.219999999</v>
      </c>
      <c r="AL47" s="28">
        <f t="shared" si="62"/>
        <v>17795768.712400056</v>
      </c>
      <c r="AM47" s="28">
        <f t="shared" si="62"/>
        <v>-9496589.433199998</v>
      </c>
      <c r="AN47" s="28">
        <f t="shared" si="62"/>
        <v>-16091260.753200032</v>
      </c>
      <c r="AO47" s="28">
        <f t="shared" si="62"/>
        <v>-41094391.995999999</v>
      </c>
      <c r="AP47" s="28">
        <f t="shared" si="62"/>
        <v>-1968858.0372000411</v>
      </c>
      <c r="AQ47" s="28">
        <f t="shared" si="62"/>
        <v>-11569145.603599973</v>
      </c>
      <c r="AR47" s="28">
        <f t="shared" si="62"/>
        <v>-13325477.252400007</v>
      </c>
      <c r="AS47" s="28">
        <f t="shared" si="62"/>
        <v>-43775501.198800005</v>
      </c>
      <c r="AT47" s="28">
        <f t="shared" si="62"/>
        <v>-16631054.048400091</v>
      </c>
      <c r="AU47" s="28">
        <f t="shared" si="62"/>
        <v>-21099190.123999983</v>
      </c>
      <c r="AV47" s="28">
        <f t="shared" si="62"/>
        <v>-27160471.266799986</v>
      </c>
      <c r="AW47" s="28">
        <f t="shared" si="62"/>
        <v>-41594428.113599986</v>
      </c>
      <c r="AX47" s="28">
        <f t="shared" si="62"/>
        <v>-18811917.795999974</v>
      </c>
      <c r="AY47" s="28">
        <f t="shared" si="62"/>
        <v>-14691212.203599982</v>
      </c>
      <c r="AZ47" s="28">
        <f t="shared" si="62"/>
        <v>-14310713.269600006</v>
      </c>
      <c r="BA47" s="28">
        <f t="shared" si="62"/>
        <v>-21437578.560799997</v>
      </c>
      <c r="BB47" s="28">
        <f t="shared" si="62"/>
        <v>-40089234.423199996</v>
      </c>
      <c r="BC47" s="28">
        <f t="shared" si="62"/>
        <v>-29900267.693599984</v>
      </c>
      <c r="BD47" s="28">
        <f t="shared" si="62"/>
        <v>-24078852.544800006</v>
      </c>
      <c r="BE47" s="28">
        <f t="shared" si="62"/>
        <v>-21010686.027600005</v>
      </c>
      <c r="BF47" s="28">
        <f t="shared" si="62"/>
        <v>-44493054.76639995</v>
      </c>
      <c r="BG47" s="28">
        <f t="shared" si="62"/>
        <v>-33558600.180400014</v>
      </c>
      <c r="BH47" s="28">
        <f t="shared" si="62"/>
        <v>-28090409.754800014</v>
      </c>
      <c r="BI47" s="28">
        <f t="shared" si="62"/>
        <v>-22499272.313599993</v>
      </c>
      <c r="BJ47" s="28">
        <f t="shared" si="62"/>
        <v>-80517317.740400001</v>
      </c>
      <c r="BK47" s="28">
        <f t="shared" si="62"/>
        <v>-63221072.869199984</v>
      </c>
      <c r="BL47" s="28">
        <f t="shared" si="62"/>
        <v>-44771956.732799992</v>
      </c>
      <c r="BM47" s="28">
        <f t="shared" si="62"/>
        <v>-29196649.92679999</v>
      </c>
      <c r="BN47" s="28">
        <f t="shared" si="62"/>
        <v>-112757488.66240001</v>
      </c>
      <c r="BO47" s="28">
        <f t="shared" ref="BO47:CJ47" si="63">BO42-BO45</f>
        <v>-62682668.930000037</v>
      </c>
      <c r="BP47" s="28">
        <f t="shared" si="63"/>
        <v>-41963664.425600022</v>
      </c>
      <c r="BQ47" s="28">
        <f t="shared" si="63"/>
        <v>-29093009.776000008</v>
      </c>
      <c r="BR47" s="28">
        <f t="shared" si="63"/>
        <v>-77542954.094399974</v>
      </c>
      <c r="BS47" s="28">
        <f t="shared" si="63"/>
        <v>-35125847.592800036</v>
      </c>
      <c r="BT47" s="28">
        <f t="shared" si="63"/>
        <v>-35476689.089600019</v>
      </c>
      <c r="BU47" s="28">
        <f t="shared" si="63"/>
        <v>-30157537.686399996</v>
      </c>
      <c r="BV47" s="28">
        <f t="shared" si="63"/>
        <v>-30775847.219600029</v>
      </c>
      <c r="BW47" s="28">
        <f t="shared" si="63"/>
        <v>-23806022.312399987</v>
      </c>
      <c r="BX47" s="28">
        <f t="shared" si="63"/>
        <v>-19418456.162399963</v>
      </c>
      <c r="BY47" s="28">
        <f t="shared" si="63"/>
        <v>-13400701.951999979</v>
      </c>
      <c r="BZ47" s="28">
        <f t="shared" si="63"/>
        <v>-1520066.7792000212</v>
      </c>
      <c r="CA47" s="28">
        <f t="shared" si="63"/>
        <v>-8509966.9499999806</v>
      </c>
      <c r="CB47" s="28">
        <f t="shared" si="63"/>
        <v>-1524760.7743999269</v>
      </c>
      <c r="CC47" s="28">
        <f t="shared" si="63"/>
        <v>-3587216.6615999993</v>
      </c>
      <c r="CD47" s="28">
        <f t="shared" si="63"/>
        <v>20003253.529999949</v>
      </c>
      <c r="CE47" s="28">
        <f t="shared" si="63"/>
        <v>0</v>
      </c>
      <c r="CF47" s="28">
        <f t="shared" si="63"/>
        <v>0</v>
      </c>
      <c r="CG47" s="28">
        <f t="shared" si="63"/>
        <v>-43745192.029600002</v>
      </c>
      <c r="CH47" s="28">
        <f t="shared" si="63"/>
        <v>-4220000</v>
      </c>
      <c r="CI47" s="28">
        <f t="shared" si="63"/>
        <v>-12510000</v>
      </c>
      <c r="CJ47" s="28">
        <f t="shared" si="63"/>
        <v>-3630000</v>
      </c>
    </row>
    <row r="49" spans="1:89" ht="14.25" customHeight="1"/>
    <row r="50" spans="1:89" s="2" customFormat="1" ht="15" thickBot="1">
      <c r="A50" s="17"/>
      <c r="B50" s="1"/>
      <c r="C50" s="1"/>
      <c r="D50" s="1"/>
      <c r="E50" s="1"/>
      <c r="F50" s="1"/>
      <c r="G50" s="1"/>
      <c r="H50" s="1"/>
      <c r="I50" s="1"/>
      <c r="J50" s="1"/>
      <c r="K50"/>
    </row>
    <row r="51" spans="1:89" s="56" customFormat="1">
      <c r="A51" s="55" t="s">
        <v>104</v>
      </c>
      <c r="B51" s="189">
        <v>20181231</v>
      </c>
      <c r="C51" s="189">
        <v>20180930</v>
      </c>
      <c r="D51" s="189">
        <v>20180630</v>
      </c>
      <c r="E51" s="189">
        <v>20180331</v>
      </c>
      <c r="F51" s="189">
        <v>20171231</v>
      </c>
      <c r="G51" s="189">
        <v>20170930</v>
      </c>
      <c r="H51" s="189">
        <v>20170630</v>
      </c>
      <c r="I51" s="189">
        <v>20170331</v>
      </c>
      <c r="J51" s="189">
        <v>20161231</v>
      </c>
      <c r="K51" s="189">
        <v>20160930</v>
      </c>
      <c r="L51" s="189">
        <v>20160630</v>
      </c>
      <c r="M51" s="189">
        <v>20160331</v>
      </c>
      <c r="N51" s="189">
        <v>20151231</v>
      </c>
      <c r="O51" s="189">
        <v>20150930</v>
      </c>
      <c r="P51" s="189">
        <v>20150630</v>
      </c>
      <c r="Q51" s="189">
        <v>20150331</v>
      </c>
      <c r="R51" s="189">
        <v>20141231</v>
      </c>
      <c r="S51" s="189">
        <v>20140930</v>
      </c>
      <c r="T51" s="189">
        <v>20140630</v>
      </c>
      <c r="U51" s="189">
        <v>20140331</v>
      </c>
      <c r="V51" s="189">
        <v>20131231</v>
      </c>
      <c r="W51" s="189">
        <v>20130930</v>
      </c>
      <c r="X51" s="189">
        <v>20130630</v>
      </c>
      <c r="Y51" s="189">
        <v>20130331</v>
      </c>
      <c r="Z51" s="189">
        <v>20121231</v>
      </c>
      <c r="AA51" s="189">
        <v>20120930</v>
      </c>
      <c r="AB51" s="189">
        <v>20120630</v>
      </c>
      <c r="AC51" s="189">
        <v>20120331</v>
      </c>
      <c r="AD51" s="189">
        <v>20111231</v>
      </c>
      <c r="AE51" s="189">
        <v>20110930</v>
      </c>
      <c r="AF51" s="189">
        <v>20110630</v>
      </c>
      <c r="AG51" s="189">
        <v>20110331</v>
      </c>
      <c r="AH51" s="189">
        <v>20101231</v>
      </c>
      <c r="AI51" s="189">
        <v>20100930</v>
      </c>
      <c r="AJ51" s="189">
        <v>20100630</v>
      </c>
      <c r="AK51" s="189">
        <v>20100331</v>
      </c>
      <c r="AL51" s="189">
        <v>20091231</v>
      </c>
      <c r="AM51" s="189">
        <v>20090930</v>
      </c>
      <c r="AN51" s="189">
        <v>20090630</v>
      </c>
      <c r="AO51" s="189">
        <v>20090331</v>
      </c>
      <c r="AP51" s="189">
        <v>20081231</v>
      </c>
      <c r="AQ51" s="189">
        <v>20080930</v>
      </c>
      <c r="AR51" s="189">
        <v>20080630</v>
      </c>
      <c r="AS51" s="189">
        <v>20080331</v>
      </c>
      <c r="AT51" s="189">
        <v>20071231</v>
      </c>
      <c r="AU51" s="189">
        <v>20070930</v>
      </c>
      <c r="AV51" s="189">
        <v>20070630</v>
      </c>
      <c r="AW51" s="189">
        <v>20070331</v>
      </c>
      <c r="AX51" s="189">
        <v>20061231</v>
      </c>
      <c r="AY51" s="189">
        <v>20060930</v>
      </c>
      <c r="AZ51" s="189">
        <v>20060630</v>
      </c>
      <c r="BA51" s="189">
        <v>20060331</v>
      </c>
      <c r="BB51" s="189">
        <v>20051231</v>
      </c>
      <c r="BC51" s="189">
        <v>20050930</v>
      </c>
      <c r="BD51" s="189">
        <v>20050630</v>
      </c>
      <c r="BE51" s="189">
        <v>20050331</v>
      </c>
      <c r="BF51" s="189">
        <v>20041231</v>
      </c>
      <c r="BG51" s="189">
        <v>20040930</v>
      </c>
      <c r="BH51" s="189">
        <v>20040630</v>
      </c>
      <c r="BI51" s="189">
        <v>20040331</v>
      </c>
      <c r="BJ51" s="189">
        <v>20031231</v>
      </c>
      <c r="BK51" s="189">
        <v>20030930</v>
      </c>
      <c r="BL51" s="189">
        <v>20030630</v>
      </c>
      <c r="BM51" s="189">
        <v>20030331</v>
      </c>
      <c r="BN51" s="189">
        <v>20021231</v>
      </c>
      <c r="BO51" s="189">
        <v>20020930</v>
      </c>
      <c r="BP51" s="189">
        <v>20020630</v>
      </c>
      <c r="BQ51" s="189">
        <v>20020331</v>
      </c>
      <c r="BR51" s="189">
        <v>20011231</v>
      </c>
      <c r="BS51" s="189">
        <v>20010630</v>
      </c>
      <c r="BT51" s="189">
        <v>20001231</v>
      </c>
      <c r="BU51" s="189">
        <v>20000630</v>
      </c>
      <c r="BV51" s="189">
        <v>19991231</v>
      </c>
      <c r="BW51" s="189">
        <v>19990630</v>
      </c>
      <c r="BX51" s="189">
        <v>19981231</v>
      </c>
      <c r="BY51" s="189">
        <v>19980630</v>
      </c>
      <c r="BZ51" s="189">
        <v>19971231</v>
      </c>
      <c r="CA51" s="189">
        <v>19970630</v>
      </c>
      <c r="CB51" s="189">
        <v>19961231</v>
      </c>
      <c r="CC51" s="189">
        <v>19960630</v>
      </c>
      <c r="CD51" s="189">
        <v>19951231</v>
      </c>
      <c r="CE51" s="189">
        <v>19700101</v>
      </c>
      <c r="CF51" s="189">
        <v>19700101</v>
      </c>
      <c r="CG51" s="189">
        <v>19930630</v>
      </c>
      <c r="CH51" s="189">
        <v>19921231</v>
      </c>
      <c r="CI51" s="189">
        <v>19911231</v>
      </c>
      <c r="CJ51" s="189">
        <v>19901231</v>
      </c>
      <c r="CK51" s="189">
        <v>19700101</v>
      </c>
    </row>
    <row r="52" spans="1:89" s="43" customFormat="1">
      <c r="A52" s="131" t="s">
        <v>570</v>
      </c>
      <c r="B52" s="42">
        <v>-25636</v>
      </c>
      <c r="C52" s="42">
        <v>-27718</v>
      </c>
      <c r="D52" s="42">
        <v>-35317</v>
      </c>
      <c r="E52" s="42">
        <v>-195433894.47999999</v>
      </c>
      <c r="F52" s="42">
        <v>-34414</v>
      </c>
      <c r="G52" s="42">
        <v>-23309</v>
      </c>
      <c r="H52" s="42">
        <v>-16814</v>
      </c>
      <c r="I52" s="42">
        <v>-123093414.43000001</v>
      </c>
      <c r="J52" s="42"/>
      <c r="K52" s="42"/>
      <c r="M52" s="43">
        <v>-83981673.659999996</v>
      </c>
      <c r="Q52" s="43">
        <v>-29881510.210000001</v>
      </c>
      <c r="U52" s="43">
        <v>-17642421.68</v>
      </c>
      <c r="Y52" s="43">
        <v>-24171770.039999999</v>
      </c>
      <c r="AC52" s="43">
        <v>-47083684.490000002</v>
      </c>
      <c r="AG52" s="43">
        <v>-22259880.469999999</v>
      </c>
      <c r="AK52" s="42">
        <v>-7625395.2999999998</v>
      </c>
      <c r="AO52" s="43">
        <v>-31615513.420000002</v>
      </c>
      <c r="AS52" s="43">
        <v>-17760774.129999999</v>
      </c>
      <c r="AW52" s="43">
        <v>-19868494.289999999</v>
      </c>
      <c r="BA52" s="43">
        <v>-9550531.7799999993</v>
      </c>
    </row>
    <row r="53" spans="1:89" s="43" customFormat="1">
      <c r="A53" s="132" t="s">
        <v>90</v>
      </c>
      <c r="B53" s="42">
        <v>217</v>
      </c>
      <c r="C53" s="42">
        <v>189</v>
      </c>
      <c r="D53" s="42"/>
      <c r="E53" s="42">
        <v>43471999.43</v>
      </c>
      <c r="F53" s="42"/>
      <c r="G53" s="42"/>
      <c r="H53" s="42"/>
      <c r="I53" s="42">
        <v>13763829.67</v>
      </c>
      <c r="J53" s="42"/>
      <c r="K53" s="42"/>
      <c r="M53" s="43">
        <v>9536939</v>
      </c>
      <c r="Q53" s="43">
        <v>13417678.560000001</v>
      </c>
      <c r="U53" s="43">
        <v>5169679.7</v>
      </c>
      <c r="Y53" s="43">
        <v>8783561.9700000007</v>
      </c>
      <c r="AC53" s="43">
        <v>10987739.43</v>
      </c>
      <c r="AD53" s="42"/>
      <c r="AE53" s="42"/>
      <c r="AF53" s="42"/>
      <c r="AG53" s="42">
        <v>27863605.199999999</v>
      </c>
      <c r="AH53" s="42"/>
      <c r="AI53" s="42"/>
      <c r="AJ53" s="42"/>
      <c r="AK53" s="42">
        <v>5682608.5499999998</v>
      </c>
      <c r="AL53" s="42"/>
      <c r="AM53" s="42"/>
      <c r="AN53" s="42"/>
      <c r="AO53" s="42">
        <v>28444074.640000001</v>
      </c>
      <c r="AP53" s="42">
        <v>0</v>
      </c>
      <c r="AQ53" s="42">
        <v>0</v>
      </c>
      <c r="AR53" s="42">
        <v>0</v>
      </c>
      <c r="AS53" s="42">
        <v>39670751.020000003</v>
      </c>
      <c r="AT53" s="42"/>
      <c r="AU53" s="42"/>
      <c r="AV53" s="42"/>
      <c r="AW53" s="42">
        <v>55063312.939999998</v>
      </c>
      <c r="AX53" s="42"/>
      <c r="AY53" s="42"/>
      <c r="AZ53" s="42"/>
      <c r="BA53" s="42">
        <v>44739888.630000003</v>
      </c>
      <c r="BB53" s="42"/>
      <c r="BC53" s="42"/>
      <c r="BD53" s="42"/>
      <c r="BE53" s="42"/>
      <c r="BF53" s="42"/>
      <c r="BG53" s="42"/>
      <c r="BH53" s="42"/>
      <c r="BI53" s="42"/>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c r="A54" s="132" t="s">
        <v>91</v>
      </c>
      <c r="B54" s="42">
        <v>3104</v>
      </c>
      <c r="C54" s="42">
        <v>-1424</v>
      </c>
      <c r="D54" s="42">
        <v>-340</v>
      </c>
      <c r="E54" s="42">
        <v>70731617.239999995</v>
      </c>
      <c r="F54" s="42">
        <v>2684</v>
      </c>
      <c r="G54" s="42">
        <v>-377</v>
      </c>
      <c r="H54" s="42">
        <v>1008</v>
      </c>
      <c r="I54" s="42">
        <v>-57584688.789999999</v>
      </c>
      <c r="J54" s="42"/>
      <c r="K54" s="42"/>
      <c r="M54" s="43">
        <v>-40188776.259999998</v>
      </c>
      <c r="Q54" s="43">
        <v>-1235973.8999999999</v>
      </c>
      <c r="U54" s="43">
        <v>34546399.18</v>
      </c>
      <c r="Y54" s="43">
        <v>9292368.6400000006</v>
      </c>
      <c r="AC54" s="43">
        <v>31172114.969999999</v>
      </c>
      <c r="AG54" s="43">
        <v>20727938.690000001</v>
      </c>
      <c r="AK54" s="43">
        <v>1576455.6</v>
      </c>
      <c r="AO54" s="43">
        <v>18620657.690000001</v>
      </c>
      <c r="AS54" s="43">
        <v>27442492.27</v>
      </c>
      <c r="AW54" s="43">
        <v>16443241.59</v>
      </c>
      <c r="BA54" s="43">
        <v>180239.55</v>
      </c>
    </row>
    <row r="55" spans="1:89" s="43" customFormat="1">
      <c r="A55" s="132" t="s">
        <v>92</v>
      </c>
      <c r="B55" s="42">
        <v>463</v>
      </c>
      <c r="C55" s="42">
        <v>603</v>
      </c>
      <c r="D55" s="42">
        <v>653</v>
      </c>
      <c r="E55" s="42">
        <v>9421295.0099999998</v>
      </c>
      <c r="F55" s="42">
        <v>1204</v>
      </c>
      <c r="G55" s="42">
        <v>868</v>
      </c>
      <c r="H55" s="42">
        <v>644</v>
      </c>
      <c r="I55" s="42">
        <v>12088525.34</v>
      </c>
      <c r="J55" s="42"/>
      <c r="K55" s="42"/>
      <c r="M55" s="43">
        <v>4520659.01</v>
      </c>
      <c r="Q55" s="43">
        <v>2839681.06</v>
      </c>
      <c r="U55" s="43">
        <v>2536036.96</v>
      </c>
      <c r="Y55" s="43">
        <v>3043476.19</v>
      </c>
      <c r="AC55" s="43">
        <v>3905552.17</v>
      </c>
      <c r="AG55" s="43">
        <v>7506552.2400000002</v>
      </c>
      <c r="AK55" s="43">
        <v>1838614.23</v>
      </c>
      <c r="AO55" s="43">
        <v>1438804.71</v>
      </c>
      <c r="AS55" s="43">
        <v>1510959.01</v>
      </c>
      <c r="AW55" s="43">
        <v>2731701.54</v>
      </c>
      <c r="BA55" s="43">
        <v>-257469.06</v>
      </c>
    </row>
    <row r="56" spans="1:89" s="26" customFormat="1">
      <c r="A56" s="133" t="s">
        <v>93</v>
      </c>
      <c r="B56" s="44">
        <f>SUM(B52:B55)</f>
        <v>-21852</v>
      </c>
      <c r="C56" s="44">
        <f t="shared" ref="C56:D56" si="64">SUM(C52:C55)</f>
        <v>-28350</v>
      </c>
      <c r="D56" s="44">
        <f t="shared" si="64"/>
        <v>-35004</v>
      </c>
      <c r="E56" s="44">
        <f>SUM(E52:E55)</f>
        <v>-71808982.799999982</v>
      </c>
      <c r="F56" s="44">
        <f t="shared" ref="F56:BQ56" si="65">SUM(F52:F55)</f>
        <v>-30526</v>
      </c>
      <c r="G56" s="44">
        <f t="shared" si="65"/>
        <v>-22818</v>
      </c>
      <c r="H56" s="44">
        <f t="shared" si="65"/>
        <v>-15162</v>
      </c>
      <c r="I56" s="44">
        <f t="shared" si="65"/>
        <v>-154825748.21000001</v>
      </c>
      <c r="J56" s="44">
        <f t="shared" si="65"/>
        <v>0</v>
      </c>
      <c r="K56" s="44">
        <f t="shared" si="65"/>
        <v>0</v>
      </c>
      <c r="L56" s="44">
        <f t="shared" si="65"/>
        <v>0</v>
      </c>
      <c r="M56" s="44">
        <f t="shared" si="65"/>
        <v>-110112851.90999998</v>
      </c>
      <c r="N56" s="44">
        <f t="shared" si="65"/>
        <v>0</v>
      </c>
      <c r="O56" s="44">
        <f t="shared" si="65"/>
        <v>0</v>
      </c>
      <c r="P56" s="44">
        <f t="shared" si="65"/>
        <v>0</v>
      </c>
      <c r="Q56" s="44">
        <f t="shared" si="65"/>
        <v>-14860124.49</v>
      </c>
      <c r="R56" s="44">
        <f t="shared" si="65"/>
        <v>0</v>
      </c>
      <c r="S56" s="44">
        <f t="shared" si="65"/>
        <v>0</v>
      </c>
      <c r="T56" s="44">
        <f t="shared" si="65"/>
        <v>0</v>
      </c>
      <c r="U56" s="44">
        <f t="shared" si="65"/>
        <v>24609694.16</v>
      </c>
      <c r="V56" s="44">
        <f t="shared" si="65"/>
        <v>0</v>
      </c>
      <c r="W56" s="44">
        <f t="shared" si="65"/>
        <v>0</v>
      </c>
      <c r="X56" s="44">
        <f t="shared" si="65"/>
        <v>0</v>
      </c>
      <c r="Y56" s="44">
        <f t="shared" si="65"/>
        <v>-3052363.2399999979</v>
      </c>
      <c r="Z56" s="44">
        <f t="shared" si="65"/>
        <v>0</v>
      </c>
      <c r="AA56" s="44">
        <f t="shared" si="65"/>
        <v>0</v>
      </c>
      <c r="AB56" s="44">
        <f t="shared" si="65"/>
        <v>0</v>
      </c>
      <c r="AC56" s="44">
        <f t="shared" si="65"/>
        <v>-1018277.9200000037</v>
      </c>
      <c r="AD56" s="44">
        <f t="shared" si="65"/>
        <v>0</v>
      </c>
      <c r="AE56" s="44">
        <f t="shared" si="65"/>
        <v>0</v>
      </c>
      <c r="AF56" s="44">
        <f t="shared" si="65"/>
        <v>0</v>
      </c>
      <c r="AG56" s="44">
        <f t="shared" si="65"/>
        <v>33838215.660000004</v>
      </c>
      <c r="AH56" s="44">
        <f t="shared" si="65"/>
        <v>0</v>
      </c>
      <c r="AI56" s="44">
        <f t="shared" si="65"/>
        <v>0</v>
      </c>
      <c r="AJ56" s="44">
        <f t="shared" si="65"/>
        <v>0</v>
      </c>
      <c r="AK56" s="44">
        <f t="shared" si="65"/>
        <v>1472283.08</v>
      </c>
      <c r="AL56" s="44">
        <f t="shared" si="65"/>
        <v>0</v>
      </c>
      <c r="AM56" s="44">
        <f t="shared" si="65"/>
        <v>0</v>
      </c>
      <c r="AN56" s="44">
        <f t="shared" si="65"/>
        <v>0</v>
      </c>
      <c r="AO56" s="44">
        <f t="shared" si="65"/>
        <v>16888023.620000001</v>
      </c>
      <c r="AP56" s="44">
        <f t="shared" si="65"/>
        <v>0</v>
      </c>
      <c r="AQ56" s="44">
        <f t="shared" si="65"/>
        <v>0</v>
      </c>
      <c r="AR56" s="44">
        <f t="shared" si="65"/>
        <v>0</v>
      </c>
      <c r="AS56" s="44">
        <f t="shared" si="65"/>
        <v>50863428.170000002</v>
      </c>
      <c r="AT56" s="44">
        <f t="shared" si="65"/>
        <v>0</v>
      </c>
      <c r="AU56" s="44">
        <f t="shared" si="65"/>
        <v>0</v>
      </c>
      <c r="AV56" s="44">
        <f t="shared" si="65"/>
        <v>0</v>
      </c>
      <c r="AW56" s="44">
        <f t="shared" si="65"/>
        <v>54369761.779999994</v>
      </c>
      <c r="AX56" s="44">
        <f t="shared" si="65"/>
        <v>0</v>
      </c>
      <c r="AY56" s="44">
        <f t="shared" si="65"/>
        <v>0</v>
      </c>
      <c r="AZ56" s="44">
        <f t="shared" si="65"/>
        <v>0</v>
      </c>
      <c r="BA56" s="44">
        <f t="shared" si="65"/>
        <v>35112127.339999996</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row r="58" spans="1:89" ht="27">
      <c r="A58" s="134" t="s">
        <v>97</v>
      </c>
    </row>
    <row r="59" spans="1:89">
      <c r="A59" s="22" t="s">
        <v>96</v>
      </c>
      <c r="B59" s="189">
        <v>1584227980.47</v>
      </c>
      <c r="C59" s="189">
        <v>1252115198.22</v>
      </c>
      <c r="D59" s="189">
        <v>71363665.040000007</v>
      </c>
      <c r="E59" s="189">
        <v>56911886.579999998</v>
      </c>
      <c r="F59" s="189">
        <v>143446086.96000001</v>
      </c>
      <c r="G59" s="189">
        <v>109547882.89</v>
      </c>
      <c r="H59" s="189">
        <v>81141135.079999998</v>
      </c>
      <c r="I59" s="189">
        <v>17194037.879999999</v>
      </c>
      <c r="J59" s="189">
        <v>62438843.770000003</v>
      </c>
      <c r="K59" s="189">
        <v>54569171.240000002</v>
      </c>
      <c r="L59" s="189">
        <v>40045679.68</v>
      </c>
      <c r="M59" s="189">
        <v>23881463.609999999</v>
      </c>
      <c r="N59" s="189">
        <v>84484949.959999993</v>
      </c>
      <c r="O59" s="189">
        <v>76296914.819999993</v>
      </c>
      <c r="P59" s="189">
        <v>54892004.409999996</v>
      </c>
      <c r="Q59" s="189">
        <v>30465635.920000002</v>
      </c>
      <c r="R59" s="189">
        <v>103916778.45999999</v>
      </c>
      <c r="S59" s="189">
        <v>87239258.700000003</v>
      </c>
      <c r="T59" s="189">
        <v>58918964.82</v>
      </c>
      <c r="U59" s="189">
        <v>33671539.68</v>
      </c>
      <c r="V59" s="189">
        <v>110404709.40000001</v>
      </c>
      <c r="W59" s="189">
        <v>88123737.049999997</v>
      </c>
      <c r="X59" s="189">
        <v>65268710.880000003</v>
      </c>
      <c r="Y59" s="189">
        <v>41558536.93</v>
      </c>
      <c r="Z59" s="189">
        <v>59690369.5</v>
      </c>
      <c r="AA59" s="189">
        <v>48183018.789999999</v>
      </c>
      <c r="AB59" s="189">
        <v>38254813.789999999</v>
      </c>
      <c r="AC59" s="189">
        <v>28331281.190000001</v>
      </c>
      <c r="AD59" s="189">
        <v>47015072.409999996</v>
      </c>
      <c r="AE59" s="189">
        <v>40226884.530000001</v>
      </c>
      <c r="AF59" s="189">
        <v>28933110.57</v>
      </c>
      <c r="AG59" s="189">
        <v>22246540.73</v>
      </c>
      <c r="AH59" s="189">
        <v>37998568.450000003</v>
      </c>
      <c r="AI59" s="189">
        <v>28149980.620000001</v>
      </c>
      <c r="AJ59" s="189">
        <v>22572433.050000001</v>
      </c>
      <c r="AK59" s="189">
        <v>21140208.920000002</v>
      </c>
      <c r="AL59" s="189">
        <v>24670834.309999999</v>
      </c>
      <c r="AM59" s="189">
        <v>22059673.449999999</v>
      </c>
      <c r="AN59" s="189">
        <v>14891552.449999999</v>
      </c>
      <c r="AO59" s="189">
        <v>9517999.3599999994</v>
      </c>
      <c r="AP59" s="189">
        <v>27822630.969999999</v>
      </c>
      <c r="AQ59" s="189">
        <v>21369601.73</v>
      </c>
      <c r="AR59" s="189">
        <v>19460545.59</v>
      </c>
      <c r="AS59" s="189">
        <v>17833836.170000002</v>
      </c>
      <c r="AT59" s="189">
        <v>15582409.869999999</v>
      </c>
      <c r="AU59" s="189">
        <v>3983726.72</v>
      </c>
      <c r="AV59" s="189">
        <v>-2604622.35</v>
      </c>
      <c r="AW59" s="189">
        <v>2548623.61</v>
      </c>
      <c r="AX59" s="189">
        <v>30168110.469999999</v>
      </c>
      <c r="AY59" s="189">
        <v>27469901.609999999</v>
      </c>
      <c r="AZ59" s="189">
        <v>20432719.559999999</v>
      </c>
      <c r="BA59" s="189">
        <v>3609425.72</v>
      </c>
      <c r="BB59" s="189">
        <v>4076554.46</v>
      </c>
      <c r="BC59" s="189">
        <v>9138667.5600000005</v>
      </c>
      <c r="BD59" s="189">
        <v>8918177.6999999993</v>
      </c>
      <c r="BE59" s="189">
        <v>5540073.8600000003</v>
      </c>
      <c r="BF59" s="189">
        <v>4506857.16</v>
      </c>
      <c r="BG59" s="189">
        <v>6196105.6399999997</v>
      </c>
      <c r="BH59" s="189">
        <v>5656066.0700000003</v>
      </c>
      <c r="BI59" s="189">
        <v>2891990.45</v>
      </c>
      <c r="BJ59" s="189">
        <v>1580452.19</v>
      </c>
      <c r="BK59" s="189">
        <v>-27881548.289999999</v>
      </c>
      <c r="BL59" s="189">
        <v>-14883660.050000001</v>
      </c>
      <c r="BM59" s="189">
        <v>-5387537.8200000003</v>
      </c>
      <c r="BN59" s="189">
        <v>-63957906.840000004</v>
      </c>
      <c r="BO59" s="189">
        <v>-27199139.989999998</v>
      </c>
      <c r="BP59" s="189">
        <v>-9643197.7200000007</v>
      </c>
      <c r="BQ59" s="189">
        <v>93214.89</v>
      </c>
      <c r="BR59" s="189">
        <v>-44469219.770000003</v>
      </c>
      <c r="BS59" s="189">
        <v>4815314.17</v>
      </c>
      <c r="BT59" s="189">
        <v>44872394.950000003</v>
      </c>
      <c r="BU59" s="189">
        <v>9277399.7100000009</v>
      </c>
      <c r="BV59" s="189">
        <v>21292746.98</v>
      </c>
      <c r="BW59" s="189">
        <v>10384465.710000001</v>
      </c>
      <c r="BX59" s="189">
        <v>22621208.289999999</v>
      </c>
      <c r="BY59" s="189">
        <v>12555275.41</v>
      </c>
      <c r="BZ59" s="189">
        <v>24191988.809999999</v>
      </c>
      <c r="CA59" s="189">
        <v>12379958.41</v>
      </c>
      <c r="CB59" s="189">
        <v>20788858.93</v>
      </c>
      <c r="CC59" s="189">
        <v>11061541.02</v>
      </c>
      <c r="CD59" s="189">
        <v>20110859.32</v>
      </c>
      <c r="CE59" s="189">
        <v>0</v>
      </c>
      <c r="CF59" s="189">
        <v>0</v>
      </c>
      <c r="CG59" s="189">
        <v>54430000</v>
      </c>
      <c r="CH59" s="189">
        <v>80440000</v>
      </c>
      <c r="CI59" s="189">
        <v>58950000</v>
      </c>
      <c r="CJ59" s="189">
        <v>67670000</v>
      </c>
      <c r="CK59" s="189">
        <v>0</v>
      </c>
    </row>
    <row r="60" spans="1:89">
      <c r="A60" s="22" t="s">
        <v>95</v>
      </c>
      <c r="B60" s="189">
        <v>452461796.32999998</v>
      </c>
      <c r="C60" s="189">
        <v>340215168.69999999</v>
      </c>
      <c r="D60" s="189">
        <v>34282287.950000003</v>
      </c>
      <c r="E60" s="189">
        <v>23972240.73</v>
      </c>
      <c r="F60" s="189">
        <v>54031766.439999998</v>
      </c>
      <c r="G60" s="189">
        <v>45853772.200000003</v>
      </c>
      <c r="H60" s="189">
        <v>33330274.780000001</v>
      </c>
      <c r="I60" s="189">
        <v>6054997.7599999998</v>
      </c>
      <c r="J60" s="189">
        <v>23905475.600000001</v>
      </c>
      <c r="K60" s="189">
        <v>20012383.920000002</v>
      </c>
      <c r="L60" s="189">
        <v>14180752.26</v>
      </c>
      <c r="M60" s="189">
        <v>7921444.4800000004</v>
      </c>
      <c r="N60" s="189">
        <v>28550519.530000001</v>
      </c>
      <c r="O60" s="189">
        <v>25473728.359999999</v>
      </c>
      <c r="P60" s="189">
        <v>18568079.350000001</v>
      </c>
      <c r="Q60" s="189">
        <v>10252245.289999999</v>
      </c>
      <c r="R60" s="189">
        <v>34847594.359999999</v>
      </c>
      <c r="S60" s="189">
        <v>28092146.300000001</v>
      </c>
      <c r="T60" s="189">
        <v>20177594.719999999</v>
      </c>
      <c r="U60" s="189">
        <v>11305047.810000001</v>
      </c>
      <c r="V60" s="189">
        <v>28876557.469999999</v>
      </c>
      <c r="W60" s="189">
        <v>24600915.370000001</v>
      </c>
      <c r="X60" s="189">
        <v>16884488.02</v>
      </c>
      <c r="Y60" s="189">
        <v>8793023.4900000002</v>
      </c>
      <c r="Z60" s="189">
        <v>20178036.760000002</v>
      </c>
      <c r="AA60" s="189">
        <v>16292657.68</v>
      </c>
      <c r="AB60" s="189">
        <v>12928237.48</v>
      </c>
      <c r="AC60" s="189">
        <v>9502588.6199999992</v>
      </c>
      <c r="AD60" s="189">
        <v>17718063.43</v>
      </c>
      <c r="AE60" s="189">
        <v>13613279.27</v>
      </c>
      <c r="AF60" s="189">
        <v>9775934.6600000001</v>
      </c>
      <c r="AG60" s="189">
        <v>7453329.4699999997</v>
      </c>
      <c r="AH60" s="189">
        <v>10842258.98</v>
      </c>
      <c r="AI60" s="189">
        <v>7798910.2800000003</v>
      </c>
      <c r="AJ60" s="189">
        <v>5846727.6100000003</v>
      </c>
      <c r="AK60" s="189">
        <v>7097504.2800000003</v>
      </c>
      <c r="AL60" s="189">
        <v>9135226.6799999997</v>
      </c>
      <c r="AM60" s="189">
        <v>7431686.8600000003</v>
      </c>
      <c r="AN60" s="189">
        <v>4779689.05</v>
      </c>
      <c r="AO60" s="189">
        <v>3530300.9</v>
      </c>
      <c r="AP60" s="189">
        <v>4833540.62</v>
      </c>
      <c r="AQ60" s="189">
        <v>2167674.1800000002</v>
      </c>
      <c r="AR60" s="189">
        <v>1304464.5900000001</v>
      </c>
      <c r="AS60" s="189">
        <v>1845980.08</v>
      </c>
      <c r="AT60" s="189">
        <v>5954007.2599999998</v>
      </c>
      <c r="AU60" s="189">
        <v>1987668.79</v>
      </c>
      <c r="AV60" s="189">
        <v>-1243976.33</v>
      </c>
      <c r="AW60" s="189">
        <v>1255345.23</v>
      </c>
      <c r="AX60" s="189">
        <v>2462033.11</v>
      </c>
      <c r="AY60" s="189">
        <v>52016.01</v>
      </c>
      <c r="AZ60" s="189">
        <v>52016.01</v>
      </c>
      <c r="BA60" s="189">
        <v>0</v>
      </c>
      <c r="BB60" s="189">
        <v>48677.07</v>
      </c>
      <c r="BC60" s="189">
        <v>0</v>
      </c>
      <c r="BD60" s="189">
        <v>0</v>
      </c>
      <c r="BE60" s="189">
        <v>0</v>
      </c>
      <c r="BF60" s="189">
        <v>0</v>
      </c>
      <c r="BG60" s="189">
        <v>0</v>
      </c>
      <c r="BH60" s="189">
        <v>0</v>
      </c>
      <c r="BI60" s="189">
        <v>0</v>
      </c>
      <c r="BJ60" s="189">
        <v>6311.75</v>
      </c>
      <c r="BK60" s="189">
        <v>6311.75</v>
      </c>
      <c r="BL60" s="189">
        <v>6311.75</v>
      </c>
      <c r="BM60" s="189">
        <v>6311.75</v>
      </c>
      <c r="BN60" s="189">
        <v>38183.86</v>
      </c>
      <c r="BO60" s="189">
        <v>0</v>
      </c>
      <c r="BP60" s="189">
        <v>92477.19</v>
      </c>
      <c r="BQ60" s="189">
        <v>0</v>
      </c>
      <c r="BR60" s="189">
        <v>11007.36</v>
      </c>
      <c r="BS60" s="189">
        <v>2371721.91</v>
      </c>
      <c r="BT60" s="189">
        <v>8650186.2100000009</v>
      </c>
      <c r="BU60" s="189">
        <v>3091853.59</v>
      </c>
      <c r="BV60" s="189">
        <v>4582242.9400000004</v>
      </c>
      <c r="BW60" s="189">
        <v>1832552.77</v>
      </c>
      <c r="BX60" s="189">
        <v>6323681.9000000004</v>
      </c>
      <c r="BY60" s="189">
        <v>1509754.49</v>
      </c>
      <c r="BZ60" s="189">
        <v>11918748.050000001</v>
      </c>
      <c r="CA60" s="189">
        <v>6097591.46</v>
      </c>
      <c r="CB60" s="189">
        <v>10239288.720000001</v>
      </c>
      <c r="CC60" s="189">
        <v>5448221.6900000004</v>
      </c>
      <c r="CD60" s="189">
        <v>9905348.6199999992</v>
      </c>
      <c r="CE60" s="189">
        <v>0</v>
      </c>
      <c r="CF60" s="189">
        <v>0</v>
      </c>
      <c r="CG60" s="189">
        <v>4330000</v>
      </c>
      <c r="CH60" s="189">
        <v>4220000</v>
      </c>
      <c r="CI60" s="189">
        <v>12510000</v>
      </c>
      <c r="CJ60" s="189">
        <v>3630000</v>
      </c>
      <c r="CK60" s="189">
        <v>0</v>
      </c>
    </row>
    <row r="61" spans="1:89">
      <c r="A61" s="22" t="s">
        <v>94</v>
      </c>
      <c r="B61" s="189">
        <v>2036689776.8</v>
      </c>
      <c r="C61" s="189">
        <v>1592330366.9200001</v>
      </c>
      <c r="D61" s="189">
        <v>105645952.98999999</v>
      </c>
      <c r="E61" s="189">
        <v>80884127.310000002</v>
      </c>
      <c r="F61" s="189">
        <v>197477853.40000001</v>
      </c>
      <c r="G61" s="189">
        <v>155401655.09</v>
      </c>
      <c r="H61" s="189">
        <v>114471409.86</v>
      </c>
      <c r="I61" s="189">
        <v>23249035.640000001</v>
      </c>
      <c r="J61" s="189">
        <v>86344319.370000005</v>
      </c>
      <c r="K61" s="189">
        <v>74581555.159999996</v>
      </c>
      <c r="L61" s="189">
        <v>54226431.939999998</v>
      </c>
      <c r="M61" s="189">
        <v>31802908.09</v>
      </c>
      <c r="N61" s="189">
        <v>113035469.48999999</v>
      </c>
      <c r="O61" s="189">
        <v>101770643.18000001</v>
      </c>
      <c r="P61" s="189">
        <v>73460083.760000005</v>
      </c>
      <c r="Q61" s="189">
        <v>40717881.210000001</v>
      </c>
      <c r="R61" s="189">
        <v>138764372.81999999</v>
      </c>
      <c r="S61" s="189">
        <v>115331405</v>
      </c>
      <c r="T61" s="189">
        <v>79096559.540000007</v>
      </c>
      <c r="U61" s="189">
        <v>44976587.490000002</v>
      </c>
      <c r="V61" s="189">
        <v>139281266.87</v>
      </c>
      <c r="W61" s="189">
        <v>112724652.42</v>
      </c>
      <c r="X61" s="189">
        <v>82153198.900000006</v>
      </c>
      <c r="Y61" s="189">
        <v>50351560.420000002</v>
      </c>
      <c r="Z61" s="189">
        <v>79868406.260000005</v>
      </c>
      <c r="AA61" s="189">
        <v>58056706.810000002</v>
      </c>
      <c r="AB61" s="189">
        <v>51183051.270000003</v>
      </c>
      <c r="AC61" s="189">
        <v>37833869.810000002</v>
      </c>
      <c r="AD61" s="189">
        <v>64733135.840000004</v>
      </c>
      <c r="AE61" s="189">
        <v>53840163.799999997</v>
      </c>
      <c r="AF61" s="189">
        <v>38709045.229999997</v>
      </c>
      <c r="AG61" s="189">
        <v>29699870.199999999</v>
      </c>
      <c r="AH61" s="189">
        <v>48840827.43</v>
      </c>
      <c r="AI61" s="189">
        <v>35948890.899999999</v>
      </c>
      <c r="AJ61" s="189">
        <v>28419160.66</v>
      </c>
      <c r="AK61" s="189">
        <v>28237713.199999999</v>
      </c>
      <c r="AL61" s="189">
        <v>33806060.990000002</v>
      </c>
      <c r="AM61" s="189">
        <v>29491360.309999999</v>
      </c>
      <c r="AN61" s="189">
        <v>19671241.5</v>
      </c>
      <c r="AO61" s="189">
        <v>13048300.26</v>
      </c>
      <c r="AP61" s="189">
        <v>32656171.59</v>
      </c>
      <c r="AQ61" s="189">
        <v>23537275.91</v>
      </c>
      <c r="AR61" s="189">
        <v>20765010.18</v>
      </c>
      <c r="AS61" s="189">
        <v>19679816.25</v>
      </c>
      <c r="AT61" s="189">
        <v>21536417.129999999</v>
      </c>
      <c r="AU61" s="189">
        <v>5971395.5099999998</v>
      </c>
      <c r="AV61" s="189">
        <v>-3848598.68</v>
      </c>
      <c r="AW61" s="189">
        <v>3803968.84</v>
      </c>
      <c r="AX61" s="189">
        <v>32630143.579999998</v>
      </c>
      <c r="AY61" s="189">
        <v>27521917.620000001</v>
      </c>
      <c r="AZ61" s="189">
        <v>20484735.57</v>
      </c>
      <c r="BA61" s="189">
        <v>3609425.72</v>
      </c>
      <c r="BB61" s="189">
        <v>4125231.53</v>
      </c>
      <c r="BC61" s="189">
        <v>9138667.5600000005</v>
      </c>
      <c r="BD61" s="189">
        <v>8918177.6999999993</v>
      </c>
      <c r="BE61" s="189">
        <v>5540073.8600000003</v>
      </c>
      <c r="BF61" s="189">
        <v>4506857.16</v>
      </c>
      <c r="BG61" s="189">
        <v>6196105.6399999997</v>
      </c>
      <c r="BH61" s="189">
        <v>5656066.0700000003</v>
      </c>
      <c r="BI61" s="189">
        <v>2891990.45</v>
      </c>
      <c r="BJ61" s="189">
        <v>1586763.94</v>
      </c>
      <c r="BK61" s="189">
        <v>-27875236.539999999</v>
      </c>
      <c r="BL61" s="189">
        <v>-14877348.300000001</v>
      </c>
      <c r="BM61" s="189">
        <v>-5381226.0700000003</v>
      </c>
      <c r="BN61" s="189">
        <v>-63919722.979999997</v>
      </c>
      <c r="BO61" s="189">
        <v>-27199139.989999998</v>
      </c>
      <c r="BP61" s="189">
        <v>-9550720.5299999993</v>
      </c>
      <c r="BQ61" s="189">
        <v>93214.89</v>
      </c>
      <c r="BR61" s="189">
        <v>-39847351.799999997</v>
      </c>
      <c r="BS61" s="189">
        <v>7187036.0800000001</v>
      </c>
      <c r="BT61" s="189">
        <v>53522581.159999996</v>
      </c>
      <c r="BU61" s="189">
        <v>12369253.300000001</v>
      </c>
      <c r="BV61" s="189">
        <v>25874989.920000002</v>
      </c>
      <c r="BW61" s="189">
        <v>12217018.48</v>
      </c>
      <c r="BX61" s="189">
        <v>28944890.190000001</v>
      </c>
      <c r="BY61" s="189">
        <v>14065029.9</v>
      </c>
      <c r="BZ61" s="189">
        <v>36110736.859999999</v>
      </c>
      <c r="CA61" s="189">
        <v>18477549.870000001</v>
      </c>
      <c r="CB61" s="189">
        <v>31028147.649999999</v>
      </c>
      <c r="CC61" s="189">
        <v>16509762.710000001</v>
      </c>
      <c r="CD61" s="189">
        <v>30016207.940000001</v>
      </c>
      <c r="CE61" s="189">
        <v>0</v>
      </c>
      <c r="CF61" s="189">
        <v>0</v>
      </c>
      <c r="CG61" s="189">
        <v>58750000</v>
      </c>
      <c r="CH61" s="189">
        <v>84660000</v>
      </c>
      <c r="CI61" s="189">
        <v>71460000</v>
      </c>
      <c r="CJ61" s="189">
        <v>71300000</v>
      </c>
      <c r="CK61" s="189">
        <v>0</v>
      </c>
    </row>
    <row r="62" spans="1:89" ht="14.45">
      <c r="A62" s="22"/>
      <c r="B62" s="4"/>
      <c r="C62" s="4"/>
      <c r="D62" s="4"/>
      <c r="E62" s="156"/>
      <c r="F62" s="156"/>
      <c r="G62" s="156"/>
      <c r="H62" s="156"/>
      <c r="I62" s="156"/>
      <c r="J62" s="156"/>
      <c r="K62" s="156"/>
      <c r="L62" s="156"/>
      <c r="M62" s="156"/>
      <c r="N62" s="156"/>
      <c r="O62" s="156"/>
      <c r="P62" s="156"/>
      <c r="Q62" s="156"/>
      <c r="R62" s="156"/>
      <c r="S62" s="156"/>
      <c r="T62" s="156"/>
      <c r="U62" s="156"/>
      <c r="V62" s="156"/>
      <c r="W62" s="156"/>
      <c r="X62" s="156"/>
      <c r="Y62" s="156"/>
      <c r="Z62" s="156"/>
      <c r="AA62" s="156"/>
      <c r="AB62" s="156"/>
      <c r="AC62" s="156"/>
      <c r="AD62" s="156"/>
      <c r="AE62" s="156"/>
      <c r="AF62" s="156"/>
      <c r="AG62" s="156"/>
      <c r="AH62" s="156"/>
      <c r="AI62" s="156"/>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row>
    <row r="65" spans="1:89">
      <c r="A65" s="22" t="s">
        <v>98</v>
      </c>
      <c r="B65" s="189">
        <v>1846187716.4200001</v>
      </c>
      <c r="C65" s="189">
        <v>1450310211.1300001</v>
      </c>
      <c r="D65" s="189">
        <v>0</v>
      </c>
      <c r="E65" s="189">
        <v>0</v>
      </c>
      <c r="F65" s="189">
        <v>0</v>
      </c>
      <c r="G65" s="189">
        <v>0</v>
      </c>
      <c r="H65" s="189">
        <v>0</v>
      </c>
      <c r="I65" s="189">
        <v>0</v>
      </c>
      <c r="J65" s="189">
        <v>0</v>
      </c>
      <c r="K65" s="189">
        <v>0</v>
      </c>
      <c r="L65" s="189">
        <v>0</v>
      </c>
      <c r="M65" s="189">
        <v>0</v>
      </c>
      <c r="N65" s="189">
        <v>955750</v>
      </c>
      <c r="O65" s="189">
        <v>955750</v>
      </c>
      <c r="P65" s="189">
        <v>0</v>
      </c>
      <c r="Q65" s="189">
        <v>0</v>
      </c>
      <c r="R65" s="189">
        <v>4829200</v>
      </c>
      <c r="S65" s="189">
        <v>4829200</v>
      </c>
      <c r="T65" s="189">
        <v>0</v>
      </c>
      <c r="U65" s="189">
        <v>0</v>
      </c>
      <c r="V65" s="189">
        <v>625000</v>
      </c>
      <c r="W65" s="189">
        <v>625000</v>
      </c>
      <c r="X65" s="189">
        <v>0</v>
      </c>
      <c r="Y65" s="189">
        <v>0</v>
      </c>
      <c r="Z65" s="189">
        <v>3750000</v>
      </c>
      <c r="AA65" s="189">
        <v>3750000</v>
      </c>
      <c r="AB65" s="189">
        <v>0</v>
      </c>
      <c r="AC65" s="189">
        <v>0</v>
      </c>
      <c r="AD65" s="189">
        <v>0</v>
      </c>
      <c r="AE65" s="189">
        <v>0</v>
      </c>
      <c r="AF65" s="189">
        <v>0</v>
      </c>
      <c r="AG65" s="189">
        <v>0</v>
      </c>
      <c r="AH65" s="189">
        <v>5367333.3499999996</v>
      </c>
      <c r="AI65" s="189">
        <v>5367333.3499999996</v>
      </c>
      <c r="AJ65" s="189">
        <v>5108833.7</v>
      </c>
      <c r="AK65" s="189">
        <v>1364388.6</v>
      </c>
      <c r="AL65" s="189">
        <v>-257351.65</v>
      </c>
      <c r="AM65" s="189">
        <v>1436815.75</v>
      </c>
      <c r="AN65" s="189">
        <v>603902.77</v>
      </c>
      <c r="AO65" s="189">
        <v>-978148.56</v>
      </c>
      <c r="AP65" s="189">
        <v>14236997.41</v>
      </c>
      <c r="AQ65" s="189">
        <v>15021905.439999999</v>
      </c>
      <c r="AR65" s="189">
        <v>15597802.74</v>
      </c>
      <c r="AS65" s="189">
        <v>14129967.779999999</v>
      </c>
      <c r="AT65" s="189">
        <v>6078444.2599999998</v>
      </c>
      <c r="AU65" s="189">
        <v>1987541.73</v>
      </c>
      <c r="AV65" s="189">
        <v>1082858.17</v>
      </c>
      <c r="AW65" s="189">
        <v>-1383627.67</v>
      </c>
      <c r="AX65" s="189">
        <v>2473905.91</v>
      </c>
      <c r="AY65" s="189">
        <v>61418.26</v>
      </c>
      <c r="AZ65" s="189">
        <v>380039.99</v>
      </c>
      <c r="BA65" s="189">
        <v>-1546402.37</v>
      </c>
      <c r="BB65" s="189">
        <v>-811144.49</v>
      </c>
      <c r="BC65" s="189">
        <v>-706478.82</v>
      </c>
      <c r="BD65" s="189">
        <v>-440429.37</v>
      </c>
      <c r="BE65" s="189">
        <v>-1247584.1100000001</v>
      </c>
      <c r="BF65" s="189">
        <v>-3075827.53</v>
      </c>
      <c r="BG65" s="189">
        <v>-261312.94</v>
      </c>
      <c r="BH65" s="189">
        <v>173901.5</v>
      </c>
      <c r="BI65" s="189">
        <v>135884.13</v>
      </c>
      <c r="BJ65" s="189">
        <v>1126588.4099999999</v>
      </c>
      <c r="BK65" s="189">
        <v>885635.35</v>
      </c>
      <c r="BL65" s="189">
        <v>870605.37</v>
      </c>
      <c r="BM65" s="189">
        <v>542065.75</v>
      </c>
      <c r="BN65" s="189">
        <v>-17215676.059999999</v>
      </c>
      <c r="BO65" s="189">
        <v>-9031138.9000000004</v>
      </c>
      <c r="BP65" s="189">
        <v>-2297328.16</v>
      </c>
      <c r="BQ65" s="189">
        <v>-447559.93</v>
      </c>
      <c r="BR65" s="189">
        <v>-7253243.5800000001</v>
      </c>
      <c r="BS65" s="189">
        <v>0</v>
      </c>
      <c r="BT65" s="189">
        <v>3919490.34</v>
      </c>
      <c r="BU65" s="189">
        <v>3000000</v>
      </c>
      <c r="BV65" s="189">
        <v>-3250510.98</v>
      </c>
      <c r="BW65" s="189">
        <v>0</v>
      </c>
      <c r="BX65" s="189">
        <v>-2745614.49</v>
      </c>
      <c r="BY65" s="189">
        <v>0</v>
      </c>
      <c r="BZ65" s="189">
        <v>1075817.82</v>
      </c>
      <c r="CA65" s="189">
        <v>40000</v>
      </c>
      <c r="CB65" s="189">
        <v>-27004.75</v>
      </c>
      <c r="CC65" s="189">
        <v>-113064.75</v>
      </c>
      <c r="CD65" s="189">
        <v>-621426.89</v>
      </c>
      <c r="CE65" s="189">
        <v>0</v>
      </c>
      <c r="CF65" s="189">
        <v>0</v>
      </c>
      <c r="CG65" s="189">
        <v>0</v>
      </c>
      <c r="CH65" s="189">
        <v>0</v>
      </c>
      <c r="CI65" s="189">
        <v>0</v>
      </c>
      <c r="CJ65" s="189">
        <v>0</v>
      </c>
      <c r="CK65" s="189">
        <v>0</v>
      </c>
    </row>
    <row r="66" spans="1:89">
      <c r="A66" s="22" t="s">
        <v>99</v>
      </c>
      <c r="B66" s="189">
        <v>0</v>
      </c>
      <c r="C66" s="189">
        <v>0</v>
      </c>
      <c r="D66" s="189">
        <v>0</v>
      </c>
      <c r="E66" s="189">
        <v>0</v>
      </c>
      <c r="F66" s="189">
        <v>0</v>
      </c>
      <c r="G66" s="189">
        <v>0</v>
      </c>
      <c r="H66" s="189">
        <v>0</v>
      </c>
      <c r="I66" s="189">
        <v>0</v>
      </c>
      <c r="J66" s="189">
        <v>0</v>
      </c>
      <c r="K66" s="189">
        <v>0</v>
      </c>
      <c r="L66" s="189">
        <v>0</v>
      </c>
      <c r="M66" s="189">
        <v>0</v>
      </c>
      <c r="N66" s="189">
        <v>0</v>
      </c>
      <c r="O66" s="189">
        <v>0</v>
      </c>
      <c r="P66" s="189">
        <v>0</v>
      </c>
      <c r="Q66" s="189">
        <v>0</v>
      </c>
      <c r="R66" s="189">
        <v>0</v>
      </c>
      <c r="S66" s="189">
        <v>0</v>
      </c>
      <c r="T66" s="189">
        <v>0</v>
      </c>
      <c r="U66" s="189">
        <v>0</v>
      </c>
      <c r="V66" s="189">
        <v>0</v>
      </c>
      <c r="W66" s="189">
        <v>0</v>
      </c>
      <c r="X66" s="189">
        <v>0</v>
      </c>
      <c r="Y66" s="189">
        <v>0</v>
      </c>
      <c r="Z66" s="189">
        <v>0</v>
      </c>
      <c r="AA66" s="189">
        <v>0</v>
      </c>
      <c r="AB66" s="189">
        <v>0</v>
      </c>
      <c r="AC66" s="189">
        <v>0</v>
      </c>
      <c r="AD66" s="189">
        <v>0</v>
      </c>
      <c r="AE66" s="189">
        <v>0</v>
      </c>
      <c r="AF66" s="189">
        <v>0</v>
      </c>
      <c r="AG66" s="189">
        <v>0</v>
      </c>
      <c r="AH66" s="189">
        <v>5367333.3499999996</v>
      </c>
      <c r="AI66" s="189">
        <v>5367333.3499999996</v>
      </c>
      <c r="AJ66" s="189">
        <v>0</v>
      </c>
      <c r="AK66" s="189">
        <v>1364388.6</v>
      </c>
      <c r="AL66" s="189">
        <v>-257351.65</v>
      </c>
      <c r="AM66" s="189">
        <v>1436815.75</v>
      </c>
      <c r="AN66" s="189">
        <v>603902.77</v>
      </c>
      <c r="AO66" s="189">
        <v>0</v>
      </c>
      <c r="AP66" s="189">
        <v>14236997.41</v>
      </c>
      <c r="AQ66" s="189">
        <v>0</v>
      </c>
      <c r="AR66" s="189">
        <v>0</v>
      </c>
      <c r="AS66" s="189">
        <v>14129967.779999999</v>
      </c>
      <c r="AT66" s="189">
        <v>5037313.24</v>
      </c>
      <c r="AU66" s="189">
        <v>0</v>
      </c>
      <c r="AV66" s="189">
        <v>0</v>
      </c>
      <c r="AW66" s="189">
        <v>-1383627.67</v>
      </c>
      <c r="AX66" s="189">
        <v>0</v>
      </c>
      <c r="AY66" s="189">
        <v>0</v>
      </c>
      <c r="AZ66" s="189">
        <v>0</v>
      </c>
      <c r="BA66" s="189">
        <v>0</v>
      </c>
      <c r="BB66" s="189">
        <v>0</v>
      </c>
      <c r="BC66" s="189">
        <v>0</v>
      </c>
      <c r="BD66" s="189">
        <v>0</v>
      </c>
      <c r="BE66" s="189">
        <v>0</v>
      </c>
      <c r="BF66" s="189">
        <v>0</v>
      </c>
      <c r="BG66" s="189">
        <v>0</v>
      </c>
      <c r="BH66" s="189">
        <v>0</v>
      </c>
      <c r="BI66" s="189">
        <v>0</v>
      </c>
      <c r="BJ66" s="189">
        <v>0</v>
      </c>
      <c r="BK66" s="189">
        <v>0</v>
      </c>
      <c r="BL66" s="189">
        <v>0</v>
      </c>
      <c r="BM66" s="189">
        <v>0</v>
      </c>
      <c r="BN66" s="189">
        <v>0</v>
      </c>
      <c r="BO66" s="189">
        <v>0</v>
      </c>
      <c r="BP66" s="189">
        <v>0</v>
      </c>
      <c r="BQ66" s="189">
        <v>0</v>
      </c>
      <c r="BR66" s="189">
        <v>0</v>
      </c>
      <c r="BS66" s="189">
        <v>0</v>
      </c>
      <c r="BT66" s="189">
        <v>0</v>
      </c>
      <c r="BU66" s="189">
        <v>0</v>
      </c>
      <c r="BV66" s="189">
        <v>0</v>
      </c>
      <c r="BW66" s="189">
        <v>0</v>
      </c>
      <c r="BX66" s="189">
        <v>0</v>
      </c>
      <c r="BY66" s="189">
        <v>0</v>
      </c>
      <c r="BZ66" s="189">
        <v>0</v>
      </c>
      <c r="CA66" s="189">
        <v>0</v>
      </c>
      <c r="CB66" s="189">
        <v>0</v>
      </c>
      <c r="CC66" s="189">
        <v>0</v>
      </c>
      <c r="CD66" s="189">
        <v>0</v>
      </c>
      <c r="CE66" s="189">
        <v>0</v>
      </c>
      <c r="CF66" s="189">
        <v>0</v>
      </c>
      <c r="CG66" s="189">
        <v>0</v>
      </c>
      <c r="CH66" s="189">
        <v>0</v>
      </c>
      <c r="CI66" s="189">
        <v>0</v>
      </c>
      <c r="CJ66" s="189">
        <v>0</v>
      </c>
      <c r="CK66" s="189">
        <v>0</v>
      </c>
    </row>
    <row r="67" spans="1:89">
      <c r="A67" s="22" t="s">
        <v>100</v>
      </c>
      <c r="B67" s="4">
        <f>B65-B66</f>
        <v>1846187716.4200001</v>
      </c>
      <c r="C67" s="4">
        <f t="shared" ref="C67:BN67" si="67">C65-C66</f>
        <v>1450310211.1300001</v>
      </c>
      <c r="D67" s="4">
        <f t="shared" si="67"/>
        <v>0</v>
      </c>
      <c r="E67" s="4">
        <f t="shared" si="67"/>
        <v>0</v>
      </c>
      <c r="F67" s="4">
        <f t="shared" si="67"/>
        <v>0</v>
      </c>
      <c r="G67" s="4">
        <f t="shared" si="67"/>
        <v>0</v>
      </c>
      <c r="H67" s="4">
        <f t="shared" si="67"/>
        <v>0</v>
      </c>
      <c r="I67" s="4">
        <f t="shared" si="67"/>
        <v>0</v>
      </c>
      <c r="J67" s="4">
        <f t="shared" si="67"/>
        <v>0</v>
      </c>
      <c r="K67" s="4">
        <f t="shared" si="67"/>
        <v>0</v>
      </c>
      <c r="L67" s="4">
        <f t="shared" si="67"/>
        <v>0</v>
      </c>
      <c r="M67" s="4">
        <f t="shared" si="67"/>
        <v>0</v>
      </c>
      <c r="N67" s="4">
        <f t="shared" si="67"/>
        <v>955750</v>
      </c>
      <c r="O67" s="4">
        <f t="shared" si="67"/>
        <v>955750</v>
      </c>
      <c r="P67" s="4">
        <f t="shared" si="67"/>
        <v>0</v>
      </c>
      <c r="Q67" s="4">
        <f t="shared" si="67"/>
        <v>0</v>
      </c>
      <c r="R67" s="4">
        <f t="shared" si="67"/>
        <v>4829200</v>
      </c>
      <c r="S67" s="4">
        <f t="shared" si="67"/>
        <v>4829200</v>
      </c>
      <c r="T67" s="4">
        <f t="shared" si="67"/>
        <v>0</v>
      </c>
      <c r="U67" s="4">
        <f t="shared" si="67"/>
        <v>0</v>
      </c>
      <c r="V67" s="4">
        <f t="shared" si="67"/>
        <v>625000</v>
      </c>
      <c r="W67" s="4">
        <f t="shared" si="67"/>
        <v>625000</v>
      </c>
      <c r="X67" s="4">
        <f t="shared" si="67"/>
        <v>0</v>
      </c>
      <c r="Y67" s="4">
        <f t="shared" si="67"/>
        <v>0</v>
      </c>
      <c r="Z67" s="4">
        <f t="shared" si="67"/>
        <v>3750000</v>
      </c>
      <c r="AA67" s="4">
        <f t="shared" si="67"/>
        <v>3750000</v>
      </c>
      <c r="AB67" s="4">
        <f t="shared" si="67"/>
        <v>0</v>
      </c>
      <c r="AC67" s="4">
        <f t="shared" si="67"/>
        <v>0</v>
      </c>
      <c r="AD67" s="4">
        <f t="shared" si="67"/>
        <v>0</v>
      </c>
      <c r="AE67" s="4">
        <f t="shared" si="67"/>
        <v>0</v>
      </c>
      <c r="AF67" s="4">
        <f t="shared" si="67"/>
        <v>0</v>
      </c>
      <c r="AG67" s="4">
        <f t="shared" si="67"/>
        <v>0</v>
      </c>
      <c r="AH67" s="4">
        <f t="shared" si="67"/>
        <v>0</v>
      </c>
      <c r="AI67" s="4">
        <f t="shared" si="67"/>
        <v>0</v>
      </c>
      <c r="AJ67" s="4">
        <f t="shared" si="67"/>
        <v>5108833.7</v>
      </c>
      <c r="AK67" s="4">
        <f t="shared" si="67"/>
        <v>0</v>
      </c>
      <c r="AL67" s="4">
        <f t="shared" si="67"/>
        <v>0</v>
      </c>
      <c r="AM67" s="4">
        <f t="shared" si="67"/>
        <v>0</v>
      </c>
      <c r="AN67" s="4">
        <f t="shared" si="67"/>
        <v>0</v>
      </c>
      <c r="AO67" s="4">
        <f t="shared" si="67"/>
        <v>-978148.56</v>
      </c>
      <c r="AP67" s="4">
        <f t="shared" si="67"/>
        <v>0</v>
      </c>
      <c r="AQ67" s="4">
        <f t="shared" si="67"/>
        <v>15021905.439999999</v>
      </c>
      <c r="AR67" s="4">
        <f t="shared" si="67"/>
        <v>15597802.74</v>
      </c>
      <c r="AS67" s="4">
        <f t="shared" si="67"/>
        <v>0</v>
      </c>
      <c r="AT67" s="4">
        <f t="shared" si="67"/>
        <v>1041131.0199999996</v>
      </c>
      <c r="AU67" s="4">
        <f t="shared" si="67"/>
        <v>1987541.73</v>
      </c>
      <c r="AV67" s="4">
        <f t="shared" si="67"/>
        <v>1082858.17</v>
      </c>
      <c r="AW67" s="4">
        <f t="shared" si="67"/>
        <v>0</v>
      </c>
      <c r="AX67" s="4">
        <f t="shared" si="67"/>
        <v>2473905.91</v>
      </c>
      <c r="AY67" s="4">
        <f t="shared" si="67"/>
        <v>61418.26</v>
      </c>
      <c r="AZ67" s="4">
        <f t="shared" si="67"/>
        <v>380039.99</v>
      </c>
      <c r="BA67" s="4">
        <f t="shared" si="67"/>
        <v>-1546402.37</v>
      </c>
      <c r="BB67" s="4">
        <f t="shared" si="67"/>
        <v>-811144.49</v>
      </c>
      <c r="BC67" s="4">
        <f t="shared" si="67"/>
        <v>-706478.82</v>
      </c>
      <c r="BD67" s="4">
        <f t="shared" si="67"/>
        <v>-440429.37</v>
      </c>
      <c r="BE67" s="4">
        <f t="shared" si="67"/>
        <v>-1247584.1100000001</v>
      </c>
      <c r="BF67" s="4">
        <f t="shared" si="67"/>
        <v>-3075827.53</v>
      </c>
      <c r="BG67" s="4">
        <f t="shared" si="67"/>
        <v>-261312.94</v>
      </c>
      <c r="BH67" s="4">
        <f t="shared" si="67"/>
        <v>173901.5</v>
      </c>
      <c r="BI67" s="4">
        <f t="shared" si="67"/>
        <v>135884.13</v>
      </c>
      <c r="BJ67" s="4">
        <f t="shared" si="67"/>
        <v>1126588.4099999999</v>
      </c>
      <c r="BK67" s="4">
        <f t="shared" si="67"/>
        <v>885635.35</v>
      </c>
      <c r="BL67" s="4">
        <f t="shared" si="67"/>
        <v>870605.37</v>
      </c>
      <c r="BM67" s="4">
        <f t="shared" si="67"/>
        <v>542065.75</v>
      </c>
      <c r="BN67" s="4">
        <f t="shared" si="67"/>
        <v>-17215676.059999999</v>
      </c>
      <c r="BO67" s="4">
        <f t="shared" ref="BO67:CJ67" si="68">BO65-BO66</f>
        <v>-9031138.9000000004</v>
      </c>
      <c r="BP67" s="4">
        <f t="shared" si="68"/>
        <v>-2297328.16</v>
      </c>
      <c r="BQ67" s="4">
        <f t="shared" si="68"/>
        <v>-447559.93</v>
      </c>
      <c r="BR67" s="4">
        <f t="shared" si="68"/>
        <v>-7253243.5800000001</v>
      </c>
      <c r="BS67" s="4">
        <f t="shared" si="68"/>
        <v>0</v>
      </c>
      <c r="BT67" s="4">
        <f t="shared" si="68"/>
        <v>3919490.34</v>
      </c>
      <c r="BU67" s="4">
        <f t="shared" si="68"/>
        <v>3000000</v>
      </c>
      <c r="BV67" s="4">
        <f t="shared" si="68"/>
        <v>-3250510.98</v>
      </c>
      <c r="BW67" s="4">
        <f t="shared" si="68"/>
        <v>0</v>
      </c>
      <c r="BX67" s="4">
        <f t="shared" si="68"/>
        <v>-2745614.49</v>
      </c>
      <c r="BY67" s="4">
        <f t="shared" si="68"/>
        <v>0</v>
      </c>
      <c r="BZ67" s="4">
        <f t="shared" si="68"/>
        <v>1075817.82</v>
      </c>
      <c r="CA67" s="4">
        <f t="shared" si="68"/>
        <v>40000</v>
      </c>
      <c r="CB67" s="4">
        <f t="shared" si="68"/>
        <v>-27004.75</v>
      </c>
      <c r="CC67" s="4">
        <f t="shared" si="68"/>
        <v>-113064.75</v>
      </c>
      <c r="CD67" s="4">
        <f t="shared" si="68"/>
        <v>-621426.89</v>
      </c>
      <c r="CE67" s="4">
        <f t="shared" si="68"/>
        <v>0</v>
      </c>
      <c r="CF67" s="4">
        <f t="shared" si="68"/>
        <v>0</v>
      </c>
      <c r="CG67" s="4">
        <f t="shared" si="68"/>
        <v>0</v>
      </c>
      <c r="CH67" s="4">
        <f t="shared" si="68"/>
        <v>0</v>
      </c>
      <c r="CI67" s="4">
        <f t="shared" si="68"/>
        <v>0</v>
      </c>
      <c r="CJ67" s="4">
        <f t="shared" si="68"/>
        <v>0</v>
      </c>
      <c r="CK67" s="4"/>
    </row>
    <row r="68" spans="1:89">
      <c r="A68" s="22" t="s">
        <v>101</v>
      </c>
      <c r="B68" s="189">
        <v>57381553.920000002</v>
      </c>
      <c r="C68" s="189">
        <v>53495305.600000001</v>
      </c>
      <c r="D68" s="189">
        <v>36016379.780000001</v>
      </c>
      <c r="E68" s="189">
        <v>17793005.82</v>
      </c>
      <c r="F68" s="189">
        <v>71405408.109999999</v>
      </c>
      <c r="G68" s="189">
        <v>54992668.07</v>
      </c>
      <c r="H68" s="189">
        <v>36627878.390000001</v>
      </c>
      <c r="I68" s="189">
        <v>3661899.64</v>
      </c>
      <c r="J68" s="189">
        <v>15272167.689999999</v>
      </c>
      <c r="K68" s="189">
        <v>12246412.49</v>
      </c>
      <c r="L68" s="189">
        <v>8842728.9800000004</v>
      </c>
      <c r="M68" s="189">
        <v>4837244.72</v>
      </c>
      <c r="N68" s="189">
        <v>6766191.8600000003</v>
      </c>
      <c r="O68" s="189">
        <v>6695398.2599999998</v>
      </c>
      <c r="P68" s="189">
        <v>2277650.1</v>
      </c>
      <c r="Q68" s="189">
        <v>2541007.7799999998</v>
      </c>
      <c r="R68" s="189">
        <v>-2798144.5</v>
      </c>
      <c r="S68" s="189">
        <v>-2470934.92</v>
      </c>
      <c r="T68" s="189">
        <v>-3535951.69</v>
      </c>
      <c r="U68" s="189">
        <v>175861.12</v>
      </c>
      <c r="V68" s="189">
        <v>-6316810.3099999996</v>
      </c>
      <c r="W68" s="189">
        <v>-2279958.35</v>
      </c>
      <c r="X68" s="189">
        <v>-2640613.79</v>
      </c>
      <c r="Y68" s="189">
        <v>-947478.18</v>
      </c>
      <c r="Z68" s="189">
        <v>3720930.58</v>
      </c>
      <c r="AA68" s="189">
        <v>3016662.69</v>
      </c>
      <c r="AB68" s="189">
        <v>1992431.47</v>
      </c>
      <c r="AC68" s="189">
        <v>649700.30000000005</v>
      </c>
      <c r="AD68" s="189">
        <v>5521010.8899999997</v>
      </c>
      <c r="AE68" s="189">
        <v>5064863.25</v>
      </c>
      <c r="AF68" s="189">
        <v>3531105.04</v>
      </c>
      <c r="AG68" s="189">
        <v>2222194.7000000002</v>
      </c>
      <c r="AH68" s="189">
        <v>9185948.9900000002</v>
      </c>
      <c r="AI68" s="189">
        <v>7148964.8899999997</v>
      </c>
      <c r="AJ68" s="189">
        <v>3804809.59</v>
      </c>
      <c r="AK68" s="189">
        <v>2362966.94</v>
      </c>
      <c r="AL68" s="189">
        <v>15716994.73</v>
      </c>
      <c r="AM68" s="189">
        <v>12838177.26</v>
      </c>
      <c r="AN68" s="189">
        <v>9883939.6699999999</v>
      </c>
      <c r="AO68" s="189">
        <v>4829366.84</v>
      </c>
      <c r="AP68" s="189">
        <v>26873512.890000001</v>
      </c>
      <c r="AQ68" s="189">
        <v>20338394.739999998</v>
      </c>
      <c r="AR68" s="189">
        <v>13896936.01</v>
      </c>
      <c r="AS68" s="189">
        <v>7838708.1699999999</v>
      </c>
      <c r="AT68" s="189">
        <v>23198276.48</v>
      </c>
      <c r="AU68" s="189">
        <v>17284716.18</v>
      </c>
      <c r="AV68" s="189">
        <v>11284636.890000001</v>
      </c>
      <c r="AW68" s="189">
        <v>5536107.2400000002</v>
      </c>
      <c r="AX68" s="189">
        <v>20588166.149999999</v>
      </c>
      <c r="AY68" s="189">
        <v>15491387.26</v>
      </c>
      <c r="AZ68" s="189">
        <v>10155468</v>
      </c>
      <c r="BA68" s="189">
        <v>5102412.9400000004</v>
      </c>
      <c r="BB68" s="189">
        <v>20311220.280000001</v>
      </c>
      <c r="BC68" s="189">
        <v>14791670.08</v>
      </c>
      <c r="BD68" s="189">
        <v>10948932.130000001</v>
      </c>
      <c r="BE68" s="189">
        <v>5103790.47</v>
      </c>
      <c r="BF68" s="189">
        <v>23957003.359999999</v>
      </c>
      <c r="BG68" s="189">
        <v>18185802.100000001</v>
      </c>
      <c r="BH68" s="189">
        <v>12138505.26</v>
      </c>
      <c r="BI68" s="189">
        <v>6332527.2199999997</v>
      </c>
      <c r="BJ68" s="189">
        <v>28136194.620000001</v>
      </c>
      <c r="BK68" s="189">
        <v>22969624.489999998</v>
      </c>
      <c r="BL68" s="189">
        <v>15189327.359999999</v>
      </c>
      <c r="BM68" s="189">
        <v>8781317.4600000009</v>
      </c>
      <c r="BN68" s="189">
        <v>28262058.370000001</v>
      </c>
      <c r="BO68" s="189">
        <v>20824824.140000001</v>
      </c>
      <c r="BP68" s="189">
        <v>13802557.720000001</v>
      </c>
      <c r="BQ68" s="189">
        <v>7078588.29</v>
      </c>
      <c r="BR68" s="189">
        <v>28662763.859999999</v>
      </c>
      <c r="BS68" s="189">
        <v>13277576.35</v>
      </c>
      <c r="BT68" s="189">
        <v>26518955.510000002</v>
      </c>
      <c r="BU68" s="189">
        <v>12759034.49</v>
      </c>
      <c r="BV68" s="189">
        <v>21672424.699999999</v>
      </c>
      <c r="BW68" s="189">
        <v>12237806.33</v>
      </c>
      <c r="BX68" s="189">
        <v>24380904.510000002</v>
      </c>
      <c r="BY68" s="189">
        <v>11280993.73</v>
      </c>
      <c r="BZ68" s="189">
        <v>14667390.84</v>
      </c>
      <c r="CA68" s="189">
        <v>8976099.0500000007</v>
      </c>
      <c r="CB68" s="189">
        <v>10115605.449999999</v>
      </c>
      <c r="CC68" s="189">
        <v>5783613.1900000004</v>
      </c>
      <c r="CD68" s="189">
        <v>4451597.3</v>
      </c>
      <c r="CE68" s="189">
        <v>0</v>
      </c>
      <c r="CF68" s="189">
        <v>0</v>
      </c>
      <c r="CG68" s="189">
        <v>0</v>
      </c>
      <c r="CH68" s="189">
        <v>0</v>
      </c>
      <c r="CI68" s="189">
        <v>0</v>
      </c>
      <c r="CJ68" s="189">
        <v>0</v>
      </c>
      <c r="CK68" s="189">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189">
        <v>3025280205.8699999</v>
      </c>
      <c r="C70" s="189">
        <v>3006405598.02</v>
      </c>
      <c r="D70" s="189">
        <v>1825654064.8399999</v>
      </c>
      <c r="E70" s="189">
        <v>1892747867.5599999</v>
      </c>
      <c r="F70" s="189">
        <v>1832599943.4000001</v>
      </c>
      <c r="G70" s="189">
        <v>1798701739.3299999</v>
      </c>
      <c r="H70" s="189">
        <v>1770338792.6199999</v>
      </c>
      <c r="I70" s="189">
        <v>1260652933.3900001</v>
      </c>
      <c r="J70" s="189">
        <v>1243458895.51</v>
      </c>
      <c r="K70" s="189">
        <v>1236106373.8199999</v>
      </c>
      <c r="L70" s="189">
        <v>1221065731.4200001</v>
      </c>
      <c r="M70" s="189">
        <v>1204901515.3499999</v>
      </c>
      <c r="N70" s="189">
        <v>1181020051.74</v>
      </c>
      <c r="O70" s="189">
        <v>1172832016.5999999</v>
      </c>
      <c r="P70" s="189">
        <v>1151427106.1900001</v>
      </c>
      <c r="Q70" s="189">
        <v>1127000737.7</v>
      </c>
      <c r="R70" s="189">
        <v>1096535101.78</v>
      </c>
      <c r="S70" s="189">
        <v>1079857582.02</v>
      </c>
      <c r="T70" s="189">
        <v>1051537288.14</v>
      </c>
      <c r="U70" s="189">
        <v>1063176625.7</v>
      </c>
      <c r="V70" s="189">
        <v>1029505086.02</v>
      </c>
      <c r="W70" s="189">
        <v>1006907127.09</v>
      </c>
      <c r="X70" s="189">
        <v>984052100.91999996</v>
      </c>
      <c r="Y70" s="189">
        <v>1004606042.21</v>
      </c>
      <c r="Z70" s="189">
        <v>475514214.12</v>
      </c>
      <c r="AA70" s="189">
        <v>459792901.31</v>
      </c>
      <c r="AB70" s="189">
        <v>454078658.41000003</v>
      </c>
      <c r="AC70" s="189">
        <v>444155125.81</v>
      </c>
      <c r="AD70" s="189">
        <v>415823844.62</v>
      </c>
      <c r="AE70" s="189">
        <v>409035656.74000001</v>
      </c>
      <c r="AF70" s="189">
        <v>397741882.77999997</v>
      </c>
      <c r="AG70" s="189">
        <v>391055312.94</v>
      </c>
      <c r="AH70" s="189">
        <v>368808772.20999998</v>
      </c>
      <c r="AI70" s="189">
        <v>358512487.64999998</v>
      </c>
      <c r="AJ70" s="189">
        <v>427522732.19</v>
      </c>
      <c r="AK70" s="189">
        <v>443394742.75</v>
      </c>
      <c r="AL70" s="189">
        <v>424118892.72000003</v>
      </c>
      <c r="AM70" s="189">
        <v>394453286.04000002</v>
      </c>
      <c r="AN70" s="189">
        <v>387285165.04000002</v>
      </c>
      <c r="AO70" s="189">
        <v>381911611.94999999</v>
      </c>
      <c r="AP70" s="189">
        <v>372393612.58999997</v>
      </c>
      <c r="AQ70" s="189">
        <v>411734341.67000002</v>
      </c>
      <c r="AR70" s="189">
        <v>409825285.52999997</v>
      </c>
      <c r="AS70" s="189">
        <v>408198576.11000001</v>
      </c>
      <c r="AT70" s="189">
        <v>402668298.98000002</v>
      </c>
      <c r="AU70" s="189">
        <v>313536460.55000001</v>
      </c>
      <c r="AV70" s="189">
        <v>306948111.45999998</v>
      </c>
      <c r="AW70" s="189">
        <v>312101357.42000002</v>
      </c>
      <c r="AX70" s="189">
        <v>307464607.69999999</v>
      </c>
      <c r="AY70" s="189">
        <v>305357937.17000002</v>
      </c>
      <c r="AZ70" s="189">
        <v>298320755.12</v>
      </c>
      <c r="BA70" s="189">
        <v>251481771.25999999</v>
      </c>
      <c r="BB70" s="189">
        <v>247872345.53999999</v>
      </c>
      <c r="BC70" s="189">
        <v>253888215.91999999</v>
      </c>
      <c r="BD70" s="189">
        <v>253667726.06</v>
      </c>
      <c r="BE70" s="189">
        <v>250289622.22</v>
      </c>
      <c r="BF70" s="189">
        <v>243795791.08000001</v>
      </c>
      <c r="BG70" s="189">
        <v>245687225.88</v>
      </c>
      <c r="BH70" s="189">
        <v>245147186.31</v>
      </c>
      <c r="BI70" s="189">
        <v>242845021.66999999</v>
      </c>
      <c r="BJ70" s="189">
        <v>239514177.38</v>
      </c>
      <c r="BK70" s="189">
        <v>210294897.24000001</v>
      </c>
      <c r="BL70" s="189">
        <v>223362506.66</v>
      </c>
      <c r="BM70" s="189">
        <v>232189702.96000001</v>
      </c>
      <c r="BN70" s="189">
        <v>237701944.78</v>
      </c>
      <c r="BO70" s="189">
        <v>286432068</v>
      </c>
      <c r="BP70" s="189">
        <v>310236227.31999999</v>
      </c>
      <c r="BQ70" s="189">
        <v>314333402.69999999</v>
      </c>
      <c r="BR70" s="189">
        <v>298062488.18000001</v>
      </c>
      <c r="BS70" s="189">
        <v>362560599.41000003</v>
      </c>
      <c r="BT70" s="189">
        <v>361990208.37</v>
      </c>
      <c r="BU70" s="189">
        <v>343254095.07999998</v>
      </c>
      <c r="BV70" s="189">
        <v>333976695.37</v>
      </c>
      <c r="BW70" s="189">
        <v>345808076.52999997</v>
      </c>
      <c r="BX70" s="189">
        <v>232076102.28</v>
      </c>
      <c r="BY70" s="189">
        <v>224135169.40000001</v>
      </c>
      <c r="BZ70" s="189">
        <v>211579893.99000001</v>
      </c>
      <c r="CA70" s="189">
        <v>211609634.75</v>
      </c>
      <c r="CB70" s="189">
        <v>197713502.68000001</v>
      </c>
      <c r="CC70" s="189">
        <v>182586184.77000001</v>
      </c>
      <c r="CD70" s="189">
        <v>0</v>
      </c>
      <c r="CE70" s="189">
        <v>0</v>
      </c>
      <c r="CF70" s="189">
        <v>0</v>
      </c>
      <c r="CG70" s="189">
        <v>492689900.37</v>
      </c>
      <c r="CH70" s="189">
        <v>0</v>
      </c>
      <c r="CI70" s="189">
        <v>0</v>
      </c>
      <c r="CJ70" s="189">
        <v>0</v>
      </c>
      <c r="CK70" s="189">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W51"/>
  <sheetViews>
    <sheetView topLeftCell="A41" zoomScale="95" zoomScaleNormal="95" workbookViewId="0">
      <selection activeCell="A44" sqref="A44:XFD49"/>
    </sheetView>
  </sheetViews>
  <sheetFormatPr defaultRowHeight="13.5"/>
  <cols>
    <col min="1" max="1" width="74.625" style="17" bestFit="1" customWidth="1"/>
    <col min="2" max="2" width="22" bestFit="1" customWidth="1"/>
    <col min="3" max="3" width="19.5" hidden="1" customWidth="1"/>
    <col min="4" max="4" width="19.375" hidden="1" customWidth="1"/>
    <col min="5" max="5" width="19.5" hidden="1" customWidth="1"/>
    <col min="6" max="6" width="19.375" bestFit="1" customWidth="1"/>
    <col min="7" max="8" width="19.375" hidden="1" customWidth="1"/>
    <col min="9" max="9" width="19.5" hidden="1" customWidth="1"/>
    <col min="10" max="10" width="19.375" bestFit="1" customWidth="1"/>
    <col min="11" max="12" width="19.375" hidden="1" customWidth="1"/>
    <col min="13" max="13" width="19.5" hidden="1" customWidth="1"/>
    <col min="14" max="14" width="19.375" bestFit="1" customWidth="1"/>
    <col min="15" max="16" width="19.375" hidden="1" customWidth="1"/>
    <col min="17" max="17" width="19.5" hidden="1" customWidth="1"/>
    <col min="18" max="18" width="19.375" bestFit="1" customWidth="1"/>
    <col min="19" max="19" width="19.375" hidden="1" customWidth="1"/>
    <col min="20" max="20" width="17.25" hidden="1" customWidth="1"/>
    <col min="21" max="21" width="19.5" hidden="1" customWidth="1"/>
    <col min="22" max="22" width="17.25" bestFit="1" customWidth="1"/>
    <col min="23" max="24" width="17.25" hidden="1" customWidth="1"/>
    <col min="25" max="25" width="19.5" hidden="1" customWidth="1"/>
    <col min="26" max="26" width="17.25" bestFit="1" customWidth="1"/>
    <col min="27" max="28" width="17.25" hidden="1" customWidth="1"/>
    <col min="29" max="29" width="18.25" hidden="1" customWidth="1"/>
    <col min="30" max="30" width="17.25" bestFit="1" customWidth="1"/>
    <col min="31" max="33" width="17.25" hidden="1" customWidth="1"/>
    <col min="34" max="34" width="17.25" bestFit="1" customWidth="1"/>
    <col min="35" max="37" width="17.25" hidden="1" customWidth="1"/>
    <col min="38" max="38" width="17.25" bestFit="1" customWidth="1"/>
    <col min="39" max="41" width="17.25" hidden="1" customWidth="1"/>
    <col min="42" max="42" width="17.25" bestFit="1" customWidth="1"/>
    <col min="43" max="45" width="17.25" hidden="1" customWidth="1"/>
    <col min="46" max="46" width="17.25" bestFit="1" customWidth="1"/>
    <col min="47" max="49" width="17.25" hidden="1" customWidth="1"/>
    <col min="50" max="50" width="17.25" bestFit="1" customWidth="1"/>
    <col min="51" max="53" width="17.25" hidden="1" customWidth="1"/>
    <col min="54" max="54" width="17.25" bestFit="1" customWidth="1"/>
    <col min="55" max="57" width="17.25" hidden="1" customWidth="1"/>
    <col min="58" max="58" width="17.25" bestFit="1" customWidth="1"/>
    <col min="59" max="61" width="17.25" hidden="1" customWidth="1"/>
    <col min="62" max="62" width="18.375" bestFit="1" customWidth="1"/>
    <col min="63" max="65" width="17.25" hidden="1" customWidth="1"/>
    <col min="66" max="66" width="17.25" bestFit="1" customWidth="1"/>
    <col min="67" max="67" width="17.25" hidden="1" customWidth="1"/>
    <col min="68" max="68" width="17.25" bestFit="1" customWidth="1"/>
    <col min="69" max="69" width="17.25" hidden="1" customWidth="1"/>
    <col min="70" max="70" width="17.25" bestFit="1" customWidth="1"/>
    <col min="71" max="71" width="17.25" hidden="1" customWidth="1"/>
    <col min="72" max="72" width="17.25" bestFit="1" customWidth="1"/>
    <col min="73" max="73" width="16.125" bestFit="1" customWidth="1"/>
    <col min="74" max="74" width="16.125" hidden="1" customWidth="1"/>
    <col min="75" max="75" width="12.75" hidden="1" customWidth="1"/>
  </cols>
  <sheetData>
    <row r="1" spans="1:75" s="6" customFormat="1" ht="14.45">
      <c r="A1" s="104">
        <v>600738</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37437</v>
      </c>
      <c r="BP1" s="1">
        <v>37256</v>
      </c>
      <c r="BQ1" s="1">
        <v>37072</v>
      </c>
      <c r="BR1" s="1">
        <v>36891</v>
      </c>
      <c r="BS1" s="1">
        <v>36707</v>
      </c>
      <c r="BT1" s="1">
        <v>36525</v>
      </c>
      <c r="BU1" s="1">
        <v>36160</v>
      </c>
      <c r="BV1" s="1">
        <v>35976</v>
      </c>
      <c r="BW1" s="1">
        <v>25569</v>
      </c>
    </row>
    <row r="2" spans="1:75" s="45" customFormat="1">
      <c r="A2" s="46" t="s">
        <v>292</v>
      </c>
    </row>
    <row r="3" spans="1:75" s="192" customFormat="1">
      <c r="A3" s="192" t="s">
        <v>320</v>
      </c>
      <c r="B3" s="189">
        <v>809805.8</v>
      </c>
      <c r="C3" s="189">
        <v>9805.7999999999993</v>
      </c>
      <c r="D3" s="189">
        <v>9805.7999999999993</v>
      </c>
      <c r="E3" s="189">
        <v>0</v>
      </c>
      <c r="F3" s="189">
        <v>1065698.99</v>
      </c>
      <c r="G3" s="189">
        <v>170600</v>
      </c>
      <c r="H3" s="189">
        <v>0</v>
      </c>
      <c r="I3" s="189">
        <v>0</v>
      </c>
      <c r="J3" s="189">
        <v>12747.57</v>
      </c>
      <c r="K3" s="189">
        <v>0</v>
      </c>
      <c r="L3" s="189">
        <v>12747.57</v>
      </c>
      <c r="M3" s="189">
        <v>0</v>
      </c>
      <c r="N3" s="189">
        <v>4573736.45</v>
      </c>
      <c r="O3" s="189">
        <v>0</v>
      </c>
      <c r="P3" s="189">
        <v>0</v>
      </c>
      <c r="Q3" s="189">
        <v>0</v>
      </c>
      <c r="R3" s="189">
        <v>18889</v>
      </c>
      <c r="S3" s="189">
        <v>17000</v>
      </c>
      <c r="T3" s="189">
        <v>17000</v>
      </c>
      <c r="U3" s="189">
        <v>0</v>
      </c>
      <c r="V3" s="189">
        <v>670076.92000000004</v>
      </c>
      <c r="W3" s="189">
        <v>753811.74</v>
      </c>
      <c r="X3" s="189">
        <v>62000</v>
      </c>
      <c r="Y3" s="189">
        <v>0</v>
      </c>
      <c r="Z3" s="189">
        <v>2753079.97</v>
      </c>
      <c r="AA3" s="189">
        <v>1429170.4</v>
      </c>
      <c r="AB3" s="189">
        <v>1274992.3999999999</v>
      </c>
      <c r="AC3" s="189">
        <v>12384</v>
      </c>
      <c r="AD3" s="189">
        <v>12967257.42</v>
      </c>
      <c r="AE3" s="189">
        <v>8431589</v>
      </c>
      <c r="AF3" s="189">
        <v>6273589</v>
      </c>
      <c r="AG3" s="189">
        <v>4002000</v>
      </c>
      <c r="AH3" s="189">
        <v>39442781.829999998</v>
      </c>
      <c r="AI3" s="189">
        <v>7083800</v>
      </c>
      <c r="AJ3" s="189">
        <v>6959949.5800000001</v>
      </c>
      <c r="AK3" s="189">
        <v>53800</v>
      </c>
      <c r="AL3" s="189">
        <v>92411.8</v>
      </c>
      <c r="AM3" s="189">
        <v>4411.8</v>
      </c>
      <c r="AN3" s="189">
        <v>580</v>
      </c>
      <c r="AO3" s="189">
        <v>350</v>
      </c>
      <c r="AP3" s="189">
        <v>312000</v>
      </c>
      <c r="AQ3" s="189">
        <v>318500</v>
      </c>
      <c r="AR3" s="189">
        <v>317700</v>
      </c>
      <c r="AS3" s="189">
        <v>3800</v>
      </c>
      <c r="AT3" s="189">
        <v>160371.79999999999</v>
      </c>
      <c r="AU3" s="189">
        <v>86181.8</v>
      </c>
      <c r="AV3" s="189">
        <v>26770</v>
      </c>
      <c r="AW3" s="189">
        <v>6770</v>
      </c>
      <c r="AX3" s="189">
        <v>56574692.210000001</v>
      </c>
      <c r="AY3" s="189">
        <v>17160574</v>
      </c>
      <c r="AZ3" s="189">
        <v>1149285</v>
      </c>
      <c r="BA3" s="189">
        <v>0</v>
      </c>
      <c r="BB3" s="189">
        <v>750100</v>
      </c>
      <c r="BC3" s="189">
        <v>201965.94</v>
      </c>
      <c r="BD3" s="189">
        <v>201965.94</v>
      </c>
      <c r="BE3" s="189">
        <v>201965.94</v>
      </c>
      <c r="BF3" s="189">
        <v>3488482.99</v>
      </c>
      <c r="BG3" s="189">
        <v>1169011</v>
      </c>
      <c r="BH3" s="189">
        <v>801833</v>
      </c>
      <c r="BI3" s="189">
        <v>53333</v>
      </c>
      <c r="BJ3" s="189">
        <v>11108217.77</v>
      </c>
      <c r="BK3" s="189">
        <v>10998728.859999999</v>
      </c>
      <c r="BL3" s="189">
        <v>8215646.6200000001</v>
      </c>
      <c r="BM3" s="189">
        <v>8158646.6200000001</v>
      </c>
      <c r="BN3" s="189">
        <v>117079</v>
      </c>
      <c r="BO3" s="189">
        <v>232444</v>
      </c>
      <c r="BP3" s="189">
        <v>467911</v>
      </c>
      <c r="BQ3" s="189">
        <v>368626</v>
      </c>
      <c r="BR3" s="189">
        <v>8998299.5</v>
      </c>
      <c r="BS3" s="189">
        <v>67654.45</v>
      </c>
      <c r="BT3" s="189">
        <v>2030823.57</v>
      </c>
      <c r="BU3" s="189">
        <v>0</v>
      </c>
      <c r="BV3" s="189">
        <v>0</v>
      </c>
      <c r="BW3" s="189">
        <v>0</v>
      </c>
    </row>
    <row r="4" spans="1:75" s="192" customFormat="1">
      <c r="A4" s="192" t="s">
        <v>304</v>
      </c>
      <c r="B4" s="189">
        <v>89010940.959999993</v>
      </c>
      <c r="C4" s="189">
        <v>57854081.880000003</v>
      </c>
      <c r="D4" s="189">
        <v>44786896.880000003</v>
      </c>
      <c r="E4" s="189">
        <v>28964050.609999999</v>
      </c>
      <c r="F4" s="189">
        <v>58939277.100000001</v>
      </c>
      <c r="G4" s="189">
        <v>27480909.27</v>
      </c>
      <c r="H4" s="189">
        <v>7317557.21</v>
      </c>
      <c r="I4" s="189">
        <v>367656.47</v>
      </c>
      <c r="J4" s="189">
        <v>40667935.149999999</v>
      </c>
      <c r="K4" s="189">
        <v>35325353.060000002</v>
      </c>
      <c r="L4" s="189">
        <v>31460788.739999998</v>
      </c>
      <c r="M4" s="189">
        <v>22736651.5</v>
      </c>
      <c r="N4" s="189">
        <v>39483256.460000001</v>
      </c>
      <c r="O4" s="189">
        <v>19082770.25</v>
      </c>
      <c r="P4" s="189">
        <v>13631603.199999999</v>
      </c>
      <c r="Q4" s="189">
        <v>6864789.4699999997</v>
      </c>
      <c r="R4" s="189">
        <v>35250347</v>
      </c>
      <c r="S4" s="189">
        <v>24068727.59</v>
      </c>
      <c r="T4" s="189">
        <v>7501969.8099999996</v>
      </c>
      <c r="U4" s="189">
        <v>3572091.75</v>
      </c>
      <c r="V4" s="189">
        <v>25495626.07</v>
      </c>
      <c r="W4" s="189">
        <v>10706017.460000001</v>
      </c>
      <c r="X4" s="189">
        <v>8251243.0899999999</v>
      </c>
      <c r="Y4" s="189">
        <v>6441828.9699999997</v>
      </c>
      <c r="Z4" s="189">
        <v>40801542.609999999</v>
      </c>
      <c r="AA4" s="189">
        <v>25212051.199999999</v>
      </c>
      <c r="AB4" s="189">
        <v>13240798.869999999</v>
      </c>
      <c r="AC4" s="189">
        <v>5199848.0999999996</v>
      </c>
      <c r="AD4" s="189">
        <v>27474414.469999999</v>
      </c>
      <c r="AE4" s="189">
        <v>21700316.18</v>
      </c>
      <c r="AF4" s="189">
        <v>13230731.49</v>
      </c>
      <c r="AG4" s="189">
        <v>3294792.99</v>
      </c>
      <c r="AH4" s="189">
        <v>46768301.020000003</v>
      </c>
      <c r="AI4" s="189">
        <v>38378608.490000002</v>
      </c>
      <c r="AJ4" s="189">
        <v>23046753.73</v>
      </c>
      <c r="AK4" s="189">
        <v>7259614.5599999996</v>
      </c>
      <c r="AL4" s="189">
        <v>45625333.979999997</v>
      </c>
      <c r="AM4" s="189">
        <v>18286552.77</v>
      </c>
      <c r="AN4" s="189">
        <v>11841641.82</v>
      </c>
      <c r="AO4" s="189">
        <v>8901282.75</v>
      </c>
      <c r="AP4" s="189">
        <v>92672758.200000003</v>
      </c>
      <c r="AQ4" s="189">
        <v>88023556.590000004</v>
      </c>
      <c r="AR4" s="189">
        <v>81461824.379999995</v>
      </c>
      <c r="AS4" s="189">
        <v>26293899.390000001</v>
      </c>
      <c r="AT4" s="189">
        <v>69810646.120000005</v>
      </c>
      <c r="AU4" s="189">
        <v>46386128.579999998</v>
      </c>
      <c r="AV4" s="189">
        <v>36935926.609999999</v>
      </c>
      <c r="AW4" s="189">
        <v>27793009.07</v>
      </c>
      <c r="AX4" s="189">
        <v>57783102.969999999</v>
      </c>
      <c r="AY4" s="189">
        <v>23627461.210000001</v>
      </c>
      <c r="AZ4" s="189">
        <v>11818697.439999999</v>
      </c>
      <c r="BA4" s="189">
        <v>7699396.2199999997</v>
      </c>
      <c r="BB4" s="189">
        <v>29784900.879999999</v>
      </c>
      <c r="BC4" s="189">
        <v>9011723.2599999998</v>
      </c>
      <c r="BD4" s="189">
        <v>4435513.26</v>
      </c>
      <c r="BE4" s="189">
        <v>1168239.71</v>
      </c>
      <c r="BF4" s="189">
        <v>11959980.41</v>
      </c>
      <c r="BG4" s="189">
        <v>1920314.21</v>
      </c>
      <c r="BH4" s="189">
        <v>1424579.21</v>
      </c>
      <c r="BI4" s="189">
        <v>815421.71</v>
      </c>
      <c r="BJ4" s="189">
        <v>5229843.6100000003</v>
      </c>
      <c r="BK4" s="189">
        <v>2570089.7599999998</v>
      </c>
      <c r="BL4" s="189">
        <v>1813102.99</v>
      </c>
      <c r="BM4" s="189">
        <v>1270871.55</v>
      </c>
      <c r="BN4" s="189">
        <v>7684392.9900000002</v>
      </c>
      <c r="BO4" s="189">
        <v>2915283.06</v>
      </c>
      <c r="BP4" s="189">
        <v>29095938.66</v>
      </c>
      <c r="BQ4" s="189">
        <v>17135747.940000001</v>
      </c>
      <c r="BR4" s="189">
        <v>9668797.5</v>
      </c>
      <c r="BS4" s="189">
        <v>186646</v>
      </c>
      <c r="BT4" s="189">
        <v>45302723.469999999</v>
      </c>
      <c r="BU4" s="189">
        <v>60688134.270000003</v>
      </c>
      <c r="BV4" s="189">
        <v>32960538.469999999</v>
      </c>
      <c r="BW4" s="189">
        <v>0</v>
      </c>
    </row>
    <row r="5" spans="1:75" s="47" customFormat="1">
      <c r="A5" s="47" t="s">
        <v>295</v>
      </c>
      <c r="E5" s="47">
        <f>E4-E3</f>
        <v>28964050.609999999</v>
      </c>
      <c r="F5" s="47">
        <f t="shared" ref="F5:AR5" si="0">F4-F3</f>
        <v>57873578.109999999</v>
      </c>
      <c r="G5" s="47">
        <f t="shared" si="0"/>
        <v>27310309.27</v>
      </c>
      <c r="H5" s="47">
        <f t="shared" si="0"/>
        <v>7317557.21</v>
      </c>
      <c r="I5" s="47">
        <f t="shared" si="0"/>
        <v>367656.47</v>
      </c>
      <c r="J5" s="47">
        <f t="shared" si="0"/>
        <v>40655187.579999998</v>
      </c>
      <c r="K5" s="47">
        <f t="shared" si="0"/>
        <v>35325353.060000002</v>
      </c>
      <c r="L5" s="47">
        <f t="shared" si="0"/>
        <v>31448041.169999998</v>
      </c>
      <c r="M5" s="47">
        <f t="shared" si="0"/>
        <v>22736651.5</v>
      </c>
      <c r="N5" s="47">
        <f t="shared" si="0"/>
        <v>34909520.009999998</v>
      </c>
      <c r="O5" s="47">
        <f t="shared" si="0"/>
        <v>19082770.25</v>
      </c>
      <c r="P5" s="47">
        <f t="shared" si="0"/>
        <v>13631603.199999999</v>
      </c>
      <c r="Q5" s="47">
        <f t="shared" si="0"/>
        <v>6864789.4699999997</v>
      </c>
      <c r="R5" s="47">
        <f t="shared" si="0"/>
        <v>35231458</v>
      </c>
      <c r="S5" s="47">
        <f t="shared" si="0"/>
        <v>24051727.59</v>
      </c>
      <c r="T5" s="47">
        <f t="shared" si="0"/>
        <v>7484969.8099999996</v>
      </c>
      <c r="U5" s="47">
        <f t="shared" si="0"/>
        <v>3572091.75</v>
      </c>
      <c r="V5" s="47">
        <f t="shared" si="0"/>
        <v>24825549.149999999</v>
      </c>
      <c r="W5" s="47">
        <f t="shared" si="0"/>
        <v>9952205.7200000007</v>
      </c>
      <c r="X5" s="47">
        <f t="shared" si="0"/>
        <v>8189243.0899999999</v>
      </c>
      <c r="Y5" s="47">
        <f t="shared" si="0"/>
        <v>6441828.9699999997</v>
      </c>
      <c r="Z5" s="47">
        <f t="shared" si="0"/>
        <v>38048462.640000001</v>
      </c>
      <c r="AA5" s="47">
        <f t="shared" si="0"/>
        <v>23782880.800000001</v>
      </c>
      <c r="AB5" s="47">
        <f t="shared" si="0"/>
        <v>11965806.469999999</v>
      </c>
      <c r="AC5" s="47">
        <f t="shared" si="0"/>
        <v>5187464.0999999996</v>
      </c>
      <c r="AD5" s="47">
        <f t="shared" si="0"/>
        <v>14507157.049999999</v>
      </c>
      <c r="AE5" s="47">
        <f t="shared" si="0"/>
        <v>13268727.18</v>
      </c>
      <c r="AF5" s="47">
        <f t="shared" si="0"/>
        <v>6957142.4900000002</v>
      </c>
      <c r="AG5" s="47">
        <f t="shared" si="0"/>
        <v>-707207.00999999978</v>
      </c>
      <c r="AH5" s="47">
        <f t="shared" si="0"/>
        <v>7325519.1900000051</v>
      </c>
      <c r="AI5" s="47">
        <f t="shared" si="0"/>
        <v>31294808.490000002</v>
      </c>
      <c r="AJ5" s="47">
        <f t="shared" si="0"/>
        <v>16086804.15</v>
      </c>
      <c r="AK5" s="47">
        <f t="shared" si="0"/>
        <v>7205814.5599999996</v>
      </c>
      <c r="AL5" s="47">
        <f t="shared" si="0"/>
        <v>45532922.18</v>
      </c>
      <c r="AM5" s="47">
        <f t="shared" si="0"/>
        <v>18282140.969999999</v>
      </c>
      <c r="AN5" s="47">
        <f t="shared" si="0"/>
        <v>11841061.82</v>
      </c>
      <c r="AO5" s="47">
        <f t="shared" si="0"/>
        <v>8900932.75</v>
      </c>
      <c r="AP5" s="47">
        <f t="shared" si="0"/>
        <v>92360758.200000003</v>
      </c>
      <c r="AQ5" s="47">
        <f t="shared" si="0"/>
        <v>87705056.590000004</v>
      </c>
      <c r="AR5" s="47">
        <f t="shared" si="0"/>
        <v>81144124.379999995</v>
      </c>
    </row>
    <row r="6" spans="1:75" s="105" customFormat="1">
      <c r="A6" s="105" t="s">
        <v>305</v>
      </c>
      <c r="B6" s="189">
        <v>149347648.58000001</v>
      </c>
      <c r="C6" s="189">
        <v>0</v>
      </c>
      <c r="D6" s="189">
        <v>61660789.75</v>
      </c>
      <c r="E6" s="189">
        <v>0</v>
      </c>
      <c r="F6" s="189">
        <v>149878144.34999999</v>
      </c>
      <c r="G6" s="189">
        <v>0</v>
      </c>
      <c r="H6" s="189">
        <v>68794281.900000006</v>
      </c>
      <c r="I6" s="189">
        <v>0</v>
      </c>
      <c r="J6" s="189">
        <v>57457244.640000001</v>
      </c>
      <c r="K6" s="189">
        <v>0</v>
      </c>
      <c r="L6" s="189">
        <v>27283553.989999998</v>
      </c>
      <c r="M6" s="189">
        <v>0</v>
      </c>
      <c r="N6" s="189">
        <v>53101067.539999999</v>
      </c>
      <c r="O6" s="189">
        <v>0</v>
      </c>
      <c r="P6" s="189">
        <v>22825754.440000001</v>
      </c>
      <c r="Q6" s="189">
        <v>0</v>
      </c>
      <c r="R6" s="189">
        <v>55297361.380000003</v>
      </c>
      <c r="S6" s="189">
        <v>0</v>
      </c>
      <c r="T6" s="189">
        <v>24254023.399999999</v>
      </c>
      <c r="U6" s="189">
        <v>0</v>
      </c>
      <c r="V6" s="189">
        <v>66355050.140000001</v>
      </c>
      <c r="W6" s="189">
        <v>0</v>
      </c>
      <c r="X6" s="189">
        <v>31132334.199999999</v>
      </c>
      <c r="Y6" s="189">
        <v>0</v>
      </c>
      <c r="Z6" s="189">
        <v>51643410.969999999</v>
      </c>
      <c r="AA6" s="189">
        <v>0</v>
      </c>
      <c r="AB6" s="189">
        <v>22618096.609999999</v>
      </c>
      <c r="AC6" s="189">
        <v>12204814.43</v>
      </c>
      <c r="AD6" s="189">
        <v>49797719.109999999</v>
      </c>
      <c r="AE6" s="189">
        <v>0</v>
      </c>
      <c r="AF6" s="189">
        <v>25191259.649999999</v>
      </c>
      <c r="AG6" s="189">
        <v>0</v>
      </c>
      <c r="AH6" s="189">
        <v>49579368.700000003</v>
      </c>
      <c r="AI6" s="189">
        <v>0</v>
      </c>
      <c r="AJ6" s="189">
        <v>23952504.829999998</v>
      </c>
      <c r="AK6" s="189">
        <v>0</v>
      </c>
      <c r="AL6" s="189">
        <v>47455643.140000001</v>
      </c>
      <c r="AM6" s="189">
        <v>0</v>
      </c>
      <c r="AN6" s="189">
        <v>24285461.27</v>
      </c>
      <c r="AO6" s="189">
        <v>0</v>
      </c>
      <c r="AP6" s="189">
        <v>38344084.259999998</v>
      </c>
      <c r="AQ6" s="189">
        <v>0</v>
      </c>
      <c r="AR6" s="189">
        <v>18497768.309999999</v>
      </c>
      <c r="AS6" s="189">
        <v>0</v>
      </c>
      <c r="AT6" s="189">
        <v>34777814.439999998</v>
      </c>
      <c r="AU6" s="189">
        <v>0</v>
      </c>
      <c r="AV6" s="189">
        <v>17857138.260000002</v>
      </c>
      <c r="AW6" s="189">
        <v>0</v>
      </c>
      <c r="AX6" s="189">
        <v>32367521.059999999</v>
      </c>
      <c r="AY6" s="189">
        <v>22430765.899999999</v>
      </c>
      <c r="AZ6" s="189">
        <v>15174736.289999999</v>
      </c>
      <c r="BA6" s="189">
        <v>7633124.8099999996</v>
      </c>
      <c r="BB6" s="189">
        <v>33216198.539999999</v>
      </c>
      <c r="BC6" s="189">
        <v>24921024.739999998</v>
      </c>
      <c r="BD6" s="189">
        <v>15733045.529999999</v>
      </c>
      <c r="BE6" s="189">
        <v>7903984.1200000001</v>
      </c>
      <c r="BF6" s="189">
        <v>36395589.350000001</v>
      </c>
      <c r="BG6" s="189">
        <v>26722746.91</v>
      </c>
      <c r="BH6" s="189">
        <v>18027092.969999999</v>
      </c>
      <c r="BI6" s="189">
        <v>9236470.2599999998</v>
      </c>
      <c r="BJ6" s="189">
        <v>38140267.93</v>
      </c>
      <c r="BK6" s="189">
        <v>26958750.460000001</v>
      </c>
      <c r="BL6" s="189">
        <v>17604928.329999998</v>
      </c>
      <c r="BM6" s="189">
        <v>8953115.8599999994</v>
      </c>
      <c r="BN6" s="189">
        <v>35626999.619999997</v>
      </c>
      <c r="BO6" s="189">
        <v>15435840.18</v>
      </c>
      <c r="BP6" s="189">
        <v>25422247.460000001</v>
      </c>
      <c r="BQ6" s="189">
        <v>12802984.52</v>
      </c>
      <c r="BR6" s="189">
        <v>25149796.989999998</v>
      </c>
      <c r="BS6" s="189">
        <v>11727018.91</v>
      </c>
      <c r="BT6" s="189">
        <v>29788723.109999999</v>
      </c>
      <c r="BU6" s="189">
        <v>14051786.890000001</v>
      </c>
      <c r="BV6" s="189">
        <v>7330236.6399999997</v>
      </c>
      <c r="BW6" s="189">
        <v>0</v>
      </c>
    </row>
    <row r="7" spans="1:75" s="192" customFormat="1">
      <c r="A7" s="192" t="s">
        <v>306</v>
      </c>
      <c r="B7" s="189">
        <v>166506.14000000001</v>
      </c>
      <c r="C7" s="189">
        <v>0</v>
      </c>
      <c r="D7" s="189">
        <v>68310.539999999994</v>
      </c>
      <c r="E7" s="189">
        <v>0</v>
      </c>
      <c r="F7" s="189">
        <v>136621.07999999999</v>
      </c>
      <c r="G7" s="189">
        <v>0</v>
      </c>
      <c r="H7" s="189">
        <v>1070459.6499999999</v>
      </c>
      <c r="I7" s="189">
        <v>0</v>
      </c>
      <c r="J7" s="189">
        <v>116659.25</v>
      </c>
      <c r="K7" s="189">
        <v>0</v>
      </c>
      <c r="L7" s="189">
        <v>51200.4</v>
      </c>
      <c r="M7" s="189">
        <v>0</v>
      </c>
      <c r="N7" s="189">
        <v>107956.32</v>
      </c>
      <c r="O7" s="189">
        <v>0</v>
      </c>
      <c r="P7" s="189">
        <v>54533.72</v>
      </c>
      <c r="Q7" s="189">
        <v>0</v>
      </c>
      <c r="R7" s="189">
        <v>82822.38</v>
      </c>
      <c r="S7" s="189">
        <v>0</v>
      </c>
      <c r="T7" s="189">
        <v>41320.019999999997</v>
      </c>
      <c r="U7" s="189">
        <v>0</v>
      </c>
      <c r="V7" s="189">
        <v>82880.210000000006</v>
      </c>
      <c r="W7" s="189">
        <v>0</v>
      </c>
      <c r="X7" s="189">
        <v>61920</v>
      </c>
      <c r="Y7" s="189">
        <v>0</v>
      </c>
      <c r="Z7" s="189">
        <v>152720.04</v>
      </c>
      <c r="AA7" s="189">
        <v>0</v>
      </c>
      <c r="AB7" s="189">
        <v>76360.02</v>
      </c>
      <c r="AC7" s="189">
        <v>38180.01</v>
      </c>
      <c r="AD7" s="189">
        <v>152720.03</v>
      </c>
      <c r="AE7" s="189">
        <v>0</v>
      </c>
      <c r="AF7" s="189">
        <v>76360.009999999995</v>
      </c>
      <c r="AG7" s="189">
        <v>0</v>
      </c>
      <c r="AH7" s="189">
        <v>137720</v>
      </c>
      <c r="AI7" s="189">
        <v>0</v>
      </c>
      <c r="AJ7" s="189">
        <v>66360</v>
      </c>
      <c r="AK7" s="189">
        <v>0</v>
      </c>
      <c r="AL7" s="189">
        <v>136305.35999999999</v>
      </c>
      <c r="AM7" s="189">
        <v>0</v>
      </c>
      <c r="AN7" s="189">
        <v>69945.36</v>
      </c>
      <c r="AO7" s="189">
        <v>0</v>
      </c>
      <c r="AP7" s="189">
        <v>67094.64</v>
      </c>
      <c r="AQ7" s="189">
        <v>0</v>
      </c>
      <c r="AR7" s="189">
        <v>93621.24</v>
      </c>
      <c r="AS7" s="189">
        <v>0</v>
      </c>
      <c r="AT7" s="189">
        <v>0</v>
      </c>
      <c r="AU7" s="189">
        <v>0</v>
      </c>
      <c r="AV7" s="189">
        <v>93621.24</v>
      </c>
      <c r="AW7" s="189">
        <v>0</v>
      </c>
      <c r="AX7" s="189">
        <v>660165</v>
      </c>
      <c r="AY7" s="189">
        <v>495123.75</v>
      </c>
      <c r="AZ7" s="189">
        <v>330082.5</v>
      </c>
      <c r="BA7" s="189">
        <v>330877.65000000002</v>
      </c>
      <c r="BB7" s="189">
        <v>1323510.6000000001</v>
      </c>
      <c r="BC7" s="189">
        <v>992632.95</v>
      </c>
      <c r="BD7" s="189">
        <v>661755.30000000005</v>
      </c>
      <c r="BE7" s="189">
        <v>330877.65000000002</v>
      </c>
      <c r="BF7" s="189">
        <v>1761066.58</v>
      </c>
      <c r="BG7" s="189">
        <v>1496494.31</v>
      </c>
      <c r="BH7" s="189">
        <v>1090616.6599999999</v>
      </c>
      <c r="BI7" s="189">
        <v>603495.15</v>
      </c>
      <c r="BJ7" s="189">
        <v>2413980.6</v>
      </c>
      <c r="BK7" s="189">
        <v>1812285.45</v>
      </c>
      <c r="BL7" s="189">
        <v>1208790.3</v>
      </c>
      <c r="BM7" s="189">
        <v>605295.15</v>
      </c>
      <c r="BN7" s="189">
        <v>2556892.56</v>
      </c>
      <c r="BO7" s="189">
        <v>1206990.3</v>
      </c>
      <c r="BP7" s="189">
        <v>2117262.9300000002</v>
      </c>
      <c r="BQ7" s="189">
        <v>1056990.3</v>
      </c>
      <c r="BR7" s="189">
        <v>1640332.86</v>
      </c>
      <c r="BS7" s="189">
        <v>373850.19</v>
      </c>
      <c r="BT7" s="189">
        <v>583242.48</v>
      </c>
      <c r="BU7" s="189">
        <v>187242.48</v>
      </c>
      <c r="BV7" s="189">
        <v>93621.24</v>
      </c>
      <c r="BW7" s="189">
        <v>0</v>
      </c>
    </row>
    <row r="8" spans="1:75" s="192" customFormat="1">
      <c r="A8" s="192" t="s">
        <v>307</v>
      </c>
      <c r="B8" s="189">
        <v>6267662.1399999997</v>
      </c>
      <c r="C8" s="189">
        <v>0</v>
      </c>
      <c r="D8" s="189">
        <v>7893696.2599999998</v>
      </c>
      <c r="E8" s="189">
        <v>0</v>
      </c>
      <c r="F8" s="189">
        <v>6717658.5099999998</v>
      </c>
      <c r="G8" s="189">
        <v>0</v>
      </c>
      <c r="H8" s="189">
        <v>3397917.62</v>
      </c>
      <c r="I8" s="189">
        <v>0</v>
      </c>
      <c r="J8" s="189">
        <v>2039942.56</v>
      </c>
      <c r="K8" s="189">
        <v>0</v>
      </c>
      <c r="L8" s="189">
        <v>1002112.2</v>
      </c>
      <c r="M8" s="189">
        <v>0</v>
      </c>
      <c r="N8" s="189">
        <v>14427440.73</v>
      </c>
      <c r="O8" s="189">
        <v>0</v>
      </c>
      <c r="P8" s="189">
        <v>4816989.12</v>
      </c>
      <c r="Q8" s="189">
        <v>0</v>
      </c>
      <c r="R8" s="189">
        <v>4951116.55</v>
      </c>
      <c r="S8" s="189">
        <v>0</v>
      </c>
      <c r="T8" s="189">
        <v>3278199.8</v>
      </c>
      <c r="U8" s="189">
        <v>0</v>
      </c>
      <c r="V8" s="189">
        <v>4058363.73</v>
      </c>
      <c r="W8" s="189">
        <v>0</v>
      </c>
      <c r="X8" s="189">
        <v>3872560.31</v>
      </c>
      <c r="Y8" s="189">
        <v>0</v>
      </c>
      <c r="Z8" s="189">
        <v>5173032.97</v>
      </c>
      <c r="AA8" s="189">
        <v>0</v>
      </c>
      <c r="AB8" s="189">
        <v>2715104.55</v>
      </c>
      <c r="AC8" s="189">
        <v>1381643.32</v>
      </c>
      <c r="AD8" s="189">
        <v>4541559.22</v>
      </c>
      <c r="AE8" s="189">
        <v>0</v>
      </c>
      <c r="AF8" s="189">
        <v>1683169.28</v>
      </c>
      <c r="AG8" s="189">
        <v>0</v>
      </c>
      <c r="AH8" s="189">
        <v>4143119.96</v>
      </c>
      <c r="AI8" s="189">
        <v>0</v>
      </c>
      <c r="AJ8" s="189">
        <v>1805139.5</v>
      </c>
      <c r="AK8" s="189">
        <v>0</v>
      </c>
      <c r="AL8" s="189">
        <v>2477931.83</v>
      </c>
      <c r="AM8" s="189">
        <v>0</v>
      </c>
      <c r="AN8" s="189">
        <v>1127957.24</v>
      </c>
      <c r="AO8" s="189">
        <v>0</v>
      </c>
      <c r="AP8" s="189">
        <v>1561081.93</v>
      </c>
      <c r="AQ8" s="189">
        <v>0</v>
      </c>
      <c r="AR8" s="189">
        <v>554313.68999999994</v>
      </c>
      <c r="AS8" s="189">
        <v>0</v>
      </c>
      <c r="AT8" s="189">
        <v>0</v>
      </c>
      <c r="AU8" s="189">
        <v>0</v>
      </c>
      <c r="AV8" s="189">
        <v>0</v>
      </c>
      <c r="AW8" s="189">
        <v>0</v>
      </c>
      <c r="AX8" s="189">
        <v>0</v>
      </c>
      <c r="AY8" s="189">
        <v>0</v>
      </c>
      <c r="AZ8" s="189">
        <v>0</v>
      </c>
      <c r="BA8" s="189">
        <v>0</v>
      </c>
      <c r="BB8" s="189">
        <v>0</v>
      </c>
      <c r="BC8" s="189">
        <v>0</v>
      </c>
      <c r="BD8" s="189">
        <v>0</v>
      </c>
      <c r="BE8" s="189">
        <v>0</v>
      </c>
      <c r="BF8" s="189">
        <v>0</v>
      </c>
      <c r="BG8" s="189">
        <v>0</v>
      </c>
      <c r="BH8" s="189">
        <v>0</v>
      </c>
      <c r="BI8" s="189">
        <v>0</v>
      </c>
      <c r="BJ8" s="189">
        <v>38171.58</v>
      </c>
      <c r="BK8" s="189">
        <v>0</v>
      </c>
      <c r="BL8" s="189">
        <v>0</v>
      </c>
      <c r="BM8" s="189">
        <v>-10191.75</v>
      </c>
      <c r="BN8" s="189">
        <v>43049.8</v>
      </c>
      <c r="BO8" s="189">
        <v>219833.3</v>
      </c>
      <c r="BP8" s="189">
        <v>252326.05</v>
      </c>
      <c r="BQ8" s="189">
        <v>16270.62</v>
      </c>
      <c r="BR8" s="189">
        <v>0</v>
      </c>
      <c r="BS8" s="189">
        <v>0</v>
      </c>
      <c r="BT8" s="189">
        <v>0</v>
      </c>
      <c r="BU8" s="189">
        <v>0</v>
      </c>
      <c r="BV8" s="189">
        <v>0</v>
      </c>
      <c r="BW8" s="189">
        <v>0</v>
      </c>
    </row>
    <row r="9" spans="1:75" s="192" customFormat="1">
      <c r="A9" s="192" t="s">
        <v>308</v>
      </c>
      <c r="B9" s="189">
        <v>1892802.4</v>
      </c>
      <c r="C9" s="189">
        <v>0</v>
      </c>
      <c r="D9" s="189">
        <v>2002302.36</v>
      </c>
      <c r="E9" s="189">
        <v>0</v>
      </c>
      <c r="F9" s="189">
        <v>51849.42</v>
      </c>
      <c r="G9" s="189">
        <v>0</v>
      </c>
      <c r="H9" s="189">
        <v>0</v>
      </c>
      <c r="I9" s="189">
        <v>0</v>
      </c>
      <c r="J9" s="189">
        <v>2957213.62</v>
      </c>
      <c r="K9" s="189">
        <v>0</v>
      </c>
      <c r="L9" s="189">
        <v>-5974.32</v>
      </c>
      <c r="M9" s="189">
        <v>0</v>
      </c>
      <c r="N9" s="189">
        <v>1591027.39</v>
      </c>
      <c r="O9" s="189">
        <v>0</v>
      </c>
      <c r="P9" s="189">
        <v>0</v>
      </c>
      <c r="Q9" s="189">
        <v>0</v>
      </c>
      <c r="R9" s="189">
        <v>2966273.15</v>
      </c>
      <c r="S9" s="189">
        <v>0</v>
      </c>
      <c r="T9" s="189">
        <v>16624.330000000002</v>
      </c>
      <c r="U9" s="189">
        <v>0</v>
      </c>
      <c r="V9" s="189">
        <v>1625753.52</v>
      </c>
      <c r="W9" s="189">
        <v>0</v>
      </c>
      <c r="X9" s="189">
        <v>140135.21</v>
      </c>
      <c r="Y9" s="189">
        <v>0</v>
      </c>
      <c r="Z9" s="189">
        <v>1233195.18</v>
      </c>
      <c r="AA9" s="189">
        <v>0</v>
      </c>
      <c r="AB9" s="189">
        <v>2043360.17</v>
      </c>
      <c r="AC9" s="189">
        <v>114740.7</v>
      </c>
      <c r="AD9" s="189">
        <v>4920158.99</v>
      </c>
      <c r="AE9" s="189">
        <v>0</v>
      </c>
      <c r="AF9" s="189">
        <v>3456679.18</v>
      </c>
      <c r="AG9" s="189">
        <v>0</v>
      </c>
      <c r="AH9" s="189">
        <v>10897436.99</v>
      </c>
      <c r="AI9" s="189">
        <v>0</v>
      </c>
      <c r="AJ9" s="189">
        <v>11289272.609999999</v>
      </c>
      <c r="AK9" s="189">
        <v>0</v>
      </c>
      <c r="AL9" s="189">
        <v>700307.36</v>
      </c>
      <c r="AM9" s="189">
        <v>0</v>
      </c>
      <c r="AN9" s="189">
        <v>1489.14</v>
      </c>
      <c r="AO9" s="189">
        <v>0</v>
      </c>
      <c r="AP9" s="189">
        <v>61024.94</v>
      </c>
      <c r="AQ9" s="189">
        <v>0</v>
      </c>
      <c r="AR9" s="189">
        <v>2165221.35</v>
      </c>
      <c r="AS9" s="189">
        <v>0</v>
      </c>
      <c r="AT9" s="189">
        <v>-607902.86</v>
      </c>
      <c r="AU9" s="189">
        <v>0</v>
      </c>
      <c r="AV9" s="189">
        <v>-21701</v>
      </c>
      <c r="AW9" s="189">
        <v>0</v>
      </c>
      <c r="AX9" s="189">
        <v>-3976329.75</v>
      </c>
      <c r="AY9" s="189">
        <v>-4935597.4800000004</v>
      </c>
      <c r="AZ9" s="189">
        <v>-4924308.4800000004</v>
      </c>
      <c r="BA9" s="189">
        <v>0</v>
      </c>
      <c r="BB9" s="189">
        <v>633125.19999999995</v>
      </c>
      <c r="BC9" s="189">
        <v>1067756.8600000001</v>
      </c>
      <c r="BD9" s="189">
        <v>1067756.8600000001</v>
      </c>
      <c r="BE9" s="189">
        <v>1067756.8600000001</v>
      </c>
      <c r="BF9" s="189">
        <v>5749151.0800000001</v>
      </c>
      <c r="BG9" s="189">
        <v>397644.64</v>
      </c>
      <c r="BH9" s="189">
        <v>281274.99</v>
      </c>
      <c r="BI9" s="189">
        <v>61229.23</v>
      </c>
      <c r="BJ9" s="189">
        <v>-330499.40999999997</v>
      </c>
      <c r="BK9" s="189">
        <v>-74914.960000000006</v>
      </c>
      <c r="BL9" s="189">
        <v>-276928.5</v>
      </c>
      <c r="BM9" s="189">
        <v>-273093</v>
      </c>
      <c r="BN9" s="189">
        <v>494802.18</v>
      </c>
      <c r="BO9" s="189">
        <v>47401.62</v>
      </c>
      <c r="BP9" s="189">
        <v>0</v>
      </c>
      <c r="BQ9" s="189">
        <v>66450.77</v>
      </c>
      <c r="BR9" s="189">
        <v>-18679607.050000001</v>
      </c>
      <c r="BS9" s="189">
        <v>-67654.45</v>
      </c>
      <c r="BT9" s="189">
        <v>0</v>
      </c>
      <c r="BU9" s="189">
        <v>0</v>
      </c>
      <c r="BV9" s="189">
        <v>0</v>
      </c>
      <c r="BW9" s="189">
        <v>0</v>
      </c>
    </row>
    <row r="10" spans="1:75" s="26" customFormat="1">
      <c r="A10" s="17" t="s">
        <v>309</v>
      </c>
      <c r="B10" s="189">
        <v>1305521.32</v>
      </c>
      <c r="C10" s="189">
        <v>0</v>
      </c>
      <c r="D10" s="189">
        <v>0</v>
      </c>
      <c r="E10" s="189">
        <v>0</v>
      </c>
      <c r="F10" s="189">
        <v>3220581.04</v>
      </c>
      <c r="G10" s="189">
        <v>0</v>
      </c>
      <c r="H10" s="189">
        <v>0</v>
      </c>
      <c r="I10" s="189">
        <v>0</v>
      </c>
      <c r="J10" s="189">
        <v>0</v>
      </c>
      <c r="K10" s="189">
        <v>0</v>
      </c>
      <c r="L10" s="189">
        <v>0</v>
      </c>
      <c r="M10" s="189">
        <v>0</v>
      </c>
      <c r="N10" s="189">
        <v>0</v>
      </c>
      <c r="O10" s="189">
        <v>0</v>
      </c>
      <c r="P10" s="189">
        <v>0</v>
      </c>
      <c r="Q10" s="189">
        <v>0</v>
      </c>
      <c r="R10" s="189">
        <v>0</v>
      </c>
      <c r="S10" s="189">
        <v>0</v>
      </c>
      <c r="T10" s="189">
        <v>0</v>
      </c>
      <c r="U10" s="189">
        <v>0</v>
      </c>
      <c r="V10" s="189">
        <v>80905.009999999995</v>
      </c>
      <c r="W10" s="189">
        <v>0</v>
      </c>
      <c r="X10" s="189">
        <v>0</v>
      </c>
      <c r="Y10" s="189">
        <v>0</v>
      </c>
      <c r="Z10" s="189">
        <v>0</v>
      </c>
      <c r="AA10" s="189">
        <v>0</v>
      </c>
      <c r="AB10" s="189">
        <v>0</v>
      </c>
      <c r="AC10" s="189">
        <v>0</v>
      </c>
      <c r="AD10" s="189">
        <v>9444.92</v>
      </c>
      <c r="AE10" s="189">
        <v>0</v>
      </c>
      <c r="AF10" s="189">
        <v>8524.7099999999991</v>
      </c>
      <c r="AG10" s="189">
        <v>0</v>
      </c>
      <c r="AH10" s="189">
        <v>821920.72</v>
      </c>
      <c r="AI10" s="189">
        <v>0</v>
      </c>
      <c r="AJ10" s="189">
        <v>0</v>
      </c>
      <c r="AK10" s="189">
        <v>0</v>
      </c>
      <c r="AL10" s="189">
        <v>2453213.0699999998</v>
      </c>
      <c r="AM10" s="189">
        <v>0</v>
      </c>
      <c r="AN10" s="189">
        <v>0</v>
      </c>
      <c r="AO10" s="189">
        <v>0</v>
      </c>
      <c r="AP10" s="189">
        <v>2617943.7799999998</v>
      </c>
      <c r="AQ10" s="189">
        <v>0</v>
      </c>
      <c r="AR10" s="189">
        <v>1967573.9</v>
      </c>
      <c r="AS10" s="189">
        <v>0</v>
      </c>
      <c r="AT10" s="189">
        <v>13896347.84</v>
      </c>
      <c r="AU10" s="189">
        <v>0</v>
      </c>
      <c r="AV10" s="189">
        <v>13842882.880000001</v>
      </c>
      <c r="AW10" s="189">
        <v>0</v>
      </c>
      <c r="AX10" s="189">
        <v>3994475.48</v>
      </c>
      <c r="AY10" s="189">
        <v>54720.6</v>
      </c>
      <c r="AZ10" s="189">
        <v>0</v>
      </c>
      <c r="BA10" s="189">
        <v>0</v>
      </c>
      <c r="BB10" s="189">
        <v>368141.99</v>
      </c>
      <c r="BC10" s="189">
        <v>920</v>
      </c>
      <c r="BD10" s="189">
        <v>0</v>
      </c>
      <c r="BE10" s="189">
        <v>0</v>
      </c>
      <c r="BF10" s="189">
        <v>8002.23</v>
      </c>
      <c r="BG10" s="189">
        <v>0</v>
      </c>
      <c r="BH10" s="189">
        <v>0</v>
      </c>
      <c r="BI10" s="189">
        <v>0</v>
      </c>
      <c r="BJ10" s="189">
        <v>0</v>
      </c>
      <c r="BK10" s="189">
        <v>0</v>
      </c>
      <c r="BL10" s="189">
        <v>0</v>
      </c>
      <c r="BM10" s="189">
        <v>0</v>
      </c>
      <c r="BN10" s="189">
        <v>0</v>
      </c>
      <c r="BO10" s="189">
        <v>18406.11</v>
      </c>
      <c r="BP10" s="189">
        <v>460670.22</v>
      </c>
      <c r="BQ10" s="189">
        <v>388726.72</v>
      </c>
      <c r="BR10" s="189">
        <v>11231.14</v>
      </c>
      <c r="BS10" s="189">
        <v>0</v>
      </c>
      <c r="BT10" s="189">
        <v>0</v>
      </c>
      <c r="BU10" s="189">
        <v>0</v>
      </c>
      <c r="BV10" s="189">
        <v>0</v>
      </c>
      <c r="BW10" s="189">
        <v>0</v>
      </c>
    </row>
    <row r="11" spans="1:75" s="47" customFormat="1">
      <c r="A11" s="135" t="s">
        <v>296</v>
      </c>
      <c r="E11" s="47">
        <f>E5-E6-E7-E8-E9-E10</f>
        <v>28964050.609999999</v>
      </c>
      <c r="F11" s="47">
        <f t="shared" ref="F11:BQ11" si="1">F5-F6-F7-F8-F9-F10</f>
        <v>-102131276.29000001</v>
      </c>
      <c r="G11" s="47">
        <f t="shared" si="1"/>
        <v>27310309.27</v>
      </c>
      <c r="H11" s="47">
        <f t="shared" si="1"/>
        <v>-65945101.960000001</v>
      </c>
      <c r="I11" s="47">
        <f t="shared" si="1"/>
        <v>367656.47</v>
      </c>
      <c r="J11" s="47">
        <f t="shared" si="1"/>
        <v>-21915872.490000002</v>
      </c>
      <c r="K11" s="47">
        <f t="shared" si="1"/>
        <v>35325353.060000002</v>
      </c>
      <c r="L11" s="47">
        <f t="shared" si="1"/>
        <v>3117148.9</v>
      </c>
      <c r="M11" s="47">
        <f t="shared" si="1"/>
        <v>22736651.5</v>
      </c>
      <c r="N11" s="47">
        <f t="shared" si="1"/>
        <v>-34317971.969999999</v>
      </c>
      <c r="O11" s="47">
        <f t="shared" si="1"/>
        <v>19082770.25</v>
      </c>
      <c r="P11" s="47">
        <f t="shared" si="1"/>
        <v>-14065674.080000002</v>
      </c>
      <c r="Q11" s="47">
        <f t="shared" si="1"/>
        <v>6864789.4699999997</v>
      </c>
      <c r="R11" s="47">
        <f t="shared" si="1"/>
        <v>-28066115.460000001</v>
      </c>
      <c r="S11" s="47">
        <f t="shared" si="1"/>
        <v>24051727.59</v>
      </c>
      <c r="T11" s="47">
        <f t="shared" si="1"/>
        <v>-20105197.739999998</v>
      </c>
      <c r="U11" s="47">
        <f t="shared" si="1"/>
        <v>3572091.75</v>
      </c>
      <c r="V11" s="47">
        <f t="shared" si="1"/>
        <v>-47377403.460000001</v>
      </c>
      <c r="W11" s="47">
        <f t="shared" si="1"/>
        <v>9952205.7200000007</v>
      </c>
      <c r="X11" s="47">
        <f t="shared" si="1"/>
        <v>-27017706.629999999</v>
      </c>
      <c r="Y11" s="47">
        <f t="shared" si="1"/>
        <v>6441828.9699999997</v>
      </c>
      <c r="Z11" s="47">
        <f t="shared" si="1"/>
        <v>-20153896.519999996</v>
      </c>
      <c r="AA11" s="47">
        <f t="shared" si="1"/>
        <v>23782880.800000001</v>
      </c>
      <c r="AB11" s="47">
        <f t="shared" si="1"/>
        <v>-15487114.880000001</v>
      </c>
      <c r="AC11" s="47">
        <f t="shared" si="1"/>
        <v>-8551914.3599999994</v>
      </c>
      <c r="AD11" s="47">
        <f t="shared" si="1"/>
        <v>-44914445.220000006</v>
      </c>
      <c r="AE11" s="47">
        <f t="shared" si="1"/>
        <v>13268727.18</v>
      </c>
      <c r="AF11" s="47">
        <f t="shared" si="1"/>
        <v>-23458850.34</v>
      </c>
      <c r="AG11" s="47">
        <f t="shared" si="1"/>
        <v>-707207.00999999978</v>
      </c>
      <c r="AH11" s="47">
        <f t="shared" si="1"/>
        <v>-58254047.18</v>
      </c>
      <c r="AI11" s="47">
        <f t="shared" si="1"/>
        <v>31294808.490000002</v>
      </c>
      <c r="AJ11" s="47">
        <f t="shared" si="1"/>
        <v>-21026472.789999999</v>
      </c>
      <c r="AK11" s="47">
        <f t="shared" si="1"/>
        <v>7205814.5599999996</v>
      </c>
      <c r="AL11" s="47">
        <f t="shared" si="1"/>
        <v>-7690478.5800000001</v>
      </c>
      <c r="AM11" s="47">
        <f t="shared" si="1"/>
        <v>18282140.969999999</v>
      </c>
      <c r="AN11" s="47">
        <f t="shared" si="1"/>
        <v>-13643791.189999999</v>
      </c>
      <c r="AO11" s="47">
        <f t="shared" si="1"/>
        <v>8900932.75</v>
      </c>
      <c r="AP11" s="47">
        <f t="shared" si="1"/>
        <v>49709528.650000006</v>
      </c>
      <c r="AQ11" s="47">
        <f t="shared" si="1"/>
        <v>87705056.590000004</v>
      </c>
      <c r="AR11" s="47">
        <f t="shared" si="1"/>
        <v>57865625.889999993</v>
      </c>
      <c r="AS11" s="47">
        <f t="shared" si="1"/>
        <v>0</v>
      </c>
      <c r="AT11" s="47">
        <f t="shared" si="1"/>
        <v>-48066259.420000002</v>
      </c>
      <c r="AU11" s="47">
        <f t="shared" si="1"/>
        <v>0</v>
      </c>
      <c r="AV11" s="47">
        <f t="shared" si="1"/>
        <v>-31771941.380000003</v>
      </c>
      <c r="AW11" s="47">
        <f t="shared" si="1"/>
        <v>0</v>
      </c>
      <c r="AX11" s="47">
        <f t="shared" si="1"/>
        <v>-33045831.789999999</v>
      </c>
      <c r="AY11" s="47">
        <f t="shared" si="1"/>
        <v>-18045012.77</v>
      </c>
      <c r="AZ11" s="47">
        <f t="shared" si="1"/>
        <v>-10580510.309999999</v>
      </c>
      <c r="BA11" s="47">
        <f t="shared" si="1"/>
        <v>-7964002.46</v>
      </c>
      <c r="BB11" s="47">
        <f t="shared" si="1"/>
        <v>-35540976.330000006</v>
      </c>
      <c r="BC11" s="47">
        <f t="shared" si="1"/>
        <v>-26982334.549999997</v>
      </c>
      <c r="BD11" s="47">
        <f t="shared" si="1"/>
        <v>-17462557.690000001</v>
      </c>
      <c r="BE11" s="47">
        <f t="shared" si="1"/>
        <v>-9302618.6300000008</v>
      </c>
      <c r="BF11" s="47">
        <f t="shared" si="1"/>
        <v>-43913809.239999995</v>
      </c>
      <c r="BG11" s="47">
        <f t="shared" si="1"/>
        <v>-28616885.859999999</v>
      </c>
      <c r="BH11" s="47">
        <f t="shared" si="1"/>
        <v>-19398984.619999997</v>
      </c>
      <c r="BI11" s="47">
        <f t="shared" si="1"/>
        <v>-9901194.6400000006</v>
      </c>
      <c r="BJ11" s="47">
        <f t="shared" si="1"/>
        <v>-40261920.700000003</v>
      </c>
      <c r="BK11" s="47">
        <f t="shared" si="1"/>
        <v>-28696120.949999999</v>
      </c>
      <c r="BL11" s="47">
        <f t="shared" si="1"/>
        <v>-18536790.129999999</v>
      </c>
      <c r="BM11" s="47">
        <f t="shared" si="1"/>
        <v>-9275126.2599999998</v>
      </c>
      <c r="BN11" s="47">
        <f t="shared" si="1"/>
        <v>-38721744.159999996</v>
      </c>
      <c r="BO11" s="47">
        <f t="shared" si="1"/>
        <v>-16928471.510000002</v>
      </c>
      <c r="BP11" s="47">
        <f t="shared" si="1"/>
        <v>-28252506.66</v>
      </c>
      <c r="BQ11" s="47">
        <f t="shared" si="1"/>
        <v>-14331422.93</v>
      </c>
      <c r="BR11" s="47">
        <f t="shared" ref="BR11:BS11" si="2">BR5-BR6-BR7-BR8-BR9-BR10</f>
        <v>-8121753.9399999967</v>
      </c>
      <c r="BS11" s="47">
        <f t="shared" si="2"/>
        <v>-12033214.65</v>
      </c>
    </row>
    <row r="12" spans="1:75" s="26" customFormat="1">
      <c r="A12" s="17" t="s">
        <v>297</v>
      </c>
      <c r="E12" s="26">
        <f t="shared" ref="E12:Q12" si="3">I34</f>
        <v>704025408.16999996</v>
      </c>
      <c r="F12" s="26">
        <f t="shared" si="3"/>
        <v>716694386.05999994</v>
      </c>
      <c r="G12" s="26">
        <f t="shared" si="3"/>
        <v>725753217.44000006</v>
      </c>
      <c r="H12" s="26">
        <f t="shared" si="3"/>
        <v>736345981.13</v>
      </c>
      <c r="I12" s="26">
        <f t="shared" si="3"/>
        <v>744159166.98000002</v>
      </c>
      <c r="J12" s="26">
        <f t="shared" si="3"/>
        <v>746611113.21000004</v>
      </c>
      <c r="K12" s="26">
        <f t="shared" si="3"/>
        <v>744509895.52999997</v>
      </c>
      <c r="L12" s="26">
        <f t="shared" si="3"/>
        <v>753832683.76999998</v>
      </c>
      <c r="M12" s="26">
        <f t="shared" si="3"/>
        <v>762829581.35000002</v>
      </c>
      <c r="N12" s="26">
        <f t="shared" si="3"/>
        <v>774435286.65999997</v>
      </c>
      <c r="O12" s="26">
        <f t="shared" si="3"/>
        <v>779414170.62</v>
      </c>
      <c r="P12" s="26">
        <f t="shared" si="3"/>
        <v>870238614.16999996</v>
      </c>
      <c r="Q12" s="26">
        <f t="shared" si="3"/>
        <v>875183125.90999997</v>
      </c>
      <c r="R12" s="192">
        <f t="shared" ref="R12" si="4">V34</f>
        <v>886233622.49000001</v>
      </c>
      <c r="S12" s="192">
        <f t="shared" ref="S12" si="5">W34</f>
        <v>898158771.94000006</v>
      </c>
      <c r="T12" s="192">
        <f t="shared" ref="T12" si="6">X34</f>
        <v>886969405.13</v>
      </c>
      <c r="U12" s="192">
        <f t="shared" ref="U12" si="7">Y34</f>
        <v>904693221.36000001</v>
      </c>
      <c r="V12" s="192">
        <f t="shared" ref="V12" si="8">Z34</f>
        <v>470104820.24000001</v>
      </c>
      <c r="W12" s="192">
        <f t="shared" ref="W12" si="9">AA34</f>
        <v>465876948.76999998</v>
      </c>
      <c r="X12" s="192">
        <f t="shared" ref="X12" si="10">AB34</f>
        <v>462494062.56999999</v>
      </c>
      <c r="Y12" s="192">
        <f t="shared" ref="Y12" si="11">AC34</f>
        <v>470835166.26999998</v>
      </c>
      <c r="Z12" s="192">
        <f t="shared" ref="Z12" si="12">AD34</f>
        <v>479189168.87</v>
      </c>
      <c r="AA12" s="192">
        <f t="shared" ref="AA12" si="13">AE34</f>
        <v>494287643.55000001</v>
      </c>
      <c r="AB12" s="192">
        <f t="shared" ref="AB12" si="14">AF34</f>
        <v>500801859.77999997</v>
      </c>
      <c r="AC12" s="192">
        <f t="shared" ref="AC12" si="15">AG34</f>
        <v>507435087.25</v>
      </c>
      <c r="AD12" s="192">
        <f t="shared" ref="AD12" si="16">AH34</f>
        <v>514152151.86000001</v>
      </c>
      <c r="AE12" s="192">
        <f t="shared" ref="AE12" si="17">AI34</f>
        <v>453734265.56999999</v>
      </c>
      <c r="AF12" s="192">
        <f t="shared" ref="AF12" si="18">AJ34</f>
        <v>617798290.72000003</v>
      </c>
      <c r="AG12" s="192">
        <f t="shared" ref="AG12" si="19">AK34</f>
        <v>693638821.41999996</v>
      </c>
      <c r="AH12" s="192">
        <f t="shared" ref="AH12" si="20">AL34</f>
        <v>696421840.71000004</v>
      </c>
      <c r="AI12" s="192">
        <f t="shared" ref="AI12" si="21">AM34</f>
        <v>677185603.25999999</v>
      </c>
      <c r="AJ12" s="192">
        <f t="shared" ref="AJ12" si="22">AN34</f>
        <v>667383200.70000005</v>
      </c>
      <c r="AK12" s="192">
        <f t="shared" ref="AK12" si="23">AO34</f>
        <v>675659690.63999999</v>
      </c>
      <c r="AL12" s="192">
        <f t="shared" ref="AL12" si="24">AP34</f>
        <v>680205135.78999996</v>
      </c>
      <c r="AM12" s="192">
        <f t="shared" ref="AM12" si="25">AQ34</f>
        <v>724962033.58000004</v>
      </c>
      <c r="AN12" s="192">
        <f t="shared" ref="AN12" si="26">AR34</f>
        <v>725458553.65999997</v>
      </c>
      <c r="AO12" s="192">
        <f t="shared" ref="AO12" si="27">AS34</f>
        <v>659789754.47000003</v>
      </c>
      <c r="AP12" s="192">
        <f t="shared" ref="AP12" si="28">AT34</f>
        <v>663456993.64999998</v>
      </c>
      <c r="AQ12" s="192">
        <f t="shared" ref="AQ12" si="29">AU34</f>
        <v>555920448.25</v>
      </c>
      <c r="AR12" s="192">
        <f t="shared" ref="AR12" si="30">AV34</f>
        <v>553868650.51999998</v>
      </c>
      <c r="AS12" s="192">
        <f t="shared" ref="AS12" si="31">AW34</f>
        <v>569189944.65999997</v>
      </c>
      <c r="AT12" s="192">
        <f t="shared" ref="AT12" si="32">AX34</f>
        <v>559857502.71000004</v>
      </c>
      <c r="AU12" s="192">
        <f t="shared" ref="AU12" si="33">AY34</f>
        <v>574320867.63999999</v>
      </c>
      <c r="AV12" s="192">
        <f t="shared" ref="AV12" si="34">AZ34</f>
        <v>570624871.21000004</v>
      </c>
      <c r="AW12" s="192">
        <f t="shared" ref="AW12" si="35">BA34</f>
        <v>553872874.29999995</v>
      </c>
      <c r="AX12" s="192">
        <f t="shared" ref="AX12" si="36">BB34</f>
        <v>561943882.90999997</v>
      </c>
      <c r="AY12" s="192">
        <f t="shared" ref="AY12" si="37">BC34</f>
        <v>554668237.75999999</v>
      </c>
      <c r="AZ12" s="192">
        <f t="shared" ref="AZ12" si="38">BD34</f>
        <v>559647854.07000005</v>
      </c>
      <c r="BA12" s="192">
        <f t="shared" ref="BA12" si="39">BE34</f>
        <v>565592937.50999999</v>
      </c>
      <c r="BB12" s="192">
        <f t="shared" ref="BB12" si="40">BF34</f>
        <v>576541627.67999995</v>
      </c>
      <c r="BC12" s="192">
        <f t="shared" ref="BC12" si="41">BG34</f>
        <v>589199859.85000002</v>
      </c>
      <c r="BD12" s="192">
        <f t="shared" ref="BD12" si="42">BH34</f>
        <v>598733880.47000003</v>
      </c>
      <c r="BE12" s="192">
        <f t="shared" ref="BE12" si="43">BI34</f>
        <v>608943590.55999994</v>
      </c>
      <c r="BF12" s="192">
        <f t="shared" ref="BF12" si="44">BJ34</f>
        <v>619102546.64999998</v>
      </c>
      <c r="BG12" s="192">
        <f t="shared" ref="BG12" si="45">BK34</f>
        <v>632873137.55999994</v>
      </c>
      <c r="BH12" s="192">
        <f t="shared" ref="BH12" si="46">BL34</f>
        <v>644889483.28999996</v>
      </c>
      <c r="BI12" s="192">
        <f t="shared" ref="BI12" si="47">BM34</f>
        <v>654638390.74000001</v>
      </c>
      <c r="BJ12" s="192">
        <f t="shared" ref="BJ12" si="48">BN34</f>
        <v>669888459.54999995</v>
      </c>
      <c r="BK12" s="192">
        <f t="shared" ref="BK12" si="49">BO34</f>
        <v>669185119.58000004</v>
      </c>
      <c r="BL12" s="192">
        <f t="shared" ref="BL12" si="50">BP34</f>
        <v>684068757.95000005</v>
      </c>
      <c r="BM12" s="192">
        <f t="shared" ref="BM12" si="51">BQ34</f>
        <v>680205135.78999996</v>
      </c>
      <c r="BN12" s="192">
        <f t="shared" ref="BN12" si="52">BR34</f>
        <v>724962033.58000004</v>
      </c>
    </row>
    <row r="13" spans="1:75" s="219" customFormat="1">
      <c r="A13" s="219" t="s">
        <v>350</v>
      </c>
      <c r="E13" s="219">
        <f>E11/E12</f>
        <v>4.1140632530986855E-2</v>
      </c>
      <c r="F13" s="219">
        <f t="shared" ref="F13:AR13" si="53">F11/F12</f>
        <v>-0.14250324584159618</v>
      </c>
      <c r="G13" s="219">
        <f t="shared" si="53"/>
        <v>3.7630297205341452E-2</v>
      </c>
      <c r="H13" s="219">
        <f t="shared" si="53"/>
        <v>-8.955722398158586E-2</v>
      </c>
      <c r="I13" s="219">
        <f t="shared" si="53"/>
        <v>4.9405622656245672E-4</v>
      </c>
      <c r="J13" s="219">
        <f t="shared" si="53"/>
        <v>-2.9353798921870192E-2</v>
      </c>
      <c r="K13" s="219">
        <f t="shared" si="53"/>
        <v>4.7447795216815317E-2</v>
      </c>
      <c r="L13" s="219">
        <f t="shared" si="53"/>
        <v>4.135067326095223E-3</v>
      </c>
      <c r="M13" s="219">
        <f t="shared" si="53"/>
        <v>2.9805676203277717E-2</v>
      </c>
      <c r="N13" s="219">
        <f t="shared" si="53"/>
        <v>-4.431354376684879E-2</v>
      </c>
      <c r="O13" s="219">
        <f t="shared" si="53"/>
        <v>2.4483478706603761E-2</v>
      </c>
      <c r="P13" s="219">
        <f t="shared" si="53"/>
        <v>-1.6163008456497072E-2</v>
      </c>
      <c r="Q13" s="219">
        <f t="shared" si="53"/>
        <v>7.8438320698449391E-3</v>
      </c>
      <c r="R13" s="219">
        <f t="shared" si="53"/>
        <v>-3.1668980670293508E-2</v>
      </c>
      <c r="S13" s="219">
        <f t="shared" si="53"/>
        <v>2.6778926333980886E-2</v>
      </c>
      <c r="T13" s="219">
        <f t="shared" si="53"/>
        <v>-2.2667295651593811E-2</v>
      </c>
      <c r="U13" s="219">
        <f t="shared" si="53"/>
        <v>3.9484011437934449E-3</v>
      </c>
      <c r="V13" s="219">
        <f t="shared" si="53"/>
        <v>-0.10078050983568447</v>
      </c>
      <c r="W13" s="219">
        <f t="shared" si="53"/>
        <v>2.1362305532127392E-2</v>
      </c>
      <c r="X13" s="219">
        <f t="shared" si="53"/>
        <v>-5.8417412928216304E-2</v>
      </c>
      <c r="Y13" s="219">
        <f t="shared" si="53"/>
        <v>1.3681707381869473E-2</v>
      </c>
      <c r="Z13" s="219">
        <f t="shared" si="53"/>
        <v>-4.2058330674555749E-2</v>
      </c>
      <c r="AA13" s="219">
        <f t="shared" si="53"/>
        <v>4.8115466996484259E-2</v>
      </c>
      <c r="AB13" s="219">
        <f t="shared" si="53"/>
        <v>-3.0924635317455533E-2</v>
      </c>
      <c r="AC13" s="219">
        <f t="shared" si="53"/>
        <v>-1.6853218421190284E-2</v>
      </c>
      <c r="AD13" s="219">
        <f t="shared" si="53"/>
        <v>-8.7356330334351862E-2</v>
      </c>
      <c r="AE13" s="219">
        <f t="shared" si="53"/>
        <v>2.9243388006703151E-2</v>
      </c>
      <c r="AF13" s="219">
        <f t="shared" si="53"/>
        <v>-3.7971698355883078E-2</v>
      </c>
      <c r="AG13" s="219">
        <f t="shared" si="53"/>
        <v>-1.0195608840811755E-3</v>
      </c>
      <c r="AH13" s="219">
        <f t="shared" si="53"/>
        <v>-8.3647645399245615E-2</v>
      </c>
      <c r="AI13" s="219">
        <f t="shared" si="53"/>
        <v>4.6213044606006795E-2</v>
      </c>
      <c r="AJ13" s="219">
        <f t="shared" si="53"/>
        <v>-3.1505846667920175E-2</v>
      </c>
      <c r="AK13" s="219">
        <f t="shared" si="53"/>
        <v>1.0664857856437299E-2</v>
      </c>
      <c r="AL13" s="219">
        <f t="shared" si="53"/>
        <v>-1.130611660417437E-2</v>
      </c>
      <c r="AM13" s="219">
        <f t="shared" si="53"/>
        <v>2.5218066772020209E-2</v>
      </c>
      <c r="AN13" s="219">
        <f t="shared" si="53"/>
        <v>-1.8807127052491029E-2</v>
      </c>
      <c r="AO13" s="219">
        <f t="shared" si="53"/>
        <v>1.3490559211774963E-2</v>
      </c>
      <c r="AP13" s="219">
        <f t="shared" si="53"/>
        <v>7.492502019840605E-2</v>
      </c>
      <c r="AQ13" s="219">
        <f t="shared" si="53"/>
        <v>0.1577654804137707</v>
      </c>
      <c r="AR13" s="219">
        <f t="shared" si="53"/>
        <v>0.10447535861737763</v>
      </c>
    </row>
    <row r="14" spans="1:75" s="48" customFormat="1">
      <c r="A14" s="46" t="s">
        <v>293</v>
      </c>
    </row>
    <row r="15" spans="1:75" s="26" customFormat="1">
      <c r="A15" s="17" t="s">
        <v>313</v>
      </c>
      <c r="B15" s="189">
        <v>2344622661.02</v>
      </c>
      <c r="C15" s="189">
        <v>0</v>
      </c>
      <c r="D15" s="189">
        <v>0</v>
      </c>
      <c r="E15" s="189">
        <v>0</v>
      </c>
      <c r="F15" s="189">
        <v>0</v>
      </c>
      <c r="G15" s="189">
        <v>0</v>
      </c>
      <c r="H15" s="189">
        <v>0</v>
      </c>
      <c r="I15" s="189">
        <v>0</v>
      </c>
      <c r="J15" s="189">
        <v>0</v>
      </c>
      <c r="K15" s="189">
        <v>0</v>
      </c>
      <c r="L15" s="189">
        <v>0</v>
      </c>
      <c r="M15" s="189">
        <v>0</v>
      </c>
      <c r="N15" s="189">
        <v>0</v>
      </c>
      <c r="O15" s="189">
        <v>0</v>
      </c>
      <c r="P15" s="189">
        <v>0</v>
      </c>
      <c r="Q15" s="189">
        <v>0</v>
      </c>
      <c r="R15" s="189">
        <v>0</v>
      </c>
      <c r="S15" s="189">
        <v>0</v>
      </c>
      <c r="T15" s="189">
        <v>0</v>
      </c>
      <c r="U15" s="189">
        <v>0</v>
      </c>
      <c r="V15" s="189">
        <v>0</v>
      </c>
      <c r="W15" s="189">
        <v>0</v>
      </c>
      <c r="X15" s="189">
        <v>0</v>
      </c>
      <c r="Y15" s="189">
        <v>0</v>
      </c>
      <c r="Z15" s="189">
        <v>0</v>
      </c>
      <c r="AA15" s="189">
        <v>0</v>
      </c>
      <c r="AB15" s="189">
        <v>0</v>
      </c>
      <c r="AC15" s="189">
        <v>0</v>
      </c>
      <c r="AD15" s="189">
        <v>0</v>
      </c>
      <c r="AE15" s="189">
        <v>0</v>
      </c>
      <c r="AF15" s="189">
        <v>0</v>
      </c>
      <c r="AG15" s="189">
        <v>0</v>
      </c>
      <c r="AH15" s="189">
        <v>0</v>
      </c>
      <c r="AI15" s="189">
        <v>0</v>
      </c>
      <c r="AJ15" s="189">
        <v>0</v>
      </c>
      <c r="AK15" s="189">
        <v>0</v>
      </c>
      <c r="AL15" s="189">
        <v>0</v>
      </c>
      <c r="AM15" s="189">
        <v>0</v>
      </c>
      <c r="AN15" s="189">
        <v>0</v>
      </c>
      <c r="AO15" s="189">
        <v>0</v>
      </c>
      <c r="AP15" s="189">
        <v>0</v>
      </c>
      <c r="AQ15" s="189">
        <v>0</v>
      </c>
      <c r="AR15" s="189">
        <v>0</v>
      </c>
      <c r="AS15" s="189">
        <v>0</v>
      </c>
      <c r="AT15" s="189">
        <v>0</v>
      </c>
      <c r="AU15" s="189">
        <v>0</v>
      </c>
      <c r="AV15" s="189">
        <v>0</v>
      </c>
      <c r="AW15" s="189">
        <v>0</v>
      </c>
      <c r="AX15" s="189">
        <v>0</v>
      </c>
      <c r="AY15" s="189">
        <v>0</v>
      </c>
      <c r="AZ15" s="189">
        <v>0</v>
      </c>
      <c r="BA15" s="189">
        <v>0</v>
      </c>
      <c r="BB15" s="189">
        <v>0</v>
      </c>
      <c r="BC15" s="189">
        <v>0</v>
      </c>
      <c r="BD15" s="189">
        <v>0</v>
      </c>
      <c r="BE15" s="189">
        <v>0</v>
      </c>
      <c r="BF15" s="189">
        <v>0</v>
      </c>
      <c r="BG15" s="189">
        <v>0</v>
      </c>
      <c r="BH15" s="189">
        <v>0</v>
      </c>
      <c r="BI15" s="189">
        <v>0</v>
      </c>
      <c r="BJ15" s="189">
        <v>0</v>
      </c>
      <c r="BK15" s="189">
        <v>0</v>
      </c>
      <c r="BL15" s="189">
        <v>0</v>
      </c>
      <c r="BM15" s="189">
        <v>0</v>
      </c>
      <c r="BN15" s="189">
        <v>0</v>
      </c>
      <c r="BO15" s="189">
        <v>0</v>
      </c>
      <c r="BP15" s="189">
        <v>0</v>
      </c>
      <c r="BQ15" s="189">
        <v>0</v>
      </c>
      <c r="BR15" s="189">
        <v>0</v>
      </c>
      <c r="BS15" s="189">
        <v>0</v>
      </c>
      <c r="BT15" s="189">
        <v>0</v>
      </c>
      <c r="BU15" s="189">
        <v>0</v>
      </c>
      <c r="BV15" s="189">
        <v>0</v>
      </c>
      <c r="BW15" s="189">
        <v>0</v>
      </c>
    </row>
    <row r="16" spans="1:75" s="26" customFormat="1">
      <c r="A16" s="17" t="s">
        <v>314</v>
      </c>
      <c r="B16" s="189">
        <v>0</v>
      </c>
      <c r="C16" s="189">
        <v>0</v>
      </c>
      <c r="D16" s="189">
        <v>0</v>
      </c>
      <c r="E16" s="189">
        <v>0</v>
      </c>
      <c r="F16" s="189">
        <v>389560200</v>
      </c>
      <c r="G16" s="189">
        <v>0</v>
      </c>
      <c r="H16" s="189">
        <v>0</v>
      </c>
      <c r="I16" s="189">
        <v>0</v>
      </c>
      <c r="J16" s="189">
        <v>0</v>
      </c>
      <c r="K16" s="189">
        <v>0</v>
      </c>
      <c r="L16" s="189">
        <v>0</v>
      </c>
      <c r="M16" s="189">
        <v>0</v>
      </c>
      <c r="N16" s="189">
        <v>0</v>
      </c>
      <c r="O16" s="189">
        <v>0</v>
      </c>
      <c r="P16" s="189">
        <v>0</v>
      </c>
      <c r="Q16" s="189">
        <v>0</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c r="AW16" s="189">
        <v>0</v>
      </c>
      <c r="AX16" s="189">
        <v>0</v>
      </c>
      <c r="AY16" s="189">
        <v>0</v>
      </c>
      <c r="AZ16" s="189">
        <v>0</v>
      </c>
      <c r="BA16" s="189">
        <v>0</v>
      </c>
      <c r="BB16" s="189">
        <v>0</v>
      </c>
      <c r="BC16" s="189">
        <v>0</v>
      </c>
      <c r="BD16" s="189">
        <v>0</v>
      </c>
      <c r="BE16" s="189">
        <v>0</v>
      </c>
      <c r="BF16" s="189">
        <v>0</v>
      </c>
      <c r="BG16" s="189">
        <v>0</v>
      </c>
      <c r="BH16" s="189">
        <v>0</v>
      </c>
      <c r="BI16" s="189">
        <v>0</v>
      </c>
      <c r="BJ16" s="189">
        <v>0</v>
      </c>
      <c r="BK16" s="189">
        <v>0</v>
      </c>
      <c r="BL16" s="189">
        <v>0</v>
      </c>
      <c r="BM16" s="189">
        <v>0</v>
      </c>
      <c r="BN16" s="189">
        <v>0</v>
      </c>
      <c r="BO16" s="189">
        <v>0</v>
      </c>
      <c r="BP16" s="189">
        <v>0</v>
      </c>
      <c r="BQ16" s="189">
        <v>0</v>
      </c>
      <c r="BR16" s="189">
        <v>0</v>
      </c>
      <c r="BS16" s="189">
        <v>0</v>
      </c>
      <c r="BT16" s="189">
        <v>0</v>
      </c>
      <c r="BU16" s="189">
        <v>0</v>
      </c>
      <c r="BV16" s="189">
        <v>0</v>
      </c>
      <c r="BW16" s="189">
        <v>0</v>
      </c>
    </row>
    <row r="17" spans="1:75" s="47" customFormat="1">
      <c r="A17" s="135" t="s">
        <v>298</v>
      </c>
      <c r="E17" s="47">
        <f>E16-E15</f>
        <v>0</v>
      </c>
      <c r="F17" s="47">
        <f t="shared" ref="F17:AV17" si="54">F16-F15</f>
        <v>389560200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0</v>
      </c>
      <c r="AQ17" s="47">
        <f t="shared" si="54"/>
        <v>0</v>
      </c>
      <c r="AR17" s="47">
        <f t="shared" si="54"/>
        <v>0</v>
      </c>
      <c r="AS17" s="47">
        <f t="shared" si="54"/>
        <v>0</v>
      </c>
      <c r="AT17" s="47">
        <f t="shared" si="54"/>
        <v>0</v>
      </c>
      <c r="AU17" s="47">
        <f t="shared" si="54"/>
        <v>0</v>
      </c>
      <c r="AV17" s="47">
        <f t="shared" si="54"/>
        <v>0</v>
      </c>
    </row>
    <row r="18" spans="1:75" s="48" customFormat="1">
      <c r="A18" s="46" t="s">
        <v>294</v>
      </c>
    </row>
    <row r="19" spans="1:75" s="192" customFormat="1">
      <c r="A19" s="192" t="s">
        <v>299</v>
      </c>
      <c r="E19" s="192">
        <f>E5+E17</f>
        <v>28964050.609999999</v>
      </c>
      <c r="F19" s="192">
        <f t="shared" ref="F19:AS19" si="55">F5+F17</f>
        <v>447433778.11000001</v>
      </c>
      <c r="G19" s="192">
        <f t="shared" si="55"/>
        <v>27310309.27</v>
      </c>
      <c r="H19" s="192">
        <f t="shared" si="55"/>
        <v>7317557.21</v>
      </c>
      <c r="I19" s="192">
        <f t="shared" si="55"/>
        <v>367656.47</v>
      </c>
      <c r="J19" s="192">
        <f t="shared" si="55"/>
        <v>40655187.579999998</v>
      </c>
      <c r="K19" s="192">
        <f t="shared" si="55"/>
        <v>35325353.060000002</v>
      </c>
      <c r="L19" s="192">
        <f t="shared" si="55"/>
        <v>31448041.169999998</v>
      </c>
      <c r="M19" s="192">
        <f t="shared" si="55"/>
        <v>22736651.5</v>
      </c>
      <c r="N19" s="192">
        <f t="shared" si="55"/>
        <v>34909520.009999998</v>
      </c>
      <c r="O19" s="192">
        <f t="shared" si="55"/>
        <v>19082770.25</v>
      </c>
      <c r="P19" s="192">
        <f t="shared" si="55"/>
        <v>13631603.199999999</v>
      </c>
      <c r="Q19" s="192">
        <f t="shared" si="55"/>
        <v>6864789.4699999997</v>
      </c>
      <c r="R19" s="192">
        <f t="shared" si="55"/>
        <v>35231458</v>
      </c>
      <c r="S19" s="192">
        <f t="shared" si="55"/>
        <v>24051727.59</v>
      </c>
      <c r="T19" s="192">
        <f t="shared" si="55"/>
        <v>7484969.8099999996</v>
      </c>
      <c r="U19" s="192">
        <f t="shared" si="55"/>
        <v>3572091.75</v>
      </c>
      <c r="V19" s="192">
        <f t="shared" si="55"/>
        <v>24825549.149999999</v>
      </c>
      <c r="W19" s="192">
        <f t="shared" si="55"/>
        <v>9952205.7200000007</v>
      </c>
      <c r="X19" s="192">
        <f t="shared" si="55"/>
        <v>8189243.0899999999</v>
      </c>
      <c r="Y19" s="192">
        <f t="shared" si="55"/>
        <v>6441828.9699999997</v>
      </c>
      <c r="Z19" s="192">
        <f t="shared" si="55"/>
        <v>38048462.640000001</v>
      </c>
      <c r="AA19" s="192">
        <f t="shared" si="55"/>
        <v>23782880.800000001</v>
      </c>
      <c r="AB19" s="192">
        <f t="shared" si="55"/>
        <v>11965806.469999999</v>
      </c>
      <c r="AC19" s="192">
        <f t="shared" si="55"/>
        <v>5187464.0999999996</v>
      </c>
      <c r="AD19" s="192">
        <f t="shared" si="55"/>
        <v>14507157.049999999</v>
      </c>
      <c r="AE19" s="192">
        <f t="shared" si="55"/>
        <v>13268727.18</v>
      </c>
      <c r="AF19" s="192">
        <f t="shared" si="55"/>
        <v>6957142.4900000002</v>
      </c>
      <c r="AG19" s="192">
        <f t="shared" si="55"/>
        <v>-707207.00999999978</v>
      </c>
      <c r="AH19" s="192">
        <f t="shared" si="55"/>
        <v>7325519.1900000051</v>
      </c>
      <c r="AI19" s="192">
        <f t="shared" si="55"/>
        <v>31294808.490000002</v>
      </c>
      <c r="AJ19" s="192">
        <f t="shared" si="55"/>
        <v>16086804.15</v>
      </c>
      <c r="AK19" s="192">
        <f t="shared" si="55"/>
        <v>7205814.5599999996</v>
      </c>
      <c r="AL19" s="192">
        <f t="shared" si="55"/>
        <v>45532922.18</v>
      </c>
      <c r="AM19" s="192">
        <f t="shared" si="55"/>
        <v>18282140.969999999</v>
      </c>
      <c r="AN19" s="192">
        <f t="shared" si="55"/>
        <v>11841061.82</v>
      </c>
      <c r="AO19" s="192">
        <f t="shared" si="55"/>
        <v>8900932.75</v>
      </c>
      <c r="AP19" s="192">
        <f t="shared" si="55"/>
        <v>92360758.200000003</v>
      </c>
      <c r="AQ19" s="192">
        <f t="shared" si="55"/>
        <v>87705056.590000004</v>
      </c>
      <c r="AR19" s="192">
        <f t="shared" si="55"/>
        <v>81144124.379999995</v>
      </c>
      <c r="AS19" s="192">
        <f t="shared" si="55"/>
        <v>0</v>
      </c>
    </row>
    <row r="20" spans="1:75" s="192" customFormat="1">
      <c r="A20" s="192" t="s">
        <v>300</v>
      </c>
      <c r="B20" s="189">
        <v>128104428.97</v>
      </c>
      <c r="C20" s="189">
        <v>27672500.600000001</v>
      </c>
      <c r="D20" s="189">
        <v>35389314.039999999</v>
      </c>
      <c r="E20" s="189">
        <v>-46981553.960000001</v>
      </c>
      <c r="F20" s="189">
        <v>248058176.34999999</v>
      </c>
      <c r="G20" s="189">
        <v>134626298.36000001</v>
      </c>
      <c r="H20" s="189">
        <v>142268625</v>
      </c>
      <c r="I20" s="189">
        <v>-105809977.56999999</v>
      </c>
      <c r="J20" s="189">
        <v>35799578.109999999</v>
      </c>
      <c r="K20" s="189">
        <v>-96287142.159999996</v>
      </c>
      <c r="L20" s="189">
        <v>-152239637.38</v>
      </c>
      <c r="M20" s="189">
        <v>-101061475</v>
      </c>
      <c r="N20" s="189">
        <v>-131339444.51000001</v>
      </c>
      <c r="O20" s="189">
        <v>-116944059.23999999</v>
      </c>
      <c r="P20" s="189">
        <v>-108839924.38</v>
      </c>
      <c r="Q20" s="189">
        <v>-80876656.739999995</v>
      </c>
      <c r="R20" s="189">
        <v>-120866925.16</v>
      </c>
      <c r="S20" s="189">
        <v>-114761840.67</v>
      </c>
      <c r="T20" s="189">
        <v>-103875653.2</v>
      </c>
      <c r="U20" s="189">
        <v>-66143518.270000003</v>
      </c>
      <c r="V20" s="189">
        <v>37254049.869999997</v>
      </c>
      <c r="W20" s="189">
        <v>-17576097.050000001</v>
      </c>
      <c r="X20" s="189">
        <v>-45407246.549999997</v>
      </c>
      <c r="Y20" s="189">
        <v>53475962.579999998</v>
      </c>
      <c r="Z20" s="189">
        <v>151852794.78999999</v>
      </c>
      <c r="AA20" s="189">
        <v>57754723.630000003</v>
      </c>
      <c r="AB20" s="189">
        <v>-9918579.5700000003</v>
      </c>
      <c r="AC20" s="189">
        <v>29361037.379999999</v>
      </c>
      <c r="AD20" s="189">
        <v>206100171.59999999</v>
      </c>
      <c r="AE20" s="189">
        <v>101709433.54000001</v>
      </c>
      <c r="AF20" s="189">
        <v>39493154.609999999</v>
      </c>
      <c r="AG20" s="189">
        <v>28589812.98</v>
      </c>
      <c r="AH20" s="189">
        <v>196156931.56999999</v>
      </c>
      <c r="AI20" s="189">
        <v>76363362.019999996</v>
      </c>
      <c r="AJ20" s="189">
        <v>65377757.979999997</v>
      </c>
      <c r="AK20" s="189">
        <v>57322863.579999998</v>
      </c>
      <c r="AL20" s="189">
        <v>181686870.59999999</v>
      </c>
      <c r="AM20" s="189">
        <v>81439518.959999993</v>
      </c>
      <c r="AN20" s="189">
        <v>32421550.559999999</v>
      </c>
      <c r="AO20" s="189">
        <v>41255158.579999998</v>
      </c>
      <c r="AP20" s="189">
        <v>134513151.40000001</v>
      </c>
      <c r="AQ20" s="189">
        <v>31575329.739999998</v>
      </c>
      <c r="AR20" s="189">
        <v>-5920897.2800000003</v>
      </c>
      <c r="AS20" s="189">
        <v>28888449.670000002</v>
      </c>
      <c r="AT20" s="189">
        <v>114763516.95999999</v>
      </c>
      <c r="AU20" s="189">
        <v>71756349.319999993</v>
      </c>
      <c r="AV20" s="189">
        <v>32586378.050000001</v>
      </c>
      <c r="AW20" s="189">
        <v>59976258.149999999</v>
      </c>
      <c r="AX20" s="189">
        <v>65743775.630000003</v>
      </c>
      <c r="AY20" s="189">
        <v>27061253.879999999</v>
      </c>
      <c r="AZ20" s="189">
        <v>16960544.280000001</v>
      </c>
      <c r="BA20" s="189">
        <v>38864768.850000001</v>
      </c>
      <c r="BB20" s="189">
        <v>130890900.17</v>
      </c>
      <c r="BC20" s="189">
        <v>48726470.82</v>
      </c>
      <c r="BD20" s="189">
        <v>4985636.17</v>
      </c>
      <c r="BE20" s="189">
        <v>58852090.149999999</v>
      </c>
      <c r="BF20" s="189">
        <v>98879708.400000006</v>
      </c>
      <c r="BG20" s="189">
        <v>60521039.539999999</v>
      </c>
      <c r="BH20" s="189">
        <v>39837560.990000002</v>
      </c>
      <c r="BI20" s="189">
        <v>36808318.25</v>
      </c>
      <c r="BJ20" s="189">
        <v>71491451.959999993</v>
      </c>
      <c r="BK20" s="189">
        <v>37050018.390000001</v>
      </c>
      <c r="BL20" s="189">
        <v>19105590.190000001</v>
      </c>
      <c r="BM20" s="189">
        <v>37973883.119999997</v>
      </c>
      <c r="BN20" s="189">
        <v>25134213.100000001</v>
      </c>
      <c r="BO20" s="189">
        <v>18542864.75</v>
      </c>
      <c r="BP20" s="189">
        <v>-3750423.43</v>
      </c>
      <c r="BQ20" s="189">
        <v>13291694.390000001</v>
      </c>
      <c r="BR20" s="189">
        <v>66490108.420000002</v>
      </c>
      <c r="BS20" s="189">
        <v>15528529.779999999</v>
      </c>
      <c r="BT20" s="189">
        <v>45548517.140000001</v>
      </c>
      <c r="BU20" s="189">
        <v>69289211.939999998</v>
      </c>
      <c r="BV20" s="189">
        <v>36142489.840000004</v>
      </c>
      <c r="BW20" s="189">
        <v>0</v>
      </c>
    </row>
    <row r="21" spans="1:75" s="220" customFormat="1">
      <c r="A21" s="220" t="s">
        <v>665</v>
      </c>
      <c r="E21" s="220">
        <f>E20/E19</f>
        <v>-1.6220643511712192</v>
      </c>
      <c r="F21" s="220">
        <f t="shared" ref="F21:AS21" si="56">F20/F19</f>
        <v>0.5544019885977759</v>
      </c>
      <c r="G21" s="220">
        <f t="shared" si="56"/>
        <v>4.9295047166633577</v>
      </c>
      <c r="H21" s="220">
        <f t="shared" si="56"/>
        <v>19.442092616041194</v>
      </c>
      <c r="I21" s="220">
        <f t="shared" si="56"/>
        <v>-287.79577187911315</v>
      </c>
      <c r="J21" s="220">
        <f t="shared" si="56"/>
        <v>0.88056605419799672</v>
      </c>
      <c r="K21" s="220">
        <f t="shared" si="56"/>
        <v>-2.7257234201299161</v>
      </c>
      <c r="L21" s="220">
        <f t="shared" si="56"/>
        <v>-4.8409895089182751</v>
      </c>
      <c r="M21" s="220">
        <f t="shared" si="56"/>
        <v>-4.444870653007106</v>
      </c>
      <c r="N21" s="220">
        <f t="shared" si="56"/>
        <v>-3.7622815917370733</v>
      </c>
      <c r="O21" s="220">
        <f t="shared" si="56"/>
        <v>-6.1282537969035182</v>
      </c>
      <c r="P21" s="220">
        <f t="shared" si="56"/>
        <v>-7.9843817915709288</v>
      </c>
      <c r="Q21" s="220">
        <f t="shared" si="56"/>
        <v>-11.781374664647945</v>
      </c>
      <c r="R21" s="220">
        <f t="shared" si="56"/>
        <v>-3.4306535131188722</v>
      </c>
      <c r="S21" s="220">
        <f t="shared" si="56"/>
        <v>-4.7714593573608655</v>
      </c>
      <c r="T21" s="220">
        <f t="shared" si="56"/>
        <v>-13.877898754009806</v>
      </c>
      <c r="U21" s="220">
        <f t="shared" si="56"/>
        <v>-18.516746740897684</v>
      </c>
      <c r="V21" s="220">
        <f t="shared" si="56"/>
        <v>1.5006334661483207</v>
      </c>
      <c r="W21" s="220">
        <f t="shared" si="56"/>
        <v>-1.7660504158067183</v>
      </c>
      <c r="X21" s="220">
        <f t="shared" si="56"/>
        <v>-5.5447427864789391</v>
      </c>
      <c r="Y21" s="220">
        <f t="shared" si="56"/>
        <v>8.3013632974487361</v>
      </c>
      <c r="Z21" s="220">
        <f t="shared" si="56"/>
        <v>3.9910362798826604</v>
      </c>
      <c r="AA21" s="220">
        <f t="shared" si="56"/>
        <v>2.4284158052879783</v>
      </c>
      <c r="AB21" s="220">
        <f t="shared" si="56"/>
        <v>-0.8289102447768405</v>
      </c>
      <c r="AC21" s="220">
        <f t="shared" si="56"/>
        <v>5.6599981829271844</v>
      </c>
      <c r="AD21" s="220">
        <f t="shared" si="56"/>
        <v>14.20679261206454</v>
      </c>
      <c r="AE21" s="220">
        <f t="shared" si="56"/>
        <v>7.6653496722207839</v>
      </c>
      <c r="AF21" s="220">
        <f t="shared" si="56"/>
        <v>5.6766344324219808</v>
      </c>
      <c r="AG21" s="220">
        <f t="shared" si="56"/>
        <v>-40.426371028194431</v>
      </c>
      <c r="AH21" s="220">
        <f t="shared" si="56"/>
        <v>26.77720533962588</v>
      </c>
      <c r="AI21" s="220">
        <f t="shared" si="56"/>
        <v>2.4401287531253395</v>
      </c>
      <c r="AJ21" s="220">
        <f t="shared" si="56"/>
        <v>4.0640612871513078</v>
      </c>
      <c r="AK21" s="220">
        <f t="shared" si="56"/>
        <v>7.9550844811082682</v>
      </c>
      <c r="AL21" s="220">
        <f t="shared" si="56"/>
        <v>3.9902308461942866</v>
      </c>
      <c r="AM21" s="220">
        <f t="shared" si="56"/>
        <v>4.4545941907809281</v>
      </c>
      <c r="AN21" s="220">
        <f t="shared" si="56"/>
        <v>2.738061083782096</v>
      </c>
      <c r="AO21" s="220">
        <f t="shared" si="56"/>
        <v>4.6349253206075511</v>
      </c>
      <c r="AP21" s="220">
        <f t="shared" si="56"/>
        <v>1.4563885574512314</v>
      </c>
      <c r="AQ21" s="220">
        <f t="shared" si="56"/>
        <v>0.3600172095846999</v>
      </c>
      <c r="AR21" s="220">
        <f t="shared" si="56"/>
        <v>-7.2967664944812119E-2</v>
      </c>
      <c r="AS21" s="220" t="e">
        <f t="shared" si="56"/>
        <v>#DIV/0!</v>
      </c>
    </row>
    <row r="22" spans="1:75" s="192" customFormat="1">
      <c r="A22" s="192" t="s">
        <v>301</v>
      </c>
      <c r="E22" s="192">
        <f>I35</f>
        <v>891290968.5</v>
      </c>
      <c r="F22" s="192">
        <f t="shared" ref="F22:Y22" si="57">J35</f>
        <v>1007846843.6700001</v>
      </c>
      <c r="G22" s="192">
        <f t="shared" si="57"/>
        <v>817467546.49000001</v>
      </c>
      <c r="H22" s="192">
        <f t="shared" si="57"/>
        <v>877241858.67000008</v>
      </c>
      <c r="I22" s="192">
        <f t="shared" si="57"/>
        <v>944885842.45000005</v>
      </c>
      <c r="J22" s="192">
        <f t="shared" si="57"/>
        <v>1028552394.4100001</v>
      </c>
      <c r="K22" s="192">
        <f t="shared" si="57"/>
        <v>1008939302.1200001</v>
      </c>
      <c r="L22" s="192">
        <f t="shared" si="57"/>
        <v>1127677055.6600001</v>
      </c>
      <c r="M22" s="192">
        <f t="shared" si="57"/>
        <v>970747395.41000009</v>
      </c>
      <c r="N22" s="192">
        <f t="shared" si="57"/>
        <v>1066353724.99</v>
      </c>
      <c r="O22" s="192">
        <f t="shared" si="57"/>
        <v>1082385381.3800001</v>
      </c>
      <c r="P22" s="192">
        <f t="shared" si="57"/>
        <v>923631726.19000006</v>
      </c>
      <c r="Q22" s="192">
        <f t="shared" si="57"/>
        <v>906581059.05999994</v>
      </c>
      <c r="R22" s="192">
        <f t="shared" si="57"/>
        <v>981185999.45000005</v>
      </c>
      <c r="S22" s="192">
        <f t="shared" si="57"/>
        <v>950235560.44000006</v>
      </c>
      <c r="T22" s="192">
        <f t="shared" si="57"/>
        <v>955146589.06999993</v>
      </c>
      <c r="U22" s="192">
        <f t="shared" si="57"/>
        <v>1105189211.3499999</v>
      </c>
      <c r="V22" s="192">
        <f t="shared" si="57"/>
        <v>494398377.69</v>
      </c>
      <c r="W22" s="192">
        <f t="shared" si="57"/>
        <v>404503143.63</v>
      </c>
      <c r="X22" s="192">
        <f t="shared" si="57"/>
        <v>356480597</v>
      </c>
      <c r="Y22" s="192">
        <f t="shared" si="57"/>
        <v>403303556.31999999</v>
      </c>
      <c r="Z22" s="192">
        <f t="shared" ref="Z22" si="58">AD35</f>
        <v>379875420.54000002</v>
      </c>
      <c r="AA22" s="192">
        <f t="shared" ref="AA22" si="59">AE35</f>
        <v>277455824.85000002</v>
      </c>
      <c r="AB22" s="192">
        <f t="shared" ref="AB22" si="60">AF35</f>
        <v>222222532.72999999</v>
      </c>
      <c r="AC22" s="192">
        <f t="shared" ref="AC22" si="61">AG35</f>
        <v>219605497.69999999</v>
      </c>
      <c r="AD22" s="192">
        <f t="shared" ref="AD22" si="62">AH35</f>
        <v>241093108.11000001</v>
      </c>
      <c r="AE22" s="192">
        <f t="shared" ref="AE22" si="63">AI35</f>
        <v>157189312.25999999</v>
      </c>
      <c r="AF22" s="192">
        <f t="shared" ref="AF22" si="64">AJ35</f>
        <v>159798398.13</v>
      </c>
      <c r="AG22" s="192">
        <f t="shared" ref="AG22" si="65">AK35</f>
        <v>222167646.14000002</v>
      </c>
      <c r="AH22" s="192">
        <f t="shared" ref="AH22" si="66">AL35</f>
        <v>254431927.96000001</v>
      </c>
      <c r="AI22" s="192">
        <f t="shared" ref="AI22" si="67">AM35</f>
        <v>255145661.04000002</v>
      </c>
      <c r="AJ22" s="192">
        <f t="shared" ref="AJ22" si="68">AN35</f>
        <v>165865458.30000001</v>
      </c>
      <c r="AK22" s="192">
        <f t="shared" ref="AK22" si="69">AO35</f>
        <v>252394322.06999999</v>
      </c>
      <c r="AL22" s="192">
        <f t="shared" ref="AL22" si="70">AP35</f>
        <v>215389547.07999998</v>
      </c>
      <c r="AM22" s="192">
        <f t="shared" ref="AM22" si="71">AQ35</f>
        <v>153971200.37</v>
      </c>
      <c r="AN22" s="192">
        <f t="shared" ref="AN22" si="72">AR35</f>
        <v>164902617.98000002</v>
      </c>
      <c r="AO22" s="192">
        <f t="shared" ref="AO22" si="73">AS35</f>
        <v>322398355.67000002</v>
      </c>
      <c r="AP22" s="192">
        <f t="shared" ref="AP22" si="74">AT35</f>
        <v>249567634.12</v>
      </c>
      <c r="AQ22" s="192">
        <f t="shared" ref="AQ22" si="75">AU35</f>
        <v>236591794.66</v>
      </c>
      <c r="AR22" s="192">
        <f t="shared" ref="AR22" si="76">AV35</f>
        <v>224057794.99000001</v>
      </c>
      <c r="AS22" s="192">
        <f t="shared" ref="AS22" si="77">AW35</f>
        <v>232916402.18000001</v>
      </c>
    </row>
    <row r="23" spans="1:75" s="192" customFormat="1">
      <c r="A23" s="192" t="s">
        <v>302</v>
      </c>
      <c r="E23" s="192">
        <f>E20+E22-E19</f>
        <v>815345363.92999995</v>
      </c>
      <c r="F23" s="192">
        <f t="shared" ref="F23:AS23" si="78">F20+F22-F19</f>
        <v>808471241.90999997</v>
      </c>
      <c r="G23" s="192">
        <f t="shared" si="78"/>
        <v>924783535.58000004</v>
      </c>
      <c r="H23" s="192">
        <f t="shared" si="78"/>
        <v>1012192926.46</v>
      </c>
      <c r="I23" s="192">
        <f t="shared" si="78"/>
        <v>838708208.41000009</v>
      </c>
      <c r="J23" s="192">
        <f t="shared" si="78"/>
        <v>1023696784.9400001</v>
      </c>
      <c r="K23" s="192">
        <f t="shared" si="78"/>
        <v>877326806.9000001</v>
      </c>
      <c r="L23" s="192">
        <f t="shared" si="78"/>
        <v>943989377.11000013</v>
      </c>
      <c r="M23" s="192">
        <f t="shared" si="78"/>
        <v>846949268.91000009</v>
      </c>
      <c r="N23" s="192">
        <f t="shared" si="78"/>
        <v>900104760.47000003</v>
      </c>
      <c r="O23" s="192">
        <f t="shared" si="78"/>
        <v>946358551.8900001</v>
      </c>
      <c r="P23" s="192">
        <f t="shared" si="78"/>
        <v>801160198.61000001</v>
      </c>
      <c r="Q23" s="192">
        <f t="shared" si="78"/>
        <v>818839612.8499999</v>
      </c>
      <c r="R23" s="192">
        <f t="shared" si="78"/>
        <v>825087616.29000008</v>
      </c>
      <c r="S23" s="192">
        <f t="shared" si="78"/>
        <v>811421992.18000007</v>
      </c>
      <c r="T23" s="192">
        <f t="shared" si="78"/>
        <v>843785966.05999994</v>
      </c>
      <c r="U23" s="192">
        <f t="shared" si="78"/>
        <v>1035473601.3299999</v>
      </c>
      <c r="V23" s="192">
        <f t="shared" si="78"/>
        <v>506826878.41000003</v>
      </c>
      <c r="W23" s="192">
        <f t="shared" si="78"/>
        <v>376974840.85999995</v>
      </c>
      <c r="X23" s="192">
        <f t="shared" si="78"/>
        <v>302884107.36000001</v>
      </c>
      <c r="Y23" s="192">
        <f t="shared" si="78"/>
        <v>450337689.92999995</v>
      </c>
      <c r="Z23" s="192">
        <f t="shared" si="78"/>
        <v>493679752.69000006</v>
      </c>
      <c r="AA23" s="192">
        <f t="shared" si="78"/>
        <v>311427667.68000001</v>
      </c>
      <c r="AB23" s="192">
        <f t="shared" si="78"/>
        <v>200338146.69</v>
      </c>
      <c r="AC23" s="192">
        <f t="shared" si="78"/>
        <v>243779070.97999999</v>
      </c>
      <c r="AD23" s="192">
        <f t="shared" si="78"/>
        <v>432686122.66000003</v>
      </c>
      <c r="AE23" s="192">
        <f t="shared" si="78"/>
        <v>245630018.62</v>
      </c>
      <c r="AF23" s="192">
        <f t="shared" si="78"/>
        <v>192334410.25</v>
      </c>
      <c r="AG23" s="192">
        <f t="shared" si="78"/>
        <v>251464666.13</v>
      </c>
      <c r="AH23" s="192">
        <f t="shared" si="78"/>
        <v>443263340.33999997</v>
      </c>
      <c r="AI23" s="192">
        <f t="shared" si="78"/>
        <v>300214214.56999999</v>
      </c>
      <c r="AJ23" s="192">
        <f t="shared" si="78"/>
        <v>215156412.13</v>
      </c>
      <c r="AK23" s="192">
        <f t="shared" si="78"/>
        <v>302511371.08999997</v>
      </c>
      <c r="AL23" s="192">
        <f t="shared" si="78"/>
        <v>351543495.49999994</v>
      </c>
      <c r="AM23" s="192">
        <f t="shared" si="78"/>
        <v>217128578.35999998</v>
      </c>
      <c r="AN23" s="192">
        <f t="shared" si="78"/>
        <v>185483106.72000003</v>
      </c>
      <c r="AO23" s="192">
        <f t="shared" si="78"/>
        <v>354752581.5</v>
      </c>
      <c r="AP23" s="192">
        <f t="shared" si="78"/>
        <v>291720027.31999999</v>
      </c>
      <c r="AQ23" s="192">
        <f t="shared" si="78"/>
        <v>180462067.81</v>
      </c>
      <c r="AR23" s="192">
        <f t="shared" si="78"/>
        <v>136992773.33000001</v>
      </c>
      <c r="AS23" s="192">
        <f t="shared" si="78"/>
        <v>261804851.85000002</v>
      </c>
    </row>
    <row r="24" spans="1:75" s="220" customFormat="1">
      <c r="A24" s="220" t="s">
        <v>303</v>
      </c>
      <c r="B24" s="189">
        <v>-864720586.38999999</v>
      </c>
      <c r="C24" s="189">
        <v>-282283110.44999999</v>
      </c>
      <c r="D24" s="189">
        <v>-68450301.609999999</v>
      </c>
      <c r="E24" s="189">
        <v>58790700.390000001</v>
      </c>
      <c r="F24" s="189">
        <v>175461165.5</v>
      </c>
      <c r="G24" s="189">
        <v>248938044.80000001</v>
      </c>
      <c r="H24" s="189">
        <v>289556293.43000001</v>
      </c>
      <c r="I24" s="189">
        <v>-4441239.58</v>
      </c>
      <c r="J24" s="189">
        <v>14421013.01</v>
      </c>
      <c r="K24" s="189">
        <v>-65474880.380000003</v>
      </c>
      <c r="L24" s="189">
        <v>42819745.840000004</v>
      </c>
      <c r="M24" s="189">
        <v>45356035.060000002</v>
      </c>
      <c r="N24" s="189">
        <v>134636974.58000001</v>
      </c>
      <c r="O24" s="189">
        <v>92324647.730000004</v>
      </c>
      <c r="P24" s="189">
        <v>193573518.99000001</v>
      </c>
      <c r="Q24" s="189">
        <v>-2975553</v>
      </c>
      <c r="R24" s="189">
        <v>161034032.97</v>
      </c>
      <c r="S24" s="189">
        <v>163212141.30000001</v>
      </c>
      <c r="T24" s="189">
        <v>64174167.299999997</v>
      </c>
      <c r="U24" s="189">
        <v>0</v>
      </c>
      <c r="V24" s="189">
        <v>-94751892.939999998</v>
      </c>
      <c r="W24" s="189">
        <v>-94740740.239999995</v>
      </c>
      <c r="X24" s="189">
        <v>-94740740.239999995</v>
      </c>
      <c r="Y24" s="189">
        <v>-50476625</v>
      </c>
      <c r="Z24" s="189">
        <v>-3031375</v>
      </c>
      <c r="AA24" s="189">
        <v>-2274937.5</v>
      </c>
      <c r="AB24" s="189">
        <v>-1510437.5</v>
      </c>
      <c r="AC24" s="189">
        <v>-745437.5</v>
      </c>
      <c r="AD24" s="189">
        <v>-52810702.119999997</v>
      </c>
      <c r="AE24" s="189">
        <v>-52077989.619999997</v>
      </c>
      <c r="AF24" s="189">
        <v>-51406587.5</v>
      </c>
      <c r="AG24" s="189">
        <v>-50732924.189999998</v>
      </c>
      <c r="AH24" s="189">
        <v>-86770479.629999995</v>
      </c>
      <c r="AI24" s="189">
        <v>-83824615</v>
      </c>
      <c r="AJ24" s="189">
        <v>-83327892.5</v>
      </c>
      <c r="AK24" s="189">
        <v>-81542923.329999998</v>
      </c>
      <c r="AL24" s="189">
        <v>-93757937.5</v>
      </c>
      <c r="AM24" s="189">
        <v>-20886041.5</v>
      </c>
      <c r="AN24" s="189">
        <v>-68427762.5</v>
      </c>
      <c r="AO24" s="189">
        <v>5488956.6699999999</v>
      </c>
      <c r="AP24" s="189">
        <v>-72971934.400000006</v>
      </c>
      <c r="AQ24" s="189">
        <v>-36946568.57</v>
      </c>
      <c r="AR24" s="189">
        <v>4080919.14</v>
      </c>
      <c r="AS24" s="189">
        <v>71072828.079999998</v>
      </c>
      <c r="AT24" s="189">
        <v>-1752554.84</v>
      </c>
      <c r="AU24" s="189">
        <v>4532428.75</v>
      </c>
      <c r="AV24" s="189">
        <v>20402030.75</v>
      </c>
      <c r="AW24" s="189">
        <v>-14950203.34</v>
      </c>
      <c r="AX24" s="189">
        <v>-39198044.340000004</v>
      </c>
      <c r="AY24" s="189">
        <v>-34230906.670000002</v>
      </c>
      <c r="AZ24" s="189">
        <v>-9331118</v>
      </c>
      <c r="BA24" s="189">
        <v>-14624714.33</v>
      </c>
      <c r="BB24" s="189">
        <v>-51312417.799999997</v>
      </c>
      <c r="BC24" s="189">
        <v>4699147.34</v>
      </c>
      <c r="BD24" s="189">
        <v>20416063</v>
      </c>
      <c r="BE24" s="189">
        <v>-24755685</v>
      </c>
      <c r="BF24" s="189">
        <v>-82516105.180000007</v>
      </c>
      <c r="BG24" s="189">
        <v>-40139114.969999999</v>
      </c>
      <c r="BH24" s="189">
        <v>-48962537.780000001</v>
      </c>
      <c r="BI24" s="189">
        <v>-33641064.149999999</v>
      </c>
      <c r="BJ24" s="189">
        <v>-81312686.700000003</v>
      </c>
      <c r="BK24" s="189">
        <v>-27387206.289999999</v>
      </c>
      <c r="BL24" s="189">
        <v>-34856145.119999997</v>
      </c>
      <c r="BM24" s="189">
        <v>-26746343.620000001</v>
      </c>
      <c r="BN24" s="189">
        <v>-41006916.270000003</v>
      </c>
      <c r="BO24" s="189">
        <v>-31137475.390000001</v>
      </c>
      <c r="BP24" s="189">
        <v>7673914.2400000002</v>
      </c>
      <c r="BQ24" s="189">
        <v>4385015.13</v>
      </c>
      <c r="BR24" s="189">
        <v>-20954273.699999999</v>
      </c>
      <c r="BS24" s="189">
        <v>-20527120.059999999</v>
      </c>
      <c r="BT24" s="189">
        <v>45829623.93</v>
      </c>
      <c r="BU24" s="189">
        <v>-5540365.9900000002</v>
      </c>
      <c r="BV24" s="189">
        <v>24322.26</v>
      </c>
      <c r="BW24" s="189">
        <v>0</v>
      </c>
    </row>
    <row r="25" spans="1:75" s="241" customFormat="1" ht="138.6" customHeight="1">
      <c r="A25" s="273" t="s">
        <v>741</v>
      </c>
      <c r="B25" s="274"/>
      <c r="C25" s="274"/>
      <c r="D25" s="274"/>
      <c r="E25" s="274"/>
      <c r="F25" s="274"/>
      <c r="G25" s="274"/>
      <c r="H25" s="274"/>
      <c r="I25" s="274"/>
      <c r="J25" s="274"/>
      <c r="K25" s="274"/>
      <c r="L25" s="274"/>
      <c r="M25" s="274"/>
      <c r="N25" s="274"/>
      <c r="O25" s="274"/>
      <c r="P25" s="274"/>
      <c r="Q25" s="274"/>
      <c r="R25" s="274"/>
      <c r="S25" s="274"/>
      <c r="T25" s="274"/>
      <c r="U25" s="274"/>
      <c r="V25" s="274"/>
      <c r="W25" s="274"/>
      <c r="X25" s="274"/>
      <c r="Y25" s="274"/>
      <c r="Z25" s="274"/>
      <c r="AA25" s="274"/>
      <c r="AB25" s="274"/>
      <c r="AC25" s="274"/>
      <c r="AD25" s="274"/>
      <c r="AE25" s="274"/>
      <c r="AF25" s="274"/>
      <c r="AG25" s="274"/>
      <c r="AH25" s="274"/>
      <c r="AI25" s="274"/>
      <c r="AJ25" s="274"/>
      <c r="AK25" s="274"/>
    </row>
    <row r="26" spans="1:75" s="26" customFormat="1">
      <c r="A26" s="17" t="s">
        <v>629</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2718244.07</v>
      </c>
      <c r="AI26" s="26">
        <f>现金流量表!AI15</f>
        <v>2718244.07</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63000000.5</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12487805.970000001</v>
      </c>
      <c r="BG26" s="26">
        <f>现金流量表!BG15</f>
        <v>1301277</v>
      </c>
      <c r="BH26" s="26">
        <f>现金流量表!BH15</f>
        <v>1301277</v>
      </c>
      <c r="BI26" s="26">
        <f>现金流量表!BI15</f>
        <v>1301028</v>
      </c>
      <c r="BJ26" s="26">
        <f>现金流量表!BJ15</f>
        <v>16097015.439999999</v>
      </c>
      <c r="BK26" s="26">
        <f>现金流量表!BK15</f>
        <v>13826710.99</v>
      </c>
      <c r="BL26" s="26">
        <f>现金流量表!BL15</f>
        <v>13740312.82</v>
      </c>
      <c r="BM26" s="26">
        <f>现金流量表!BM15</f>
        <v>341000</v>
      </c>
      <c r="BN26" s="26">
        <f>现金流量表!BN15</f>
        <v>308400.84000000003</v>
      </c>
      <c r="BO26" s="26">
        <f>现金流量表!BO15</f>
        <v>3517.61</v>
      </c>
      <c r="BP26" s="26">
        <f>现金流量表!BP15</f>
        <v>180000</v>
      </c>
      <c r="BQ26" s="26">
        <f>现金流量表!BQ15</f>
        <v>0</v>
      </c>
      <c r="BR26" s="26">
        <f>现金流量表!BR15</f>
        <v>196778320.66999999</v>
      </c>
      <c r="BS26" s="26">
        <f>现金流量表!BS15</f>
        <v>3254912.3</v>
      </c>
      <c r="BT26" s="26">
        <f>现金流量表!BT15</f>
        <v>0</v>
      </c>
      <c r="BU26" s="26">
        <f>现金流量表!BU15</f>
        <v>0</v>
      </c>
      <c r="BV26" s="26">
        <f>现金流量表!BV15</f>
        <v>0</v>
      </c>
    </row>
    <row r="27" spans="1:75" s="26" customFormat="1">
      <c r="A27" s="17" t="s">
        <v>630</v>
      </c>
      <c r="E27" s="26">
        <f>现金流量表!E22</f>
        <v>0</v>
      </c>
      <c r="F27" s="26">
        <f>现金流量表!F22</f>
        <v>0</v>
      </c>
      <c r="G27" s="26">
        <f>现金流量表!G22</f>
        <v>389560200</v>
      </c>
      <c r="H27" s="26">
        <f>现金流量表!H22</f>
        <v>0</v>
      </c>
      <c r="I27" s="26">
        <f>现金流量表!I22</f>
        <v>0</v>
      </c>
      <c r="J27" s="26">
        <f>现金流量表!J22</f>
        <v>0</v>
      </c>
      <c r="K27" s="26">
        <f>现金流量表!K22</f>
        <v>0</v>
      </c>
      <c r="L27" s="26">
        <f>现金流量表!L22</f>
        <v>0</v>
      </c>
      <c r="M27" s="26">
        <f>现金流量表!M22</f>
        <v>0</v>
      </c>
      <c r="N27" s="26">
        <f>现金流量表!N22</f>
        <v>29542520</v>
      </c>
      <c r="O27" s="26">
        <f>现金流量表!O22</f>
        <v>0</v>
      </c>
      <c r="P27" s="26">
        <f>现金流量表!P22</f>
        <v>0</v>
      </c>
      <c r="Q27" s="26">
        <f>现金流量表!Q22</f>
        <v>0</v>
      </c>
      <c r="R27" s="26">
        <f>现金流量表!R22</f>
        <v>0</v>
      </c>
      <c r="S27" s="26">
        <f>现金流量表!S22</f>
        <v>0</v>
      </c>
      <c r="T27" s="26">
        <f>现金流量表!T22</f>
        <v>0</v>
      </c>
      <c r="U27" s="26">
        <f>现金流量表!U22</f>
        <v>0</v>
      </c>
      <c r="V27" s="26">
        <f>现金流量表!V22</f>
        <v>27039600</v>
      </c>
      <c r="W27" s="26">
        <f>现金流量表!W22</f>
        <v>27039600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59500000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63000000.5</v>
      </c>
      <c r="AU27" s="26">
        <f>现金流量表!AU22</f>
        <v>0</v>
      </c>
      <c r="AV27" s="26">
        <f>现金流量表!AV22</f>
        <v>0</v>
      </c>
      <c r="AW27" s="26">
        <f>现金流量表!AW22</f>
        <v>1500000</v>
      </c>
      <c r="AX27" s="26">
        <f>现金流量表!AX22</f>
        <v>0</v>
      </c>
      <c r="AY27" s="26">
        <f>现金流量表!AY22</f>
        <v>0</v>
      </c>
      <c r="AZ27" s="26">
        <f>现金流量表!AZ22</f>
        <v>0</v>
      </c>
      <c r="BA27" s="26">
        <f>现金流量表!BA22</f>
        <v>0</v>
      </c>
      <c r="BB27" s="26">
        <f>现金流量表!BB22</f>
        <v>0</v>
      </c>
      <c r="BC27" s="26">
        <f>现金流量表!BC22</f>
        <v>50000000</v>
      </c>
      <c r="BD27" s="26">
        <f>现金流量表!BD22</f>
        <v>50000000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5000000</v>
      </c>
      <c r="BN27" s="26">
        <f>现金流量表!BN22</f>
        <v>300000</v>
      </c>
      <c r="BO27" s="26">
        <f>现金流量表!BO22</f>
        <v>0</v>
      </c>
      <c r="BP27" s="26">
        <f>现金流量表!BP22</f>
        <v>39705072.689999998</v>
      </c>
      <c r="BQ27" s="26">
        <f>现金流量表!BQ22</f>
        <v>8000000</v>
      </c>
      <c r="BR27" s="26">
        <f>现金流量表!BR22</f>
        <v>162965838.77000001</v>
      </c>
      <c r="BS27" s="26">
        <f>现金流量表!BS22</f>
        <v>0</v>
      </c>
      <c r="BT27" s="26">
        <f>现金流量表!BT22</f>
        <v>60000000</v>
      </c>
      <c r="BU27" s="26">
        <f>现金流量表!BU22</f>
        <v>0</v>
      </c>
      <c r="BV27" s="26">
        <f>现金流量表!BV22</f>
        <v>0</v>
      </c>
    </row>
    <row r="28" spans="1:75" s="26" customFormat="1">
      <c r="A28" s="17" t="s">
        <v>631</v>
      </c>
      <c r="E28" s="26">
        <f>E27-E26</f>
        <v>0</v>
      </c>
      <c r="F28" s="26">
        <f t="shared" ref="F28:BQ28" si="79">F27-F26</f>
        <v>0</v>
      </c>
      <c r="G28" s="26">
        <f t="shared" si="79"/>
        <v>389560200</v>
      </c>
      <c r="H28" s="26">
        <f t="shared" si="79"/>
        <v>0</v>
      </c>
      <c r="I28" s="26">
        <f t="shared" si="79"/>
        <v>0</v>
      </c>
      <c r="J28" s="26">
        <f t="shared" si="79"/>
        <v>0</v>
      </c>
      <c r="K28" s="26">
        <f t="shared" si="79"/>
        <v>0</v>
      </c>
      <c r="L28" s="26">
        <f t="shared" si="79"/>
        <v>0</v>
      </c>
      <c r="M28" s="26">
        <f t="shared" si="79"/>
        <v>0</v>
      </c>
      <c r="N28" s="26">
        <f t="shared" si="79"/>
        <v>29542520</v>
      </c>
      <c r="O28" s="26">
        <f t="shared" si="79"/>
        <v>0</v>
      </c>
      <c r="P28" s="26">
        <f t="shared" si="79"/>
        <v>0</v>
      </c>
      <c r="Q28" s="26">
        <f t="shared" si="79"/>
        <v>0</v>
      </c>
      <c r="R28" s="26">
        <f t="shared" si="79"/>
        <v>0</v>
      </c>
      <c r="S28" s="26">
        <f t="shared" si="79"/>
        <v>0</v>
      </c>
      <c r="T28" s="26">
        <f t="shared" si="79"/>
        <v>0</v>
      </c>
      <c r="U28" s="26">
        <f t="shared" si="79"/>
        <v>0</v>
      </c>
      <c r="V28" s="26">
        <f t="shared" si="79"/>
        <v>27039600</v>
      </c>
      <c r="W28" s="26">
        <f t="shared" si="79"/>
        <v>27039600</v>
      </c>
      <c r="X28" s="26">
        <f t="shared" si="79"/>
        <v>0</v>
      </c>
      <c r="Y28" s="26">
        <f t="shared" si="79"/>
        <v>0</v>
      </c>
      <c r="Z28" s="26">
        <f t="shared" si="79"/>
        <v>0</v>
      </c>
      <c r="AA28" s="26">
        <f t="shared" si="79"/>
        <v>0</v>
      </c>
      <c r="AB28" s="26">
        <f t="shared" si="79"/>
        <v>0</v>
      </c>
      <c r="AC28" s="26">
        <f t="shared" si="79"/>
        <v>0</v>
      </c>
      <c r="AD28" s="26">
        <f t="shared" si="79"/>
        <v>0</v>
      </c>
      <c r="AE28" s="26">
        <f t="shared" si="79"/>
        <v>0</v>
      </c>
      <c r="AF28" s="26">
        <f t="shared" si="79"/>
        <v>0</v>
      </c>
      <c r="AG28" s="26">
        <f t="shared" si="79"/>
        <v>0</v>
      </c>
      <c r="AH28" s="26">
        <f t="shared" si="79"/>
        <v>56781755.93</v>
      </c>
      <c r="AI28" s="26">
        <f t="shared" si="79"/>
        <v>-2718244.07</v>
      </c>
      <c r="AJ28" s="26">
        <f t="shared" si="79"/>
        <v>0</v>
      </c>
      <c r="AK28" s="26">
        <f t="shared" si="79"/>
        <v>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0</v>
      </c>
      <c r="AU28" s="26">
        <f t="shared" si="79"/>
        <v>0</v>
      </c>
      <c r="AV28" s="26">
        <f t="shared" si="79"/>
        <v>0</v>
      </c>
      <c r="AW28" s="26">
        <f t="shared" si="79"/>
        <v>1500000</v>
      </c>
      <c r="AX28" s="26">
        <f t="shared" si="79"/>
        <v>0</v>
      </c>
      <c r="AY28" s="26">
        <f t="shared" si="79"/>
        <v>0</v>
      </c>
      <c r="AZ28" s="26">
        <f t="shared" si="79"/>
        <v>0</v>
      </c>
      <c r="BA28" s="26">
        <f t="shared" si="79"/>
        <v>0</v>
      </c>
      <c r="BB28" s="26">
        <f t="shared" si="79"/>
        <v>0</v>
      </c>
      <c r="BC28" s="26">
        <f t="shared" si="79"/>
        <v>50000000</v>
      </c>
      <c r="BD28" s="26">
        <f t="shared" si="79"/>
        <v>50000000</v>
      </c>
      <c r="BE28" s="26">
        <f t="shared" si="79"/>
        <v>0</v>
      </c>
      <c r="BF28" s="26">
        <f t="shared" si="79"/>
        <v>-12487805.970000001</v>
      </c>
      <c r="BG28" s="26">
        <f t="shared" si="79"/>
        <v>-1301277</v>
      </c>
      <c r="BH28" s="26">
        <f t="shared" si="79"/>
        <v>-1301277</v>
      </c>
      <c r="BI28" s="26">
        <f t="shared" si="79"/>
        <v>-1301028</v>
      </c>
      <c r="BJ28" s="26">
        <f t="shared" si="79"/>
        <v>-16097015.439999999</v>
      </c>
      <c r="BK28" s="26">
        <f t="shared" si="79"/>
        <v>-13826710.99</v>
      </c>
      <c r="BL28" s="26">
        <f t="shared" si="79"/>
        <v>-13740312.82</v>
      </c>
      <c r="BM28" s="26">
        <f t="shared" si="79"/>
        <v>4659000</v>
      </c>
      <c r="BN28" s="26">
        <f t="shared" si="79"/>
        <v>-8400.8400000000256</v>
      </c>
      <c r="BO28" s="26">
        <f t="shared" si="79"/>
        <v>-3517.61</v>
      </c>
      <c r="BP28" s="26">
        <f t="shared" si="79"/>
        <v>39525072.689999998</v>
      </c>
      <c r="BQ28" s="26">
        <f t="shared" si="79"/>
        <v>8000000</v>
      </c>
      <c r="BR28" s="26">
        <f t="shared" ref="BR28:BV28" si="80">BR27-BR26</f>
        <v>-33812481.899999976</v>
      </c>
      <c r="BS28" s="26">
        <f t="shared" si="80"/>
        <v>-3254912.3</v>
      </c>
      <c r="BT28" s="26">
        <f t="shared" si="80"/>
        <v>60000000</v>
      </c>
      <c r="BU28" s="26">
        <f t="shared" si="80"/>
        <v>0</v>
      </c>
      <c r="BV28" s="26">
        <f t="shared" si="80"/>
        <v>0</v>
      </c>
    </row>
    <row r="29" spans="1:75" s="26" customFormat="1" ht="16.149999999999999" customHeight="1">
      <c r="A29" s="180" t="s">
        <v>632</v>
      </c>
      <c r="E29" s="181" t="e">
        <f>POWER(E28/U28,1/5)-1</f>
        <v>#DIV/0!</v>
      </c>
    </row>
    <row r="30" spans="1:75" s="30" customFormat="1" ht="15" customHeight="1" thickBot="1">
      <c r="A30" s="136" t="s">
        <v>315</v>
      </c>
      <c r="B30" s="1">
        <v>43465</v>
      </c>
      <c r="C30" s="1">
        <v>43373</v>
      </c>
      <c r="D30" s="1">
        <v>43281</v>
      </c>
      <c r="E30" s="1">
        <v>43190</v>
      </c>
      <c r="F30" s="1">
        <v>43100</v>
      </c>
      <c r="G30" s="1">
        <v>43008</v>
      </c>
      <c r="H30" s="1">
        <v>42916</v>
      </c>
      <c r="I30" s="1">
        <v>42825</v>
      </c>
      <c r="J30" s="1">
        <v>42735</v>
      </c>
      <c r="K30" s="1">
        <v>42643</v>
      </c>
      <c r="L30" s="1">
        <v>42551</v>
      </c>
      <c r="M30" s="1">
        <v>42460</v>
      </c>
      <c r="N30" s="1">
        <v>42369</v>
      </c>
      <c r="O30" s="1">
        <v>42277</v>
      </c>
      <c r="P30" s="1">
        <v>42185</v>
      </c>
      <c r="Q30" s="1">
        <v>42094</v>
      </c>
      <c r="R30" s="1">
        <v>42004</v>
      </c>
      <c r="S30" s="1">
        <v>41912</v>
      </c>
      <c r="T30" s="1">
        <v>41820</v>
      </c>
      <c r="U30" s="1">
        <v>41729</v>
      </c>
      <c r="V30" s="1">
        <v>41639</v>
      </c>
      <c r="W30" s="1">
        <v>41547</v>
      </c>
      <c r="X30" s="1">
        <v>41455</v>
      </c>
      <c r="Y30" s="1">
        <v>41364</v>
      </c>
      <c r="Z30" s="1">
        <v>41274</v>
      </c>
      <c r="AA30" s="1">
        <v>41182</v>
      </c>
      <c r="AB30" s="1">
        <v>41090</v>
      </c>
      <c r="AC30" s="1">
        <v>40999</v>
      </c>
      <c r="AD30" s="1">
        <v>40908</v>
      </c>
      <c r="AE30" s="1">
        <v>40816</v>
      </c>
      <c r="AF30" s="1">
        <v>40724</v>
      </c>
      <c r="AG30" s="1">
        <v>40633</v>
      </c>
      <c r="AH30" s="1">
        <v>40543</v>
      </c>
      <c r="AI30" s="1">
        <v>40451</v>
      </c>
      <c r="AJ30" s="1">
        <v>40359</v>
      </c>
      <c r="AK30" s="1">
        <v>40268</v>
      </c>
      <c r="AL30" s="1">
        <v>40178</v>
      </c>
      <c r="AM30" s="1">
        <v>40086</v>
      </c>
      <c r="AN30" s="1">
        <v>39994</v>
      </c>
      <c r="AO30" s="1">
        <v>39903</v>
      </c>
      <c r="AP30" s="1">
        <v>39813</v>
      </c>
      <c r="AQ30" s="1">
        <v>39721</v>
      </c>
      <c r="AR30" s="1">
        <v>39629</v>
      </c>
      <c r="AS30" s="1">
        <v>39538</v>
      </c>
      <c r="AT30" s="1">
        <v>39447</v>
      </c>
      <c r="AU30" s="1">
        <v>39355</v>
      </c>
      <c r="AV30" s="1">
        <v>39263</v>
      </c>
      <c r="AW30" s="1">
        <v>39172</v>
      </c>
      <c r="AX30" s="1">
        <v>39082</v>
      </c>
      <c r="AY30" s="1">
        <v>38990</v>
      </c>
      <c r="AZ30" s="1">
        <v>38898</v>
      </c>
      <c r="BA30" s="1">
        <v>38807</v>
      </c>
      <c r="BB30" s="1">
        <v>38717</v>
      </c>
      <c r="BC30" s="1">
        <v>38625</v>
      </c>
      <c r="BD30" s="1">
        <v>38533</v>
      </c>
      <c r="BE30" s="1">
        <v>38442</v>
      </c>
      <c r="BF30" s="1">
        <v>38352</v>
      </c>
      <c r="BG30" s="1">
        <v>38260</v>
      </c>
      <c r="BH30" s="1">
        <v>38168</v>
      </c>
      <c r="BI30" s="1">
        <v>38077</v>
      </c>
      <c r="BJ30" s="1">
        <v>37986</v>
      </c>
      <c r="BK30" s="1">
        <v>37894</v>
      </c>
      <c r="BL30" s="1">
        <v>37802</v>
      </c>
      <c r="BM30" s="1">
        <v>37711</v>
      </c>
      <c r="BN30" s="1">
        <v>37621</v>
      </c>
      <c r="BO30" s="1">
        <v>37437</v>
      </c>
      <c r="BP30" s="1">
        <v>37256</v>
      </c>
      <c r="BQ30" s="1">
        <v>37072</v>
      </c>
      <c r="BR30" s="1">
        <v>36891</v>
      </c>
      <c r="BS30" s="1">
        <v>36707</v>
      </c>
      <c r="BT30" s="1">
        <v>36525</v>
      </c>
      <c r="BU30" s="1">
        <v>36160</v>
      </c>
      <c r="BV30" s="1">
        <v>35976</v>
      </c>
      <c r="BW30" s="1">
        <v>25569</v>
      </c>
    </row>
    <row r="31" spans="1:75" s="51" customFormat="1" ht="17.45" customHeight="1">
      <c r="A31" s="111" t="s">
        <v>310</v>
      </c>
      <c r="B31" s="189">
        <v>1716825407.9400001</v>
      </c>
      <c r="C31" s="189">
        <v>2064316162.1700001</v>
      </c>
      <c r="D31" s="189">
        <v>2918881973.02</v>
      </c>
      <c r="E31" s="189">
        <v>2948096180.0700002</v>
      </c>
      <c r="F31" s="189">
        <v>2958954150.3400002</v>
      </c>
      <c r="G31" s="189">
        <v>2948367817.23</v>
      </c>
      <c r="H31" s="189">
        <v>2966856307.73</v>
      </c>
      <c r="I31" s="189">
        <v>820157528.16999996</v>
      </c>
      <c r="J31" s="189">
        <v>832826506.05999994</v>
      </c>
      <c r="K31" s="189">
        <v>841885337.44000006</v>
      </c>
      <c r="L31" s="189">
        <v>852478101.13</v>
      </c>
      <c r="M31" s="189">
        <v>860291286.98000002</v>
      </c>
      <c r="N31" s="189">
        <v>862743233.21000004</v>
      </c>
      <c r="O31" s="189">
        <v>831099495.52999997</v>
      </c>
      <c r="P31" s="189">
        <v>840422283.76999998</v>
      </c>
      <c r="Q31" s="189">
        <v>849419181.35000002</v>
      </c>
      <c r="R31" s="189">
        <v>861024886.65999997</v>
      </c>
      <c r="S31" s="189">
        <v>866003770.62</v>
      </c>
      <c r="T31" s="189">
        <v>870238614.16999996</v>
      </c>
      <c r="U31" s="189">
        <v>875183125.90999997</v>
      </c>
      <c r="V31" s="189">
        <v>886233622.49000001</v>
      </c>
      <c r="W31" s="189">
        <v>898158771.94000006</v>
      </c>
      <c r="X31" s="189">
        <v>886969405.13</v>
      </c>
      <c r="Y31" s="189">
        <v>904693221.36000001</v>
      </c>
      <c r="Z31" s="189">
        <v>470104820.24000001</v>
      </c>
      <c r="AA31" s="189">
        <v>465876948.76999998</v>
      </c>
      <c r="AB31" s="189">
        <v>462494062.56999999</v>
      </c>
      <c r="AC31" s="189">
        <v>470835166.26999998</v>
      </c>
      <c r="AD31" s="189">
        <v>479189168.87</v>
      </c>
      <c r="AE31" s="189">
        <v>494287643.55000001</v>
      </c>
      <c r="AF31" s="189">
        <v>500801859.77999997</v>
      </c>
      <c r="AG31" s="189">
        <v>507435087.25</v>
      </c>
      <c r="AH31" s="189">
        <v>514152151.86000001</v>
      </c>
      <c r="AI31" s="189">
        <v>453734265.56999999</v>
      </c>
      <c r="AJ31" s="189">
        <v>617798290.72000003</v>
      </c>
      <c r="AK31" s="189">
        <v>693638821.41999996</v>
      </c>
      <c r="AL31" s="189">
        <v>696421840.71000004</v>
      </c>
      <c r="AM31" s="189">
        <v>677185603.25999999</v>
      </c>
      <c r="AN31" s="189">
        <v>667383200.70000005</v>
      </c>
      <c r="AO31" s="189">
        <v>675659690.63999999</v>
      </c>
      <c r="AP31" s="189">
        <v>680205135.78999996</v>
      </c>
      <c r="AQ31" s="189">
        <v>724962033.58000004</v>
      </c>
      <c r="AR31" s="189">
        <v>725458553.65999997</v>
      </c>
      <c r="AS31" s="189">
        <v>659789754.47000003</v>
      </c>
      <c r="AT31" s="189">
        <v>663456993.64999998</v>
      </c>
      <c r="AU31" s="189">
        <v>555920448.25</v>
      </c>
      <c r="AV31" s="189">
        <v>553868650.51999998</v>
      </c>
      <c r="AW31" s="189">
        <v>569189944.65999997</v>
      </c>
      <c r="AX31" s="189">
        <v>559857502.71000004</v>
      </c>
      <c r="AY31" s="189">
        <v>574320867.63999999</v>
      </c>
      <c r="AZ31" s="189">
        <v>570624871.21000004</v>
      </c>
      <c r="BA31" s="189">
        <v>553872874.29999995</v>
      </c>
      <c r="BB31" s="189">
        <v>561943882.90999997</v>
      </c>
      <c r="BC31" s="189">
        <v>554668237.75999999</v>
      </c>
      <c r="BD31" s="189">
        <v>559647854.07000005</v>
      </c>
      <c r="BE31" s="189">
        <v>565592937.50999999</v>
      </c>
      <c r="BF31" s="189">
        <v>576541627.67999995</v>
      </c>
      <c r="BG31" s="189">
        <v>589199859.85000002</v>
      </c>
      <c r="BH31" s="189">
        <v>598733880.47000003</v>
      </c>
      <c r="BI31" s="189">
        <v>608943590.55999994</v>
      </c>
      <c r="BJ31" s="189">
        <v>619102546.64999998</v>
      </c>
      <c r="BK31" s="189">
        <v>632873137.55999994</v>
      </c>
      <c r="BL31" s="189">
        <v>644889483.28999996</v>
      </c>
      <c r="BM31" s="189">
        <v>654638390.74000001</v>
      </c>
      <c r="BN31" s="189">
        <v>669888459.54999995</v>
      </c>
      <c r="BO31" s="189">
        <v>669185119.58000004</v>
      </c>
      <c r="BP31" s="189">
        <v>684068757.95000005</v>
      </c>
      <c r="BQ31" s="189">
        <v>686797892.65999997</v>
      </c>
      <c r="BR31" s="189">
        <v>670712100.83000004</v>
      </c>
      <c r="BS31" s="189">
        <v>663132316.09000003</v>
      </c>
      <c r="BT31" s="189">
        <v>665009925.62</v>
      </c>
      <c r="BU31" s="189">
        <v>662138722.57000005</v>
      </c>
      <c r="BV31" s="189">
        <v>653628325.23000002</v>
      </c>
      <c r="BW31" s="189">
        <v>625680968.73000002</v>
      </c>
    </row>
    <row r="32" spans="1:75" s="54" customFormat="1" ht="15" customHeight="1">
      <c r="A32" s="137" t="s">
        <v>311</v>
      </c>
      <c r="B32" s="189">
        <v>0</v>
      </c>
      <c r="C32" s="189">
        <v>0</v>
      </c>
      <c r="D32" s="189">
        <v>0</v>
      </c>
      <c r="E32" s="189">
        <v>0</v>
      </c>
      <c r="F32" s="189">
        <v>0</v>
      </c>
      <c r="G32" s="189">
        <v>0</v>
      </c>
      <c r="H32" s="189">
        <v>0</v>
      </c>
      <c r="I32" s="189">
        <v>0</v>
      </c>
      <c r="J32" s="189">
        <v>0</v>
      </c>
      <c r="K32" s="189">
        <v>0</v>
      </c>
      <c r="L32" s="189">
        <v>0</v>
      </c>
      <c r="M32" s="189">
        <v>0</v>
      </c>
      <c r="N32" s="189">
        <v>0</v>
      </c>
      <c r="O32" s="189">
        <v>0</v>
      </c>
      <c r="P32" s="189">
        <v>0</v>
      </c>
      <c r="Q32" s="189">
        <v>0</v>
      </c>
      <c r="R32" s="189">
        <v>0</v>
      </c>
      <c r="S32" s="189">
        <v>0</v>
      </c>
      <c r="T32" s="189">
        <v>0</v>
      </c>
      <c r="U32" s="189">
        <v>0</v>
      </c>
      <c r="V32" s="189">
        <v>0</v>
      </c>
      <c r="W32" s="189">
        <v>0</v>
      </c>
      <c r="X32" s="189">
        <v>0</v>
      </c>
      <c r="Y32" s="189">
        <v>0</v>
      </c>
      <c r="Z32" s="189">
        <v>0</v>
      </c>
      <c r="AA32" s="189">
        <v>0</v>
      </c>
      <c r="AB32" s="189">
        <v>0</v>
      </c>
      <c r="AC32" s="189">
        <v>0</v>
      </c>
      <c r="AD32" s="189">
        <v>0</v>
      </c>
      <c r="AE32" s="189">
        <v>0</v>
      </c>
      <c r="AF32" s="189">
        <v>0</v>
      </c>
      <c r="AG32" s="189">
        <v>0</v>
      </c>
      <c r="AH32" s="189">
        <v>0</v>
      </c>
      <c r="AI32" s="189">
        <v>0</v>
      </c>
      <c r="AJ32" s="189">
        <v>0</v>
      </c>
      <c r="AK32" s="189">
        <v>0</v>
      </c>
      <c r="AL32" s="189">
        <v>0</v>
      </c>
      <c r="AM32" s="189">
        <v>0</v>
      </c>
      <c r="AN32" s="189">
        <v>0</v>
      </c>
      <c r="AO32" s="189">
        <v>0</v>
      </c>
      <c r="AP32" s="189">
        <v>0</v>
      </c>
      <c r="AQ32" s="189">
        <v>0</v>
      </c>
      <c r="AR32" s="189">
        <v>0</v>
      </c>
      <c r="AS32" s="189">
        <v>0</v>
      </c>
      <c r="AT32" s="189">
        <v>0</v>
      </c>
      <c r="AU32" s="189">
        <v>0</v>
      </c>
      <c r="AV32" s="189">
        <v>0</v>
      </c>
      <c r="AW32" s="189">
        <v>0</v>
      </c>
      <c r="AX32" s="189">
        <v>0</v>
      </c>
      <c r="AY32" s="189">
        <v>0</v>
      </c>
      <c r="AZ32" s="189">
        <v>0</v>
      </c>
      <c r="BA32" s="189">
        <v>0</v>
      </c>
      <c r="BB32" s="189">
        <v>0</v>
      </c>
      <c r="BC32" s="189">
        <v>0</v>
      </c>
      <c r="BD32" s="189">
        <v>0</v>
      </c>
      <c r="BE32" s="189">
        <v>0</v>
      </c>
      <c r="BF32" s="189">
        <v>0</v>
      </c>
      <c r="BG32" s="189">
        <v>0</v>
      </c>
      <c r="BH32" s="189">
        <v>0</v>
      </c>
      <c r="BI32" s="189">
        <v>0</v>
      </c>
      <c r="BJ32" s="189">
        <v>0</v>
      </c>
      <c r="BK32" s="189">
        <v>0</v>
      </c>
      <c r="BL32" s="189">
        <v>0</v>
      </c>
      <c r="BM32" s="189">
        <v>0</v>
      </c>
      <c r="BN32" s="189">
        <v>0</v>
      </c>
      <c r="BO32" s="189">
        <v>0</v>
      </c>
      <c r="BP32" s="189">
        <v>0</v>
      </c>
      <c r="BQ32" s="189">
        <v>0</v>
      </c>
      <c r="BR32" s="189">
        <v>0</v>
      </c>
      <c r="BS32" s="189">
        <v>0</v>
      </c>
      <c r="BT32" s="189">
        <v>0</v>
      </c>
      <c r="BU32" s="189">
        <v>0</v>
      </c>
      <c r="BV32" s="189">
        <v>0</v>
      </c>
      <c r="BW32" s="189">
        <v>0</v>
      </c>
    </row>
    <row r="33" spans="1:75" s="54" customFormat="1" ht="19.149999999999999" customHeight="1">
      <c r="A33" s="137" t="s">
        <v>312</v>
      </c>
      <c r="B33" s="189">
        <v>325800124</v>
      </c>
      <c r="C33" s="189">
        <v>322590111.10000002</v>
      </c>
      <c r="D33" s="189">
        <v>116132120</v>
      </c>
      <c r="E33" s="189">
        <v>116132120</v>
      </c>
      <c r="F33" s="189">
        <v>116132120</v>
      </c>
      <c r="G33" s="189">
        <v>116132120</v>
      </c>
      <c r="H33" s="189">
        <v>116132120</v>
      </c>
      <c r="I33" s="189">
        <v>116132120</v>
      </c>
      <c r="J33" s="189">
        <v>116132120</v>
      </c>
      <c r="K33" s="189">
        <v>116132120</v>
      </c>
      <c r="L33" s="189">
        <v>116132120</v>
      </c>
      <c r="M33" s="189">
        <v>116132120</v>
      </c>
      <c r="N33" s="189">
        <v>116132120</v>
      </c>
      <c r="O33" s="189">
        <v>86589600</v>
      </c>
      <c r="P33" s="189">
        <v>86589600</v>
      </c>
      <c r="Q33" s="189">
        <v>86589600</v>
      </c>
      <c r="R33" s="189">
        <v>86589600</v>
      </c>
      <c r="S33" s="189">
        <v>86589600</v>
      </c>
      <c r="T33" s="189">
        <v>0</v>
      </c>
      <c r="U33" s="189">
        <v>0</v>
      </c>
      <c r="V33" s="189">
        <v>0</v>
      </c>
      <c r="W33" s="189">
        <v>0</v>
      </c>
      <c r="X33" s="189">
        <v>0</v>
      </c>
      <c r="Y33" s="189">
        <v>0</v>
      </c>
      <c r="Z33" s="189">
        <v>0</v>
      </c>
      <c r="AA33" s="189">
        <v>0</v>
      </c>
      <c r="AB33" s="189">
        <v>0</v>
      </c>
      <c r="AC33" s="189">
        <v>0</v>
      </c>
      <c r="AD33" s="189">
        <v>0</v>
      </c>
      <c r="AE33" s="189">
        <v>0</v>
      </c>
      <c r="AF33" s="189">
        <v>0</v>
      </c>
      <c r="AG33" s="189">
        <v>0</v>
      </c>
      <c r="AH33" s="189">
        <v>0</v>
      </c>
      <c r="AI33" s="189">
        <v>0</v>
      </c>
      <c r="AJ33" s="189">
        <v>0</v>
      </c>
      <c r="AK33" s="189">
        <v>0</v>
      </c>
      <c r="AL33" s="189">
        <v>0</v>
      </c>
      <c r="AM33" s="189">
        <v>0</v>
      </c>
      <c r="AN33" s="189">
        <v>0</v>
      </c>
      <c r="AO33" s="189">
        <v>0</v>
      </c>
      <c r="AP33" s="189">
        <v>0</v>
      </c>
      <c r="AQ33" s="189">
        <v>0</v>
      </c>
      <c r="AR33" s="189">
        <v>0</v>
      </c>
      <c r="AS33" s="189">
        <v>0</v>
      </c>
      <c r="AT33" s="189">
        <v>0</v>
      </c>
      <c r="AU33" s="189">
        <v>0</v>
      </c>
      <c r="AV33" s="189">
        <v>0</v>
      </c>
      <c r="AW33" s="189">
        <v>0</v>
      </c>
      <c r="AX33" s="189">
        <v>0</v>
      </c>
      <c r="AY33" s="189">
        <v>0</v>
      </c>
      <c r="AZ33" s="189">
        <v>0</v>
      </c>
      <c r="BA33" s="189">
        <v>0</v>
      </c>
      <c r="BB33" s="189">
        <v>0</v>
      </c>
      <c r="BC33" s="189">
        <v>0</v>
      </c>
      <c r="BD33" s="189">
        <v>0</v>
      </c>
      <c r="BE33" s="189">
        <v>0</v>
      </c>
      <c r="BF33" s="189">
        <v>0</v>
      </c>
      <c r="BG33" s="189">
        <v>0</v>
      </c>
      <c r="BH33" s="189">
        <v>0</v>
      </c>
      <c r="BI33" s="189">
        <v>0</v>
      </c>
      <c r="BJ33" s="189">
        <v>0</v>
      </c>
      <c r="BK33" s="189">
        <v>0</v>
      </c>
      <c r="BL33" s="189">
        <v>0</v>
      </c>
      <c r="BM33" s="189">
        <v>0</v>
      </c>
      <c r="BN33" s="189">
        <v>0</v>
      </c>
      <c r="BO33" s="189">
        <v>0</v>
      </c>
      <c r="BP33" s="189">
        <v>0</v>
      </c>
      <c r="BQ33" s="189">
        <v>0</v>
      </c>
      <c r="BR33" s="189">
        <v>0</v>
      </c>
      <c r="BS33" s="189">
        <v>0</v>
      </c>
      <c r="BT33" s="189">
        <v>0</v>
      </c>
      <c r="BU33" s="189">
        <v>0</v>
      </c>
      <c r="BV33" s="189">
        <v>0</v>
      </c>
      <c r="BW33" s="189">
        <v>0</v>
      </c>
    </row>
    <row r="34" spans="1:75" s="44" customFormat="1" ht="14.25" thickBot="1">
      <c r="A34" s="138" t="s">
        <v>315</v>
      </c>
      <c r="B34" s="49"/>
      <c r="C34" s="49"/>
      <c r="D34" s="49"/>
      <c r="E34" s="49">
        <f>E31-E32-E33</f>
        <v>2831964060.0700002</v>
      </c>
      <c r="F34" s="49">
        <f t="shared" ref="F34:BP34" si="81">F31-F32-F33</f>
        <v>2842822030.3400002</v>
      </c>
      <c r="G34" s="49">
        <f t="shared" si="81"/>
        <v>2832235697.23</v>
      </c>
      <c r="H34" s="49">
        <f t="shared" si="81"/>
        <v>2850724187.73</v>
      </c>
      <c r="I34" s="49">
        <f t="shared" si="81"/>
        <v>704025408.16999996</v>
      </c>
      <c r="J34" s="49">
        <f t="shared" si="81"/>
        <v>716694386.05999994</v>
      </c>
      <c r="K34" s="49">
        <f t="shared" si="81"/>
        <v>725753217.44000006</v>
      </c>
      <c r="L34" s="49">
        <f t="shared" si="81"/>
        <v>736345981.13</v>
      </c>
      <c r="M34" s="49">
        <f t="shared" si="81"/>
        <v>744159166.98000002</v>
      </c>
      <c r="N34" s="49">
        <f t="shared" si="81"/>
        <v>746611113.21000004</v>
      </c>
      <c r="O34" s="49">
        <f t="shared" si="81"/>
        <v>744509895.52999997</v>
      </c>
      <c r="P34" s="49">
        <f t="shared" si="81"/>
        <v>753832683.76999998</v>
      </c>
      <c r="Q34" s="49">
        <f t="shared" si="81"/>
        <v>762829581.35000002</v>
      </c>
      <c r="R34" s="49">
        <f t="shared" si="81"/>
        <v>774435286.65999997</v>
      </c>
      <c r="S34" s="49">
        <f t="shared" si="81"/>
        <v>779414170.62</v>
      </c>
      <c r="T34" s="49">
        <f t="shared" si="81"/>
        <v>870238614.16999996</v>
      </c>
      <c r="U34" s="49">
        <f t="shared" si="81"/>
        <v>875183125.90999997</v>
      </c>
      <c r="V34" s="49">
        <f t="shared" si="81"/>
        <v>886233622.49000001</v>
      </c>
      <c r="W34" s="49">
        <f t="shared" si="81"/>
        <v>898158771.94000006</v>
      </c>
      <c r="X34" s="49">
        <f t="shared" si="81"/>
        <v>886969405.13</v>
      </c>
      <c r="Y34" s="49">
        <f t="shared" si="81"/>
        <v>904693221.36000001</v>
      </c>
      <c r="Z34" s="49">
        <f t="shared" si="81"/>
        <v>470104820.24000001</v>
      </c>
      <c r="AA34" s="49">
        <f t="shared" si="81"/>
        <v>465876948.76999998</v>
      </c>
      <c r="AB34" s="49">
        <f t="shared" si="81"/>
        <v>462494062.56999999</v>
      </c>
      <c r="AC34" s="49">
        <f t="shared" si="81"/>
        <v>470835166.26999998</v>
      </c>
      <c r="AD34" s="49">
        <f t="shared" si="81"/>
        <v>479189168.87</v>
      </c>
      <c r="AE34" s="49">
        <f t="shared" si="81"/>
        <v>494287643.55000001</v>
      </c>
      <c r="AF34" s="49">
        <f t="shared" si="81"/>
        <v>500801859.77999997</v>
      </c>
      <c r="AG34" s="49">
        <f t="shared" si="81"/>
        <v>507435087.25</v>
      </c>
      <c r="AH34" s="49">
        <f t="shared" si="81"/>
        <v>514152151.86000001</v>
      </c>
      <c r="AI34" s="49">
        <f t="shared" si="81"/>
        <v>453734265.56999999</v>
      </c>
      <c r="AJ34" s="49">
        <f t="shared" si="81"/>
        <v>617798290.72000003</v>
      </c>
      <c r="AK34" s="49">
        <f t="shared" si="81"/>
        <v>693638821.41999996</v>
      </c>
      <c r="AL34" s="49">
        <f t="shared" si="81"/>
        <v>696421840.71000004</v>
      </c>
      <c r="AM34" s="49">
        <f t="shared" si="81"/>
        <v>677185603.25999999</v>
      </c>
      <c r="AN34" s="49">
        <f t="shared" si="81"/>
        <v>667383200.70000005</v>
      </c>
      <c r="AO34" s="49">
        <f t="shared" si="81"/>
        <v>675659690.63999999</v>
      </c>
      <c r="AP34" s="49">
        <f t="shared" si="81"/>
        <v>680205135.78999996</v>
      </c>
      <c r="AQ34" s="49">
        <f t="shared" si="81"/>
        <v>724962033.58000004</v>
      </c>
      <c r="AR34" s="49">
        <f t="shared" si="81"/>
        <v>725458553.65999997</v>
      </c>
      <c r="AS34" s="49">
        <f t="shared" si="81"/>
        <v>659789754.47000003</v>
      </c>
      <c r="AT34" s="49">
        <f t="shared" si="81"/>
        <v>663456993.64999998</v>
      </c>
      <c r="AU34" s="49">
        <f t="shared" si="81"/>
        <v>555920448.25</v>
      </c>
      <c r="AV34" s="49">
        <f t="shared" si="81"/>
        <v>553868650.51999998</v>
      </c>
      <c r="AW34" s="49">
        <f t="shared" si="81"/>
        <v>569189944.65999997</v>
      </c>
      <c r="AX34" s="49">
        <f t="shared" si="81"/>
        <v>559857502.71000004</v>
      </c>
      <c r="AY34" s="49">
        <f t="shared" si="81"/>
        <v>574320867.63999999</v>
      </c>
      <c r="AZ34" s="49">
        <f t="shared" si="81"/>
        <v>570624871.21000004</v>
      </c>
      <c r="BA34" s="49">
        <f t="shared" si="81"/>
        <v>553872874.29999995</v>
      </c>
      <c r="BB34" s="49">
        <f t="shared" si="81"/>
        <v>561943882.90999997</v>
      </c>
      <c r="BC34" s="49">
        <f t="shared" si="81"/>
        <v>554668237.75999999</v>
      </c>
      <c r="BD34" s="49">
        <f t="shared" si="81"/>
        <v>559647854.07000005</v>
      </c>
      <c r="BE34" s="49">
        <f t="shared" si="81"/>
        <v>565592937.50999999</v>
      </c>
      <c r="BF34" s="49">
        <f t="shared" si="81"/>
        <v>576541627.67999995</v>
      </c>
      <c r="BG34" s="49">
        <f t="shared" si="81"/>
        <v>589199859.85000002</v>
      </c>
      <c r="BH34" s="49">
        <f t="shared" si="81"/>
        <v>598733880.47000003</v>
      </c>
      <c r="BI34" s="49">
        <f t="shared" si="81"/>
        <v>608943590.55999994</v>
      </c>
      <c r="BJ34" s="49">
        <f t="shared" si="81"/>
        <v>619102546.64999998</v>
      </c>
      <c r="BK34" s="49">
        <f t="shared" si="81"/>
        <v>632873137.55999994</v>
      </c>
      <c r="BL34" s="49">
        <f t="shared" si="81"/>
        <v>644889483.28999996</v>
      </c>
      <c r="BM34" s="49">
        <f t="shared" si="81"/>
        <v>654638390.74000001</v>
      </c>
      <c r="BN34" s="49">
        <f t="shared" si="81"/>
        <v>669888459.54999995</v>
      </c>
      <c r="BO34" s="49">
        <f t="shared" si="81"/>
        <v>669185119.58000004</v>
      </c>
      <c r="BP34" s="49">
        <f t="shared" si="81"/>
        <v>684068757.95000005</v>
      </c>
      <c r="BQ34" s="49">
        <f>AP31-AP32-AP33</f>
        <v>680205135.78999996</v>
      </c>
      <c r="BR34" s="49">
        <f>AQ31-AQ32-AQ33</f>
        <v>724962033.58000004</v>
      </c>
      <c r="BS34" s="49">
        <f>AR31-AR32-AR33</f>
        <v>725458553.65999997</v>
      </c>
      <c r="BT34" s="49"/>
      <c r="BU34" s="50"/>
    </row>
    <row r="35" spans="1:75" s="106" customFormat="1" ht="14.25" thickBot="1">
      <c r="A35" s="139" t="s">
        <v>317</v>
      </c>
      <c r="B35" s="33">
        <f>SUM(B22:B31)</f>
        <v>852148286.55000007</v>
      </c>
      <c r="C35" s="33">
        <f>SUM(C22:C31)</f>
        <v>1782076424.72</v>
      </c>
      <c r="D35" s="33">
        <f>SUM(D22:D31)</f>
        <v>2850474952.4099998</v>
      </c>
      <c r="E35" s="33">
        <f>资产资本表!E17</f>
        <v>3086145247.04</v>
      </c>
      <c r="F35" s="33">
        <f>资产资本表!F17</f>
        <v>3130941727.75</v>
      </c>
      <c r="G35" s="33">
        <f>资产资本表!G17</f>
        <v>3143892286.5100002</v>
      </c>
      <c r="H35" s="33">
        <f>资产资本表!H17</f>
        <v>3627633435.2599998</v>
      </c>
      <c r="I35" s="33">
        <f>资产资本表!I17</f>
        <v>891290968.5</v>
      </c>
      <c r="J35" s="33">
        <f>资产资本表!J17</f>
        <v>1007846843.6700001</v>
      </c>
      <c r="K35" s="33">
        <f>资产资本表!K17</f>
        <v>817467546.49000001</v>
      </c>
      <c r="L35" s="33">
        <f>资产资本表!L17</f>
        <v>877241858.67000008</v>
      </c>
      <c r="M35" s="33">
        <f>资产资本表!M17</f>
        <v>944885842.45000005</v>
      </c>
      <c r="N35" s="33">
        <f>资产资本表!N17</f>
        <v>1028552394.4100001</v>
      </c>
      <c r="O35" s="33">
        <f>资产资本表!O17</f>
        <v>1008939302.1200001</v>
      </c>
      <c r="P35" s="33">
        <f>资产资本表!P17</f>
        <v>1127677055.6600001</v>
      </c>
      <c r="Q35" s="33">
        <f>资产资本表!Q17</f>
        <v>970747395.41000009</v>
      </c>
      <c r="R35" s="33">
        <f>资产资本表!R17</f>
        <v>1066353724.99</v>
      </c>
      <c r="S35" s="33">
        <f>资产资本表!S17</f>
        <v>1082385381.3800001</v>
      </c>
      <c r="T35" s="33">
        <f>资产资本表!T17</f>
        <v>923631726.19000006</v>
      </c>
      <c r="U35" s="33">
        <f>资产资本表!U17</f>
        <v>906581059.05999994</v>
      </c>
      <c r="V35" s="33">
        <f>资产资本表!V17</f>
        <v>981185999.45000005</v>
      </c>
      <c r="W35" s="33">
        <f>资产资本表!W17</f>
        <v>950235560.44000006</v>
      </c>
      <c r="X35" s="33">
        <f>资产资本表!X17</f>
        <v>955146589.06999993</v>
      </c>
      <c r="Y35" s="33">
        <f>资产资本表!Y17</f>
        <v>1105189211.3499999</v>
      </c>
      <c r="Z35" s="33">
        <f>资产资本表!Z17</f>
        <v>494398377.69</v>
      </c>
      <c r="AA35" s="33">
        <f>资产资本表!AA17</f>
        <v>404503143.63</v>
      </c>
      <c r="AB35" s="33">
        <f>资产资本表!AB17</f>
        <v>356480597</v>
      </c>
      <c r="AC35" s="33">
        <f>资产资本表!AC17</f>
        <v>403303556.31999999</v>
      </c>
      <c r="AD35" s="33">
        <f>资产资本表!AD17</f>
        <v>379875420.54000002</v>
      </c>
      <c r="AE35" s="33">
        <f>资产资本表!AE17</f>
        <v>277455824.85000002</v>
      </c>
      <c r="AF35" s="33">
        <f>资产资本表!AF17</f>
        <v>222222532.72999999</v>
      </c>
      <c r="AG35" s="33">
        <f>资产资本表!AG17</f>
        <v>219605497.69999999</v>
      </c>
      <c r="AH35" s="33">
        <f>资产资本表!AH17</f>
        <v>241093108.11000001</v>
      </c>
      <c r="AI35" s="33">
        <f>资产资本表!AI17</f>
        <v>157189312.25999999</v>
      </c>
      <c r="AJ35" s="33">
        <f>资产资本表!AJ17</f>
        <v>159798398.13</v>
      </c>
      <c r="AK35" s="33">
        <f>资产资本表!AK17</f>
        <v>222167646.14000002</v>
      </c>
      <c r="AL35" s="33">
        <f>资产资本表!AL17</f>
        <v>254431927.96000001</v>
      </c>
      <c r="AM35" s="33">
        <f>资产资本表!AM17</f>
        <v>255145661.04000002</v>
      </c>
      <c r="AN35" s="33">
        <f>资产资本表!AN17</f>
        <v>165865458.30000001</v>
      </c>
      <c r="AO35" s="33">
        <f>资产资本表!AO17</f>
        <v>252394322.06999999</v>
      </c>
      <c r="AP35" s="33">
        <f>资产资本表!AP17</f>
        <v>215389547.07999998</v>
      </c>
      <c r="AQ35" s="33">
        <f>资产资本表!AQ17</f>
        <v>153971200.37</v>
      </c>
      <c r="AR35" s="33">
        <f>资产资本表!AR17</f>
        <v>164902617.98000002</v>
      </c>
      <c r="AS35" s="33">
        <f>资产资本表!AS17</f>
        <v>322398355.67000002</v>
      </c>
      <c r="AT35" s="33">
        <f>资产资本表!AT17</f>
        <v>249567634.12</v>
      </c>
      <c r="AU35" s="33">
        <f>资产资本表!AU17</f>
        <v>236591794.66</v>
      </c>
      <c r="AV35" s="33">
        <f>资产资本表!AV17</f>
        <v>224057794.99000001</v>
      </c>
      <c r="AW35" s="33">
        <f>资产资本表!AW17</f>
        <v>232916402.18000001</v>
      </c>
      <c r="AX35" s="33">
        <f>资产资本表!AX17</f>
        <v>137857048.25999999</v>
      </c>
      <c r="AY35" s="33">
        <f>资产资本表!AY17</f>
        <v>104083187.73</v>
      </c>
      <c r="AZ35" s="33">
        <f>资产资本表!AZ17</f>
        <v>114679741.56999999</v>
      </c>
      <c r="BA35" s="33">
        <f>资产资本表!BA17</f>
        <v>134260386.03</v>
      </c>
      <c r="BB35" s="33">
        <f>资产资本表!BB17</f>
        <v>117719727.73</v>
      </c>
      <c r="BC35" s="33">
        <f>资产资本表!BC17</f>
        <v>56070627.079999998</v>
      </c>
      <c r="BD35" s="33">
        <f>资产资本表!BD17</f>
        <v>32622918.09</v>
      </c>
      <c r="BE35" s="33">
        <f>资产资本表!BE17</f>
        <v>94584897.620000005</v>
      </c>
      <c r="BF35" s="33">
        <f>资产资本表!BF17</f>
        <v>61454766.240000002</v>
      </c>
      <c r="BG35" s="33">
        <f>资产资本表!BG17</f>
        <v>62006752.829999998</v>
      </c>
      <c r="BH35" s="33">
        <f>资产资本表!BH17</f>
        <v>32628408.469999999</v>
      </c>
      <c r="BI35" s="33">
        <f>资产资本表!BI17</f>
        <v>44781047.859999999</v>
      </c>
      <c r="BJ35" s="33">
        <f>资产资本表!BJ17</f>
        <v>41074854.469999999</v>
      </c>
      <c r="BK35" s="33">
        <f>资产资本表!BK17</f>
        <v>62130508.920000002</v>
      </c>
      <c r="BL35" s="33">
        <f>资产资本表!BL17</f>
        <v>34609309.850000001</v>
      </c>
      <c r="BM35" s="33">
        <f>资产资本表!BM17</f>
        <v>55934764.140000001</v>
      </c>
      <c r="BN35" s="33">
        <f>资产资本表!BN17</f>
        <v>42314217.460000001</v>
      </c>
      <c r="BO35" s="33">
        <f>资产资本表!BO17</f>
        <v>43792336.660000004</v>
      </c>
      <c r="BP35" s="33">
        <f>资产资本表!BP17</f>
        <v>58194039.490000002</v>
      </c>
      <c r="BQ35" s="33">
        <f>资产资本表!BQ17</f>
        <v>70030455.989999995</v>
      </c>
      <c r="BR35" s="33">
        <f>资产资本表!BR17</f>
        <v>63009457.240000002</v>
      </c>
      <c r="BS35" s="33">
        <f>资产资本表!BS17</f>
        <v>109622686.28999999</v>
      </c>
      <c r="BT35" s="33">
        <f>资产资本表!BT17</f>
        <v>114415758.05999999</v>
      </c>
      <c r="BU35" s="33">
        <f>资产资本表!BU17</f>
        <v>65424336.950000003</v>
      </c>
      <c r="BV35" s="33">
        <f>资产资本表!BV17</f>
        <v>67580308.579999983</v>
      </c>
    </row>
    <row r="36" spans="1:75" s="26" customFormat="1" ht="14.45">
      <c r="A36" s="17"/>
    </row>
    <row r="37" spans="1:75" s="26" customFormat="1" ht="14.45">
      <c r="A37" s="17"/>
    </row>
    <row r="38" spans="1:75" s="18" customFormat="1">
      <c r="A38" s="18" t="s">
        <v>318</v>
      </c>
      <c r="B38" s="1">
        <v>43465</v>
      </c>
      <c r="C38" s="1">
        <v>43373</v>
      </c>
      <c r="D38" s="1">
        <v>43281</v>
      </c>
      <c r="E38" s="1">
        <v>43190</v>
      </c>
      <c r="F38" s="1">
        <v>43100</v>
      </c>
      <c r="G38" s="1">
        <v>43008</v>
      </c>
      <c r="H38" s="1">
        <v>42916</v>
      </c>
      <c r="I38" s="1">
        <v>42825</v>
      </c>
      <c r="J38" s="1">
        <v>42735</v>
      </c>
      <c r="K38" s="1">
        <v>42643</v>
      </c>
      <c r="L38" s="1">
        <v>42551</v>
      </c>
      <c r="M38" s="1">
        <v>42460</v>
      </c>
      <c r="N38" s="1">
        <v>42369</v>
      </c>
      <c r="O38" s="1">
        <v>42277</v>
      </c>
      <c r="P38" s="1">
        <v>42185</v>
      </c>
      <c r="Q38" s="1">
        <v>42094</v>
      </c>
      <c r="R38" s="1">
        <v>42004</v>
      </c>
      <c r="S38" s="1">
        <v>41912</v>
      </c>
      <c r="T38" s="1">
        <v>41820</v>
      </c>
      <c r="U38" s="1">
        <v>41729</v>
      </c>
      <c r="V38" s="1">
        <v>41639</v>
      </c>
      <c r="W38" s="1">
        <v>41547</v>
      </c>
      <c r="X38" s="1">
        <v>41455</v>
      </c>
      <c r="Y38" s="1">
        <v>41364</v>
      </c>
      <c r="Z38" s="1">
        <v>41274</v>
      </c>
      <c r="AA38" s="1">
        <v>41182</v>
      </c>
      <c r="AB38" s="1">
        <v>41090</v>
      </c>
      <c r="AC38" s="1">
        <v>40999</v>
      </c>
      <c r="AD38" s="1">
        <v>40908</v>
      </c>
      <c r="AE38" s="1">
        <v>40816</v>
      </c>
      <c r="AF38" s="1">
        <v>40724</v>
      </c>
      <c r="AG38" s="1">
        <v>40633</v>
      </c>
      <c r="AH38" s="1">
        <v>40543</v>
      </c>
      <c r="AI38" s="1">
        <v>40451</v>
      </c>
      <c r="AJ38" s="1">
        <v>40359</v>
      </c>
      <c r="AK38" s="1">
        <v>40268</v>
      </c>
      <c r="AL38" s="1">
        <v>40178</v>
      </c>
      <c r="AM38" s="1">
        <v>40086</v>
      </c>
      <c r="AN38" s="1">
        <v>39994</v>
      </c>
      <c r="AO38" s="1">
        <v>39903</v>
      </c>
      <c r="AP38" s="1">
        <v>39813</v>
      </c>
      <c r="AQ38" s="1">
        <v>39721</v>
      </c>
      <c r="AR38" s="1">
        <v>39629</v>
      </c>
      <c r="AS38" s="1">
        <v>39538</v>
      </c>
      <c r="AT38" s="1">
        <v>39447</v>
      </c>
      <c r="AU38" s="1">
        <v>39355</v>
      </c>
      <c r="AV38" s="1">
        <v>39263</v>
      </c>
      <c r="AW38" s="1">
        <v>39172</v>
      </c>
      <c r="AX38" s="1">
        <v>39082</v>
      </c>
      <c r="AY38" s="1">
        <v>38990</v>
      </c>
      <c r="AZ38" s="1">
        <v>38898</v>
      </c>
      <c r="BA38" s="1">
        <v>38807</v>
      </c>
      <c r="BB38" s="1">
        <v>38717</v>
      </c>
      <c r="BC38" s="1">
        <v>38625</v>
      </c>
      <c r="BD38" s="1">
        <v>38533</v>
      </c>
      <c r="BE38" s="1">
        <v>38442</v>
      </c>
      <c r="BF38" s="1">
        <v>38352</v>
      </c>
      <c r="BG38" s="1">
        <v>38260</v>
      </c>
      <c r="BH38" s="1">
        <v>38168</v>
      </c>
      <c r="BI38" s="1">
        <v>38077</v>
      </c>
      <c r="BJ38" s="1">
        <v>37986</v>
      </c>
      <c r="BK38" s="1">
        <v>37894</v>
      </c>
      <c r="BL38" s="1">
        <v>37802</v>
      </c>
      <c r="BM38" s="1">
        <v>37711</v>
      </c>
      <c r="BN38" s="1">
        <v>37621</v>
      </c>
      <c r="BO38" s="1">
        <v>37437</v>
      </c>
      <c r="BP38" s="1">
        <v>37256</v>
      </c>
      <c r="BQ38" s="1">
        <v>37072</v>
      </c>
      <c r="BR38" s="1">
        <v>36891</v>
      </c>
      <c r="BS38" s="1">
        <v>36707</v>
      </c>
      <c r="BT38" s="1">
        <v>36525</v>
      </c>
      <c r="BU38" s="1">
        <v>36160</v>
      </c>
      <c r="BV38" s="1">
        <v>35976</v>
      </c>
      <c r="BW38" s="1">
        <v>25569</v>
      </c>
    </row>
    <row r="39" spans="1:75" s="48" customFormat="1">
      <c r="A39" s="46" t="s">
        <v>319</v>
      </c>
    </row>
    <row r="40" spans="1:75" s="192" customFormat="1">
      <c r="A40" s="192" t="s">
        <v>742</v>
      </c>
      <c r="B40" s="189">
        <v>0</v>
      </c>
      <c r="C40" s="189">
        <v>0</v>
      </c>
      <c r="D40" s="189">
        <v>0</v>
      </c>
      <c r="E40" s="189">
        <v>0</v>
      </c>
      <c r="F40" s="189">
        <v>395435396.73000002</v>
      </c>
      <c r="G40" s="189">
        <v>395435396.73000002</v>
      </c>
      <c r="H40" s="189">
        <v>395435396.73000002</v>
      </c>
      <c r="I40" s="189">
        <v>0</v>
      </c>
      <c r="J40" s="189">
        <v>0</v>
      </c>
      <c r="K40" s="189">
        <v>0</v>
      </c>
      <c r="L40" s="189">
        <v>0</v>
      </c>
      <c r="M40" s="189">
        <v>0</v>
      </c>
      <c r="N40" s="189">
        <v>0</v>
      </c>
      <c r="O40" s="189">
        <v>0</v>
      </c>
      <c r="P40" s="189">
        <v>0</v>
      </c>
      <c r="Q40" s="189">
        <v>0</v>
      </c>
      <c r="R40" s="189">
        <v>0</v>
      </c>
      <c r="S40" s="189">
        <v>0</v>
      </c>
      <c r="T40" s="189">
        <v>0</v>
      </c>
      <c r="U40" s="189">
        <v>0</v>
      </c>
      <c r="V40" s="189">
        <v>0</v>
      </c>
      <c r="W40" s="189">
        <v>0</v>
      </c>
      <c r="X40" s="189">
        <v>0</v>
      </c>
      <c r="Y40" s="189">
        <v>0</v>
      </c>
      <c r="Z40" s="189">
        <v>0</v>
      </c>
      <c r="AA40" s="189">
        <v>0</v>
      </c>
      <c r="AB40" s="189">
        <v>0</v>
      </c>
      <c r="AC40" s="189">
        <v>0</v>
      </c>
      <c r="AD40" s="189">
        <v>0</v>
      </c>
      <c r="AE40" s="189">
        <v>0</v>
      </c>
      <c r="AF40" s="189">
        <v>0</v>
      </c>
      <c r="AG40" s="189">
        <v>0</v>
      </c>
      <c r="AH40" s="189">
        <v>0</v>
      </c>
      <c r="AI40" s="189">
        <v>0</v>
      </c>
      <c r="AJ40" s="189">
        <v>0</v>
      </c>
      <c r="AK40" s="189">
        <v>0</v>
      </c>
      <c r="AL40" s="189">
        <v>0</v>
      </c>
      <c r="AM40" s="189">
        <v>0</v>
      </c>
      <c r="AN40" s="189">
        <v>0</v>
      </c>
      <c r="AO40" s="189">
        <v>0</v>
      </c>
      <c r="AP40" s="189">
        <v>0</v>
      </c>
      <c r="AQ40" s="189">
        <v>0</v>
      </c>
      <c r="AR40" s="189">
        <v>0</v>
      </c>
      <c r="AS40" s="189">
        <v>0</v>
      </c>
      <c r="AT40" s="189">
        <v>0</v>
      </c>
      <c r="AU40" s="189">
        <v>0</v>
      </c>
      <c r="AV40" s="189">
        <v>0</v>
      </c>
      <c r="AW40" s="189">
        <v>0</v>
      </c>
      <c r="AX40" s="189">
        <v>0</v>
      </c>
      <c r="AY40" s="189">
        <v>0</v>
      </c>
      <c r="AZ40" s="189">
        <v>0</v>
      </c>
      <c r="BA40" s="189">
        <v>0</v>
      </c>
      <c r="BB40" s="189">
        <v>0</v>
      </c>
      <c r="BC40" s="189">
        <v>50000000</v>
      </c>
      <c r="BD40" s="189">
        <v>50000000</v>
      </c>
      <c r="BE40" s="189">
        <v>0</v>
      </c>
      <c r="BF40" s="189">
        <v>0</v>
      </c>
      <c r="BG40" s="189">
        <v>0</v>
      </c>
      <c r="BH40" s="189">
        <v>0</v>
      </c>
      <c r="BI40" s="189">
        <v>0</v>
      </c>
      <c r="BJ40" s="189">
        <v>413000000</v>
      </c>
      <c r="BK40" s="189">
        <v>0</v>
      </c>
      <c r="BL40" s="189">
        <v>0</v>
      </c>
      <c r="BM40" s="189">
        <v>0</v>
      </c>
      <c r="BN40" s="189">
        <v>0</v>
      </c>
      <c r="BO40" s="189">
        <v>0</v>
      </c>
      <c r="BP40" s="189">
        <v>0</v>
      </c>
      <c r="BQ40" s="189">
        <v>0</v>
      </c>
      <c r="BR40" s="189">
        <v>0</v>
      </c>
      <c r="BS40" s="189">
        <v>0</v>
      </c>
      <c r="BT40" s="189">
        <v>72737508.5</v>
      </c>
      <c r="BU40" s="189">
        <v>0</v>
      </c>
      <c r="BV40" s="189">
        <v>0</v>
      </c>
      <c r="BW40" s="189">
        <v>0</v>
      </c>
    </row>
    <row r="41" spans="1:75" s="53" customFormat="1" ht="21.75" customHeight="1">
      <c r="A41" s="140" t="s">
        <v>633</v>
      </c>
      <c r="B41" s="53">
        <v>1419647033.29</v>
      </c>
      <c r="C41" s="53">
        <v>682396282.87</v>
      </c>
      <c r="D41" s="53">
        <v>73246783.790000007</v>
      </c>
      <c r="E41" s="53">
        <v>474365823</v>
      </c>
      <c r="I41" s="53">
        <v>379492658.39999998</v>
      </c>
      <c r="M41" s="53">
        <v>284619493.80000001</v>
      </c>
      <c r="Q41" s="53">
        <v>189746329.19999999</v>
      </c>
      <c r="U41" s="53">
        <v>189746329.19999999</v>
      </c>
      <c r="Y41" s="53">
        <v>126497552.8</v>
      </c>
      <c r="AC41" s="53">
        <v>63248776.399999999</v>
      </c>
    </row>
    <row r="42" spans="1:75" s="26" customFormat="1">
      <c r="A42" s="17" t="s">
        <v>322</v>
      </c>
      <c r="E42" s="26">
        <f>E40-E41</f>
        <v>-474365823</v>
      </c>
      <c r="F42" s="26">
        <f t="shared" ref="F42:Y42" si="82">F40-F41</f>
        <v>395435396.73000002</v>
      </c>
      <c r="G42" s="26">
        <f t="shared" si="82"/>
        <v>395435396.73000002</v>
      </c>
      <c r="H42" s="26">
        <f t="shared" si="82"/>
        <v>395435396.73000002</v>
      </c>
      <c r="I42" s="26">
        <f>I40-I41</f>
        <v>-379492658.39999998</v>
      </c>
      <c r="J42" s="26">
        <f t="shared" si="82"/>
        <v>0</v>
      </c>
      <c r="K42" s="26">
        <f t="shared" si="82"/>
        <v>0</v>
      </c>
      <c r="L42" s="26">
        <f t="shared" si="82"/>
        <v>0</v>
      </c>
      <c r="M42" s="26">
        <f t="shared" si="82"/>
        <v>-284619493.80000001</v>
      </c>
      <c r="N42" s="26">
        <f t="shared" si="82"/>
        <v>0</v>
      </c>
      <c r="O42" s="26">
        <f t="shared" si="82"/>
        <v>0</v>
      </c>
      <c r="P42" s="26">
        <f t="shared" si="82"/>
        <v>0</v>
      </c>
      <c r="Q42" s="26">
        <f t="shared" si="82"/>
        <v>-189746329.19999999</v>
      </c>
      <c r="R42" s="26">
        <f t="shared" si="82"/>
        <v>0</v>
      </c>
      <c r="S42" s="26">
        <f t="shared" si="82"/>
        <v>0</v>
      </c>
      <c r="T42" s="26">
        <f t="shared" si="82"/>
        <v>0</v>
      </c>
      <c r="U42" s="26">
        <f t="shared" si="82"/>
        <v>-189746329.19999999</v>
      </c>
      <c r="V42" s="26">
        <f t="shared" si="82"/>
        <v>0</v>
      </c>
      <c r="W42" s="26">
        <f t="shared" si="82"/>
        <v>0</v>
      </c>
      <c r="X42" s="26">
        <f t="shared" si="82"/>
        <v>0</v>
      </c>
      <c r="Y42" s="26">
        <f t="shared" si="82"/>
        <v>-126497552.8</v>
      </c>
      <c r="Z42" s="26">
        <f t="shared" ref="Z42:BQ42" si="83">Z40-Z41</f>
        <v>0</v>
      </c>
      <c r="AA42" s="26">
        <f t="shared" si="83"/>
        <v>0</v>
      </c>
      <c r="AB42" s="26">
        <f t="shared" si="83"/>
        <v>0</v>
      </c>
      <c r="AC42" s="26">
        <f t="shared" si="83"/>
        <v>-63248776.399999999</v>
      </c>
      <c r="AD42" s="26">
        <f t="shared" si="83"/>
        <v>0</v>
      </c>
      <c r="AE42" s="26">
        <f t="shared" si="83"/>
        <v>0</v>
      </c>
      <c r="AF42" s="26">
        <f t="shared" si="83"/>
        <v>0</v>
      </c>
      <c r="AG42" s="26">
        <f t="shared" si="83"/>
        <v>0</v>
      </c>
      <c r="AH42" s="26">
        <f t="shared" si="83"/>
        <v>0</v>
      </c>
      <c r="AI42" s="26">
        <f t="shared" si="83"/>
        <v>0</v>
      </c>
      <c r="AJ42" s="26">
        <f t="shared" si="83"/>
        <v>0</v>
      </c>
      <c r="AK42" s="26">
        <f t="shared" si="83"/>
        <v>0</v>
      </c>
      <c r="AL42" s="192">
        <f t="shared" si="83"/>
        <v>0</v>
      </c>
      <c r="AM42" s="192">
        <f t="shared" si="83"/>
        <v>0</v>
      </c>
      <c r="AN42" s="192">
        <f t="shared" si="83"/>
        <v>0</v>
      </c>
      <c r="AO42" s="192">
        <f t="shared" si="83"/>
        <v>0</v>
      </c>
      <c r="AP42" s="192">
        <f t="shared" si="83"/>
        <v>0</v>
      </c>
      <c r="AQ42" s="192">
        <f t="shared" si="83"/>
        <v>0</v>
      </c>
      <c r="AR42" s="192">
        <f t="shared" si="83"/>
        <v>0</v>
      </c>
      <c r="AS42" s="192">
        <f t="shared" si="83"/>
        <v>0</v>
      </c>
      <c r="AT42" s="192">
        <f t="shared" si="83"/>
        <v>0</v>
      </c>
      <c r="AU42" s="192">
        <f t="shared" si="83"/>
        <v>0</v>
      </c>
      <c r="AV42" s="192">
        <f t="shared" si="83"/>
        <v>0</v>
      </c>
      <c r="AW42" s="192">
        <f t="shared" si="83"/>
        <v>0</v>
      </c>
      <c r="AX42" s="192">
        <f t="shared" si="83"/>
        <v>0</v>
      </c>
      <c r="AY42" s="192">
        <f t="shared" si="83"/>
        <v>0</v>
      </c>
      <c r="AZ42" s="192">
        <f t="shared" si="83"/>
        <v>0</v>
      </c>
      <c r="BA42" s="26">
        <f t="shared" si="83"/>
        <v>0</v>
      </c>
      <c r="BB42" s="26">
        <f t="shared" si="83"/>
        <v>0</v>
      </c>
      <c r="BC42" s="26">
        <f t="shared" si="83"/>
        <v>50000000</v>
      </c>
      <c r="BD42" s="26">
        <f t="shared" si="83"/>
        <v>50000000</v>
      </c>
      <c r="BE42" s="26">
        <f t="shared" si="83"/>
        <v>0</v>
      </c>
      <c r="BF42" s="26">
        <f t="shared" si="83"/>
        <v>0</v>
      </c>
      <c r="BG42" s="26">
        <f t="shared" si="83"/>
        <v>0</v>
      </c>
      <c r="BH42" s="26">
        <f t="shared" si="83"/>
        <v>0</v>
      </c>
      <c r="BI42" s="26">
        <f t="shared" si="83"/>
        <v>0</v>
      </c>
      <c r="BJ42" s="26">
        <f t="shared" si="83"/>
        <v>413000000</v>
      </c>
      <c r="BK42" s="26">
        <f t="shared" si="83"/>
        <v>0</v>
      </c>
      <c r="BL42" s="26">
        <f t="shared" si="83"/>
        <v>0</v>
      </c>
      <c r="BM42" s="26">
        <f t="shared" si="83"/>
        <v>0</v>
      </c>
      <c r="BN42" s="26">
        <f t="shared" si="83"/>
        <v>0</v>
      </c>
      <c r="BO42" s="26">
        <f t="shared" si="83"/>
        <v>0</v>
      </c>
      <c r="BP42" s="26">
        <f t="shared" si="83"/>
        <v>0</v>
      </c>
      <c r="BQ42" s="26">
        <f t="shared" si="83"/>
        <v>0</v>
      </c>
      <c r="BR42" s="26">
        <f t="shared" ref="BR42:BV42" si="84">BR40-BR41</f>
        <v>0</v>
      </c>
      <c r="BS42" s="26">
        <f t="shared" si="84"/>
        <v>0</v>
      </c>
      <c r="BT42" s="26">
        <f t="shared" si="84"/>
        <v>72737508.5</v>
      </c>
      <c r="BU42" s="26">
        <f t="shared" si="84"/>
        <v>0</v>
      </c>
      <c r="BV42" s="26">
        <f t="shared" si="84"/>
        <v>0</v>
      </c>
    </row>
    <row r="43" spans="1:75" s="52" customFormat="1" ht="15" customHeight="1">
      <c r="A43" s="141" t="s">
        <v>321</v>
      </c>
    </row>
    <row r="44" spans="1:75" s="192" customFormat="1">
      <c r="A44" s="192" t="s">
        <v>324</v>
      </c>
      <c r="B44" s="189">
        <v>470000000</v>
      </c>
      <c r="C44" s="189">
        <v>370000000</v>
      </c>
      <c r="D44" s="189">
        <v>200000000</v>
      </c>
      <c r="E44" s="189">
        <v>100000000</v>
      </c>
      <c r="F44" s="189">
        <v>350000000</v>
      </c>
      <c r="G44" s="189">
        <v>300000000</v>
      </c>
      <c r="H44" s="189">
        <v>200000000</v>
      </c>
      <c r="I44" s="189">
        <v>100000000</v>
      </c>
      <c r="J44" s="189">
        <v>385000000</v>
      </c>
      <c r="K44" s="189">
        <v>250000000</v>
      </c>
      <c r="L44" s="189">
        <v>50000000</v>
      </c>
      <c r="M44" s="189">
        <v>50000000</v>
      </c>
      <c r="N44" s="189">
        <v>351007700</v>
      </c>
      <c r="O44" s="189">
        <v>300000000</v>
      </c>
      <c r="P44" s="189">
        <v>200000000</v>
      </c>
      <c r="Q44" s="189">
        <v>0</v>
      </c>
      <c r="R44" s="189">
        <v>302707480</v>
      </c>
      <c r="S44" s="189">
        <v>300620000</v>
      </c>
      <c r="T44" s="189">
        <v>100000000</v>
      </c>
      <c r="U44" s="189">
        <v>0</v>
      </c>
      <c r="V44" s="189">
        <v>0</v>
      </c>
      <c r="W44" s="189">
        <v>0</v>
      </c>
      <c r="X44" s="189">
        <v>0</v>
      </c>
      <c r="Y44" s="189">
        <v>0</v>
      </c>
      <c r="Z44" s="189">
        <v>0</v>
      </c>
      <c r="AA44" s="189">
        <v>0</v>
      </c>
      <c r="AB44" s="189">
        <v>0</v>
      </c>
      <c r="AC44" s="189">
        <v>0</v>
      </c>
      <c r="AD44" s="189">
        <v>0</v>
      </c>
      <c r="AE44" s="189">
        <v>0</v>
      </c>
      <c r="AF44" s="189">
        <v>0</v>
      </c>
      <c r="AG44" s="189">
        <v>0</v>
      </c>
      <c r="AH44" s="189">
        <v>100000000</v>
      </c>
      <c r="AI44" s="189">
        <v>100000000</v>
      </c>
      <c r="AJ44" s="189">
        <v>100000000</v>
      </c>
      <c r="AK44" s="189">
        <v>50000000</v>
      </c>
      <c r="AL44" s="189">
        <v>250000000</v>
      </c>
      <c r="AM44" s="189">
        <v>250000000</v>
      </c>
      <c r="AN44" s="189">
        <v>200000000</v>
      </c>
      <c r="AO44" s="189">
        <v>150000000</v>
      </c>
      <c r="AP44" s="189">
        <v>325000000</v>
      </c>
      <c r="AQ44" s="189">
        <v>325000000</v>
      </c>
      <c r="AR44" s="189">
        <v>165000000</v>
      </c>
      <c r="AS44" s="189">
        <v>115000000</v>
      </c>
      <c r="AT44" s="189">
        <v>338000000</v>
      </c>
      <c r="AU44" s="189">
        <v>270000000</v>
      </c>
      <c r="AV44" s="189">
        <v>50000000</v>
      </c>
      <c r="AW44" s="189">
        <v>0</v>
      </c>
      <c r="AX44" s="189">
        <v>288000000</v>
      </c>
      <c r="AY44" s="189">
        <v>220000000</v>
      </c>
      <c r="AZ44" s="189">
        <v>10000000</v>
      </c>
      <c r="BA44" s="189">
        <v>0</v>
      </c>
      <c r="BB44" s="189">
        <v>318000000</v>
      </c>
      <c r="BC44" s="189">
        <v>0</v>
      </c>
      <c r="BD44" s="189">
        <v>0</v>
      </c>
      <c r="BE44" s="189">
        <v>0</v>
      </c>
      <c r="BF44" s="189">
        <v>67000000</v>
      </c>
      <c r="BG44" s="189">
        <v>395000000</v>
      </c>
      <c r="BH44" s="189">
        <v>113000000</v>
      </c>
      <c r="BI44" s="189">
        <v>65000000</v>
      </c>
      <c r="BJ44" s="189">
        <v>0</v>
      </c>
      <c r="BK44" s="189">
        <v>290700000</v>
      </c>
      <c r="BL44" s="189">
        <v>132000000</v>
      </c>
      <c r="BM44" s="189">
        <v>200000</v>
      </c>
      <c r="BN44" s="189">
        <v>299730000</v>
      </c>
      <c r="BO44" s="189">
        <v>216090000</v>
      </c>
      <c r="BP44" s="189">
        <v>395378106.31</v>
      </c>
      <c r="BQ44" s="189">
        <v>211000000</v>
      </c>
      <c r="BR44" s="189">
        <v>342430000</v>
      </c>
      <c r="BS44" s="189">
        <v>11410000</v>
      </c>
      <c r="BT44" s="189">
        <v>79366000</v>
      </c>
      <c r="BU44" s="189">
        <v>514088480</v>
      </c>
      <c r="BV44" s="189">
        <v>135730000</v>
      </c>
      <c r="BW44" s="189">
        <v>0</v>
      </c>
    </row>
    <row r="45" spans="1:75" s="192" customFormat="1">
      <c r="A45" s="192" t="s">
        <v>323</v>
      </c>
      <c r="E45" s="192">
        <f>股权价值增加表!E53</f>
        <v>43471999.43</v>
      </c>
      <c r="F45" s="192">
        <f>股权价值增加表!F53</f>
        <v>0</v>
      </c>
      <c r="G45" s="192">
        <f>股权价值增加表!G53</f>
        <v>0</v>
      </c>
      <c r="H45" s="192">
        <f>股权价值增加表!H53</f>
        <v>0</v>
      </c>
      <c r="I45" s="192">
        <f>股权价值增加表!I53</f>
        <v>13763829.67</v>
      </c>
      <c r="J45" s="192">
        <f>股权价值增加表!J53</f>
        <v>0</v>
      </c>
      <c r="K45" s="192">
        <f>股权价值增加表!K53</f>
        <v>0</v>
      </c>
      <c r="L45" s="192">
        <f>股权价值增加表!L53</f>
        <v>0</v>
      </c>
      <c r="M45" s="192">
        <f>股权价值增加表!M53</f>
        <v>9536939</v>
      </c>
      <c r="N45" s="192">
        <f>股权价值增加表!N53</f>
        <v>0</v>
      </c>
      <c r="O45" s="192">
        <f>股权价值增加表!O53</f>
        <v>0</v>
      </c>
      <c r="P45" s="192">
        <f>股权价值增加表!P53</f>
        <v>0</v>
      </c>
      <c r="Q45" s="192">
        <f>股权价值增加表!Q53</f>
        <v>13417678.560000001</v>
      </c>
      <c r="R45" s="192">
        <f>股权价值增加表!R53</f>
        <v>0</v>
      </c>
      <c r="S45" s="192">
        <f>股权价值增加表!S53</f>
        <v>0</v>
      </c>
      <c r="T45" s="192">
        <f>股权价值增加表!T53</f>
        <v>0</v>
      </c>
      <c r="U45" s="192">
        <f>股权价值增加表!U53</f>
        <v>5169679.7</v>
      </c>
      <c r="V45" s="192">
        <f>股权价值增加表!V53</f>
        <v>0</v>
      </c>
      <c r="W45" s="192">
        <f>股权价值增加表!W53</f>
        <v>0</v>
      </c>
      <c r="X45" s="192">
        <f>股权价值增加表!X53</f>
        <v>0</v>
      </c>
      <c r="Y45" s="192">
        <f>股权价值增加表!Y53</f>
        <v>8783561.9700000007</v>
      </c>
      <c r="Z45" s="192">
        <f>股权价值增加表!Z53</f>
        <v>0</v>
      </c>
      <c r="AA45" s="192">
        <f>股权价值增加表!AA53</f>
        <v>0</v>
      </c>
      <c r="AB45" s="192">
        <f>股权价值增加表!AB53</f>
        <v>0</v>
      </c>
      <c r="AC45" s="192">
        <f>股权价值增加表!AC53</f>
        <v>10987739.43</v>
      </c>
      <c r="AD45" s="192">
        <f>股权价值增加表!AD53</f>
        <v>0</v>
      </c>
      <c r="AE45" s="192">
        <f>股权价值增加表!AE53</f>
        <v>0</v>
      </c>
      <c r="AF45" s="192">
        <f>股权价值增加表!AF53</f>
        <v>0</v>
      </c>
      <c r="AG45" s="192">
        <f>股权价值增加表!AG53</f>
        <v>27863605.199999999</v>
      </c>
      <c r="AH45" s="192">
        <f>股权价值增加表!AH53</f>
        <v>0</v>
      </c>
      <c r="AI45" s="192">
        <f>股权价值增加表!AI53</f>
        <v>0</v>
      </c>
      <c r="AJ45" s="192">
        <f>股权价值增加表!AJ53</f>
        <v>0</v>
      </c>
      <c r="AK45" s="192">
        <f>股权价值增加表!AK53</f>
        <v>5682608.5499999998</v>
      </c>
      <c r="AL45" s="192">
        <f>股权价值增加表!AL53</f>
        <v>0</v>
      </c>
      <c r="AM45" s="192">
        <f>股权价值增加表!AM53</f>
        <v>0</v>
      </c>
      <c r="AN45" s="192">
        <f>股权价值增加表!AN53</f>
        <v>0</v>
      </c>
      <c r="AO45" s="192">
        <f>股权价值增加表!AO53</f>
        <v>28444074.640000001</v>
      </c>
      <c r="AP45" s="192">
        <f>股权价值增加表!AP53</f>
        <v>0</v>
      </c>
      <c r="AQ45" s="192">
        <f>股权价值增加表!AQ53</f>
        <v>0</v>
      </c>
      <c r="AR45" s="192">
        <f>股权价值增加表!AR53</f>
        <v>0</v>
      </c>
      <c r="AS45" s="192">
        <f>股权价值增加表!AS53</f>
        <v>39670751.020000003</v>
      </c>
      <c r="AT45" s="192">
        <f>股权价值增加表!AT53</f>
        <v>0</v>
      </c>
      <c r="AU45" s="192">
        <f>股权价值增加表!AU53</f>
        <v>0</v>
      </c>
      <c r="AV45" s="192">
        <f>股权价值增加表!AV53</f>
        <v>0</v>
      </c>
      <c r="AW45" s="192">
        <f>股权价值增加表!AW53</f>
        <v>55063312.939999998</v>
      </c>
      <c r="AX45" s="192">
        <f>股权价值增加表!AX53</f>
        <v>0</v>
      </c>
      <c r="AY45" s="192">
        <f>股权价值增加表!AY53</f>
        <v>0</v>
      </c>
      <c r="AZ45" s="192">
        <f>股权价值增加表!AZ53</f>
        <v>0</v>
      </c>
      <c r="BA45" s="192">
        <f>股权价值增加表!BA53</f>
        <v>44739888.630000003</v>
      </c>
      <c r="BB45" s="192">
        <f>股权价值增加表!BB53</f>
        <v>0</v>
      </c>
      <c r="BC45" s="192">
        <f>股权价值增加表!BC53</f>
        <v>0</v>
      </c>
      <c r="BD45" s="192">
        <f>股权价值增加表!BD53</f>
        <v>0</v>
      </c>
      <c r="BE45" s="192">
        <f>股权价值增加表!BE53</f>
        <v>0</v>
      </c>
      <c r="BF45" s="192">
        <f>股权价值增加表!BF53</f>
        <v>0</v>
      </c>
      <c r="BG45" s="192">
        <f>股权价值增加表!BG53</f>
        <v>0</v>
      </c>
      <c r="BH45" s="192">
        <f>股权价值增加表!BH53</f>
        <v>0</v>
      </c>
      <c r="BI45" s="192">
        <f>股权价值增加表!BI53</f>
        <v>0</v>
      </c>
      <c r="BJ45" s="192">
        <f>股权价值增加表!BJ53</f>
        <v>0</v>
      </c>
      <c r="BK45" s="192">
        <f>股权价值增加表!BK53</f>
        <v>0</v>
      </c>
      <c r="BL45" s="192">
        <f>股权价值增加表!BL53</f>
        <v>0</v>
      </c>
      <c r="BM45" s="192">
        <f>股权价值增加表!BM53</f>
        <v>0</v>
      </c>
      <c r="BN45" s="192">
        <f>股权价值增加表!BN53</f>
        <v>0</v>
      </c>
      <c r="BO45" s="192">
        <f>股权价值增加表!BO53</f>
        <v>0</v>
      </c>
      <c r="BP45" s="192">
        <f>股权价值增加表!BP53</f>
        <v>0</v>
      </c>
      <c r="BQ45" s="192">
        <f>股权价值增加表!BQ53</f>
        <v>0</v>
      </c>
      <c r="BR45" s="192">
        <f>股权价值增加表!BR53</f>
        <v>0</v>
      </c>
      <c r="BS45" s="192">
        <f>股权价值增加表!BS53</f>
        <v>0</v>
      </c>
      <c r="BT45" s="192">
        <f>股权价值增加表!BT53</f>
        <v>0</v>
      </c>
      <c r="BU45" s="192">
        <f>股权价值增加表!BU53</f>
        <v>0</v>
      </c>
      <c r="BV45" s="192">
        <f>股权价值增加表!BV53</f>
        <v>0</v>
      </c>
    </row>
    <row r="46" spans="1:75" s="192" customFormat="1">
      <c r="A46" s="192" t="s">
        <v>325</v>
      </c>
      <c r="B46" s="189">
        <v>1602123.78</v>
      </c>
      <c r="C46" s="189">
        <v>1533898.2</v>
      </c>
      <c r="D46" s="189">
        <v>2456924.54</v>
      </c>
      <c r="E46" s="189">
        <v>2815925.93</v>
      </c>
      <c r="F46" s="189">
        <v>2752208.91</v>
      </c>
      <c r="G46" s="189">
        <v>2282035.86</v>
      </c>
      <c r="H46" s="189">
        <v>2500989.9300000002</v>
      </c>
      <c r="I46" s="189">
        <v>551753.13</v>
      </c>
      <c r="J46" s="189">
        <v>551753.13</v>
      </c>
      <c r="K46" s="189">
        <v>363187.5</v>
      </c>
      <c r="L46" s="189">
        <v>377447.22</v>
      </c>
      <c r="M46" s="189">
        <v>484198.61</v>
      </c>
      <c r="N46" s="189">
        <v>396473.61</v>
      </c>
      <c r="O46" s="189">
        <v>0</v>
      </c>
      <c r="P46" s="189">
        <v>467916.67</v>
      </c>
      <c r="Q46" s="189">
        <v>163333.32999999999</v>
      </c>
      <c r="R46" s="189">
        <v>163333.32999999999</v>
      </c>
      <c r="S46" s="189">
        <v>0</v>
      </c>
      <c r="T46" s="189">
        <v>0</v>
      </c>
      <c r="U46" s="189">
        <v>0</v>
      </c>
      <c r="V46" s="189">
        <v>0</v>
      </c>
      <c r="W46" s="189">
        <v>0</v>
      </c>
      <c r="X46" s="189">
        <v>0</v>
      </c>
      <c r="Y46" s="189">
        <v>0</v>
      </c>
      <c r="Z46" s="189">
        <v>91437.5</v>
      </c>
      <c r="AA46" s="189">
        <v>83125</v>
      </c>
      <c r="AB46" s="189">
        <v>83125</v>
      </c>
      <c r="AC46" s="189">
        <v>91437.5</v>
      </c>
      <c r="AD46" s="189">
        <v>82875</v>
      </c>
      <c r="AE46" s="189">
        <v>75562.5</v>
      </c>
      <c r="AF46" s="189">
        <v>75562.5</v>
      </c>
      <c r="AG46" s="189">
        <v>74649.19</v>
      </c>
      <c r="AH46" s="189">
        <v>142837.5</v>
      </c>
      <c r="AI46" s="189">
        <v>138337.5</v>
      </c>
      <c r="AJ46" s="189">
        <v>133875</v>
      </c>
      <c r="AK46" s="189">
        <v>142483.32999999999</v>
      </c>
      <c r="AL46" s="189">
        <v>534640</v>
      </c>
      <c r="AM46" s="189">
        <v>320850</v>
      </c>
      <c r="AN46" s="189">
        <v>434841.67</v>
      </c>
      <c r="AO46" s="189">
        <v>461785.83</v>
      </c>
      <c r="AP46" s="189">
        <v>652795</v>
      </c>
      <c r="AQ46" s="189">
        <v>682284.17</v>
      </c>
      <c r="AR46" s="189">
        <v>787423.96</v>
      </c>
      <c r="AS46" s="189">
        <v>757248.92</v>
      </c>
      <c r="AT46" s="189">
        <v>708944.5</v>
      </c>
      <c r="AU46" s="189">
        <v>634397.82999999996</v>
      </c>
      <c r="AV46" s="189">
        <v>0</v>
      </c>
      <c r="AW46" s="189">
        <v>0</v>
      </c>
      <c r="AX46" s="189">
        <v>0</v>
      </c>
      <c r="AY46" s="189">
        <v>0</v>
      </c>
      <c r="AZ46" s="189">
        <v>0</v>
      </c>
      <c r="BA46" s="189">
        <v>0</v>
      </c>
      <c r="BB46" s="189">
        <v>0</v>
      </c>
      <c r="BC46" s="189">
        <v>0</v>
      </c>
      <c r="BD46" s="189">
        <v>0</v>
      </c>
      <c r="BE46" s="189">
        <v>0</v>
      </c>
      <c r="BF46" s="189">
        <v>0</v>
      </c>
      <c r="BG46" s="189">
        <v>0</v>
      </c>
      <c r="BH46" s="189">
        <v>0</v>
      </c>
      <c r="BI46" s="189">
        <v>0</v>
      </c>
      <c r="BJ46" s="189">
        <v>0</v>
      </c>
      <c r="BK46" s="189">
        <v>0</v>
      </c>
      <c r="BL46" s="189">
        <v>0</v>
      </c>
      <c r="BM46" s="189">
        <v>0</v>
      </c>
      <c r="BN46" s="189">
        <v>0</v>
      </c>
      <c r="BO46" s="189">
        <v>0</v>
      </c>
      <c r="BP46" s="189">
        <v>0</v>
      </c>
      <c r="BQ46" s="189">
        <v>0</v>
      </c>
      <c r="BR46" s="189">
        <v>0</v>
      </c>
      <c r="BS46" s="189">
        <v>0</v>
      </c>
      <c r="BT46" s="189">
        <v>0</v>
      </c>
      <c r="BU46" s="189">
        <v>0</v>
      </c>
      <c r="BV46" s="189">
        <v>0</v>
      </c>
      <c r="BW46" s="189">
        <v>0</v>
      </c>
    </row>
    <row r="47" spans="1:75" s="192" customFormat="1">
      <c r="A47" s="192" t="s">
        <v>326</v>
      </c>
      <c r="B47" s="189">
        <v>1117400000</v>
      </c>
      <c r="C47" s="189">
        <v>757400000</v>
      </c>
      <c r="D47" s="189">
        <v>152500000</v>
      </c>
      <c r="E47" s="189">
        <v>22500000</v>
      </c>
      <c r="F47" s="189">
        <v>466350000</v>
      </c>
      <c r="G47" s="189">
        <v>363750000</v>
      </c>
      <c r="H47" s="189">
        <v>242500000</v>
      </c>
      <c r="I47" s="189">
        <v>100000000</v>
      </c>
      <c r="J47" s="189">
        <v>351694800</v>
      </c>
      <c r="K47" s="189">
        <v>301694800</v>
      </c>
      <c r="L47" s="189">
        <v>0</v>
      </c>
      <c r="M47" s="189">
        <v>0</v>
      </c>
      <c r="N47" s="189">
        <v>202020380</v>
      </c>
      <c r="O47" s="189">
        <v>200000000</v>
      </c>
      <c r="P47" s="189">
        <v>0</v>
      </c>
      <c r="Q47" s="189">
        <v>0</v>
      </c>
      <c r="R47" s="189">
        <v>100000000</v>
      </c>
      <c r="S47" s="189">
        <v>100000000</v>
      </c>
      <c r="T47" s="189">
        <v>0</v>
      </c>
      <c r="U47" s="189">
        <v>0</v>
      </c>
      <c r="V47" s="189">
        <v>50000000</v>
      </c>
      <c r="W47" s="189">
        <v>50000000</v>
      </c>
      <c r="X47" s="189">
        <v>50000000</v>
      </c>
      <c r="Y47" s="189">
        <v>50000000</v>
      </c>
      <c r="Z47" s="189">
        <v>0</v>
      </c>
      <c r="AA47" s="189">
        <v>0</v>
      </c>
      <c r="AB47" s="189">
        <v>0</v>
      </c>
      <c r="AC47" s="189">
        <v>0</v>
      </c>
      <c r="AD47" s="189">
        <v>50000000</v>
      </c>
      <c r="AE47" s="189">
        <v>50000000</v>
      </c>
      <c r="AF47" s="189">
        <v>50000000</v>
      </c>
      <c r="AG47" s="189">
        <v>50000000</v>
      </c>
      <c r="AH47" s="189">
        <v>180000000</v>
      </c>
      <c r="AI47" s="189">
        <v>180000000</v>
      </c>
      <c r="AJ47" s="189">
        <v>180000000</v>
      </c>
      <c r="AK47" s="189">
        <v>130000000</v>
      </c>
      <c r="AL47" s="189">
        <v>330000000</v>
      </c>
      <c r="AM47" s="189">
        <v>260000000</v>
      </c>
      <c r="AN47" s="189">
        <v>260000000</v>
      </c>
      <c r="AO47" s="189">
        <v>140000000</v>
      </c>
      <c r="AP47" s="189">
        <v>373000000</v>
      </c>
      <c r="AQ47" s="189">
        <v>343000000</v>
      </c>
      <c r="AR47" s="189">
        <v>148000000</v>
      </c>
      <c r="AS47" s="189">
        <v>38000000</v>
      </c>
      <c r="AT47" s="189">
        <v>318000000</v>
      </c>
      <c r="AU47" s="189">
        <v>250000000</v>
      </c>
      <c r="AV47" s="189">
        <v>20000000</v>
      </c>
      <c r="AW47" s="189">
        <v>10000000</v>
      </c>
      <c r="AX47" s="189">
        <v>308000000</v>
      </c>
      <c r="AY47" s="189">
        <v>240000000</v>
      </c>
      <c r="AZ47" s="189">
        <v>10000000</v>
      </c>
      <c r="BA47" s="189">
        <v>10000000</v>
      </c>
      <c r="BB47" s="189">
        <v>350000000</v>
      </c>
      <c r="BC47" s="189">
        <v>32000000</v>
      </c>
      <c r="BD47" s="189">
        <v>20000000</v>
      </c>
      <c r="BE47" s="189">
        <v>20000000</v>
      </c>
      <c r="BF47" s="189">
        <v>127000000</v>
      </c>
      <c r="BG47" s="189">
        <v>418000000</v>
      </c>
      <c r="BH47" s="189">
        <v>150000000</v>
      </c>
      <c r="BI47" s="189">
        <v>93000000</v>
      </c>
      <c r="BJ47" s="189">
        <v>466930000</v>
      </c>
      <c r="BK47" s="189">
        <v>296145672.88</v>
      </c>
      <c r="BL47" s="189">
        <v>152500000</v>
      </c>
      <c r="BM47" s="189">
        <v>19500000</v>
      </c>
      <c r="BN47" s="189">
        <v>311430000</v>
      </c>
      <c r="BO47" s="189">
        <v>232000000</v>
      </c>
      <c r="BP47" s="189">
        <v>355510000</v>
      </c>
      <c r="BQ47" s="189">
        <v>191000000</v>
      </c>
      <c r="BR47" s="189">
        <v>335760000</v>
      </c>
      <c r="BS47" s="189">
        <v>20060000</v>
      </c>
      <c r="BT47" s="189">
        <v>75000000</v>
      </c>
      <c r="BU47" s="189">
        <v>482930000</v>
      </c>
      <c r="BV47" s="189">
        <v>114740000</v>
      </c>
      <c r="BW47" s="189">
        <v>0</v>
      </c>
    </row>
    <row r="48" spans="1:75" s="192" customFormat="1">
      <c r="A48" s="192" t="s">
        <v>597</v>
      </c>
      <c r="B48" s="189">
        <v>0</v>
      </c>
      <c r="C48" s="189">
        <v>0</v>
      </c>
      <c r="D48" s="189">
        <v>0</v>
      </c>
      <c r="E48" s="189">
        <v>0</v>
      </c>
      <c r="F48" s="189">
        <v>0</v>
      </c>
      <c r="G48" s="189">
        <v>0</v>
      </c>
      <c r="H48" s="189">
        <v>0</v>
      </c>
      <c r="I48" s="189">
        <v>0</v>
      </c>
      <c r="J48" s="189">
        <v>0</v>
      </c>
      <c r="K48" s="189">
        <v>0</v>
      </c>
      <c r="L48" s="189">
        <v>0</v>
      </c>
      <c r="M48" s="189">
        <v>0</v>
      </c>
      <c r="N48" s="189">
        <v>0</v>
      </c>
      <c r="O48" s="189">
        <v>0</v>
      </c>
      <c r="P48" s="189">
        <v>0</v>
      </c>
      <c r="Q48" s="189">
        <v>0</v>
      </c>
      <c r="R48" s="189">
        <v>0</v>
      </c>
      <c r="S48" s="189">
        <v>0</v>
      </c>
      <c r="T48" s="189">
        <v>0</v>
      </c>
      <c r="U48" s="189">
        <v>0</v>
      </c>
      <c r="V48" s="189">
        <v>0</v>
      </c>
      <c r="W48" s="189">
        <v>0</v>
      </c>
      <c r="X48" s="189">
        <v>0</v>
      </c>
      <c r="Y48" s="189">
        <v>0</v>
      </c>
      <c r="Z48" s="189">
        <v>0</v>
      </c>
      <c r="AA48" s="189">
        <v>0</v>
      </c>
      <c r="AB48" s="189">
        <v>0</v>
      </c>
      <c r="AC48" s="189">
        <v>0</v>
      </c>
      <c r="AD48" s="189">
        <v>0</v>
      </c>
      <c r="AE48" s="189">
        <v>0</v>
      </c>
      <c r="AF48" s="189">
        <v>0</v>
      </c>
      <c r="AG48" s="189">
        <v>0</v>
      </c>
      <c r="AH48" s="189">
        <v>0</v>
      </c>
      <c r="AI48" s="189">
        <v>0</v>
      </c>
      <c r="AJ48" s="189">
        <v>0</v>
      </c>
      <c r="AK48" s="189">
        <v>0</v>
      </c>
      <c r="AL48" s="189">
        <v>0</v>
      </c>
      <c r="AM48" s="189">
        <v>0</v>
      </c>
      <c r="AN48" s="189">
        <v>0</v>
      </c>
      <c r="AO48" s="189">
        <v>0</v>
      </c>
      <c r="AP48" s="189">
        <v>0</v>
      </c>
      <c r="AQ48" s="189">
        <v>0</v>
      </c>
      <c r="AR48" s="189">
        <v>0</v>
      </c>
      <c r="AS48" s="189">
        <v>0</v>
      </c>
      <c r="AT48" s="189">
        <v>0</v>
      </c>
      <c r="AU48" s="189">
        <v>0</v>
      </c>
      <c r="AV48" s="189">
        <v>0</v>
      </c>
      <c r="AW48" s="189">
        <v>0</v>
      </c>
      <c r="AX48" s="189">
        <v>0</v>
      </c>
      <c r="AY48" s="189">
        <v>0</v>
      </c>
      <c r="AZ48" s="189">
        <v>0</v>
      </c>
      <c r="BA48" s="189">
        <v>0</v>
      </c>
      <c r="BB48" s="189">
        <v>0</v>
      </c>
      <c r="BC48" s="189">
        <v>0</v>
      </c>
      <c r="BD48" s="189">
        <v>0</v>
      </c>
      <c r="BE48" s="189">
        <v>0</v>
      </c>
      <c r="BF48" s="189">
        <v>0</v>
      </c>
      <c r="BG48" s="189">
        <v>0</v>
      </c>
      <c r="BH48" s="189">
        <v>0</v>
      </c>
      <c r="BI48" s="189">
        <v>0</v>
      </c>
      <c r="BJ48" s="189">
        <v>0</v>
      </c>
      <c r="BK48" s="189">
        <v>0</v>
      </c>
      <c r="BL48" s="189">
        <v>0</v>
      </c>
      <c r="BM48" s="189">
        <v>0</v>
      </c>
      <c r="BN48" s="189">
        <v>0</v>
      </c>
      <c r="BO48" s="189">
        <v>0</v>
      </c>
      <c r="BP48" s="189">
        <v>0</v>
      </c>
      <c r="BQ48" s="189">
        <v>0</v>
      </c>
      <c r="BR48" s="189">
        <v>0</v>
      </c>
      <c r="BS48" s="189">
        <v>0</v>
      </c>
      <c r="BT48" s="189">
        <v>0</v>
      </c>
      <c r="BU48" s="189">
        <v>0</v>
      </c>
      <c r="BV48" s="189">
        <v>0</v>
      </c>
      <c r="BW48" s="189">
        <v>0</v>
      </c>
    </row>
    <row r="49" spans="1:74" s="192" customFormat="1">
      <c r="A49" s="192" t="s">
        <v>598</v>
      </c>
      <c r="E49" s="192">
        <f>E44+E48-E45-E46-E47</f>
        <v>31212074.640000001</v>
      </c>
      <c r="F49" s="192">
        <f t="shared" ref="F49:BQ49" si="85">F44+F48-F45-F46-F47</f>
        <v>-119102208.91000003</v>
      </c>
      <c r="G49" s="192">
        <f t="shared" si="85"/>
        <v>-66032035.860000014</v>
      </c>
      <c r="H49" s="192">
        <f t="shared" si="85"/>
        <v>-45000989.930000007</v>
      </c>
      <c r="I49" s="192">
        <f t="shared" si="85"/>
        <v>-14315582.799999997</v>
      </c>
      <c r="J49" s="192">
        <f t="shared" si="85"/>
        <v>32753446.870000005</v>
      </c>
      <c r="K49" s="192">
        <f t="shared" si="85"/>
        <v>-52057987.5</v>
      </c>
      <c r="L49" s="192">
        <f t="shared" si="85"/>
        <v>49622552.780000001</v>
      </c>
      <c r="M49" s="192">
        <f t="shared" si="85"/>
        <v>39978862.390000001</v>
      </c>
      <c r="N49" s="192">
        <f t="shared" si="85"/>
        <v>148590846.38999999</v>
      </c>
      <c r="O49" s="192">
        <f t="shared" si="85"/>
        <v>100000000</v>
      </c>
      <c r="P49" s="192">
        <f t="shared" si="85"/>
        <v>199532083.33000001</v>
      </c>
      <c r="Q49" s="192">
        <f t="shared" si="85"/>
        <v>-13581011.890000001</v>
      </c>
      <c r="R49" s="192">
        <f t="shared" si="85"/>
        <v>202544146.67000002</v>
      </c>
      <c r="S49" s="192">
        <f t="shared" si="85"/>
        <v>200620000</v>
      </c>
      <c r="T49" s="192">
        <f t="shared" si="85"/>
        <v>100000000</v>
      </c>
      <c r="U49" s="192">
        <f t="shared" si="85"/>
        <v>-5169679.7</v>
      </c>
      <c r="V49" s="192">
        <f t="shared" si="85"/>
        <v>-50000000</v>
      </c>
      <c r="W49" s="192">
        <f t="shared" si="85"/>
        <v>-50000000</v>
      </c>
      <c r="X49" s="192">
        <f t="shared" si="85"/>
        <v>-50000000</v>
      </c>
      <c r="Y49" s="192">
        <f t="shared" si="85"/>
        <v>-58783561.969999999</v>
      </c>
      <c r="Z49" s="192">
        <f t="shared" si="85"/>
        <v>-91437.5</v>
      </c>
      <c r="AA49" s="192">
        <f t="shared" si="85"/>
        <v>-83125</v>
      </c>
      <c r="AB49" s="192">
        <f t="shared" si="85"/>
        <v>-83125</v>
      </c>
      <c r="AC49" s="192">
        <f t="shared" si="85"/>
        <v>-11079176.93</v>
      </c>
      <c r="AD49" s="192">
        <f t="shared" si="85"/>
        <v>-50082875</v>
      </c>
      <c r="AE49" s="192">
        <f t="shared" si="85"/>
        <v>-50075562.5</v>
      </c>
      <c r="AF49" s="192">
        <f t="shared" si="85"/>
        <v>-50075562.5</v>
      </c>
      <c r="AG49" s="192">
        <f t="shared" si="85"/>
        <v>-77938254.390000001</v>
      </c>
      <c r="AH49" s="192">
        <f t="shared" si="85"/>
        <v>-80142837.5</v>
      </c>
      <c r="AI49" s="192">
        <f t="shared" si="85"/>
        <v>-80138337.5</v>
      </c>
      <c r="AJ49" s="192">
        <f t="shared" si="85"/>
        <v>-80133875</v>
      </c>
      <c r="AK49" s="192">
        <f t="shared" si="85"/>
        <v>-85825091.879999995</v>
      </c>
      <c r="AL49" s="192">
        <f t="shared" si="85"/>
        <v>-80534640</v>
      </c>
      <c r="AM49" s="192">
        <f t="shared" si="85"/>
        <v>-10320850</v>
      </c>
      <c r="AN49" s="192">
        <f t="shared" si="85"/>
        <v>-60434841.669999987</v>
      </c>
      <c r="AO49" s="192">
        <f t="shared" si="85"/>
        <v>-18905860.469999999</v>
      </c>
      <c r="AP49" s="192">
        <f t="shared" si="85"/>
        <v>-48652795</v>
      </c>
      <c r="AQ49" s="192">
        <f t="shared" si="85"/>
        <v>-18682284.170000017</v>
      </c>
      <c r="AR49" s="192">
        <f t="shared" si="85"/>
        <v>16212576.039999992</v>
      </c>
      <c r="AS49" s="192">
        <f t="shared" si="85"/>
        <v>36572000.059999987</v>
      </c>
      <c r="AT49" s="192">
        <f t="shared" si="85"/>
        <v>19291055.5</v>
      </c>
      <c r="AU49" s="192">
        <f t="shared" si="85"/>
        <v>19365602.170000017</v>
      </c>
      <c r="AV49" s="192">
        <f t="shared" si="85"/>
        <v>30000000</v>
      </c>
      <c r="AW49" s="192">
        <f t="shared" si="85"/>
        <v>-65063312.939999998</v>
      </c>
      <c r="AX49" s="192">
        <f t="shared" si="85"/>
        <v>-20000000</v>
      </c>
      <c r="AY49" s="192">
        <f t="shared" si="85"/>
        <v>-20000000</v>
      </c>
      <c r="AZ49" s="192">
        <f t="shared" si="85"/>
        <v>0</v>
      </c>
      <c r="BA49" s="192">
        <f t="shared" si="85"/>
        <v>-54739888.630000003</v>
      </c>
      <c r="BB49" s="192">
        <f t="shared" si="85"/>
        <v>-32000000</v>
      </c>
      <c r="BC49" s="192">
        <f t="shared" si="85"/>
        <v>-32000000</v>
      </c>
      <c r="BD49" s="192">
        <f t="shared" si="85"/>
        <v>-20000000</v>
      </c>
      <c r="BE49" s="192">
        <f t="shared" si="85"/>
        <v>-20000000</v>
      </c>
      <c r="BF49" s="192">
        <f t="shared" si="85"/>
        <v>-60000000</v>
      </c>
      <c r="BG49" s="192">
        <f t="shared" si="85"/>
        <v>-23000000</v>
      </c>
      <c r="BH49" s="192">
        <f t="shared" si="85"/>
        <v>-37000000</v>
      </c>
      <c r="BI49" s="192">
        <f t="shared" si="85"/>
        <v>-28000000</v>
      </c>
      <c r="BJ49" s="192">
        <f t="shared" si="85"/>
        <v>-466930000</v>
      </c>
      <c r="BK49" s="192">
        <f t="shared" si="85"/>
        <v>-5445672.8799999952</v>
      </c>
      <c r="BL49" s="192">
        <f t="shared" si="85"/>
        <v>-20500000</v>
      </c>
      <c r="BM49" s="192">
        <f t="shared" si="85"/>
        <v>-19300000</v>
      </c>
      <c r="BN49" s="192">
        <f t="shared" si="85"/>
        <v>-11700000</v>
      </c>
      <c r="BO49" s="192">
        <f t="shared" si="85"/>
        <v>-15910000</v>
      </c>
      <c r="BP49" s="192">
        <f t="shared" si="85"/>
        <v>39868106.310000002</v>
      </c>
      <c r="BQ49" s="192">
        <f t="shared" si="85"/>
        <v>20000000</v>
      </c>
      <c r="BR49" s="192">
        <f t="shared" ref="BR49:BV49" si="86">BR44+BR48-BR45-BR46-BR47</f>
        <v>6670000</v>
      </c>
      <c r="BS49" s="192">
        <f t="shared" si="86"/>
        <v>-8650000</v>
      </c>
      <c r="BT49" s="192">
        <f t="shared" si="86"/>
        <v>4366000</v>
      </c>
      <c r="BU49" s="192">
        <f t="shared" si="86"/>
        <v>31158480</v>
      </c>
      <c r="BV49" s="192">
        <f t="shared" si="86"/>
        <v>20990000</v>
      </c>
    </row>
    <row r="50" spans="1:74" s="26" customFormat="1" ht="14.45"/>
    <row r="51" spans="1:74" s="16" customFormat="1" ht="120" customHeight="1">
      <c r="A51" s="275" t="s">
        <v>666</v>
      </c>
      <c r="B51" s="276"/>
      <c r="C51" s="276"/>
      <c r="D51" s="276"/>
      <c r="E51" s="276"/>
      <c r="F51" s="276"/>
      <c r="G51" s="276"/>
      <c r="H51" s="276"/>
      <c r="I51" s="276"/>
      <c r="J51" s="276"/>
      <c r="K51" s="276"/>
      <c r="L51" s="276"/>
      <c r="M51" s="276"/>
      <c r="N51" s="276"/>
      <c r="O51" s="276"/>
      <c r="P51" s="276"/>
      <c r="Q51" s="276"/>
      <c r="R51" s="276"/>
      <c r="S51" s="276"/>
      <c r="T51" s="276"/>
      <c r="U51" s="276"/>
      <c r="V51" s="276"/>
      <c r="W51" s="276"/>
      <c r="X51" s="276"/>
      <c r="Y51" s="276"/>
      <c r="Z51" s="276"/>
      <c r="AA51" s="276"/>
      <c r="AB51" s="276"/>
      <c r="AC51" s="276"/>
      <c r="AD51" s="276"/>
      <c r="AE51" s="276"/>
      <c r="AF51" s="276"/>
      <c r="AG51" s="276"/>
      <c r="AH51" s="276"/>
      <c r="AI51" s="276"/>
      <c r="AJ51" s="276"/>
      <c r="AK51" s="276"/>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W16"/>
  <sheetViews>
    <sheetView workbookViewId="0">
      <selection activeCell="A16" sqref="A16:E16"/>
    </sheetView>
  </sheetViews>
  <sheetFormatPr defaultRowHeight="13.5"/>
  <cols>
    <col min="1" max="1" width="61.25" style="17" bestFit="1" customWidth="1"/>
    <col min="2" max="2" width="9.5" bestFit="1" customWidth="1"/>
    <col min="3" max="4" width="9.5" hidden="1" customWidth="1"/>
    <col min="5" max="5" width="19.375" hidden="1" customWidth="1"/>
    <col min="6" max="6" width="19.375" bestFit="1" customWidth="1"/>
    <col min="7" max="9" width="19.375" hidden="1" customWidth="1"/>
    <col min="10" max="10" width="19.375" bestFit="1" customWidth="1"/>
    <col min="11" max="13" width="19.375" hidden="1" customWidth="1"/>
    <col min="14" max="14" width="19.375" bestFit="1" customWidth="1"/>
    <col min="15" max="17" width="19.375" hidden="1" customWidth="1"/>
    <col min="18" max="18" width="19.375" bestFit="1" customWidth="1"/>
    <col min="19" max="21" width="19.375" hidden="1" customWidth="1"/>
    <col min="22" max="22" width="19.375" bestFit="1" customWidth="1"/>
    <col min="23" max="23" width="19.375" hidden="1" customWidth="1"/>
    <col min="24" max="24" width="17.25" hidden="1" customWidth="1"/>
    <col min="25" max="25" width="19.375" hidden="1" customWidth="1"/>
    <col min="26" max="26" width="17.25" bestFit="1" customWidth="1"/>
    <col min="27" max="29" width="17.25" hidden="1" customWidth="1"/>
    <col min="30" max="30" width="17.25" bestFit="1" customWidth="1"/>
    <col min="31" max="33" width="17.25" hidden="1" customWidth="1"/>
    <col min="34" max="34" width="17.25" bestFit="1" customWidth="1"/>
    <col min="35" max="37" width="17.25" hidden="1" customWidth="1"/>
    <col min="38" max="38" width="17.25" bestFit="1" customWidth="1"/>
    <col min="39" max="41" width="17.25" hidden="1" customWidth="1"/>
    <col min="42" max="42" width="17.25" bestFit="1" customWidth="1"/>
    <col min="43" max="45" width="17.25" hidden="1" customWidth="1"/>
    <col min="46" max="46" width="17.25" bestFit="1" customWidth="1"/>
    <col min="47" max="49" width="17.25" hidden="1" customWidth="1"/>
    <col min="50" max="50" width="17.25" bestFit="1" customWidth="1"/>
    <col min="51" max="53" width="17.25" hidden="1" customWidth="1"/>
    <col min="54" max="54" width="17.25" bestFit="1" customWidth="1"/>
    <col min="55" max="57" width="17.25" hidden="1" customWidth="1"/>
    <col min="58" max="58" width="17.25" bestFit="1" customWidth="1"/>
    <col min="59" max="61" width="17.25" hidden="1" customWidth="1"/>
    <col min="62" max="62" width="17.25" bestFit="1" customWidth="1"/>
    <col min="63" max="65" width="17.25" hidden="1" customWidth="1"/>
    <col min="66" max="66" width="17.25" bestFit="1" customWidth="1"/>
    <col min="67" max="67" width="17.25" hidden="1" customWidth="1"/>
    <col min="68" max="68" width="17.25" bestFit="1" customWidth="1"/>
    <col min="69" max="69" width="17.25" hidden="1" customWidth="1"/>
    <col min="70" max="70" width="17.25" bestFit="1" customWidth="1"/>
    <col min="71" max="71" width="17.25" hidden="1" customWidth="1"/>
    <col min="72" max="73" width="17.25" bestFit="1" customWidth="1"/>
    <col min="74" max="74" width="17.25" hidden="1" customWidth="1"/>
    <col min="75" max="75" width="9.5" hidden="1" customWidth="1"/>
  </cols>
  <sheetData>
    <row r="1" spans="1:75" ht="14.45">
      <c r="A1" s="17">
        <v>600738</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37437</v>
      </c>
      <c r="BP1" s="1">
        <v>37256</v>
      </c>
      <c r="BQ1" s="1">
        <v>37072</v>
      </c>
      <c r="BR1" s="1">
        <v>36891</v>
      </c>
      <c r="BS1" s="1">
        <v>36707</v>
      </c>
      <c r="BT1" s="1">
        <v>36525</v>
      </c>
      <c r="BU1" s="1">
        <v>36160</v>
      </c>
      <c r="BV1" s="1">
        <v>35976</v>
      </c>
      <c r="BW1" s="1">
        <v>25569</v>
      </c>
    </row>
    <row r="2" spans="1:75" s="48" customFormat="1">
      <c r="A2" s="46" t="s">
        <v>327</v>
      </c>
    </row>
    <row r="3" spans="1:75" s="26" customFormat="1">
      <c r="A3" s="17" t="s">
        <v>328</v>
      </c>
      <c r="B3" s="26">
        <f>平均资本成本表!E53</f>
        <v>0</v>
      </c>
      <c r="E3" s="26">
        <f>股权价值增加表!E53</f>
        <v>43471999.43</v>
      </c>
      <c r="F3" s="26">
        <f>股权价值增加表!F53</f>
        <v>0</v>
      </c>
      <c r="G3" s="26">
        <f>股权价值增加表!G53</f>
        <v>0</v>
      </c>
      <c r="H3" s="26">
        <f>股权价值增加表!H53</f>
        <v>0</v>
      </c>
      <c r="I3" s="26">
        <f>股权价值增加表!I53</f>
        <v>13763829.67</v>
      </c>
      <c r="J3" s="26">
        <f>股权价值增加表!J53</f>
        <v>0</v>
      </c>
      <c r="K3" s="26">
        <f>股权价值增加表!K53</f>
        <v>0</v>
      </c>
      <c r="L3" s="26">
        <f>股权价值增加表!L53</f>
        <v>0</v>
      </c>
      <c r="M3" s="26">
        <f>股权价值增加表!M53</f>
        <v>9536939</v>
      </c>
      <c r="N3" s="26">
        <f>股权价值增加表!N53</f>
        <v>0</v>
      </c>
      <c r="O3" s="26">
        <f>股权价值增加表!O53</f>
        <v>0</v>
      </c>
      <c r="P3" s="26">
        <f>股权价值增加表!P53</f>
        <v>0</v>
      </c>
      <c r="Q3" s="26">
        <f>股权价值增加表!Q53</f>
        <v>13417678.560000001</v>
      </c>
      <c r="R3" s="26">
        <f>股权价值增加表!R53</f>
        <v>0</v>
      </c>
      <c r="S3" s="26">
        <f>股权价值增加表!S53</f>
        <v>0</v>
      </c>
      <c r="T3" s="26">
        <f>股权价值增加表!T53</f>
        <v>0</v>
      </c>
      <c r="U3" s="26">
        <f>股权价值增加表!U53</f>
        <v>5169679.7</v>
      </c>
      <c r="V3" s="26">
        <f>股权价值增加表!V53</f>
        <v>0</v>
      </c>
      <c r="W3" s="26">
        <f>股权价值增加表!W53</f>
        <v>0</v>
      </c>
      <c r="X3" s="26">
        <f>股权价值增加表!X53</f>
        <v>0</v>
      </c>
      <c r="Y3" s="26">
        <f>股权价值增加表!Y53</f>
        <v>8783561.9700000007</v>
      </c>
      <c r="Z3" s="26">
        <f>股权价值增加表!Z53</f>
        <v>0</v>
      </c>
      <c r="AA3" s="26">
        <f>股权价值增加表!AA53</f>
        <v>0</v>
      </c>
      <c r="AB3" s="26">
        <f>股权价值增加表!AB53</f>
        <v>0</v>
      </c>
      <c r="AC3" s="26">
        <f>股权价值增加表!AC53</f>
        <v>10987739.43</v>
      </c>
      <c r="AD3" s="26">
        <f>股权价值增加表!AD53</f>
        <v>0</v>
      </c>
      <c r="AE3" s="26">
        <f>股权价值增加表!AE53</f>
        <v>0</v>
      </c>
      <c r="AF3" s="26">
        <f>股权价值增加表!AF53</f>
        <v>0</v>
      </c>
      <c r="AG3" s="26">
        <f>股权价值增加表!AG53</f>
        <v>27863605.199999999</v>
      </c>
      <c r="AH3" s="26">
        <f>股权价值增加表!AH53</f>
        <v>0</v>
      </c>
      <c r="AI3" s="26">
        <f>股权价值增加表!AI53</f>
        <v>0</v>
      </c>
      <c r="AJ3" s="26">
        <f>股权价值增加表!AJ53</f>
        <v>0</v>
      </c>
      <c r="AK3" s="26">
        <f>股权价值增加表!AK53</f>
        <v>5682608.5499999998</v>
      </c>
      <c r="AL3" s="26">
        <f>股权价值增加表!AL53</f>
        <v>0</v>
      </c>
      <c r="AM3" s="26">
        <f>股权价值增加表!AM53</f>
        <v>0</v>
      </c>
      <c r="AN3" s="26">
        <f>股权价值增加表!AN53</f>
        <v>0</v>
      </c>
      <c r="AO3" s="26">
        <f>股权价值增加表!AO53</f>
        <v>28444074.640000001</v>
      </c>
      <c r="AP3" s="26">
        <f>股权价值增加表!AP53</f>
        <v>0</v>
      </c>
      <c r="AQ3" s="26">
        <f>股权价值增加表!AQ53</f>
        <v>0</v>
      </c>
      <c r="AR3" s="26">
        <f>股权价值增加表!AR53</f>
        <v>0</v>
      </c>
      <c r="AS3" s="26">
        <f>股权价值增加表!AS53</f>
        <v>39670751.020000003</v>
      </c>
      <c r="AT3" s="26">
        <f>股权价值增加表!AT53</f>
        <v>0</v>
      </c>
      <c r="AU3" s="26">
        <f>股权价值增加表!AU53</f>
        <v>0</v>
      </c>
      <c r="AV3" s="26">
        <f>股权价值增加表!AV53</f>
        <v>0</v>
      </c>
      <c r="AW3" s="26">
        <f>股权价值增加表!AW53</f>
        <v>55063312.939999998</v>
      </c>
      <c r="AX3" s="26">
        <f>股权价值增加表!AX53</f>
        <v>0</v>
      </c>
      <c r="AY3" s="26">
        <f>股权价值增加表!AY53</f>
        <v>0</v>
      </c>
      <c r="AZ3" s="26">
        <f>股权价值增加表!AZ53</f>
        <v>0</v>
      </c>
      <c r="BA3" s="26">
        <f>股权价值增加表!BA53</f>
        <v>44739888.630000003</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5" s="26" customFormat="1">
      <c r="A4" s="17" t="s">
        <v>329</v>
      </c>
      <c r="E4" s="26">
        <f>资产资本表!E89</f>
        <v>1560295925.9300001</v>
      </c>
      <c r="F4" s="26">
        <f>资产资本表!F89</f>
        <v>1482732208.9099998</v>
      </c>
      <c r="G4" s="26">
        <f>资产资本表!G89</f>
        <v>1534862035.8600001</v>
      </c>
      <c r="H4" s="26">
        <f>资产资本表!H89</f>
        <v>1556330989.9300001</v>
      </c>
      <c r="I4" s="26">
        <f>资产资本表!I89</f>
        <v>385551753.13</v>
      </c>
      <c r="J4" s="26">
        <f>资产资本表!J89</f>
        <v>385551753.13</v>
      </c>
      <c r="K4" s="26">
        <f>资产资本表!K89</f>
        <v>300363187.5</v>
      </c>
      <c r="L4" s="26">
        <f>资产资本表!L89</f>
        <v>402072247.22000003</v>
      </c>
      <c r="M4" s="26">
        <f>资产资本表!M89</f>
        <v>402178998.61000001</v>
      </c>
      <c r="N4" s="26">
        <f>资产资本表!N89</f>
        <v>352091273.61000001</v>
      </c>
      <c r="O4" s="26">
        <f>资产资本表!O89</f>
        <v>301694800</v>
      </c>
      <c r="P4" s="26">
        <f>资产资本表!P89</f>
        <v>403175396.67000002</v>
      </c>
      <c r="Q4" s="26">
        <f>资产资本表!Q89</f>
        <v>202870813.33000001</v>
      </c>
      <c r="R4" s="26">
        <f>资产资本表!R89</f>
        <v>202870813.33000001</v>
      </c>
      <c r="S4" s="26">
        <f>资产资本表!S89</f>
        <v>202707480</v>
      </c>
      <c r="T4" s="26">
        <f>资产资本表!T89</f>
        <v>100000000</v>
      </c>
      <c r="U4" s="26">
        <f>资产资本表!U89</f>
        <v>0</v>
      </c>
      <c r="V4" s="26">
        <f>资产资本表!V89</f>
        <v>0</v>
      </c>
      <c r="W4" s="26">
        <f>资产资本表!W89</f>
        <v>0</v>
      </c>
      <c r="X4" s="26">
        <f>资产资本表!X89</f>
        <v>0</v>
      </c>
      <c r="Y4" s="26">
        <f>资产资本表!Y89</f>
        <v>0</v>
      </c>
      <c r="Z4" s="26">
        <f>资产资本表!Z89</f>
        <v>50091437.5</v>
      </c>
      <c r="AA4" s="26">
        <f>资产资本表!AA89</f>
        <v>50083125</v>
      </c>
      <c r="AB4" s="26">
        <f>资产资本表!AB89</f>
        <v>50083125</v>
      </c>
      <c r="AC4" s="26">
        <f>资产资本表!AC89</f>
        <v>100091437.5</v>
      </c>
      <c r="AD4" s="26">
        <f>资产资本表!AD89</f>
        <v>50082875</v>
      </c>
      <c r="AE4" s="26">
        <f>资产资本表!AE89</f>
        <v>50075562.5</v>
      </c>
      <c r="AF4" s="26">
        <f>资产资本表!AF89</f>
        <v>50075562.5</v>
      </c>
      <c r="AG4" s="26">
        <f>资产资本表!AG89</f>
        <v>50074649.189999998</v>
      </c>
      <c r="AH4" s="26">
        <f>资产资本表!AH89</f>
        <v>100142837.5</v>
      </c>
      <c r="AI4" s="26">
        <f>资产资本表!AI89</f>
        <v>100138337.5</v>
      </c>
      <c r="AJ4" s="26">
        <f>资产资本表!AJ89</f>
        <v>100133875</v>
      </c>
      <c r="AK4" s="26">
        <f>资产资本表!AK89</f>
        <v>100142483.33</v>
      </c>
      <c r="AL4" s="26">
        <f>资产资本表!AL89</f>
        <v>180534640</v>
      </c>
      <c r="AM4" s="26">
        <f>资产资本表!AM89</f>
        <v>250320850</v>
      </c>
      <c r="AN4" s="26">
        <f>资产资本表!AN89</f>
        <v>200434841.66999999</v>
      </c>
      <c r="AO4" s="26">
        <f>资产资本表!AO89</f>
        <v>270461785.82999998</v>
      </c>
      <c r="AP4" s="26">
        <f>资产资本表!AP89</f>
        <v>260652795</v>
      </c>
      <c r="AQ4" s="26">
        <f>资产资本表!AQ89</f>
        <v>290682284.17000002</v>
      </c>
      <c r="AR4" s="26">
        <f>资产资本表!AR89</f>
        <v>325787423.95999998</v>
      </c>
      <c r="AS4" s="26">
        <f>资产资本表!AS89</f>
        <v>385757248.92000002</v>
      </c>
      <c r="AT4" s="26">
        <f>资产资本表!AT89</f>
        <v>308708944.5</v>
      </c>
      <c r="AU4" s="26">
        <f>资产资本表!AU89</f>
        <v>308634397.82999998</v>
      </c>
      <c r="AV4" s="26">
        <f>资产资本表!AV89</f>
        <v>318000000</v>
      </c>
      <c r="AW4" s="26">
        <f>资产资本表!AW89</f>
        <v>278000000</v>
      </c>
      <c r="AX4" s="26">
        <f>资产资本表!AX89</f>
        <v>288000000</v>
      </c>
      <c r="AY4" s="26">
        <f>资产资本表!AY89</f>
        <v>288000000</v>
      </c>
      <c r="AZ4" s="26">
        <f>资产资本表!AZ89</f>
        <v>308000000</v>
      </c>
      <c r="BA4" s="26">
        <f>资产资本表!BA89</f>
        <v>298000000</v>
      </c>
      <c r="BB4" s="26">
        <f>资产资本表!BB89</f>
        <v>308000000</v>
      </c>
      <c r="BC4" s="26">
        <f>资产资本表!BC89</f>
        <v>308000000</v>
      </c>
      <c r="BD4" s="26">
        <f>资产资本表!BD89</f>
        <v>320000000</v>
      </c>
      <c r="BE4" s="26">
        <f>资产资本表!BE89</f>
        <v>320000000</v>
      </c>
      <c r="BF4" s="26">
        <f>资产资本表!BF89</f>
        <v>340000000</v>
      </c>
      <c r="BG4" s="26">
        <f>资产资本表!BG89</f>
        <v>394121871.35000002</v>
      </c>
      <c r="BH4" s="26">
        <f>资产资本表!BH89</f>
        <v>380121871.35000002</v>
      </c>
      <c r="BI4" s="26">
        <f>资产资本表!BI89</f>
        <v>389136891.35000002</v>
      </c>
      <c r="BJ4" s="26">
        <f>资产资本表!BJ89</f>
        <v>417151977.35000002</v>
      </c>
      <c r="BK4" s="26">
        <f>资产资本表!BK89</f>
        <v>476097307.35000002</v>
      </c>
      <c r="BL4" s="26">
        <f>资产资本表!BL89</f>
        <v>458430000</v>
      </c>
      <c r="BM4" s="26">
        <f>资产资本表!BM89</f>
        <v>458440888.77999997</v>
      </c>
      <c r="BN4" s="26">
        <f>资产资本表!BN89</f>
        <v>479050877.19</v>
      </c>
      <c r="BO4" s="26">
        <f>资产资本表!BO89</f>
        <v>454233712.68000001</v>
      </c>
      <c r="BP4" s="26">
        <f>资产资本表!BP89</f>
        <v>456464653.63</v>
      </c>
      <c r="BQ4" s="26">
        <f>资产资本表!BQ89</f>
        <v>443277608.72000003</v>
      </c>
      <c r="BR4" s="26">
        <f>资产资本表!BR89</f>
        <v>470277608.72000003</v>
      </c>
      <c r="BS4" s="26">
        <f>资产资本表!BS89</f>
        <v>449632511.31</v>
      </c>
      <c r="BT4" s="26">
        <f>资产资本表!BT89</f>
        <v>435475268.62</v>
      </c>
      <c r="BU4" s="26">
        <f>资产资本表!BU89</f>
        <v>415383758.52999997</v>
      </c>
      <c r="BV4" s="26">
        <f>资产资本表!BV89</f>
        <v>425817818.69999999</v>
      </c>
    </row>
    <row r="5" spans="1:75" s="63" customFormat="1">
      <c r="A5" s="63" t="s">
        <v>333</v>
      </c>
      <c r="E5" s="63">
        <f>IF(E4+I4=0,0,E3/((E4+I4)/2))</f>
        <v>4.4681811323484942E-2</v>
      </c>
      <c r="F5" s="63">
        <f t="shared" ref="F5:BQ5" si="0">IF(F4+J4=0,0,F3/((F4+J4)/2))</f>
        <v>0</v>
      </c>
      <c r="G5" s="63">
        <f t="shared" si="0"/>
        <v>0</v>
      </c>
      <c r="H5" s="63">
        <f t="shared" si="0"/>
        <v>0</v>
      </c>
      <c r="I5" s="63">
        <f t="shared" si="0"/>
        <v>3.4945518223320336E-2</v>
      </c>
      <c r="J5" s="63">
        <f t="shared" si="0"/>
        <v>0</v>
      </c>
      <c r="K5" s="63">
        <f t="shared" si="0"/>
        <v>0</v>
      </c>
      <c r="L5" s="63">
        <f t="shared" si="0"/>
        <v>0</v>
      </c>
      <c r="M5" s="63">
        <f t="shared" si="0"/>
        <v>3.1524475544984498E-2</v>
      </c>
      <c r="N5" s="63">
        <f t="shared" si="0"/>
        <v>0</v>
      </c>
      <c r="O5" s="63">
        <f t="shared" si="0"/>
        <v>0</v>
      </c>
      <c r="P5" s="63">
        <f t="shared" si="0"/>
        <v>0</v>
      </c>
      <c r="Q5" s="63">
        <f t="shared" si="0"/>
        <v>0.13227805754565711</v>
      </c>
      <c r="R5" s="63">
        <f t="shared" si="0"/>
        <v>0</v>
      </c>
      <c r="S5" s="63">
        <f t="shared" si="0"/>
        <v>0</v>
      </c>
      <c r="T5" s="63">
        <f t="shared" si="0"/>
        <v>0</v>
      </c>
      <c r="U5" s="63">
        <f t="shared" si="0"/>
        <v>0</v>
      </c>
      <c r="V5" s="63">
        <f t="shared" si="0"/>
        <v>0</v>
      </c>
      <c r="W5" s="63">
        <f t="shared" si="0"/>
        <v>0</v>
      </c>
      <c r="X5" s="63">
        <f t="shared" si="0"/>
        <v>0</v>
      </c>
      <c r="Y5" s="63">
        <f t="shared" si="0"/>
        <v>0.17551075675179509</v>
      </c>
      <c r="Z5" s="63">
        <f t="shared" si="0"/>
        <v>0</v>
      </c>
      <c r="AA5" s="63">
        <f t="shared" si="0"/>
        <v>0</v>
      </c>
      <c r="AB5" s="63">
        <f t="shared" si="0"/>
        <v>0</v>
      </c>
      <c r="AC5" s="63">
        <f t="shared" si="0"/>
        <v>0.14634115694421576</v>
      </c>
      <c r="AD5" s="63">
        <f t="shared" si="0"/>
        <v>0</v>
      </c>
      <c r="AE5" s="63">
        <f t="shared" si="0"/>
        <v>0</v>
      </c>
      <c r="AF5" s="63">
        <f t="shared" si="0"/>
        <v>0</v>
      </c>
      <c r="AG5" s="63">
        <f t="shared" si="0"/>
        <v>0.37097772714161248</v>
      </c>
      <c r="AH5" s="63">
        <f t="shared" si="0"/>
        <v>0</v>
      </c>
      <c r="AI5" s="63">
        <f t="shared" si="0"/>
        <v>0</v>
      </c>
      <c r="AJ5" s="63">
        <f t="shared" si="0"/>
        <v>0</v>
      </c>
      <c r="AK5" s="63">
        <f t="shared" si="0"/>
        <v>3.0666719316968596E-2</v>
      </c>
      <c r="AL5" s="63">
        <f t="shared" si="0"/>
        <v>0</v>
      </c>
      <c r="AM5" s="63">
        <f t="shared" si="0"/>
        <v>0</v>
      </c>
      <c r="AN5" s="63">
        <f t="shared" si="0"/>
        <v>0</v>
      </c>
      <c r="AO5" s="63">
        <f t="shared" si="0"/>
        <v>8.6690794182269798E-2</v>
      </c>
      <c r="AP5" s="63">
        <f t="shared" si="0"/>
        <v>0</v>
      </c>
      <c r="AQ5" s="63">
        <f t="shared" si="0"/>
        <v>0</v>
      </c>
      <c r="AR5" s="63">
        <f t="shared" si="0"/>
        <v>0</v>
      </c>
      <c r="AS5" s="63">
        <f t="shared" si="0"/>
        <v>0.11953391419693965</v>
      </c>
      <c r="AT5" s="63">
        <f t="shared" si="0"/>
        <v>0</v>
      </c>
      <c r="AU5" s="63">
        <f t="shared" si="0"/>
        <v>0</v>
      </c>
      <c r="AV5" s="63">
        <f t="shared" si="0"/>
        <v>0</v>
      </c>
      <c r="AW5" s="63">
        <f t="shared" si="0"/>
        <v>0.19119205881944443</v>
      </c>
      <c r="AX5" s="63">
        <f t="shared" si="0"/>
        <v>0</v>
      </c>
      <c r="AY5" s="63">
        <f t="shared" si="0"/>
        <v>0</v>
      </c>
      <c r="AZ5" s="63">
        <f t="shared" si="0"/>
        <v>0</v>
      </c>
      <c r="BA5" s="63">
        <f t="shared" si="0"/>
        <v>0.14478928359223303</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5" s="63" customFormat="1">
      <c r="A6" s="63" t="s">
        <v>346</v>
      </c>
      <c r="E6" s="63">
        <f>股权价值增加表!E41</f>
        <v>32.784117890021228</v>
      </c>
      <c r="F6" s="63">
        <f>股权价值增加表!F41</f>
        <v>0.2748970080236916</v>
      </c>
      <c r="G6" s="63">
        <f>股权价值增加表!G41</f>
        <v>0.29506710885025283</v>
      </c>
      <c r="H6" s="63">
        <f>股权价值增加表!H41</f>
        <v>0.29117100798591661</v>
      </c>
      <c r="I6" s="63">
        <f>股权价值增加表!I41</f>
        <v>8.8078845361592523E-2</v>
      </c>
      <c r="J6" s="63">
        <f>股权价值增加表!J41</f>
        <v>0.27686216967628202</v>
      </c>
      <c r="K6" s="63">
        <f>股权价值增加表!K41</f>
        <v>0.26832886331033701</v>
      </c>
      <c r="L6" s="63">
        <f>股权价值增加表!L41</f>
        <v>0.2615099639174232</v>
      </c>
      <c r="M6" s="63">
        <f>股权价值增加表!M41</f>
        <v>0.11740512968466478</v>
      </c>
      <c r="N6" s="63">
        <f>股权价值增加表!N41</f>
        <v>0.2525801826525414</v>
      </c>
      <c r="O6" s="63">
        <f>股权价值增加表!O41</f>
        <v>0.25030527040047357</v>
      </c>
      <c r="P6" s="63">
        <f>股权价值增加表!P41</f>
        <v>0.25276420063259675</v>
      </c>
      <c r="Q6" s="63">
        <f>股权价值增加表!Q41</f>
        <v>0.26211074473653617</v>
      </c>
      <c r="R6" s="63">
        <f>股权价值增加表!R41</f>
        <v>0.25112781942381585</v>
      </c>
      <c r="S6" s="63">
        <f>股权价值增加表!S41</f>
        <v>0.24357759536528667</v>
      </c>
      <c r="T6" s="63">
        <f>股权价值增加表!T41</f>
        <v>0.25510078867331742</v>
      </c>
      <c r="U6" s="63">
        <f>股权价值增加表!U41</f>
        <v>1.432078928914885</v>
      </c>
      <c r="V6" s="63">
        <f>股权价值增加表!V41</f>
        <v>0.20732549408063841</v>
      </c>
      <c r="W6" s="63">
        <f>股权价值增加表!W41</f>
        <v>0.21823899956097992</v>
      </c>
      <c r="X6" s="63">
        <f>股权价值增加表!X41</f>
        <v>0.20552441348695913</v>
      </c>
      <c r="Y6" s="63">
        <f>股权价值增加表!Y41</f>
        <v>0.23129969681046825</v>
      </c>
      <c r="Z6" s="63">
        <f>股权价值增加表!Z41</f>
        <v>0.25264103423215128</v>
      </c>
      <c r="AA6" s="63">
        <f>股权价值增加表!AA41</f>
        <v>0.25269463729598596</v>
      </c>
      <c r="AB6" s="63">
        <f>股权价值增加表!AB41</f>
        <v>0.25258825254088885</v>
      </c>
      <c r="AC6" s="63">
        <f>股权价值增加表!AC41</f>
        <v>3.4477104036765631</v>
      </c>
      <c r="AD6" s="63">
        <f>股权价值增加表!AD41</f>
        <v>0.27370933294184085</v>
      </c>
      <c r="AE6" s="63">
        <f>股权价值增加表!AE41</f>
        <v>0.25284617113293423</v>
      </c>
      <c r="AF6" s="63">
        <f>股权价值增加表!AF41</f>
        <v>0.25254910323707813</v>
      </c>
      <c r="AG6" s="63">
        <f>股权价值增加表!AG41</f>
        <v>5.0862801341525747</v>
      </c>
      <c r="AH6" s="63">
        <f>股权价值增加表!AH41</f>
        <v>3.9330764609418631</v>
      </c>
      <c r="AI6" s="63">
        <f>股权价值增加表!AI41</f>
        <v>0.21694439201739033</v>
      </c>
      <c r="AJ6" s="63">
        <f>股权价值增加表!AJ41</f>
        <v>0.63203991273581284</v>
      </c>
      <c r="AK6" s="63">
        <f>股权价值增加表!AK41</f>
        <v>0.30914784970902143</v>
      </c>
      <c r="AL6" s="63">
        <f>股权价值增加表!AL41</f>
        <v>0.15010106157214878</v>
      </c>
      <c r="AM6" s="63">
        <f>股权价值增加表!AM41</f>
        <v>0.25199539057817033</v>
      </c>
      <c r="AN6" s="63">
        <f>股权价值增加表!AN41</f>
        <v>0.24297851510795632</v>
      </c>
      <c r="AO6" s="63">
        <f>股权价值增加表!AO41</f>
        <v>-0.50352578210379273</v>
      </c>
      <c r="AP6" s="63">
        <f>股权价值增加表!AP41</f>
        <v>0.14801308250965148</v>
      </c>
      <c r="AQ6" s="63">
        <f>股权价值增加表!AQ41</f>
        <v>9.2095371966092465E-2</v>
      </c>
      <c r="AR6" s="63">
        <f>股权价值增加表!AR41</f>
        <v>6.2820320273977381E-2</v>
      </c>
      <c r="AS6" s="63">
        <f>股权价值增加表!AS41</f>
        <v>-0.19905679639411039</v>
      </c>
      <c r="AT6" s="63">
        <f>股权价值增加表!AT41</f>
        <v>0.27646229287164742</v>
      </c>
      <c r="AU6" s="63">
        <f>股权价值增加表!AU41</f>
        <v>0.3328650374391286</v>
      </c>
      <c r="AV6" s="63">
        <f>股权价值增加表!AV41</f>
        <v>0.32322838348008914</v>
      </c>
      <c r="AW6" s="63">
        <f>股权价值增加表!AW41</f>
        <v>-8.1669854253591453E-2</v>
      </c>
      <c r="AX6" s="63">
        <f>股权价值增加表!AX41</f>
        <v>0.29852653684496006</v>
      </c>
      <c r="AY6" s="63">
        <f>股权价值增加表!AY41</f>
        <v>5.3134823322323185E-3</v>
      </c>
      <c r="AZ6" s="63">
        <f>股权价值增加表!AZ41</f>
        <v>5.4144071532115775E-3</v>
      </c>
      <c r="BA6" s="63">
        <f>股权价值增加表!BA41</f>
        <v>0</v>
      </c>
      <c r="BB6" s="63">
        <f>股权价值增加表!BB41</f>
        <v>-2.4084718542864447E-3</v>
      </c>
      <c r="BC6" s="63">
        <f>股权价值增加表!BC41</f>
        <v>0</v>
      </c>
      <c r="BD6" s="63">
        <f>股权价值增加表!BD41</f>
        <v>0</v>
      </c>
      <c r="BE6" s="63">
        <f>股权价值增加表!BE41</f>
        <v>0</v>
      </c>
      <c r="BF6" s="63">
        <f>股权价值增加表!BF41</f>
        <v>0</v>
      </c>
      <c r="BG6" s="63">
        <f>股权价值增加表!BG41</f>
        <v>0</v>
      </c>
      <c r="BH6" s="63">
        <f>股权价值增加表!BH41</f>
        <v>0</v>
      </c>
      <c r="BI6" s="63">
        <f>股权价值增加表!BI41</f>
        <v>0</v>
      </c>
      <c r="BJ6" s="63">
        <f>股权价值增加表!BJ41</f>
        <v>-1.0288122558065395E-4</v>
      </c>
      <c r="BK6" s="63">
        <f>股权价值增加表!BK41</f>
        <v>-1.3605498826169495E-4</v>
      </c>
      <c r="BL6" s="63">
        <f>股权价值增加表!BL41</f>
        <v>-2.3466681919126909E-4</v>
      </c>
      <c r="BM6" s="63">
        <f>股权价值增加表!BM41</f>
        <v>-5.9459761760356214E-4</v>
      </c>
      <c r="BN6" s="63">
        <f>股权价值增加表!BN41</f>
        <v>-4.0749815046611088E-4</v>
      </c>
      <c r="BO6" s="63">
        <f>股权价值增加表!BO41</f>
        <v>0</v>
      </c>
      <c r="BP6" s="63">
        <f>股权价值增加表!BP41</f>
        <v>-5.4231540251776294E-3</v>
      </c>
      <c r="BQ6" s="63">
        <f>股权价值增加表!BQ41</f>
        <v>0</v>
      </c>
      <c r="BR6" s="63">
        <f>股权价值增加表!BR41</f>
        <v>-2.0502860519486336E-4</v>
      </c>
      <c r="BS6" s="63">
        <f>股权价值增加表!BS41</f>
        <v>-0.63258101447714743</v>
      </c>
      <c r="BT6" s="63">
        <f>股权价值增加表!BT41</f>
        <v>4.0559526789574818</v>
      </c>
      <c r="BU6" s="63">
        <f>股权价值增加表!BU41</f>
        <v>7.8345481723492352</v>
      </c>
    </row>
    <row r="7" spans="1:75" s="63" customFormat="1">
      <c r="A7" s="63" t="s">
        <v>330</v>
      </c>
      <c r="E7" s="63">
        <f>E5*(1-E6)</f>
        <v>-1.4201719586453307</v>
      </c>
      <c r="F7" s="63">
        <f t="shared" ref="F7:BQ7" si="2">F5*(1-F6)</f>
        <v>0</v>
      </c>
      <c r="G7" s="63">
        <f t="shared" si="2"/>
        <v>0</v>
      </c>
      <c r="H7" s="63">
        <f t="shared" si="2"/>
        <v>0</v>
      </c>
      <c r="I7" s="63">
        <f t="shared" si="2"/>
        <v>3.1867557327647789E-2</v>
      </c>
      <c r="J7" s="63">
        <f t="shared" si="2"/>
        <v>0</v>
      </c>
      <c r="K7" s="63">
        <f t="shared" si="2"/>
        <v>0</v>
      </c>
      <c r="L7" s="63">
        <f t="shared" si="2"/>
        <v>0</v>
      </c>
      <c r="M7" s="63">
        <f t="shared" si="2"/>
        <v>2.7823340405384551E-2</v>
      </c>
      <c r="N7" s="63">
        <f t="shared" si="2"/>
        <v>0</v>
      </c>
      <c r="O7" s="63">
        <f t="shared" si="2"/>
        <v>0</v>
      </c>
      <c r="P7" s="63">
        <f t="shared" si="2"/>
        <v>0</v>
      </c>
      <c r="Q7" s="63">
        <f t="shared" si="2"/>
        <v>9.7606557370062533E-2</v>
      </c>
      <c r="R7" s="63">
        <f t="shared" si="2"/>
        <v>0</v>
      </c>
      <c r="S7" s="63">
        <f t="shared" si="2"/>
        <v>0</v>
      </c>
      <c r="T7" s="63">
        <f t="shared" si="2"/>
        <v>0</v>
      </c>
      <c r="U7" s="63">
        <f t="shared" si="2"/>
        <v>0</v>
      </c>
      <c r="V7" s="63">
        <f t="shared" si="2"/>
        <v>0</v>
      </c>
      <c r="W7" s="63">
        <f t="shared" si="2"/>
        <v>0</v>
      </c>
      <c r="X7" s="63">
        <f t="shared" si="2"/>
        <v>0</v>
      </c>
      <c r="Y7" s="63">
        <f t="shared" si="2"/>
        <v>0.13491517192812905</v>
      </c>
      <c r="Z7" s="63">
        <f t="shared" si="2"/>
        <v>0</v>
      </c>
      <c r="AA7" s="63">
        <f t="shared" si="2"/>
        <v>0</v>
      </c>
      <c r="AB7" s="63">
        <f t="shared" si="2"/>
        <v>0</v>
      </c>
      <c r="AC7" s="63">
        <f t="shared" si="2"/>
        <v>-0.35820077233842162</v>
      </c>
      <c r="AD7" s="63">
        <f t="shared" si="2"/>
        <v>0</v>
      </c>
      <c r="AE7" s="63">
        <f t="shared" si="2"/>
        <v>0</v>
      </c>
      <c r="AF7" s="63">
        <f t="shared" si="2"/>
        <v>0</v>
      </c>
      <c r="AG7" s="63">
        <f t="shared" si="2"/>
        <v>-1.5159189166318454</v>
      </c>
      <c r="AH7" s="63">
        <f t="shared" si="2"/>
        <v>0</v>
      </c>
      <c r="AI7" s="63">
        <f t="shared" si="2"/>
        <v>0</v>
      </c>
      <c r="AJ7" s="63">
        <f t="shared" si="2"/>
        <v>0</v>
      </c>
      <c r="AK7" s="63">
        <f t="shared" si="2"/>
        <v>2.1186168982497644E-2</v>
      </c>
      <c r="AL7" s="63">
        <f t="shared" si="2"/>
        <v>0</v>
      </c>
      <c r="AM7" s="63">
        <f t="shared" si="2"/>
        <v>0</v>
      </c>
      <c r="AN7" s="63">
        <f t="shared" si="2"/>
        <v>0</v>
      </c>
      <c r="AO7" s="63">
        <f t="shared" si="2"/>
        <v>0.13034184412409611</v>
      </c>
      <c r="AP7" s="63">
        <f t="shared" si="2"/>
        <v>0</v>
      </c>
      <c r="AQ7" s="63">
        <f t="shared" si="2"/>
        <v>0</v>
      </c>
      <c r="AR7" s="63">
        <f t="shared" si="2"/>
        <v>0</v>
      </c>
      <c r="AS7" s="63">
        <f t="shared" si="2"/>
        <v>0.14332795221743092</v>
      </c>
      <c r="AT7" s="63">
        <f t="shared" si="2"/>
        <v>0</v>
      </c>
      <c r="AU7" s="63">
        <f t="shared" si="2"/>
        <v>0</v>
      </c>
      <c r="AV7" s="63">
        <f t="shared" si="2"/>
        <v>0</v>
      </c>
      <c r="AW7" s="63">
        <f t="shared" si="2"/>
        <v>0.20680668639767252</v>
      </c>
      <c r="AX7" s="63">
        <f t="shared" si="2"/>
        <v>0</v>
      </c>
      <c r="AY7" s="63">
        <f t="shared" si="2"/>
        <v>0</v>
      </c>
      <c r="AZ7" s="63">
        <f t="shared" si="2"/>
        <v>0</v>
      </c>
      <c r="BA7" s="63">
        <f t="shared" si="2"/>
        <v>0.14478928359223303</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5" s="26" customFormat="1">
      <c r="A8" s="17" t="s">
        <v>331</v>
      </c>
      <c r="E8" s="26">
        <f>资产资本表!E107</f>
        <v>1892747867.5599999</v>
      </c>
      <c r="F8" s="26">
        <f>资产资本表!F107</f>
        <v>1832599943.4000001</v>
      </c>
      <c r="G8" s="26">
        <f>资产资本表!G107</f>
        <v>1798701739.3299999</v>
      </c>
      <c r="H8" s="26">
        <f>资产资本表!H107</f>
        <v>1770338792.6199999</v>
      </c>
      <c r="I8" s="26">
        <f>资产资本表!I107</f>
        <v>1260652933.3900001</v>
      </c>
      <c r="J8" s="26">
        <f>资产资本表!J107</f>
        <v>1243458895.51</v>
      </c>
      <c r="K8" s="26">
        <f>资产资本表!K107</f>
        <v>1236106373.8199999</v>
      </c>
      <c r="L8" s="26">
        <f>资产资本表!L107</f>
        <v>1221065731.4200001</v>
      </c>
      <c r="M8" s="26">
        <f>资产资本表!M107</f>
        <v>1204901515.3499999</v>
      </c>
      <c r="N8" s="26">
        <f>资产资本表!N107</f>
        <v>1181020051.74</v>
      </c>
      <c r="O8" s="26">
        <f>资产资本表!O107</f>
        <v>1172832016.5999999</v>
      </c>
      <c r="P8" s="26">
        <f>资产资本表!P107</f>
        <v>1151427106.1900001</v>
      </c>
      <c r="Q8" s="26">
        <f>资产资本表!Q107</f>
        <v>1127000737.7</v>
      </c>
      <c r="R8" s="26">
        <f>资产资本表!R107</f>
        <v>1096535101.78</v>
      </c>
      <c r="S8" s="26">
        <f>资产资本表!S107</f>
        <v>1079857582.02</v>
      </c>
      <c r="T8" s="26">
        <f>资产资本表!T107</f>
        <v>1051537288.14</v>
      </c>
      <c r="U8" s="26">
        <f>资产资本表!U107</f>
        <v>1063176625.7</v>
      </c>
      <c r="V8" s="26">
        <f>资产资本表!V107</f>
        <v>1029505086.02</v>
      </c>
      <c r="W8" s="26">
        <f>资产资本表!W107</f>
        <v>1006907127.09</v>
      </c>
      <c r="X8" s="26">
        <f>资产资本表!X107</f>
        <v>984052100.91999996</v>
      </c>
      <c r="Y8" s="26">
        <f>资产资本表!Y107</f>
        <v>1004606042.21</v>
      </c>
      <c r="Z8" s="26">
        <f>资产资本表!Z107</f>
        <v>475514214.12</v>
      </c>
      <c r="AA8" s="26">
        <f>资产资本表!AA107</f>
        <v>459792901.30999994</v>
      </c>
      <c r="AB8" s="26">
        <f>资产资本表!AB107</f>
        <v>454078658.41000003</v>
      </c>
      <c r="AC8" s="26">
        <f>资产资本表!AC107</f>
        <v>444155125.81</v>
      </c>
      <c r="AD8" s="26">
        <f>资产资本表!AD107</f>
        <v>415823844.62</v>
      </c>
      <c r="AE8" s="26">
        <f>资产资本表!AE107</f>
        <v>409035656.74000001</v>
      </c>
      <c r="AF8" s="26">
        <f>资产资本表!AF107</f>
        <v>397741882.78000003</v>
      </c>
      <c r="AG8" s="26">
        <f>资产资本表!AG107</f>
        <v>391055312.94</v>
      </c>
      <c r="AH8" s="26">
        <f>资产资本表!AH107</f>
        <v>368808772.21000004</v>
      </c>
      <c r="AI8" s="26">
        <f>资产资本表!AI107</f>
        <v>358512487.64999998</v>
      </c>
      <c r="AJ8" s="26">
        <f>资产资本表!AJ107</f>
        <v>427522732.19</v>
      </c>
      <c r="AK8" s="26">
        <f>资产资本表!AK107</f>
        <v>443394742.75</v>
      </c>
      <c r="AL8" s="26">
        <f>资产资本表!AL107</f>
        <v>424118892.71999997</v>
      </c>
      <c r="AM8" s="26">
        <f>资产资本表!AM107</f>
        <v>394453286.04000002</v>
      </c>
      <c r="AN8" s="26">
        <f>资产资本表!AN107</f>
        <v>387285165.04000002</v>
      </c>
      <c r="AO8" s="26">
        <f>资产资本表!AO107</f>
        <v>381911611.95000005</v>
      </c>
      <c r="AP8" s="26">
        <f>资产资本表!AP107</f>
        <v>372393612.59000003</v>
      </c>
      <c r="AQ8" s="26">
        <f>资产资本表!AQ107</f>
        <v>411734341.67000002</v>
      </c>
      <c r="AR8" s="26">
        <f>资产资本表!AR107</f>
        <v>409825285.53000003</v>
      </c>
      <c r="AS8" s="26">
        <f>资产资本表!AS107</f>
        <v>408198576.11000001</v>
      </c>
      <c r="AT8" s="26">
        <f>资产资本表!AT107</f>
        <v>402668298.98000002</v>
      </c>
      <c r="AU8" s="26">
        <f>资产资本表!AU107</f>
        <v>313536460.55000001</v>
      </c>
      <c r="AV8" s="26">
        <f>资产资本表!AV107</f>
        <v>306948111.45999998</v>
      </c>
      <c r="AW8" s="26">
        <f>资产资本表!AW107</f>
        <v>312101357.42000002</v>
      </c>
      <c r="AX8" s="26">
        <f>资产资本表!AX107</f>
        <v>307464607.69999999</v>
      </c>
      <c r="AY8" s="26">
        <f>资产资本表!AY107</f>
        <v>305357937.16999996</v>
      </c>
      <c r="AZ8" s="26">
        <f>资产资本表!AZ107</f>
        <v>298320755.12</v>
      </c>
      <c r="BA8" s="26">
        <f>资产资本表!BA107</f>
        <v>251481771.26000002</v>
      </c>
      <c r="BB8" s="26">
        <f>资产资本表!BB107</f>
        <v>247872345.53999999</v>
      </c>
      <c r="BC8" s="26">
        <f>资产资本表!BC107</f>
        <v>253888215.91999999</v>
      </c>
      <c r="BD8" s="26">
        <f>资产资本表!BD107</f>
        <v>253667726.06</v>
      </c>
      <c r="BE8" s="26">
        <f>资产资本表!BE107</f>
        <v>250289622.22</v>
      </c>
      <c r="BF8" s="26">
        <f>资产资本表!BF107</f>
        <v>243795791.07999998</v>
      </c>
      <c r="BG8" s="26">
        <f>资产资本表!BG107</f>
        <v>245687225.88</v>
      </c>
      <c r="BH8" s="26">
        <f>资产资本表!BH107</f>
        <v>245147186.31</v>
      </c>
      <c r="BI8" s="26">
        <f>资产资本表!BI107</f>
        <v>242845021.67000002</v>
      </c>
      <c r="BJ8" s="26">
        <f>资产资本表!BJ107</f>
        <v>239514177.38</v>
      </c>
      <c r="BK8" s="26">
        <f>资产资本表!BK107</f>
        <v>210294897.24000001</v>
      </c>
      <c r="BL8" s="26">
        <f>资产资本表!BL107</f>
        <v>223362506.66000003</v>
      </c>
      <c r="BM8" s="26">
        <f>资产资本表!BM107</f>
        <v>232189702.96000001</v>
      </c>
      <c r="BN8" s="26">
        <f>资产资本表!BN107</f>
        <v>237701944.78</v>
      </c>
      <c r="BO8" s="26">
        <f>资产资本表!BO107</f>
        <v>286432068</v>
      </c>
      <c r="BP8" s="26">
        <f>资产资本表!BP107</f>
        <v>310236227.31999999</v>
      </c>
      <c r="BQ8" s="26">
        <f>资产资本表!BQ107</f>
        <v>314333402.69999999</v>
      </c>
      <c r="BR8" s="26">
        <f>资产资本表!BR107</f>
        <v>298062488.18000001</v>
      </c>
      <c r="BS8" s="26">
        <f>资产资本表!BS107</f>
        <v>362560599.41000003</v>
      </c>
      <c r="BT8" s="26">
        <f>资产资本表!BT107</f>
        <v>361990208.37</v>
      </c>
      <c r="BU8" s="26">
        <f>资产资本表!BU107</f>
        <v>343254095.07999998</v>
      </c>
    </row>
    <row r="9" spans="1:75" s="63" customFormat="1">
      <c r="A9" s="63" t="s">
        <v>740</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股东权益回报率分析表!BU14</f>
        <v>-7.857765191035454E-3</v>
      </c>
      <c r="BV9" s="63">
        <f>股东权益回报率分析表!BV14</f>
        <v>-1.2149684832064836E-2</v>
      </c>
    </row>
    <row r="10" spans="1:75" s="26" customFormat="1">
      <c r="A10" s="17" t="s">
        <v>332</v>
      </c>
      <c r="E10" s="26">
        <f>资产资本表!E70</f>
        <v>3453357387.6299996</v>
      </c>
      <c r="F10" s="26">
        <f>资产资本表!F70</f>
        <v>3315645746.4499998</v>
      </c>
      <c r="G10" s="26">
        <f>资产资本表!G70</f>
        <v>3333877369.3300004</v>
      </c>
      <c r="H10" s="26">
        <f>资产资本表!H70</f>
        <v>3326939575.5899997</v>
      </c>
      <c r="I10" s="26">
        <f>资产资本表!I70</f>
        <v>1646474479.5600002</v>
      </c>
      <c r="J10" s="26">
        <f>资产资本表!J70</f>
        <v>1629280441.6800001</v>
      </c>
      <c r="K10" s="26">
        <f>资产资本表!K70</f>
        <v>1536739354.3599999</v>
      </c>
      <c r="L10" s="26">
        <f>资产资本表!L70</f>
        <v>1623407771.6800001</v>
      </c>
      <c r="M10" s="26">
        <f>资产资本表!M70</f>
        <v>1607350307</v>
      </c>
      <c r="N10" s="26">
        <f>资产资本表!N70</f>
        <v>1533381118.3900001</v>
      </c>
      <c r="O10" s="26">
        <f>资产资本表!O70</f>
        <v>1474796609.6400001</v>
      </c>
      <c r="P10" s="26">
        <f>资产资本表!P70</f>
        <v>1554872295.9000001</v>
      </c>
      <c r="Q10" s="26">
        <f>资产资本表!Q70</f>
        <v>1330141344.0700002</v>
      </c>
      <c r="R10" s="26">
        <f>资产资本表!R70</f>
        <v>1299675708.1500001</v>
      </c>
      <c r="S10" s="26">
        <f>资产资本表!S70</f>
        <v>1282834855.0599999</v>
      </c>
      <c r="T10" s="26">
        <f>资产资本表!T70</f>
        <v>1152801107.1800001</v>
      </c>
      <c r="U10" s="26">
        <f>资产资本表!U70</f>
        <v>1063379514.74</v>
      </c>
      <c r="V10" s="26">
        <f>资产资本表!V70</f>
        <v>1029707975.0599999</v>
      </c>
      <c r="W10" s="26">
        <f>资产资本表!W70</f>
        <v>1007121248.1300001</v>
      </c>
      <c r="X10" s="26">
        <f>资产资本表!X70</f>
        <v>984266221.96000004</v>
      </c>
      <c r="Y10" s="26">
        <f>资产资本表!Y70</f>
        <v>1004728646.4499999</v>
      </c>
      <c r="Z10" s="26">
        <f>资产资本表!Z70</f>
        <v>525728255.86000013</v>
      </c>
      <c r="AA10" s="26">
        <f>资产资本表!AA70</f>
        <v>514212592.65000004</v>
      </c>
      <c r="AB10" s="26">
        <f>资产资本表!AB70</f>
        <v>504284387.65000004</v>
      </c>
      <c r="AC10" s="26">
        <f>资产资本表!AC70</f>
        <v>494369167.55000001</v>
      </c>
      <c r="AD10" s="26">
        <f>资产资本表!AD70</f>
        <v>466029323.86000001</v>
      </c>
      <c r="AE10" s="26">
        <f>资产资本表!AE70</f>
        <v>459233823.48000008</v>
      </c>
      <c r="AF10" s="26">
        <f>资产资本表!AF70</f>
        <v>447940049.52000004</v>
      </c>
      <c r="AG10" s="26">
        <f>资产资本表!AG70</f>
        <v>441252566.37000006</v>
      </c>
      <c r="AH10" s="26">
        <f>资产资本表!AH70</f>
        <v>469074213.95000011</v>
      </c>
      <c r="AI10" s="26">
        <f>资产资本表!AI70</f>
        <v>458773429.38999999</v>
      </c>
      <c r="AJ10" s="26">
        <f>资产资本表!AJ70</f>
        <v>527779211.42999989</v>
      </c>
      <c r="AK10" s="26">
        <f>资产资本表!AK70</f>
        <v>543659830.31999993</v>
      </c>
      <c r="AL10" s="26">
        <f>资产资本表!AL70</f>
        <v>604776136.9599998</v>
      </c>
      <c r="AM10" s="26">
        <f>资产资本表!AM70</f>
        <v>644896740.27999997</v>
      </c>
      <c r="AN10" s="26">
        <f>资产资本表!AN70</f>
        <v>587720006.71000004</v>
      </c>
      <c r="AO10" s="26">
        <f>资产资本表!AO70</f>
        <v>652496002.01999998</v>
      </c>
      <c r="AP10" s="26">
        <f>资产资本表!AP70</f>
        <v>633046407.58999991</v>
      </c>
      <c r="AQ10" s="26">
        <f>资产资本表!AQ70</f>
        <v>702539230.08000004</v>
      </c>
      <c r="AR10" s="26">
        <f>资产资本表!AR70</f>
        <v>735735313.73000002</v>
      </c>
      <c r="AS10" s="26">
        <f>资产资本表!AS70</f>
        <v>794078429.26999998</v>
      </c>
      <c r="AT10" s="26">
        <f>资产资本表!AT70</f>
        <v>711499847.72000003</v>
      </c>
      <c r="AU10" s="26">
        <f>资产资本表!AU70</f>
        <v>622293462.61999989</v>
      </c>
      <c r="AV10" s="26">
        <f>资产资本表!AV70</f>
        <v>625070715.70000005</v>
      </c>
      <c r="AW10" s="26">
        <f>资产资本表!AW70</f>
        <v>590223961.66000009</v>
      </c>
      <c r="AX10" s="26">
        <f>资产资本表!AX70</f>
        <v>596133437.56999993</v>
      </c>
      <c r="AY10" s="26">
        <f>资产资本表!AY70</f>
        <v>597152416.10000002</v>
      </c>
      <c r="AZ10" s="26">
        <f>资产资本表!AZ70</f>
        <v>607224872.68000007</v>
      </c>
      <c r="BA10" s="26">
        <f>资产资本表!BA70</f>
        <v>553020716.21000004</v>
      </c>
      <c r="BB10" s="26">
        <f>资产资本表!BB70</f>
        <v>556295125.07000005</v>
      </c>
      <c r="BC10" s="26">
        <f>资产资本表!BC70</f>
        <v>562899236.17999995</v>
      </c>
      <c r="BD10" s="26">
        <f>资产资本表!BD70</f>
        <v>575994688.42000008</v>
      </c>
      <c r="BE10" s="26">
        <f>资产资本表!BE70</f>
        <v>571300712.22000003</v>
      </c>
      <c r="BF10" s="26">
        <f>资产资本表!BF70</f>
        <v>400768172.51999998</v>
      </c>
      <c r="BG10" s="26">
        <f>资产资本表!BG70</f>
        <v>640823795.21000004</v>
      </c>
      <c r="BH10" s="26">
        <f>资产资本表!BH70</f>
        <v>626474758.5</v>
      </c>
      <c r="BI10" s="26">
        <f>资产资本表!BI70</f>
        <v>632910206.09000003</v>
      </c>
      <c r="BJ10" s="26">
        <f>资产资本表!BJ70</f>
        <v>654884222.34000003</v>
      </c>
      <c r="BK10" s="26">
        <f>资产资本表!BK70</f>
        <v>682476088</v>
      </c>
      <c r="BL10" s="26">
        <f>资产资本表!BL70</f>
        <v>676611105.3499999</v>
      </c>
      <c r="BM10" s="26">
        <f>资产资本表!BM70</f>
        <v>689065036.43000007</v>
      </c>
      <c r="BN10" s="26">
        <f>资产资本表!BN70</f>
        <v>712194075.55000007</v>
      </c>
      <c r="BO10" s="26">
        <f>资产资本表!BO70</f>
        <v>949436220.70000017</v>
      </c>
      <c r="BP10" s="26">
        <f>资产资本表!BP70</f>
        <v>807889146.49000001</v>
      </c>
      <c r="BQ10" s="26">
        <f>资产资本表!BQ70</f>
        <v>920208443.67000008</v>
      </c>
      <c r="BR10" s="26">
        <f>资产资本表!BR70</f>
        <v>912479884.18999994</v>
      </c>
      <c r="BS10" s="26">
        <f>资产资本表!BS70</f>
        <v>805339646.24000001</v>
      </c>
      <c r="BT10" s="26">
        <f>资产资本表!BT70</f>
        <v>914979261.92000008</v>
      </c>
      <c r="BU10" s="26">
        <f>资产资本表!BU70</f>
        <v>771243548.44999993</v>
      </c>
    </row>
    <row r="11" spans="1:75" s="63" customFormat="1">
      <c r="A11" s="17" t="s">
        <v>347</v>
      </c>
      <c r="E11" s="63">
        <f>E4/E10</f>
        <v>0.45181999740861273</v>
      </c>
      <c r="F11" s="63">
        <f t="shared" ref="F11:BQ11" si="3">F4/F10</f>
        <v>0.44719259000981443</v>
      </c>
      <c r="G11" s="63">
        <f t="shared" si="3"/>
        <v>0.4603834712038184</v>
      </c>
      <c r="H11" s="63">
        <f t="shared" si="3"/>
        <v>0.4677965904006538</v>
      </c>
      <c r="I11" s="63">
        <f t="shared" si="3"/>
        <v>0.23416807118263619</v>
      </c>
      <c r="J11" s="63">
        <f t="shared" si="3"/>
        <v>0.23663928152997774</v>
      </c>
      <c r="K11" s="63">
        <f t="shared" si="3"/>
        <v>0.19545486789794039</v>
      </c>
      <c r="L11" s="63">
        <f t="shared" si="3"/>
        <v>0.2476717521217183</v>
      </c>
      <c r="M11" s="63">
        <f t="shared" si="3"/>
        <v>0.25021241285021262</v>
      </c>
      <c r="N11" s="63">
        <f t="shared" si="3"/>
        <v>0.22961758781775291</v>
      </c>
      <c r="O11" s="63">
        <f t="shared" si="3"/>
        <v>0.20456705557089944</v>
      </c>
      <c r="P11" s="63">
        <f t="shared" si="3"/>
        <v>0.2592980772331735</v>
      </c>
      <c r="Q11" s="63">
        <f t="shared" si="3"/>
        <v>0.15251823742975371</v>
      </c>
      <c r="R11" s="63">
        <f t="shared" si="3"/>
        <v>0.15609341011595332</v>
      </c>
      <c r="S11" s="63">
        <f t="shared" si="3"/>
        <v>0.15801525753719803</v>
      </c>
      <c r="T11" s="63">
        <f t="shared" si="3"/>
        <v>8.6745232440504458E-2</v>
      </c>
      <c r="U11" s="63">
        <f t="shared" si="3"/>
        <v>0</v>
      </c>
      <c r="V11" s="63">
        <f t="shared" si="3"/>
        <v>0</v>
      </c>
      <c r="W11" s="63">
        <f t="shared" si="3"/>
        <v>0</v>
      </c>
      <c r="X11" s="63">
        <f t="shared" si="3"/>
        <v>0</v>
      </c>
      <c r="Y11" s="63">
        <f t="shared" si="3"/>
        <v>0</v>
      </c>
      <c r="Z11" s="63">
        <f t="shared" si="3"/>
        <v>9.5280093739795485E-2</v>
      </c>
      <c r="AA11" s="63">
        <f t="shared" si="3"/>
        <v>9.7397702265314204E-2</v>
      </c>
      <c r="AB11" s="63">
        <f t="shared" si="3"/>
        <v>9.9315240024365634E-2</v>
      </c>
      <c r="AC11" s="63">
        <f t="shared" si="3"/>
        <v>0.20246294483944904</v>
      </c>
      <c r="AD11" s="63">
        <f t="shared" si="3"/>
        <v>0.10746721812519551</v>
      </c>
      <c r="AE11" s="63">
        <f t="shared" si="3"/>
        <v>0.10904153818753035</v>
      </c>
      <c r="AF11" s="63">
        <f t="shared" si="3"/>
        <v>0.11179076877287387</v>
      </c>
      <c r="AG11" s="63">
        <f t="shared" si="3"/>
        <v>0.113482964194278</v>
      </c>
      <c r="AH11" s="63">
        <f t="shared" si="3"/>
        <v>0.21349039133213682</v>
      </c>
      <c r="AI11" s="63">
        <f t="shared" si="3"/>
        <v>0.21827405661471541</v>
      </c>
      <c r="AJ11" s="63">
        <f t="shared" si="3"/>
        <v>0.18972682673250935</v>
      </c>
      <c r="AK11" s="63">
        <f t="shared" si="3"/>
        <v>0.18420063014597898</v>
      </c>
      <c r="AL11" s="63">
        <f t="shared" si="3"/>
        <v>0.2985148205540733</v>
      </c>
      <c r="AM11" s="63">
        <f t="shared" si="3"/>
        <v>0.38815648206147885</v>
      </c>
      <c r="AN11" s="63">
        <f t="shared" si="3"/>
        <v>0.34103797621594495</v>
      </c>
      <c r="AO11" s="63">
        <f t="shared" si="3"/>
        <v>0.41450336092896078</v>
      </c>
      <c r="AP11" s="63">
        <f t="shared" si="3"/>
        <v>0.41174358131547112</v>
      </c>
      <c r="AQ11" s="63">
        <f t="shared" si="3"/>
        <v>0.41375950512670906</v>
      </c>
      <c r="AR11" s="63">
        <f t="shared" si="3"/>
        <v>0.44280520165375314</v>
      </c>
      <c r="AS11" s="63">
        <f t="shared" si="3"/>
        <v>0.48579237856218871</v>
      </c>
      <c r="AT11" s="63">
        <f t="shared" si="3"/>
        <v>0.43388476538576537</v>
      </c>
      <c r="AU11" s="63">
        <f t="shared" si="3"/>
        <v>0.4959627834278984</v>
      </c>
      <c r="AV11" s="63">
        <f t="shared" si="3"/>
        <v>0.50874243827577215</v>
      </c>
      <c r="AW11" s="63">
        <f t="shared" si="3"/>
        <v>0.47100764804283318</v>
      </c>
      <c r="AX11" s="63">
        <f t="shared" si="3"/>
        <v>0.48311331297564081</v>
      </c>
      <c r="AY11" s="63">
        <f t="shared" si="3"/>
        <v>0.48228893032188802</v>
      </c>
      <c r="AZ11" s="63">
        <f t="shared" si="3"/>
        <v>0.5072255993741418</v>
      </c>
      <c r="BA11" s="63">
        <f t="shared" si="3"/>
        <v>0.53885865622227369</v>
      </c>
      <c r="BB11" s="63">
        <f t="shared" si="3"/>
        <v>0.55366294996966503</v>
      </c>
      <c r="BC11" s="63">
        <f t="shared" si="3"/>
        <v>0.54716720187822376</v>
      </c>
      <c r="BD11" s="63">
        <f t="shared" si="3"/>
        <v>0.55556067865449565</v>
      </c>
      <c r="BE11" s="63">
        <f t="shared" si="3"/>
        <v>0.56012533006745568</v>
      </c>
      <c r="BF11" s="63">
        <f t="shared" si="3"/>
        <v>0.8483707622342006</v>
      </c>
      <c r="BG11" s="63">
        <f t="shared" si="3"/>
        <v>0.6150237776686257</v>
      </c>
      <c r="BH11" s="63">
        <f t="shared" si="3"/>
        <v>0.60676326730249264</v>
      </c>
      <c r="BI11" s="63">
        <f t="shared" si="3"/>
        <v>0.61483744077064961</v>
      </c>
      <c r="BJ11" s="63">
        <f t="shared" si="3"/>
        <v>0.63698584134376168</v>
      </c>
      <c r="BK11" s="63">
        <f t="shared" si="3"/>
        <v>0.69760291345181902</v>
      </c>
      <c r="BL11" s="63">
        <f t="shared" si="3"/>
        <v>0.67753839151496287</v>
      </c>
      <c r="BM11" s="63">
        <f t="shared" si="3"/>
        <v>0.6653085914141742</v>
      </c>
      <c r="BN11" s="63">
        <f t="shared" si="3"/>
        <v>0.67264091858675945</v>
      </c>
      <c r="BO11" s="63">
        <f t="shared" si="3"/>
        <v>0.47842467221769003</v>
      </c>
      <c r="BP11" s="63">
        <f t="shared" si="3"/>
        <v>0.5650090183946419</v>
      </c>
      <c r="BQ11" s="63">
        <f t="shared" si="3"/>
        <v>0.48171434610196395</v>
      </c>
      <c r="BR11" s="63">
        <f>BR4/BR10</f>
        <v>0.51538408338443664</v>
      </c>
      <c r="BS11" s="63">
        <f>BS4/BS10</f>
        <v>0.55831413914521799</v>
      </c>
      <c r="BT11" s="63">
        <f>BT4/BT10</f>
        <v>0.47594004229800257</v>
      </c>
      <c r="BU11" s="63">
        <f>BU4/BU10</f>
        <v>0.53858960553357482</v>
      </c>
      <c r="BV11" s="63" t="e">
        <f>BV4/BV10*100</f>
        <v>#DIV/0!</v>
      </c>
    </row>
    <row r="12" spans="1:75" s="63" customFormat="1">
      <c r="A12" s="17" t="s">
        <v>348</v>
      </c>
      <c r="E12" s="63">
        <f>E8/E10</f>
        <v>0.548089194110017</v>
      </c>
      <c r="F12" s="63">
        <f t="shared" ref="F12:BQ12" si="4">F8/F10</f>
        <v>0.5527128298800108</v>
      </c>
      <c r="G12" s="63">
        <f t="shared" si="4"/>
        <v>0.53952246590626085</v>
      </c>
      <c r="H12" s="63">
        <f t="shared" si="4"/>
        <v>0.53212231613976579</v>
      </c>
      <c r="I12" s="63">
        <f t="shared" si="4"/>
        <v>0.76566806776555318</v>
      </c>
      <c r="J12" s="63">
        <f t="shared" si="4"/>
        <v>0.76319512816825574</v>
      </c>
      <c r="K12" s="63">
        <f t="shared" si="4"/>
        <v>0.80436957009850019</v>
      </c>
      <c r="L12" s="63">
        <f t="shared" si="4"/>
        <v>0.75216205855437523</v>
      </c>
      <c r="M12" s="63">
        <f t="shared" si="4"/>
        <v>0.74961973759090461</v>
      </c>
      <c r="N12" s="63">
        <f t="shared" si="4"/>
        <v>0.77020646568286455</v>
      </c>
      <c r="O12" s="63">
        <f t="shared" si="4"/>
        <v>0.79525000866817142</v>
      </c>
      <c r="P12" s="63">
        <f t="shared" si="4"/>
        <v>0.740528408169704</v>
      </c>
      <c r="Q12" s="63">
        <f t="shared" si="4"/>
        <v>0.84727893221601147</v>
      </c>
      <c r="R12" s="63">
        <f t="shared" si="4"/>
        <v>0.84369900499320949</v>
      </c>
      <c r="S12" s="63">
        <f t="shared" si="4"/>
        <v>0.84177443243034866</v>
      </c>
      <c r="T12" s="63">
        <f t="shared" si="4"/>
        <v>0.91215846479562013</v>
      </c>
      <c r="U12" s="63">
        <f t="shared" si="4"/>
        <v>0.99980920354662883</v>
      </c>
      <c r="V12" s="63">
        <f t="shared" si="4"/>
        <v>0.99980296448613193</v>
      </c>
      <c r="W12" s="63">
        <f t="shared" si="4"/>
        <v>0.99978739298729158</v>
      </c>
      <c r="X12" s="63">
        <f t="shared" si="4"/>
        <v>0.9997824561737233</v>
      </c>
      <c r="Y12" s="63">
        <f t="shared" si="4"/>
        <v>0.99987797278356394</v>
      </c>
      <c r="Z12" s="63">
        <f t="shared" si="4"/>
        <v>0.90448669787044511</v>
      </c>
      <c r="AA12" s="63">
        <f t="shared" si="4"/>
        <v>0.89416888633639324</v>
      </c>
      <c r="AB12" s="63">
        <f t="shared" si="4"/>
        <v>0.90044163478079864</v>
      </c>
      <c r="AC12" s="63">
        <f t="shared" si="4"/>
        <v>0.8984280472246049</v>
      </c>
      <c r="AD12" s="63">
        <f t="shared" si="4"/>
        <v>0.89226969920227117</v>
      </c>
      <c r="AE12" s="63">
        <f t="shared" si="4"/>
        <v>0.89069148618103422</v>
      </c>
      <c r="AF12" s="63">
        <f t="shared" si="4"/>
        <v>0.88793552442164758</v>
      </c>
      <c r="AG12" s="63">
        <f t="shared" si="4"/>
        <v>0.88623918078720354</v>
      </c>
      <c r="AH12" s="63">
        <f t="shared" si="4"/>
        <v>0.7862482337375134</v>
      </c>
      <c r="AI12" s="63">
        <f t="shared" si="4"/>
        <v>0.78145869983510119</v>
      </c>
      <c r="AJ12" s="63">
        <f t="shared" si="4"/>
        <v>0.81004087112798862</v>
      </c>
      <c r="AK12" s="63">
        <f t="shared" si="4"/>
        <v>0.81557385339471633</v>
      </c>
      <c r="AL12" s="63">
        <f t="shared" si="4"/>
        <v>0.7012824527963335</v>
      </c>
      <c r="AM12" s="63">
        <f t="shared" si="4"/>
        <v>0.61165340340957075</v>
      </c>
      <c r="AN12" s="63">
        <f t="shared" si="4"/>
        <v>0.658962023784055</v>
      </c>
      <c r="AO12" s="63">
        <f t="shared" si="4"/>
        <v>0.58530873870135047</v>
      </c>
      <c r="AP12" s="63">
        <f t="shared" si="4"/>
        <v>0.58825641868452905</v>
      </c>
      <c r="AQ12" s="63">
        <f t="shared" si="4"/>
        <v>0.58606597901033186</v>
      </c>
      <c r="AR12" s="63">
        <f t="shared" si="4"/>
        <v>0.55702815656935778</v>
      </c>
      <c r="AS12" s="63">
        <f t="shared" si="4"/>
        <v>0.51405322328835812</v>
      </c>
      <c r="AT12" s="63">
        <f t="shared" si="4"/>
        <v>0.56594291660124718</v>
      </c>
      <c r="AU12" s="63">
        <f t="shared" si="4"/>
        <v>0.50384019660103574</v>
      </c>
      <c r="AV12" s="63">
        <f t="shared" si="4"/>
        <v>0.49106141713303103</v>
      </c>
      <c r="AW12" s="63">
        <f t="shared" si="4"/>
        <v>0.52878462701212181</v>
      </c>
      <c r="AX12" s="63">
        <f t="shared" si="4"/>
        <v>0.51576474044688436</v>
      </c>
      <c r="AY12" s="63">
        <f t="shared" si="4"/>
        <v>0.51135678084381098</v>
      </c>
      <c r="AZ12" s="63">
        <f t="shared" si="4"/>
        <v>0.49128546695288505</v>
      </c>
      <c r="BA12" s="63">
        <f t="shared" si="4"/>
        <v>0.45474204471664703</v>
      </c>
      <c r="BB12" s="63">
        <f t="shared" si="4"/>
        <v>0.44557705859602775</v>
      </c>
      <c r="BC12" s="63">
        <f t="shared" si="4"/>
        <v>0.45103670355454772</v>
      </c>
      <c r="BD12" s="63">
        <f t="shared" si="4"/>
        <v>0.44039941888323841</v>
      </c>
      <c r="BE12" s="63">
        <f t="shared" si="4"/>
        <v>0.43810486643261337</v>
      </c>
      <c r="BF12" s="63">
        <f t="shared" si="4"/>
        <v>0.608321238553028</v>
      </c>
      <c r="BG12" s="63">
        <f t="shared" si="4"/>
        <v>0.38339279489377809</v>
      </c>
      <c r="BH12" s="63">
        <f t="shared" si="4"/>
        <v>0.39131215261883534</v>
      </c>
      <c r="BI12" s="63">
        <f t="shared" si="4"/>
        <v>0.38369585342958962</v>
      </c>
      <c r="BJ12" s="63">
        <f t="shared" si="4"/>
        <v>0.36573514708321991</v>
      </c>
      <c r="BK12" s="63">
        <f t="shared" si="4"/>
        <v>0.30813518735326006</v>
      </c>
      <c r="BL12" s="63">
        <f t="shared" si="4"/>
        <v>0.33011948059063889</v>
      </c>
      <c r="BM12" s="63">
        <f t="shared" si="4"/>
        <v>0.3369634079287484</v>
      </c>
      <c r="BN12" s="63">
        <f t="shared" si="4"/>
        <v>0.33376007038029898</v>
      </c>
      <c r="BO12" s="63">
        <f t="shared" si="4"/>
        <v>0.30168647641104257</v>
      </c>
      <c r="BP12" s="63">
        <f t="shared" si="4"/>
        <v>0.38400841089135745</v>
      </c>
      <c r="BQ12" s="63">
        <f t="shared" si="4"/>
        <v>0.34158934843758559</v>
      </c>
      <c r="BR12" s="63">
        <f>BR8/BR10</f>
        <v>0.32665102359444048</v>
      </c>
      <c r="BS12" s="63">
        <f>BS8/BS10</f>
        <v>0.4501958907682449</v>
      </c>
      <c r="BT12" s="63">
        <f>BT8/BT10</f>
        <v>0.39562668077350382</v>
      </c>
      <c r="BU12" s="63">
        <f>BU8/BU10</f>
        <v>0.44506575876044857</v>
      </c>
      <c r="BV12" s="63" t="e">
        <f>BV8/BV10*100</f>
        <v>#DIV/0!</v>
      </c>
    </row>
    <row r="13" spans="1:75" s="63" customFormat="1">
      <c r="A13" s="63" t="s">
        <v>349</v>
      </c>
      <c r="E13" s="63">
        <f>E5*E11*(1-E6)+E9*E12</f>
        <v>-0.59781495514611649</v>
      </c>
      <c r="F13" s="63">
        <f t="shared" ref="F13:J13" si="5">F5*F11*(1-F6)+F9*F12</f>
        <v>4.4217026390400864E-2</v>
      </c>
      <c r="G13" s="63">
        <f t="shared" si="5"/>
        <v>4.3161797272500871E-2</v>
      </c>
      <c r="H13" s="63">
        <f t="shared" si="5"/>
        <v>4.2569785291181265E-2</v>
      </c>
      <c r="I13" s="63">
        <f t="shared" si="5"/>
        <v>6.8715809853961626E-2</v>
      </c>
      <c r="J13" s="63">
        <f t="shared" si="5"/>
        <v>6.1055610253460464E-2</v>
      </c>
      <c r="K13" s="63">
        <f t="shared" ref="K13" si="6">K5*K11*(1-K6)+K9*K12</f>
        <v>6.4349565607880022E-2</v>
      </c>
      <c r="L13" s="63">
        <f t="shared" ref="L13" si="7">L5*L11*(1-L6)+L9*L12</f>
        <v>6.0172964684350023E-2</v>
      </c>
      <c r="M13" s="63">
        <f t="shared" ref="M13" si="8">M5*M11*(1-M6)+M9*M12</f>
        <v>6.6931324143656448E-2</v>
      </c>
      <c r="N13" s="63">
        <f t="shared" ref="N13:O13" si="9">N5*N11*(1-N6)+N9*N12</f>
        <v>6.1616517254629168E-2</v>
      </c>
      <c r="O13" s="63">
        <f t="shared" si="9"/>
        <v>6.3620000693453721E-2</v>
      </c>
      <c r="P13" s="63">
        <f t="shared" ref="P13" si="10">P5*P11*(1-P6)+P9*P12</f>
        <v>5.9242272653576324E-2</v>
      </c>
      <c r="Q13" s="63">
        <f t="shared" ref="Q13" si="11">Q5*Q11*(1-Q6)+Q9*Q12</f>
        <v>8.2669094668948992E-2</v>
      </c>
      <c r="R13" s="63">
        <f t="shared" ref="R13" si="12">R5*R11*(1-R6)+R9*R12</f>
        <v>6.749592039945676E-2</v>
      </c>
      <c r="S13" s="63">
        <f t="shared" ref="S13:T13" si="13">S5*S11*(1-S6)+S9*S12</f>
        <v>6.7341954594427891E-2</v>
      </c>
      <c r="T13" s="63">
        <f t="shared" si="13"/>
        <v>7.2972677183649609E-2</v>
      </c>
      <c r="U13" s="63">
        <f t="shared" ref="U13" si="14">U5*U11*(1-U6)+U9*U12</f>
        <v>7.9984736283730304E-2</v>
      </c>
      <c r="V13" s="63">
        <f t="shared" ref="V13" si="15">V5*V11*(1-V6)+V9*V12</f>
        <v>7.9984237158890553E-2</v>
      </c>
      <c r="W13" s="63">
        <f t="shared" ref="W13" si="16">W5*W11*(1-W6)+W9*W12</f>
        <v>7.9982991438983325E-2</v>
      </c>
      <c r="X13" s="63">
        <f t="shared" ref="X13:Y13" si="17">X5*X11*(1-X6)+X9*X12</f>
        <v>7.998259649389787E-2</v>
      </c>
      <c r="Y13" s="63">
        <f t="shared" si="17"/>
        <v>7.999023782268512E-2</v>
      </c>
      <c r="Z13" s="63">
        <f t="shared" ref="Z13" si="18">Z5*Z11*(1-Z6)+Z9*Z12</f>
        <v>7.2358935829635609E-2</v>
      </c>
      <c r="AA13" s="63">
        <f t="shared" ref="AA13" si="19">AA5*AA11*(1-AA6)+AA9*AA12</f>
        <v>7.1533510906911457E-2</v>
      </c>
      <c r="AB13" s="63">
        <f t="shared" ref="AB13" si="20">AB5*AB11*(1-AB6)+AB9*AB12</f>
        <v>7.2035330782463894E-2</v>
      </c>
      <c r="AC13" s="63">
        <f t="shared" ref="AC13:AD13" si="21">AC5*AC11*(1-AC6)+AC9*AC12</f>
        <v>-6.4813943343351721E-4</v>
      </c>
      <c r="AD13" s="63">
        <f t="shared" si="21"/>
        <v>7.138157593618169E-2</v>
      </c>
      <c r="AE13" s="63">
        <f t="shared" ref="AE13" si="22">AE5*AE11*(1-AE6)+AE9*AE12</f>
        <v>7.1255318894482736E-2</v>
      </c>
      <c r="AF13" s="63">
        <f t="shared" ref="AF13" si="23">AF5*AF11*(1-AF6)+AF9*AF12</f>
        <v>7.1034841953731803E-2</v>
      </c>
      <c r="AG13" s="63">
        <f t="shared" ref="AG13" si="24">AG5*AG11*(1-AG6)+AG9*AG12</f>
        <v>-0.10113183767458415</v>
      </c>
      <c r="AH13" s="63">
        <f t="shared" ref="AH13:AI13" si="25">AH5*AH11*(1-AH6)+AH9*AH12</f>
        <v>6.2899858699001068E-2</v>
      </c>
      <c r="AI13" s="63">
        <f t="shared" si="25"/>
        <v>6.2516695986808091E-2</v>
      </c>
      <c r="AJ13" s="63">
        <f t="shared" ref="AJ13" si="26">AJ5*AJ11*(1-AJ6)+AJ9*AJ12</f>
        <v>6.4803269690239085E-2</v>
      </c>
      <c r="AK13" s="63">
        <f t="shared" ref="AK13" si="27">AK5*AK11*(1-AK6)+AK9*AK12</f>
        <v>6.9148413948532564E-2</v>
      </c>
      <c r="AL13" s="63">
        <f t="shared" ref="AL13" si="28">AL5*AL11*(1-AL6)+AL9*AL12</f>
        <v>5.6102596223706683E-2</v>
      </c>
      <c r="AM13" s="63">
        <f t="shared" ref="AM13:AN13" si="29">AM5*AM11*(1-AM6)+AM9*AM12</f>
        <v>4.8932272272765663E-2</v>
      </c>
      <c r="AN13" s="63">
        <f t="shared" si="29"/>
        <v>5.2716961902724402E-2</v>
      </c>
      <c r="AO13" s="63">
        <f t="shared" ref="AO13" si="30">AO5*AO11*(1-AO6)+AO9*AO12</f>
        <v>0.10085183155522459</v>
      </c>
      <c r="AP13" s="63">
        <f t="shared" ref="AP13" si="31">AP5*AP11*(1-AP6)+AP9*AP12</f>
        <v>4.7060513494762327E-2</v>
      </c>
      <c r="AQ13" s="63">
        <f t="shared" ref="AQ13" si="32">AQ5*AQ11*(1-AQ6)+AQ9*AQ12</f>
        <v>4.6885278320826548E-2</v>
      </c>
      <c r="AR13" s="63">
        <f t="shared" ref="AR13:AS13" si="33">AR5*AR11*(1-AR6)+AR9*AR12</f>
        <v>4.4562252525548622E-2</v>
      </c>
      <c r="AS13" s="63">
        <f t="shared" si="33"/>
        <v>0.11075188468522215</v>
      </c>
      <c r="AT13" s="63">
        <f t="shared" ref="AT13" si="34">AT5*AT11*(1-AT6)+AT9*AT12</f>
        <v>4.5275433328099773E-2</v>
      </c>
      <c r="AU13" s="63">
        <f t="shared" ref="AU13" si="35">AU5*AU11*(1-AU6)+AU9*AU12</f>
        <v>4.0307215728082858E-2</v>
      </c>
      <c r="AV13" s="63">
        <f t="shared" ref="AV13" si="36">AV5*AV11*(1-AV6)+AV9*AV12</f>
        <v>3.9284913370642487E-2</v>
      </c>
      <c r="AW13" s="63">
        <f t="shared" ref="AW13:AX13" si="37">AW5*AW11*(1-AW6)+AW9*AW12</f>
        <v>0.13971030112066926</v>
      </c>
      <c r="AX13" s="63">
        <f t="shared" si="37"/>
        <v>4.1261179235750747E-2</v>
      </c>
      <c r="AY13" s="63">
        <f t="shared" ref="AY13" si="38">AY5*AY11*(1-AY6)+AY9*AY12</f>
        <v>4.0908542467504881E-2</v>
      </c>
      <c r="AZ13" s="63">
        <f t="shared" ref="AZ13" si="39">AZ5*AZ11*(1-AZ6)+AZ9*AZ12</f>
        <v>3.9302837356230802E-2</v>
      </c>
      <c r="BA13" s="63">
        <f t="shared" ref="BA13" si="40">BA5*BA11*(1-BA6)+BA9*BA12</f>
        <v>0.11440032236922816</v>
      </c>
      <c r="BB13" s="63">
        <f t="shared" ref="BB13:BC13" si="41">BB5*BB11*(1-BB6)+BB9*BB12</f>
        <v>3.5646164687682218E-2</v>
      </c>
      <c r="BC13" s="63">
        <f t="shared" si="41"/>
        <v>3.608293628436382E-2</v>
      </c>
      <c r="BD13" s="63">
        <f t="shared" ref="BD13" si="42">BD5*BD11*(1-BD6)+BD9*BD12</f>
        <v>3.5231953510659074E-2</v>
      </c>
      <c r="BE13" s="63">
        <f t="shared" ref="BE13" si="43">BE5*BE11*(1-BE6)+BE9*BE12</f>
        <v>3.5048389314609067E-2</v>
      </c>
      <c r="BF13" s="63">
        <f t="shared" ref="BF13" si="44">BF5*BF11*(1-BF6)+BF9*BF12</f>
        <v>4.8665699084242238E-2</v>
      </c>
      <c r="BG13" s="63">
        <f t="shared" ref="BG13:BH13" si="45">BG5*BG11*(1-BG6)+BG9*BG12</f>
        <v>3.0671423591502246E-2</v>
      </c>
      <c r="BH13" s="63">
        <f t="shared" si="45"/>
        <v>3.1304972209506829E-2</v>
      </c>
      <c r="BI13" s="63">
        <f t="shared" ref="BI13" si="46">BI5*BI11*(1-BI6)+BI9*BI12</f>
        <v>3.069566827436717E-2</v>
      </c>
      <c r="BJ13" s="63">
        <f t="shared" ref="BJ13" si="47">BJ5*BJ11*(1-BJ6)+BJ9*BJ12</f>
        <v>2.9258811766657594E-2</v>
      </c>
      <c r="BK13" s="63">
        <f t="shared" ref="BK13" si="48">BK5*BK11*(1-BK6)+BK9*BK12</f>
        <v>2.4650814988260807E-2</v>
      </c>
      <c r="BL13" s="63">
        <f t="shared" ref="BL13:BM13" si="49">BL5*BL11*(1-BL6)+BL9*BL12</f>
        <v>2.6409558447251111E-2</v>
      </c>
      <c r="BM13" s="63">
        <f t="shared" si="49"/>
        <v>2.6957072634299872E-2</v>
      </c>
      <c r="BN13" s="63">
        <f t="shared" ref="BN13" si="50">BN5*BN11*(1-BN6)+BN9*BN12</f>
        <v>2.6700805630423919E-2</v>
      </c>
      <c r="BO13" s="63">
        <f t="shared" ref="BO13" si="51">BO5*BO11*(1-BO6)+BO9*BO12</f>
        <v>2.4134918112883406E-2</v>
      </c>
      <c r="BP13" s="63">
        <f t="shared" ref="BP13" si="52">BP5*BP11*(1-BP6)+BP9*BP12</f>
        <v>3.0720672871308596E-2</v>
      </c>
      <c r="BQ13" s="63">
        <f t="shared" ref="BQ13:BR13" si="53">BQ5*BQ11*(1-BQ6)+BQ9*BQ12</f>
        <v>2.7327147875006848E-2</v>
      </c>
      <c r="BR13" s="63">
        <f t="shared" si="53"/>
        <v>2.6132081887555239E-2</v>
      </c>
      <c r="BS13" s="63">
        <f t="shared" ref="BS13" si="54">BS5*BS11*(1-BS6)+BS9*BS12</f>
        <v>3.6015671261459596E-2</v>
      </c>
      <c r="BT13" s="63">
        <f t="shared" ref="BT13" si="55">BT5*BT11*(1-BT6)+BT9*BT12</f>
        <v>3.1650134461880308E-2</v>
      </c>
      <c r="BU13" s="63">
        <f t="shared" ref="BU13" si="56">BU5*BU11*(1-BU6)+BU9*BU12</f>
        <v>-3.4972222269096355E-3</v>
      </c>
      <c r="BV13" s="63" t="e">
        <f t="shared" ref="BV13" si="57">BV5*BV11*(1-BV6)+BV9*BV12</f>
        <v>#DIV/0!</v>
      </c>
    </row>
    <row r="14" spans="1:75" s="16" customFormat="1" ht="56.45" customHeight="1">
      <c r="A14" s="277" t="s">
        <v>667</v>
      </c>
      <c r="B14" s="276"/>
      <c r="C14" s="276"/>
      <c r="D14" s="276"/>
      <c r="E14" s="276"/>
      <c r="F14" s="276"/>
      <c r="G14" s="276"/>
      <c r="H14" s="276"/>
      <c r="I14" s="276"/>
      <c r="J14" s="276"/>
      <c r="K14" s="276"/>
      <c r="L14" s="276"/>
      <c r="M14" s="276"/>
      <c r="N14" s="276"/>
      <c r="O14" s="276"/>
      <c r="P14" s="276"/>
      <c r="Q14" s="276"/>
      <c r="R14" s="276"/>
      <c r="S14" s="276"/>
      <c r="T14" s="276"/>
      <c r="U14" s="276"/>
      <c r="V14" s="276"/>
      <c r="W14" s="276"/>
      <c r="X14" s="276"/>
      <c r="Y14" s="276"/>
      <c r="Z14" s="276"/>
      <c r="AA14" s="276"/>
      <c r="AB14" s="276"/>
      <c r="AC14" s="276"/>
      <c r="AD14" s="276"/>
      <c r="AE14" s="276"/>
      <c r="AF14" s="276"/>
      <c r="AG14" s="276"/>
    </row>
    <row r="16" spans="1:75" s="45" customFormat="1" ht="14.4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87"/>
  <sheetViews>
    <sheetView topLeftCell="A71" workbookViewId="0">
      <selection activeCell="E45" sqref="E45"/>
    </sheetView>
  </sheetViews>
  <sheetFormatPr defaultRowHeight="13.5"/>
  <cols>
    <col min="1" max="1" width="36.75" style="17" bestFit="1" customWidth="1"/>
    <col min="2" max="2" width="9.5" bestFit="1" customWidth="1"/>
    <col min="3" max="4" width="9.5" hidden="1" customWidth="1"/>
    <col min="5" max="5" width="22" hidden="1" customWidth="1"/>
    <col min="6" max="6" width="22" bestFit="1" customWidth="1"/>
    <col min="7" max="9" width="22" hidden="1" customWidth="1"/>
    <col min="10" max="10" width="22" bestFit="1" customWidth="1"/>
    <col min="11" max="13" width="22" hidden="1" customWidth="1"/>
    <col min="14" max="14" width="22" bestFit="1" customWidth="1"/>
    <col min="15" max="17" width="22" hidden="1" customWidth="1"/>
    <col min="18" max="18" width="22" bestFit="1" customWidth="1"/>
    <col min="19" max="21" width="22" hidden="1" customWidth="1"/>
    <col min="22" max="22" width="22" bestFit="1" customWidth="1"/>
    <col min="23" max="23" width="22" hidden="1" customWidth="1"/>
    <col min="24" max="24" width="19.5" hidden="1" customWidth="1"/>
    <col min="25" max="25" width="22" hidden="1" customWidth="1"/>
    <col min="26" max="26" width="19.5" bestFit="1" customWidth="1"/>
    <col min="27" max="29" width="19.5" hidden="1" customWidth="1"/>
    <col min="30" max="30" width="19.5" bestFit="1" customWidth="1"/>
    <col min="31" max="33" width="19.5" hidden="1" customWidth="1"/>
    <col min="34" max="34" width="19.5" bestFit="1" customWidth="1"/>
    <col min="35" max="37" width="19.5" hidden="1" customWidth="1"/>
    <col min="38" max="38" width="19.5" bestFit="1" customWidth="1"/>
    <col min="39" max="41" width="19.5" hidden="1" customWidth="1"/>
    <col min="42" max="42" width="19.5" bestFit="1" customWidth="1"/>
    <col min="43" max="45" width="19.5" hidden="1" customWidth="1"/>
    <col min="46" max="46" width="19.5" bestFit="1" customWidth="1"/>
    <col min="47" max="49" width="19.5" hidden="1" customWidth="1"/>
    <col min="50" max="50" width="19.5" bestFit="1" customWidth="1"/>
    <col min="51" max="53" width="19.5" hidden="1" customWidth="1"/>
    <col min="54" max="54" width="19.5" bestFit="1" customWidth="1"/>
    <col min="55" max="57" width="19.5" hidden="1" customWidth="1"/>
    <col min="58" max="58" width="19.5" bestFit="1" customWidth="1"/>
    <col min="59" max="61" width="19.5" hidden="1" customWidth="1"/>
    <col min="62" max="62" width="19.5" bestFit="1" customWidth="1"/>
    <col min="63" max="65" width="19.5" hidden="1" customWidth="1"/>
    <col min="66" max="66" width="19.5" bestFit="1" customWidth="1"/>
    <col min="67" max="69" width="19.5" hidden="1" customWidth="1"/>
    <col min="70" max="70" width="19.5" bestFit="1" customWidth="1"/>
    <col min="71" max="71" width="19.5" hidden="1" customWidth="1"/>
    <col min="72" max="72" width="19.5" bestFit="1" customWidth="1"/>
    <col min="73" max="73" width="19.5" hidden="1" customWidth="1"/>
    <col min="74" max="74" width="19.5" bestFit="1" customWidth="1"/>
    <col min="75" max="75" width="19.5" hidden="1" customWidth="1"/>
    <col min="76" max="76" width="19.5" bestFit="1" customWidth="1"/>
    <col min="77" max="77" width="19.5" hidden="1" customWidth="1"/>
    <col min="78" max="78" width="19.5" bestFit="1" customWidth="1"/>
    <col min="79" max="79" width="19.5" hidden="1" customWidth="1"/>
    <col min="80" max="80" width="19.5" bestFit="1" customWidth="1"/>
    <col min="81" max="81" width="19.5" hidden="1" customWidth="1"/>
    <col min="82" max="82" width="19.5" bestFit="1" customWidth="1"/>
    <col min="83" max="83" width="9.5" hidden="1" customWidth="1"/>
    <col min="84" max="90" width="8.5" bestFit="1" customWidth="1"/>
  </cols>
  <sheetData>
    <row r="1" spans="1:90" s="26" customFormat="1" ht="14.45">
      <c r="A1" s="17">
        <v>600738</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37529</v>
      </c>
      <c r="BP1" s="1">
        <v>37437</v>
      </c>
      <c r="BQ1" s="1">
        <v>37346</v>
      </c>
      <c r="BR1" s="1">
        <v>37256</v>
      </c>
      <c r="BS1" s="1">
        <v>37072</v>
      </c>
      <c r="BT1" s="1">
        <v>36891</v>
      </c>
      <c r="BU1" s="1">
        <v>36707</v>
      </c>
      <c r="BV1" s="1">
        <v>36525</v>
      </c>
      <c r="BW1" s="1">
        <v>36341</v>
      </c>
      <c r="BX1" s="1">
        <v>36160</v>
      </c>
      <c r="BY1" s="1">
        <v>35976</v>
      </c>
      <c r="BZ1" s="1">
        <v>35795</v>
      </c>
      <c r="CA1" s="1">
        <v>35611</v>
      </c>
      <c r="CB1" s="1">
        <v>35430</v>
      </c>
      <c r="CC1" s="1">
        <v>35246</v>
      </c>
      <c r="CD1" s="1">
        <v>35064</v>
      </c>
      <c r="CE1" s="1">
        <v>25569</v>
      </c>
      <c r="CF1" s="189"/>
      <c r="CG1" s="189"/>
      <c r="CH1" s="189"/>
      <c r="CI1" s="189"/>
      <c r="CJ1" s="189"/>
      <c r="CK1" s="189"/>
      <c r="CL1" s="189"/>
    </row>
    <row r="2" spans="1:90" s="26" customFormat="1">
      <c r="A2" s="41" t="s">
        <v>551</v>
      </c>
      <c r="E2" s="26">
        <f>资产资本表!E17</f>
        <v>3086145247.04</v>
      </c>
      <c r="F2" s="26">
        <f>资产资本表!F17</f>
        <v>3130941727.75</v>
      </c>
      <c r="G2" s="26">
        <f>资产资本表!G17</f>
        <v>3143892286.5100002</v>
      </c>
      <c r="H2" s="26">
        <f>资产资本表!H17</f>
        <v>3627633435.2599998</v>
      </c>
      <c r="I2" s="26">
        <f>资产资本表!I17</f>
        <v>891290968.5</v>
      </c>
      <c r="J2" s="26">
        <f>资产资本表!J17</f>
        <v>1007846843.6700001</v>
      </c>
      <c r="K2" s="26">
        <f>资产资本表!K17</f>
        <v>817467546.49000001</v>
      </c>
      <c r="L2" s="26">
        <f>资产资本表!L17</f>
        <v>877241858.67000008</v>
      </c>
      <c r="M2" s="26">
        <f>资产资本表!M17</f>
        <v>944885842.45000005</v>
      </c>
      <c r="N2" s="26">
        <f>资产资本表!N17</f>
        <v>1028552394.4100001</v>
      </c>
      <c r="O2" s="26">
        <f>资产资本表!O17</f>
        <v>1008939302.1200001</v>
      </c>
      <c r="P2" s="26">
        <f>资产资本表!P17</f>
        <v>1127677055.6600001</v>
      </c>
      <c r="Q2" s="26">
        <f>资产资本表!Q17</f>
        <v>970747395.41000009</v>
      </c>
      <c r="R2" s="26">
        <f>资产资本表!R17</f>
        <v>1066353724.99</v>
      </c>
      <c r="S2" s="26">
        <f>资产资本表!S17</f>
        <v>1082385381.3800001</v>
      </c>
      <c r="T2" s="26">
        <f>资产资本表!T17</f>
        <v>923631726.19000006</v>
      </c>
      <c r="U2" s="26">
        <f>资产资本表!U17</f>
        <v>906581059.05999994</v>
      </c>
      <c r="V2" s="26">
        <f>资产资本表!V17</f>
        <v>981185999.45000005</v>
      </c>
      <c r="W2" s="26">
        <f>资产资本表!W17</f>
        <v>950235560.44000006</v>
      </c>
      <c r="X2" s="26">
        <f>资产资本表!X17</f>
        <v>955146589.06999993</v>
      </c>
      <c r="Y2" s="26">
        <f>资产资本表!Y17</f>
        <v>1105189211.3499999</v>
      </c>
      <c r="Z2" s="26">
        <f>资产资本表!Z17</f>
        <v>494398377.69</v>
      </c>
      <c r="AA2" s="26">
        <f>资产资本表!AA17</f>
        <v>404503143.63</v>
      </c>
      <c r="AB2" s="26">
        <f>资产资本表!AB17</f>
        <v>356480597</v>
      </c>
      <c r="AC2" s="26">
        <f>资产资本表!AC17</f>
        <v>403303556.31999999</v>
      </c>
      <c r="AD2" s="26">
        <f>资产资本表!AD17</f>
        <v>379875420.54000002</v>
      </c>
      <c r="AE2" s="26">
        <f>资产资本表!AE17</f>
        <v>277455824.85000002</v>
      </c>
      <c r="AF2" s="26">
        <f>资产资本表!AF17</f>
        <v>222222532.72999999</v>
      </c>
      <c r="AG2" s="26">
        <f>资产资本表!AG17</f>
        <v>219605497.69999999</v>
      </c>
      <c r="AH2" s="26">
        <f>资产资本表!AH17</f>
        <v>241093108.11000001</v>
      </c>
      <c r="AI2" s="26">
        <f>资产资本表!AI17</f>
        <v>157189312.25999999</v>
      </c>
      <c r="AJ2" s="26">
        <f>资产资本表!AJ17</f>
        <v>159798398.13</v>
      </c>
      <c r="AK2" s="26">
        <f>资产资本表!AK17</f>
        <v>222167646.14000002</v>
      </c>
      <c r="AL2" s="26">
        <f>资产资本表!AL17</f>
        <v>254431927.96000001</v>
      </c>
      <c r="AM2" s="26">
        <f>资产资本表!AM17</f>
        <v>255145661.04000002</v>
      </c>
      <c r="AN2" s="26">
        <f>资产资本表!AN17</f>
        <v>165865458.30000001</v>
      </c>
      <c r="AO2" s="26">
        <f>资产资本表!AO17</f>
        <v>252394322.06999999</v>
      </c>
      <c r="AP2" s="26">
        <f>资产资本表!AP17</f>
        <v>215389547.07999998</v>
      </c>
      <c r="AQ2" s="26">
        <f>资产资本表!AQ17</f>
        <v>153971200.37</v>
      </c>
      <c r="AR2" s="26">
        <f>资产资本表!AR17</f>
        <v>164902617.98000002</v>
      </c>
      <c r="AS2" s="26">
        <f>资产资本表!AS17</f>
        <v>322398355.67000002</v>
      </c>
      <c r="AT2" s="26">
        <f>资产资本表!AT17</f>
        <v>249567634.12</v>
      </c>
      <c r="AU2" s="26">
        <f>资产资本表!AU17</f>
        <v>236591794.66</v>
      </c>
      <c r="AV2" s="26">
        <f>资产资本表!AV17</f>
        <v>224057794.99000001</v>
      </c>
      <c r="AW2" s="26">
        <f>资产资本表!AW17</f>
        <v>232916402.18000001</v>
      </c>
      <c r="AX2" s="26">
        <f>资产资本表!AX17</f>
        <v>137857048.25999999</v>
      </c>
      <c r="AY2" s="26">
        <f>资产资本表!AY17</f>
        <v>104083187.73</v>
      </c>
      <c r="AZ2" s="26">
        <f>资产资本表!AZ17</f>
        <v>114679741.56999999</v>
      </c>
      <c r="BA2" s="26">
        <f>资产资本表!BA17</f>
        <v>134260386.03</v>
      </c>
      <c r="BB2" s="26">
        <f>资产资本表!BB17</f>
        <v>117719727.73</v>
      </c>
      <c r="BC2" s="26">
        <f>资产资本表!BC17</f>
        <v>56070627.079999998</v>
      </c>
      <c r="BD2" s="26">
        <f>资产资本表!BD17</f>
        <v>32622918.09</v>
      </c>
      <c r="BE2" s="26">
        <f>资产资本表!BE17</f>
        <v>94584897.620000005</v>
      </c>
      <c r="BF2" s="26">
        <f>资产资本表!BF17</f>
        <v>61454766.240000002</v>
      </c>
      <c r="BG2" s="26">
        <f>资产资本表!BG17</f>
        <v>62006752.829999998</v>
      </c>
      <c r="BH2" s="26">
        <f>资产资本表!BH17</f>
        <v>32628408.469999999</v>
      </c>
      <c r="BI2" s="26">
        <f>资产资本表!BI17</f>
        <v>44781047.859999999</v>
      </c>
      <c r="BJ2" s="26">
        <f>资产资本表!BJ17</f>
        <v>41074854.469999999</v>
      </c>
      <c r="BK2" s="26">
        <f>资产资本表!BK17</f>
        <v>62130508.920000002</v>
      </c>
      <c r="BL2" s="26">
        <f>资产资本表!BL17</f>
        <v>34609309.850000001</v>
      </c>
      <c r="BM2" s="26">
        <f>资产资本表!BM17</f>
        <v>55934764.140000001</v>
      </c>
      <c r="BN2" s="26">
        <f>资产资本表!BN17</f>
        <v>42314217.460000001</v>
      </c>
      <c r="BO2" s="26">
        <f>资产资本表!BO17</f>
        <v>43792336.660000004</v>
      </c>
      <c r="BP2" s="26">
        <f>资产资本表!BP17</f>
        <v>58194039.490000002</v>
      </c>
      <c r="BQ2" s="26">
        <f>资产资本表!BQ17</f>
        <v>70030455.989999995</v>
      </c>
      <c r="BR2" s="26">
        <f>资产资本表!BR17</f>
        <v>63009457.240000002</v>
      </c>
      <c r="BS2" s="26">
        <f>资产资本表!BS17</f>
        <v>109622686.28999999</v>
      </c>
      <c r="BT2" s="26">
        <f>资产资本表!BT17</f>
        <v>114415758.05999999</v>
      </c>
      <c r="BU2" s="26">
        <f>资产资本表!BU17</f>
        <v>65424336.950000003</v>
      </c>
      <c r="BV2" s="26">
        <f>资产资本表!BV17</f>
        <v>67580308.579999983</v>
      </c>
      <c r="BW2" s="26">
        <f>资产资本表!BW17</f>
        <v>37029480.700000003</v>
      </c>
      <c r="BX2" s="26">
        <f>资产资本表!BX17</f>
        <v>19469405.809999999</v>
      </c>
      <c r="BY2" s="26">
        <f>资产资本表!BY17</f>
        <v>15652043.439999999</v>
      </c>
      <c r="BZ2" s="26">
        <f>资产资本表!BZ17</f>
        <v>12445769.810000001</v>
      </c>
      <c r="CA2" s="26">
        <f>资产资本表!CA17</f>
        <v>0</v>
      </c>
      <c r="CB2" s="26">
        <f>资产资本表!CB17</f>
        <v>32221340.420000002</v>
      </c>
      <c r="CC2" s="26">
        <f>资产资本表!CC17</f>
        <v>22436951.84</v>
      </c>
      <c r="CD2" s="26">
        <f>资产资本表!CD17</f>
        <v>16158482.800000001</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41" t="s">
        <v>552</v>
      </c>
      <c r="E3" s="26">
        <f>资产资本表!E19</f>
        <v>0</v>
      </c>
      <c r="F3" s="26">
        <f>资产资本表!F19</f>
        <v>0</v>
      </c>
      <c r="G3" s="26">
        <f>资产资本表!G19</f>
        <v>0</v>
      </c>
      <c r="H3" s="26">
        <f>资产资本表!H19</f>
        <v>0</v>
      </c>
      <c r="I3" s="26">
        <f>资产资本表!I19</f>
        <v>0</v>
      </c>
      <c r="J3" s="26">
        <f>资产资本表!J19</f>
        <v>0</v>
      </c>
      <c r="K3" s="26">
        <f>资产资本表!K19</f>
        <v>0</v>
      </c>
      <c r="L3" s="26">
        <f>资产资本表!L19</f>
        <v>0</v>
      </c>
      <c r="M3" s="26">
        <f>资产资本表!M19</f>
        <v>0</v>
      </c>
      <c r="N3" s="26">
        <f>资产资本表!N19</f>
        <v>0</v>
      </c>
      <c r="O3" s="26">
        <f>资产资本表!O19</f>
        <v>0</v>
      </c>
      <c r="P3" s="26">
        <f>资产资本表!P19</f>
        <v>0</v>
      </c>
      <c r="Q3" s="26">
        <f>资产资本表!Q19</f>
        <v>0</v>
      </c>
      <c r="R3" s="26">
        <f>资产资本表!R19</f>
        <v>0</v>
      </c>
      <c r="S3" s="26">
        <f>资产资本表!S19</f>
        <v>0</v>
      </c>
      <c r="T3" s="26">
        <f>资产资本表!T19</f>
        <v>86589600</v>
      </c>
      <c r="U3" s="26">
        <f>资产资本表!U19</f>
        <v>86589600</v>
      </c>
      <c r="V3" s="26">
        <f>资产资本表!V19</f>
        <v>86589600</v>
      </c>
      <c r="W3" s="26">
        <f>资产资本表!W19</f>
        <v>86589600</v>
      </c>
      <c r="X3" s="26">
        <f>资产资本表!X19</f>
        <v>59550000</v>
      </c>
      <c r="Y3" s="26">
        <f>资产资本表!Y19</f>
        <v>59550000</v>
      </c>
      <c r="Z3" s="26">
        <f>资产资本表!Z19</f>
        <v>59550000</v>
      </c>
      <c r="AA3" s="26">
        <f>资产资本表!AA19</f>
        <v>59550000</v>
      </c>
      <c r="AB3" s="26">
        <f>资产资本表!AB19</f>
        <v>59550000</v>
      </c>
      <c r="AC3" s="26">
        <f>资产资本表!AC19</f>
        <v>59550000</v>
      </c>
      <c r="AD3" s="26">
        <f>资产资本表!AD19</f>
        <v>59550000</v>
      </c>
      <c r="AE3" s="26">
        <f>资产资本表!AE19</f>
        <v>59550000</v>
      </c>
      <c r="AF3" s="26">
        <f>资产资本表!AF19</f>
        <v>59550000</v>
      </c>
      <c r="AG3" s="26">
        <f>资产资本表!AG19</f>
        <v>59550000</v>
      </c>
      <c r="AH3" s="26">
        <f>资产资本表!AH19</f>
        <v>59550000</v>
      </c>
      <c r="AI3" s="26">
        <f>资产资本表!AI19</f>
        <v>50000</v>
      </c>
      <c r="AJ3" s="26">
        <f>资产资本表!AJ19</f>
        <v>157594199.66</v>
      </c>
      <c r="AK3" s="26">
        <f>资产资本表!AK19</f>
        <v>171153989.25</v>
      </c>
      <c r="AL3" s="26">
        <f>资产资本表!AL19</f>
        <v>171653959.53999999</v>
      </c>
      <c r="AM3" s="26">
        <f>资产资本表!AM19</f>
        <v>146293681.12</v>
      </c>
      <c r="AN3" s="26">
        <f>资产资本表!AN19</f>
        <v>145460768.13999999</v>
      </c>
      <c r="AO3" s="26">
        <f>资产资本表!AO19</f>
        <v>143878716.81</v>
      </c>
      <c r="AP3" s="26">
        <f>资产资本表!AP19</f>
        <v>144856865.37</v>
      </c>
      <c r="AQ3" s="26">
        <f>资产资本表!AQ19</f>
        <v>191435531.72</v>
      </c>
      <c r="AR3" s="26">
        <f>资产资本表!AR19</f>
        <v>192011429.02000001</v>
      </c>
      <c r="AS3" s="26">
        <f>资产资本表!AS19</f>
        <v>190543594.06</v>
      </c>
      <c r="AT3" s="26">
        <f>资产资本表!AT19</f>
        <v>188717185.31999999</v>
      </c>
      <c r="AU3" s="26">
        <f>资产资本表!AU19</f>
        <v>107536765.02</v>
      </c>
      <c r="AV3" s="26">
        <f>资产资本表!AV19</f>
        <v>106969580.40000001</v>
      </c>
      <c r="AW3" s="26">
        <f>资产资本表!AW19</f>
        <v>104763089.11</v>
      </c>
      <c r="AX3" s="26">
        <f>资产资本表!AX19</f>
        <v>105882767.7</v>
      </c>
      <c r="AY3" s="26">
        <f>资产资本表!AY19</f>
        <v>103470280.06999999</v>
      </c>
      <c r="AZ3" s="26">
        <f>资产资本表!AZ19</f>
        <v>103788901.8</v>
      </c>
      <c r="BA3" s="26">
        <f>资产资本表!BA19</f>
        <v>71846769.420000002</v>
      </c>
      <c r="BB3" s="26">
        <f>资产资本表!BB19</f>
        <v>73393171.790000007</v>
      </c>
      <c r="BC3" s="26">
        <f>资产资本表!BC19</f>
        <v>73127383.590000004</v>
      </c>
      <c r="BD3" s="26">
        <f>资产资本表!BD19</f>
        <v>73393433.040000007</v>
      </c>
      <c r="BE3" s="26">
        <f>资产资本表!BE19</f>
        <v>72586278.299999997</v>
      </c>
      <c r="BF3" s="26">
        <f>资产资本表!BF19</f>
        <v>74725596.280000001</v>
      </c>
      <c r="BG3" s="26">
        <f>资产资本表!BG19</f>
        <v>78100104.680000007</v>
      </c>
      <c r="BH3" s="26">
        <f>资产资本表!BH19</f>
        <v>78535319.120000005</v>
      </c>
      <c r="BI3" s="26">
        <f>资产资本表!BI19</f>
        <v>78959241.730000004</v>
      </c>
      <c r="BJ3" s="26">
        <f>资产资本表!BJ19</f>
        <v>4200920.0599999996</v>
      </c>
      <c r="BK3" s="26">
        <f>资产资本表!BK19</f>
        <v>4144425.72</v>
      </c>
      <c r="BL3" s="26">
        <f>资产资本表!BL19</f>
        <v>4214329.5199999996</v>
      </c>
      <c r="BM3" s="26">
        <f>资产资本表!BM19</f>
        <v>6218991.1200000001</v>
      </c>
      <c r="BN3" s="26">
        <f>资产资本表!BN19</f>
        <v>6218991.1200000001</v>
      </c>
      <c r="BO3" s="26">
        <f>资产资本表!BO19</f>
        <v>57623453.670000002</v>
      </c>
      <c r="BP3" s="26">
        <f>资产资本表!BP19</f>
        <v>63690187.979999997</v>
      </c>
      <c r="BQ3" s="26">
        <f>资产资本表!BQ19</f>
        <v>73380034.439999998</v>
      </c>
      <c r="BR3" s="26">
        <f>资产资本表!BR19</f>
        <v>73761382.670000002</v>
      </c>
      <c r="BS3" s="26">
        <f>资产资本表!BS19</f>
        <v>20313556.739999998</v>
      </c>
      <c r="BT3" s="26">
        <f>资产资本表!BT19</f>
        <v>56338320.200000003</v>
      </c>
      <c r="BU3" s="26">
        <f>资产资本表!BU19</f>
        <v>25178173.690000001</v>
      </c>
      <c r="BV3" s="26">
        <f>资产资本表!BV19</f>
        <v>27749696.16</v>
      </c>
      <c r="BW3" s="26">
        <f>资产资本表!BW19</f>
        <v>29830569.579999998</v>
      </c>
      <c r="BX3" s="26">
        <f>资产资本表!BX19</f>
        <v>29830569.579999998</v>
      </c>
      <c r="BY3" s="26">
        <f>资产资本表!BY19</f>
        <v>32576184.07</v>
      </c>
      <c r="BZ3" s="26">
        <f>资产资本表!BZ19</f>
        <v>32576184.07</v>
      </c>
      <c r="CA3" s="26">
        <f>资产资本表!CA19</f>
        <v>33279966.25</v>
      </c>
      <c r="CB3" s="26">
        <f>资产资本表!CB19</f>
        <v>3279966.25</v>
      </c>
      <c r="CC3" s="26">
        <f>资产资本表!CC19</f>
        <v>3925966.25</v>
      </c>
      <c r="CD3" s="26">
        <f>资产资本表!CD19</f>
        <v>3925966.25</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557</v>
      </c>
      <c r="E4" s="26">
        <f>资产资本表!E50</f>
        <v>-51975257.690000296</v>
      </c>
      <c r="F4" s="26">
        <f>资产资本表!F50</f>
        <v>-217699773.32000017</v>
      </c>
      <c r="G4" s="26">
        <f>资产资本表!G50</f>
        <v>-173472372.79999995</v>
      </c>
      <c r="H4" s="26">
        <f>资产资本表!H50</f>
        <v>-656704874.68000007</v>
      </c>
      <c r="I4" s="26">
        <f>资产资本表!I50</f>
        <v>430351742.50000012</v>
      </c>
      <c r="J4" s="26">
        <f>资产资本表!J50</f>
        <v>289212976</v>
      </c>
      <c r="K4" s="26">
        <f>资产资本表!K50</f>
        <v>383408352.55999994</v>
      </c>
      <c r="L4" s="26">
        <f>资产资本表!L50</f>
        <v>403258245.29000008</v>
      </c>
      <c r="M4" s="26">
        <f>资产资本表!M50</f>
        <v>316968071.50000006</v>
      </c>
      <c r="N4" s="26">
        <f>资产资本表!N50</f>
        <v>162104845.22000003</v>
      </c>
      <c r="O4" s="26">
        <f>资产资本表!O50</f>
        <v>118724119.19999993</v>
      </c>
      <c r="P4" s="26">
        <f>资产资本表!P50</f>
        <v>75628594.049999952</v>
      </c>
      <c r="Q4" s="26">
        <f>资产资本表!Q50</f>
        <v>3719735.2599999905</v>
      </c>
      <c r="R4" s="26">
        <f>资产资本表!R50</f>
        <v>-129068605.18000007</v>
      </c>
      <c r="S4" s="26">
        <f>资产资本表!S50</f>
        <v>-162030668.25000012</v>
      </c>
      <c r="T4" s="26">
        <f>资产资本表!T50</f>
        <v>-219245874.12000006</v>
      </c>
      <c r="U4" s="26">
        <f>资产资本表!U50</f>
        <v>-291671980.80000001</v>
      </c>
      <c r="V4" s="26">
        <f>资产资本表!V50</f>
        <v>-406109627.08000004</v>
      </c>
      <c r="W4" s="26">
        <f>资产资本表!W50</f>
        <v>-404781734.07999986</v>
      </c>
      <c r="X4" s="26">
        <f>资产资本表!X50</f>
        <v>-416469091.69999987</v>
      </c>
      <c r="Y4" s="26">
        <f>资产资本表!Y50</f>
        <v>-558625221.93000007</v>
      </c>
      <c r="Z4" s="26">
        <f>资产资本表!Z50</f>
        <v>-438774942.06999993</v>
      </c>
      <c r="AA4" s="26">
        <f>资产资本表!AA50</f>
        <v>-356167499.75</v>
      </c>
      <c r="AB4" s="26">
        <f>资产资本表!AB50</f>
        <v>-314690271.91999996</v>
      </c>
      <c r="AC4" s="26">
        <f>资产资本表!AC50</f>
        <v>-379769555.03999996</v>
      </c>
      <c r="AD4" s="26">
        <f>资产资本表!AD50</f>
        <v>-393035265.55000007</v>
      </c>
      <c r="AE4" s="26">
        <f>资产资本表!AE50</f>
        <v>-312509644.92000002</v>
      </c>
      <c r="AF4" s="26">
        <f>资产资本表!AF50</f>
        <v>-275084342.99000001</v>
      </c>
      <c r="AG4" s="26">
        <f>资产资本表!AG50</f>
        <v>-285788018.57999998</v>
      </c>
      <c r="AH4" s="26">
        <f>资产资本表!AH50</f>
        <v>-286171046.01999998</v>
      </c>
      <c r="AI4" s="26">
        <f>资产资本表!AI50</f>
        <v>-152150148.44000006</v>
      </c>
      <c r="AJ4" s="26">
        <f>资产资本表!AJ50</f>
        <v>-249817477.42000002</v>
      </c>
      <c r="AK4" s="26">
        <f>资产资本表!AK50</f>
        <v>-312388453.59000003</v>
      </c>
      <c r="AL4" s="26">
        <f>资产资本表!AL50</f>
        <v>-285481040.55000007</v>
      </c>
      <c r="AM4" s="26">
        <f>资产资本表!AM50</f>
        <v>-225999525.35000002</v>
      </c>
      <c r="AN4" s="26">
        <f>资产资本表!AN50</f>
        <v>-183255246.10999998</v>
      </c>
      <c r="AO4" s="26">
        <f>资产资本表!AO50</f>
        <v>-212446197.00000003</v>
      </c>
      <c r="AP4" s="26">
        <f>资产资本表!AP50</f>
        <v>-198598054.07999998</v>
      </c>
      <c r="AQ4" s="26">
        <f>资产资本表!AQ50</f>
        <v>-111605375.16</v>
      </c>
      <c r="AR4" s="26">
        <f>资产资本表!AR50</f>
        <v>-88998004.48999998</v>
      </c>
      <c r="AS4" s="26">
        <f>资产资本表!AS50</f>
        <v>-121641370.63999999</v>
      </c>
      <c r="AT4" s="26">
        <f>资产资本表!AT50</f>
        <v>-134216013.01000002</v>
      </c>
      <c r="AU4" s="26">
        <f>资产资本表!AU50</f>
        <v>-102070358.69000003</v>
      </c>
      <c r="AV4" s="26">
        <f>资产资本表!AV50</f>
        <v>-82994229.819999993</v>
      </c>
      <c r="AW4" s="26">
        <f>资产资本表!AW50</f>
        <v>-134062847</v>
      </c>
      <c r="AX4" s="26">
        <f>资产资本表!AX50</f>
        <v>-101581113.40000001</v>
      </c>
      <c r="AY4" s="26">
        <f>资产资本表!AY50</f>
        <v>-81251639.269999981</v>
      </c>
      <c r="AZ4" s="26">
        <f>资产资本表!AZ50</f>
        <v>-78079740.099999994</v>
      </c>
      <c r="BA4" s="26">
        <f>资产资本表!BA50</f>
        <v>-135112544.12</v>
      </c>
      <c r="BB4" s="26">
        <f>资产资本表!BB50</f>
        <v>-123368485.56999999</v>
      </c>
      <c r="BC4" s="26">
        <f>资产资本表!BC50</f>
        <v>-47839628.660000026</v>
      </c>
      <c r="BD4" s="26">
        <f>资产资本表!BD50</f>
        <v>-16276083.73999998</v>
      </c>
      <c r="BE4" s="26">
        <f>资产资本表!BE50</f>
        <v>-88877122.909999996</v>
      </c>
      <c r="BF4" s="26">
        <f>资产资本表!BF50</f>
        <v>-237228221.40000001</v>
      </c>
      <c r="BG4" s="26">
        <f>资产资本表!BG50</f>
        <v>-10382817.469999969</v>
      </c>
      <c r="BH4" s="26">
        <f>资产资本表!BH50</f>
        <v>-4887530.4400000274</v>
      </c>
      <c r="BI4" s="26">
        <f>资产资本表!BI50</f>
        <v>-20814432.329999983</v>
      </c>
      <c r="BJ4" s="26">
        <f>资产资本表!BJ50</f>
        <v>-5293178.7800000012</v>
      </c>
      <c r="BK4" s="26">
        <f>资产资本表!BK50</f>
        <v>-12527558.480000019</v>
      </c>
      <c r="BL4" s="26">
        <f>资产资本表!BL50</f>
        <v>-2883026.1900000274</v>
      </c>
      <c r="BM4" s="26">
        <f>资产资本表!BM50</f>
        <v>-21508118.449999988</v>
      </c>
      <c r="BN4" s="26">
        <f>资产资本表!BN50</f>
        <v>-8601.4599999785423</v>
      </c>
      <c r="BO4" s="26">
        <f>资产资本表!BO50</f>
        <v>236463426.06</v>
      </c>
      <c r="BP4" s="26">
        <f>资产资本表!BP50</f>
        <v>65631010.649999976</v>
      </c>
      <c r="BQ4" s="26">
        <f>资产资本表!BQ50</f>
        <v>163384756.62</v>
      </c>
      <c r="BR4" s="26">
        <f>资产资本表!BR50</f>
        <v>156888188.27000004</v>
      </c>
      <c r="BS4" s="26">
        <f>资产资本表!BS50</f>
        <v>32589305.460000038</v>
      </c>
      <c r="BT4" s="26">
        <f>资产资本表!BT50</f>
        <v>135553578.23999998</v>
      </c>
      <c r="BU4" s="26">
        <f>资产资本表!BU50</f>
        <v>25059583.960000023</v>
      </c>
      <c r="BV4" s="26">
        <f>资产资本表!BV50</f>
        <v>221606387.76999998</v>
      </c>
      <c r="BW4" s="26">
        <f>资产资本表!BW50</f>
        <v>68609601.940000013</v>
      </c>
      <c r="BX4" s="26">
        <f>资产资本表!BX50</f>
        <v>8964295.9099999964</v>
      </c>
      <c r="BY4" s="26">
        <f>资产资本表!BY50</f>
        <v>1367572.5899999887</v>
      </c>
      <c r="BZ4" s="26">
        <f>资产资本表!BZ50</f>
        <v>7891576.7599999905</v>
      </c>
      <c r="CA4" s="26">
        <f>资产资本表!CA50</f>
        <v>0</v>
      </c>
      <c r="CB4" s="26">
        <f>资产资本表!CB50</f>
        <v>37727792.330000028</v>
      </c>
      <c r="CC4" s="26">
        <f>资产资本表!CC50</f>
        <v>34196233.910000026</v>
      </c>
      <c r="CD4" s="26">
        <f>资产资本表!CD50</f>
        <v>11652003.919999987</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334</v>
      </c>
      <c r="E5" s="26">
        <f>资产资本表!E33</f>
        <v>1532075554.3</v>
      </c>
      <c r="F5" s="26">
        <f>资产资本表!F33</f>
        <v>1467465204.0999999</v>
      </c>
      <c r="G5" s="26">
        <f>资产资本表!G33</f>
        <v>1303876111.74</v>
      </c>
      <c r="H5" s="26">
        <f>资产资本表!H33</f>
        <v>1163995559.9200001</v>
      </c>
      <c r="I5" s="26">
        <f>资产资本表!I33</f>
        <v>1118623419.8900001</v>
      </c>
      <c r="J5" s="26">
        <f>资产资本表!J33</f>
        <v>1066673599.33</v>
      </c>
      <c r="K5" s="26">
        <f>资产资本表!K33</f>
        <v>868019994.81999993</v>
      </c>
      <c r="L5" s="26">
        <f>资产资本表!L33</f>
        <v>814741085.09000003</v>
      </c>
      <c r="M5" s="26">
        <f>资产资本表!M33</f>
        <v>755628175.29000008</v>
      </c>
      <c r="N5" s="26">
        <f>资产资本表!N33</f>
        <v>653296467.07000005</v>
      </c>
      <c r="O5" s="26">
        <f>资产资本表!O33</f>
        <v>601166286.39999998</v>
      </c>
      <c r="P5" s="26">
        <f>资产资本表!P33</f>
        <v>545075237.16999996</v>
      </c>
      <c r="Q5" s="26">
        <f>资产资本表!Q33</f>
        <v>519959842.63999999</v>
      </c>
      <c r="R5" s="26">
        <f>资产资本表!R33</f>
        <v>454126563.25999999</v>
      </c>
      <c r="S5" s="26">
        <f>资产资本表!S33</f>
        <v>429826112.77999997</v>
      </c>
      <c r="T5" s="26">
        <f>资产资本表!T33</f>
        <v>353748954.36999995</v>
      </c>
      <c r="U5" s="26">
        <f>资产资本表!U33</f>
        <v>356051181.52000004</v>
      </c>
      <c r="V5" s="26">
        <f>资产资本表!V33</f>
        <v>325802989.37</v>
      </c>
      <c r="W5" s="26">
        <f>资产资本表!W33</f>
        <v>312761587.41000003</v>
      </c>
      <c r="X5" s="26">
        <f>资产资本表!X33</f>
        <v>311821091.63000005</v>
      </c>
      <c r="Y5" s="26">
        <f>资产资本表!Y33</f>
        <v>267582234.36000001</v>
      </c>
      <c r="Z5" s="26">
        <f>资产资本表!Z33</f>
        <v>258798603.87</v>
      </c>
      <c r="AA5" s="26">
        <f>资产资本表!AA33</f>
        <v>260590556.13</v>
      </c>
      <c r="AB5" s="26">
        <f>资产资本表!AB33</f>
        <v>236221608.16999999</v>
      </c>
      <c r="AC5" s="26">
        <f>资产资本表!AC33</f>
        <v>226323097.25999999</v>
      </c>
      <c r="AD5" s="26">
        <f>资产资本表!AD33</f>
        <v>224306348.85000002</v>
      </c>
      <c r="AE5" s="26">
        <f>资产资本表!AE33</f>
        <v>192860299.00999999</v>
      </c>
      <c r="AF5" s="26">
        <f>资产资本表!AF33</f>
        <v>190287549.50999999</v>
      </c>
      <c r="AG5" s="26">
        <f>资产资本表!AG33</f>
        <v>202287839.69</v>
      </c>
      <c r="AH5" s="26">
        <f>资产资本表!AH33</f>
        <v>187460131.40000001</v>
      </c>
      <c r="AI5" s="26">
        <f>资产资本表!AI33</f>
        <v>225841415.88</v>
      </c>
      <c r="AJ5" s="26">
        <f>资产资本表!AJ33</f>
        <v>92664787.089999989</v>
      </c>
      <c r="AK5" s="26">
        <f>资产资本表!AK33</f>
        <v>52636583.289999992</v>
      </c>
      <c r="AL5" s="26">
        <f>资产资本表!AL33</f>
        <v>42948375.159999996</v>
      </c>
      <c r="AM5" s="26">
        <f>资产资本表!AM33</f>
        <v>50446836.439999998</v>
      </c>
      <c r="AN5" s="26">
        <f>资产资本表!AN33</f>
        <v>52499971.520000003</v>
      </c>
      <c r="AO5" s="26">
        <f>资产资本表!AO33</f>
        <v>45770152.25</v>
      </c>
      <c r="AP5" s="26">
        <f>资产资本表!AP33</f>
        <v>51319238.460000001</v>
      </c>
      <c r="AQ5" s="26">
        <f>资产资本表!AQ33</f>
        <v>65230815.689999998</v>
      </c>
      <c r="AR5" s="26">
        <f>资产资本表!AR33</f>
        <v>58938122.969999999</v>
      </c>
      <c r="AS5" s="26">
        <f>资产资本表!AS33</f>
        <v>69508616.789999992</v>
      </c>
      <c r="AT5" s="26">
        <f>资产资本表!AT33</f>
        <v>43707730.220000006</v>
      </c>
      <c r="AU5" s="26">
        <f>资产资本表!AU33</f>
        <v>51809305.349999994</v>
      </c>
      <c r="AV5" s="26">
        <f>资产资本表!AV33</f>
        <v>48010510.890000001</v>
      </c>
      <c r="AW5" s="26">
        <f>资产资本表!AW33</f>
        <v>48981574.600000001</v>
      </c>
      <c r="AX5" s="26">
        <f>资产资本表!AX33</f>
        <v>31511205.93</v>
      </c>
      <c r="AY5" s="26">
        <f>资产资本表!AY33</f>
        <v>29190203.259999998</v>
      </c>
      <c r="AZ5" s="26">
        <f>资产资本表!AZ33</f>
        <v>45388452.130000003</v>
      </c>
      <c r="BA5" s="26">
        <f>资产资本表!BA33</f>
        <v>30198546.840000004</v>
      </c>
      <c r="BB5" s="26">
        <f>资产资本表!BB33</f>
        <v>37710059.039999999</v>
      </c>
      <c r="BC5" s="26">
        <f>资产资本表!BC33</f>
        <v>178836040.48999998</v>
      </c>
      <c r="BD5" s="26">
        <f>资产资本表!BD33</f>
        <v>198926940.45000002</v>
      </c>
      <c r="BE5" s="26">
        <f>资产资本表!BE33</f>
        <v>171562984.28</v>
      </c>
      <c r="BF5" s="26">
        <f>资产资本表!BF33</f>
        <v>31600060.27</v>
      </c>
      <c r="BG5" s="26">
        <f>资产资本表!BG33</f>
        <v>139888579.66000003</v>
      </c>
      <c r="BH5" s="26">
        <f>资产资本表!BH33</f>
        <v>156978960.41999999</v>
      </c>
      <c r="BI5" s="26">
        <f>资产资本表!BI33</f>
        <v>171144651.11000001</v>
      </c>
      <c r="BJ5" s="26">
        <f>资产资本表!BJ33</f>
        <v>176250678.37</v>
      </c>
      <c r="BK5" s="26">
        <f>资产资本表!BK33</f>
        <v>164689657.07999998</v>
      </c>
      <c r="BL5" s="26">
        <f>资产资本表!BL33</f>
        <v>203100718.03999999</v>
      </c>
      <c r="BM5" s="26">
        <f>资产资本表!BM33</f>
        <v>163511325.62</v>
      </c>
      <c r="BN5" s="26">
        <f>资产资本表!BN33</f>
        <v>208393488.91000003</v>
      </c>
      <c r="BO5" s="26">
        <f>资产资本表!BO33</f>
        <v>310021731.60000002</v>
      </c>
      <c r="BP5" s="26">
        <f>资产资本表!BP33</f>
        <v>195232325.14999998</v>
      </c>
      <c r="BQ5" s="26">
        <f>资产资本表!BQ33</f>
        <v>310861891.88</v>
      </c>
      <c r="BR5" s="26">
        <f>资产资本表!BR33</f>
        <v>323363426.59000003</v>
      </c>
      <c r="BS5" s="26">
        <f>资产资本表!BS33</f>
        <v>202255105.37000003</v>
      </c>
      <c r="BT5" s="26">
        <f>资产资本表!BT33</f>
        <v>290426967.19999999</v>
      </c>
      <c r="BU5" s="26">
        <f>资产资本表!BU33</f>
        <v>115233569.09000002</v>
      </c>
      <c r="BV5" s="26">
        <f>资产资本表!BV33</f>
        <v>310702619.70999998</v>
      </c>
      <c r="BW5" s="26">
        <f>资产资本表!BW33</f>
        <v>107587245.11000001</v>
      </c>
      <c r="BX5" s="26">
        <f>资产资本表!BX33</f>
        <v>94466041.030000001</v>
      </c>
      <c r="BY5" s="26">
        <f>资产资本表!BY33</f>
        <v>119917417.08</v>
      </c>
      <c r="BZ5" s="26">
        <f>资产资本表!BZ33</f>
        <v>123297748.97999999</v>
      </c>
      <c r="CA5" s="26">
        <f>资产资本表!CA33</f>
        <v>0</v>
      </c>
      <c r="CB5" s="26">
        <f>资产资本表!CB33</f>
        <v>148578606.24000001</v>
      </c>
      <c r="CC5" s="26">
        <f>资产资本表!CC33</f>
        <v>137215587.04000002</v>
      </c>
      <c r="CD5" s="26">
        <f>资产资本表!CD33</f>
        <v>134818860.88999999</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335</v>
      </c>
      <c r="E6" s="26">
        <f>资产资本表!E49</f>
        <v>1584050811.9900002</v>
      </c>
      <c r="F6" s="26">
        <f>资产资本表!F49</f>
        <v>1685164977.4200001</v>
      </c>
      <c r="G6" s="26">
        <f>资产资本表!G49</f>
        <v>1477348484.54</v>
      </c>
      <c r="H6" s="26">
        <f>资产资本表!H49</f>
        <v>1820700434.6000001</v>
      </c>
      <c r="I6" s="26">
        <f>资产资本表!I49</f>
        <v>688271677.38999999</v>
      </c>
      <c r="J6" s="26">
        <f>资产资本表!J49</f>
        <v>777460623.33000004</v>
      </c>
      <c r="K6" s="26">
        <f>资产资本表!K49</f>
        <v>484611642.25999999</v>
      </c>
      <c r="L6" s="26">
        <f>资产资本表!L49</f>
        <v>411482839.79999995</v>
      </c>
      <c r="M6" s="26">
        <f>资产资本表!M49</f>
        <v>438660103.79000002</v>
      </c>
      <c r="N6" s="26">
        <f>资产资本表!N49</f>
        <v>491191621.85000002</v>
      </c>
      <c r="O6" s="26">
        <f>资产资本表!O49</f>
        <v>482442167.20000005</v>
      </c>
      <c r="P6" s="26">
        <f>资产资本表!P49</f>
        <v>469446643.12</v>
      </c>
      <c r="Q6" s="26">
        <f>资产资本表!Q49</f>
        <v>516240107.38</v>
      </c>
      <c r="R6" s="26">
        <f>资产资本表!R49</f>
        <v>583195168.44000006</v>
      </c>
      <c r="S6" s="26">
        <f>资产资本表!S49</f>
        <v>591856781.03000009</v>
      </c>
      <c r="T6" s="26">
        <f>资产资本表!T49</f>
        <v>572994828.49000001</v>
      </c>
      <c r="U6" s="26">
        <f>资产资本表!U49</f>
        <v>647723162.32000005</v>
      </c>
      <c r="V6" s="26">
        <f>资产资本表!V49</f>
        <v>731912616.45000005</v>
      </c>
      <c r="W6" s="26">
        <f>资产资本表!W49</f>
        <v>717543321.48999989</v>
      </c>
      <c r="X6" s="26">
        <f>资产资本表!X49</f>
        <v>728290183.32999992</v>
      </c>
      <c r="Y6" s="26">
        <f>资产资本表!Y49</f>
        <v>826207456.29000008</v>
      </c>
      <c r="Z6" s="26">
        <f>资产资本表!Z49</f>
        <v>697573545.93999994</v>
      </c>
      <c r="AA6" s="26">
        <f>资产资本表!AA49</f>
        <v>616758055.88</v>
      </c>
      <c r="AB6" s="26">
        <f>资产资本表!AB49</f>
        <v>550911880.08999991</v>
      </c>
      <c r="AC6" s="26">
        <f>资产资本表!AC49</f>
        <v>606092652.29999995</v>
      </c>
      <c r="AD6" s="26">
        <f>资产资本表!AD49</f>
        <v>617341614.4000001</v>
      </c>
      <c r="AE6" s="26">
        <f>资产资本表!AE49</f>
        <v>505369943.93000001</v>
      </c>
      <c r="AF6" s="26">
        <f>资产资本表!AF49</f>
        <v>465371892.5</v>
      </c>
      <c r="AG6" s="26">
        <f>资产资本表!AG49</f>
        <v>488075858.26999998</v>
      </c>
      <c r="AH6" s="26">
        <f>资产资本表!AH49</f>
        <v>473631177.41999996</v>
      </c>
      <c r="AI6" s="26">
        <f>资产资本表!AI49</f>
        <v>377991564.32000005</v>
      </c>
      <c r="AJ6" s="26">
        <f>资产资本表!AJ49</f>
        <v>342482264.50999999</v>
      </c>
      <c r="AK6" s="26">
        <f>资产资本表!AK49</f>
        <v>365025036.88</v>
      </c>
      <c r="AL6" s="26">
        <f>资产资本表!AL49</f>
        <v>328429415.71000004</v>
      </c>
      <c r="AM6" s="26">
        <f>资产资本表!AM49</f>
        <v>276446361.79000002</v>
      </c>
      <c r="AN6" s="26">
        <f>资产资本表!AN49</f>
        <v>235755217.63</v>
      </c>
      <c r="AO6" s="26">
        <f>资产资本表!AO49</f>
        <v>258216349.25000003</v>
      </c>
      <c r="AP6" s="26">
        <f>资产资本表!AP49</f>
        <v>249917292.53999999</v>
      </c>
      <c r="AQ6" s="26">
        <f>资产资本表!AQ49</f>
        <v>176836190.84999999</v>
      </c>
      <c r="AR6" s="26">
        <f>资产资本表!AR49</f>
        <v>147936127.45999998</v>
      </c>
      <c r="AS6" s="26">
        <f>资产资本表!AS49</f>
        <v>191149987.42999998</v>
      </c>
      <c r="AT6" s="26">
        <f>资产资本表!AT49</f>
        <v>177923743.23000002</v>
      </c>
      <c r="AU6" s="26">
        <f>资产资本表!AU49</f>
        <v>153879664.04000002</v>
      </c>
      <c r="AV6" s="26">
        <f>资产资本表!AV49</f>
        <v>131004740.70999999</v>
      </c>
      <c r="AW6" s="26">
        <f>资产资本表!AW49</f>
        <v>183044421.59999999</v>
      </c>
      <c r="AX6" s="26">
        <f>资产资本表!AX49</f>
        <v>133092319.33000001</v>
      </c>
      <c r="AY6" s="26">
        <f>资产资本表!AY49</f>
        <v>110441842.52999999</v>
      </c>
      <c r="AZ6" s="26">
        <f>资产资本表!AZ49</f>
        <v>123468192.22999999</v>
      </c>
      <c r="BA6" s="26">
        <f>资产资本表!BA49</f>
        <v>165311090.96000001</v>
      </c>
      <c r="BB6" s="26">
        <f>资产资本表!BB49</f>
        <v>161078544.60999998</v>
      </c>
      <c r="BC6" s="26">
        <f>资产资本表!BC49</f>
        <v>226675669.15000001</v>
      </c>
      <c r="BD6" s="26">
        <f>资产资本表!BD49</f>
        <v>215203024.19</v>
      </c>
      <c r="BE6" s="26">
        <f>资产资本表!BE49</f>
        <v>260440107.19</v>
      </c>
      <c r="BF6" s="26">
        <f>资产资本表!BF49</f>
        <v>268828281.67000002</v>
      </c>
      <c r="BG6" s="26">
        <f>资产资本表!BG49</f>
        <v>150271397.13</v>
      </c>
      <c r="BH6" s="26">
        <f>资产资本表!BH49</f>
        <v>161866490.86000001</v>
      </c>
      <c r="BI6" s="26">
        <f>资产资本表!BI49</f>
        <v>191959083.44</v>
      </c>
      <c r="BJ6" s="26">
        <f>资产资本表!BJ49</f>
        <v>181543857.15000001</v>
      </c>
      <c r="BK6" s="26">
        <f>资产资本表!BK49</f>
        <v>177217215.56</v>
      </c>
      <c r="BL6" s="26">
        <f>资产资本表!BL49</f>
        <v>205983744.23000002</v>
      </c>
      <c r="BM6" s="26">
        <f>资产资本表!BM49</f>
        <v>185019444.06999999</v>
      </c>
      <c r="BN6" s="26">
        <f>资产资本表!BN49</f>
        <v>208402090.37</v>
      </c>
      <c r="BO6" s="26">
        <f>资产资本表!BO49</f>
        <v>73558305.540000007</v>
      </c>
      <c r="BP6" s="26">
        <f>资产资本表!BP49</f>
        <v>129601314.5</v>
      </c>
      <c r="BQ6" s="26">
        <f>资产资本表!BQ49</f>
        <v>147477135.25999999</v>
      </c>
      <c r="BR6" s="26">
        <f>资产资本表!BR49</f>
        <v>166475238.31999999</v>
      </c>
      <c r="BS6" s="26">
        <f>资产资本表!BS49</f>
        <v>169665799.91</v>
      </c>
      <c r="BT6" s="26">
        <f>资产资本表!BT49</f>
        <v>154873388.96000001</v>
      </c>
      <c r="BU6" s="26">
        <f>资产资本表!BU49</f>
        <v>90173985.129999995</v>
      </c>
      <c r="BV6" s="26">
        <f>资产资本表!BV49</f>
        <v>89096231.939999998</v>
      </c>
      <c r="BW6" s="26">
        <f>资产资本表!BW49</f>
        <v>38977643.170000002</v>
      </c>
      <c r="BX6" s="26">
        <f>资产资本表!BX49</f>
        <v>85501745.120000005</v>
      </c>
      <c r="BY6" s="26">
        <f>资产资本表!BY49</f>
        <v>118549844.49000001</v>
      </c>
      <c r="BZ6" s="26">
        <f>资产资本表!BZ49</f>
        <v>115406172.22</v>
      </c>
      <c r="CA6" s="26">
        <f>资产资本表!CA49</f>
        <v>0</v>
      </c>
      <c r="CB6" s="26">
        <f>资产资本表!CB49</f>
        <v>110850813.90999998</v>
      </c>
      <c r="CC6" s="26">
        <f>资产资本表!CC49</f>
        <v>103019353.13</v>
      </c>
      <c r="CD6" s="26">
        <f>资产资本表!CD49</f>
        <v>123166856.97</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336</v>
      </c>
      <c r="E7" s="26">
        <f>资产资本表!E68</f>
        <v>419187398.27999997</v>
      </c>
      <c r="F7" s="26">
        <f>资产资本表!F68</f>
        <v>402403792.01999998</v>
      </c>
      <c r="G7" s="26">
        <f>资产资本表!G68</f>
        <v>363457455.61999995</v>
      </c>
      <c r="H7" s="26">
        <f>资产资本表!H68</f>
        <v>356011015.00999993</v>
      </c>
      <c r="I7" s="26">
        <f>资产资本表!I68</f>
        <v>324831768.56</v>
      </c>
      <c r="J7" s="26">
        <f>资产资本表!J68</f>
        <v>332220622.00999999</v>
      </c>
      <c r="K7" s="26">
        <f>资产资本表!K68</f>
        <v>335863455.31</v>
      </c>
      <c r="L7" s="26">
        <f>资产资本表!L68</f>
        <v>342907667.71999997</v>
      </c>
      <c r="M7" s="26">
        <f>资产资本表!M68</f>
        <v>345496393.05000001</v>
      </c>
      <c r="N7" s="26">
        <f>资产资本表!N68</f>
        <v>342723878.75999999</v>
      </c>
      <c r="O7" s="26">
        <f>资产资本表!O68</f>
        <v>347133188.31999999</v>
      </c>
      <c r="P7" s="26">
        <f>资产资本表!P68</f>
        <v>351566646.19</v>
      </c>
      <c r="Q7" s="26">
        <f>资产资本表!Q68</f>
        <v>355674213.39999998</v>
      </c>
      <c r="R7" s="26">
        <f>资产资本表!R68</f>
        <v>362390588.34000003</v>
      </c>
      <c r="S7" s="26">
        <f>资产资本表!S68</f>
        <v>362480141.93000001</v>
      </c>
      <c r="T7" s="26">
        <f>资产资本表!T68</f>
        <v>361825655.11000001</v>
      </c>
      <c r="U7" s="26">
        <f>资产资本表!U68</f>
        <v>361880836.48000002</v>
      </c>
      <c r="V7" s="26">
        <f>资产资本表!V68</f>
        <v>368042002.69</v>
      </c>
      <c r="W7" s="26">
        <f>资产资本表!W68</f>
        <v>375077821.76999998</v>
      </c>
      <c r="X7" s="26">
        <f>资产资本表!X68</f>
        <v>386038724.59000003</v>
      </c>
      <c r="Y7" s="26">
        <f>资产资本表!Y68</f>
        <v>398614657.03000009</v>
      </c>
      <c r="Z7" s="26">
        <f>资产资本表!Z68</f>
        <v>410554820.24000001</v>
      </c>
      <c r="AA7" s="26">
        <f>资产资本表!AA68</f>
        <v>406326948.77000004</v>
      </c>
      <c r="AB7" s="26">
        <f>资产资本表!AB68</f>
        <v>402944062.56999999</v>
      </c>
      <c r="AC7" s="26">
        <f>资产资本表!AC68</f>
        <v>411285166.26999998</v>
      </c>
      <c r="AD7" s="26">
        <f>资产资本表!AD68</f>
        <v>419639168.87000006</v>
      </c>
      <c r="AE7" s="26">
        <f>资产资本表!AE68</f>
        <v>434737643.55000007</v>
      </c>
      <c r="AF7" s="26">
        <f>资产资本表!AF68</f>
        <v>441251859.78000003</v>
      </c>
      <c r="AG7" s="26">
        <f>资产资本表!AG68</f>
        <v>447885087.25000006</v>
      </c>
      <c r="AH7" s="26">
        <f>资产资本表!AH68</f>
        <v>454602151.86000007</v>
      </c>
      <c r="AI7" s="26">
        <f>资产资本表!AI68</f>
        <v>453684265.57000005</v>
      </c>
      <c r="AJ7" s="26">
        <f>资产资本表!AJ68</f>
        <v>460204091.05999994</v>
      </c>
      <c r="AK7" s="26">
        <f>资产资本表!AK68</f>
        <v>462726648.51999998</v>
      </c>
      <c r="AL7" s="26">
        <f>资产资本表!AL68</f>
        <v>464171290.00999993</v>
      </c>
      <c r="AM7" s="26">
        <f>资产资本表!AM68</f>
        <v>469456923.46999997</v>
      </c>
      <c r="AN7" s="26">
        <f>资产资本表!AN68</f>
        <v>459649026.38</v>
      </c>
      <c r="AO7" s="26">
        <f>资产资本表!AO68</f>
        <v>468669160.14000005</v>
      </c>
      <c r="AP7" s="26">
        <f>资产资本表!AP68</f>
        <v>471398049.21999997</v>
      </c>
      <c r="AQ7" s="26">
        <f>资产资本表!AQ68</f>
        <v>468737873.15000004</v>
      </c>
      <c r="AR7" s="26">
        <f>资产资本表!AR68</f>
        <v>467819271.22000003</v>
      </c>
      <c r="AS7" s="26">
        <f>资产资本表!AS68</f>
        <v>402777850.18000001</v>
      </c>
      <c r="AT7" s="26">
        <f>资产资本表!AT68</f>
        <v>407431041.29000002</v>
      </c>
      <c r="AU7" s="26">
        <f>资产资本表!AU68</f>
        <v>380235261.62999994</v>
      </c>
      <c r="AV7" s="26">
        <f>资产资本表!AV68</f>
        <v>377037570.13</v>
      </c>
      <c r="AW7" s="26">
        <f>资产资本表!AW68</f>
        <v>386607317.37</v>
      </c>
      <c r="AX7" s="26">
        <f>资产资本表!AX68</f>
        <v>453974735.00999999</v>
      </c>
      <c r="AY7" s="26">
        <f>资产资本表!AY68</f>
        <v>470850587.56999999</v>
      </c>
      <c r="AZ7" s="26">
        <f>资产资本表!AZ68</f>
        <v>466835969.41000003</v>
      </c>
      <c r="BA7" s="26">
        <f>资产资本表!BA68</f>
        <v>482026104.88000005</v>
      </c>
      <c r="BB7" s="26">
        <f>资产资本表!BB68</f>
        <v>488550711.12</v>
      </c>
      <c r="BC7" s="26">
        <f>资产资本表!BC68</f>
        <v>481540854.16999996</v>
      </c>
      <c r="BD7" s="26">
        <f>资产资本表!BD68</f>
        <v>486254421.03000003</v>
      </c>
      <c r="BE7" s="26">
        <f>资产资本表!BE68</f>
        <v>493006659.20999998</v>
      </c>
      <c r="BF7" s="26">
        <f>资产资本表!BF68</f>
        <v>501816031.39999998</v>
      </c>
      <c r="BG7" s="26">
        <f>资产资本表!BG68</f>
        <v>511099755.17000002</v>
      </c>
      <c r="BH7" s="26">
        <f>资产资本表!BH68</f>
        <v>520198561.34999996</v>
      </c>
      <c r="BI7" s="26">
        <f>资产资本表!BI68</f>
        <v>529984348.82999998</v>
      </c>
      <c r="BJ7" s="26">
        <f>资产资本表!BJ68</f>
        <v>614901626.59000003</v>
      </c>
      <c r="BK7" s="26">
        <f>资产资本表!BK68</f>
        <v>628728711.84000003</v>
      </c>
      <c r="BL7" s="26">
        <f>资产资本表!BL68</f>
        <v>640670492.16999996</v>
      </c>
      <c r="BM7" s="26">
        <f>资产资本表!BM68</f>
        <v>648419399.62000012</v>
      </c>
      <c r="BN7" s="26">
        <f>资产资本表!BN68</f>
        <v>663669468.43000007</v>
      </c>
      <c r="BO7" s="26">
        <f>资产资本表!BO68</f>
        <v>611557004.31000006</v>
      </c>
      <c r="BP7" s="26">
        <f>资产资本表!BP68</f>
        <v>620373908.37</v>
      </c>
      <c r="BQ7" s="26">
        <f>资产资本表!BQ68</f>
        <v>613413196.62</v>
      </c>
      <c r="BR7" s="26">
        <f>资产资本表!BR68</f>
        <v>618820856.00999999</v>
      </c>
      <c r="BS7" s="26">
        <f>资产资本表!BS68</f>
        <v>642814097.75</v>
      </c>
      <c r="BT7" s="26">
        <f>资产资本表!BT68</f>
        <v>608671605.42000008</v>
      </c>
      <c r="BU7" s="26">
        <f>资产资本表!BU68</f>
        <v>655581453.8499999</v>
      </c>
      <c r="BV7" s="26">
        <f>资产资本表!BV68</f>
        <v>647278928.94000006</v>
      </c>
      <c r="BW7" s="26">
        <f>资产资本表!BW68</f>
        <v>595850399.14999998</v>
      </c>
      <c r="BX7" s="26">
        <f>资产资本表!BX68</f>
        <v>585018308.40999997</v>
      </c>
      <c r="BY7" s="26">
        <f>资产资本表!BY68</f>
        <v>569280841.83999991</v>
      </c>
      <c r="BZ7" s="26">
        <f>资产资本表!BZ68</f>
        <v>529372931.13</v>
      </c>
      <c r="CA7" s="26">
        <f>资产资本表!CA68</f>
        <v>446450216.70999998</v>
      </c>
      <c r="CB7" s="26">
        <f>资产资本表!CB68</f>
        <v>393597789.03000003</v>
      </c>
      <c r="CC7" s="26">
        <f>资产资本表!CC68</f>
        <v>339184628.13999999</v>
      </c>
      <c r="CD7" s="26">
        <f>资产资本表!CD68</f>
        <v>324246741.41000003</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41" t="s">
        <v>636</v>
      </c>
      <c r="E8" s="26">
        <f>资产资本表!E69</f>
        <v>367212140.58999968</v>
      </c>
      <c r="F8" s="26">
        <f>资产资本表!F69</f>
        <v>184704018.69999981</v>
      </c>
      <c r="G8" s="26">
        <f>资产资本表!G69</f>
        <v>189985082.81999999</v>
      </c>
      <c r="H8" s="26">
        <f>资产资本表!H69</f>
        <v>-300693859.67000014</v>
      </c>
      <c r="I8" s="26">
        <f>资产资本表!I69</f>
        <v>755183511.06000018</v>
      </c>
      <c r="J8" s="26">
        <f>资产资本表!J69</f>
        <v>621433598.00999999</v>
      </c>
      <c r="K8" s="26">
        <f>资产资本表!K69</f>
        <v>719271807.86999989</v>
      </c>
      <c r="L8" s="26">
        <f>资产资本表!L69</f>
        <v>746165913.00999999</v>
      </c>
      <c r="M8" s="26">
        <f>资产资本表!M69</f>
        <v>662464464.55000007</v>
      </c>
      <c r="N8" s="26">
        <f>资产资本表!N69</f>
        <v>504828723.98000002</v>
      </c>
      <c r="O8" s="26">
        <f>资产资本表!O69</f>
        <v>465857307.51999992</v>
      </c>
      <c r="P8" s="26">
        <f>资产资本表!P69</f>
        <v>427195240.23999995</v>
      </c>
      <c r="Q8" s="26">
        <f>资产资本表!Q69</f>
        <v>359393948.65999997</v>
      </c>
      <c r="R8" s="26">
        <f>资产资本表!R69</f>
        <v>233321983.15999997</v>
      </c>
      <c r="S8" s="26">
        <f>资产资本表!S69</f>
        <v>200449473.67999989</v>
      </c>
      <c r="T8" s="26">
        <f>资产资本表!T69</f>
        <v>142579780.98999995</v>
      </c>
      <c r="U8" s="26">
        <f>资产资本表!U69</f>
        <v>70208855.680000007</v>
      </c>
      <c r="V8" s="26">
        <f>资产资本表!V69</f>
        <v>-38067624.390000045</v>
      </c>
      <c r="W8" s="26">
        <f>资产资本表!W69</f>
        <v>-29703912.309999883</v>
      </c>
      <c r="X8" s="26">
        <f>资产资本表!X69</f>
        <v>-30430367.109999835</v>
      </c>
      <c r="Y8" s="26">
        <f>资产资本表!Y69</f>
        <v>-160010564.89999998</v>
      </c>
      <c r="Z8" s="26">
        <f>资产资本表!Z69</f>
        <v>-28220121.829999924</v>
      </c>
      <c r="AA8" s="26">
        <f>资产资本表!AA69</f>
        <v>50159449.020000041</v>
      </c>
      <c r="AB8" s="26">
        <f>资产资本表!AB69</f>
        <v>88253790.650000036</v>
      </c>
      <c r="AC8" s="26">
        <f>资产资本表!AC69</f>
        <v>31515611.230000019</v>
      </c>
      <c r="AD8" s="26">
        <f>资产资本表!AD69</f>
        <v>26603903.319999993</v>
      </c>
      <c r="AE8" s="26">
        <f>资产资本表!AE69</f>
        <v>122227998.63000005</v>
      </c>
      <c r="AF8" s="26">
        <f>资产资本表!AF69</f>
        <v>166167516.79000002</v>
      </c>
      <c r="AG8" s="26">
        <f>资产资本表!AG69</f>
        <v>162097068.67000008</v>
      </c>
      <c r="AH8" s="26">
        <f>资产资本表!AH69</f>
        <v>168431105.84000009</v>
      </c>
      <c r="AI8" s="26">
        <f>资产资本表!AI69</f>
        <v>301534117.13</v>
      </c>
      <c r="AJ8" s="26">
        <f>资产资本表!AJ69</f>
        <v>210386613.63999993</v>
      </c>
      <c r="AK8" s="26">
        <f>资产资本表!AK69</f>
        <v>150338194.92999995</v>
      </c>
      <c r="AL8" s="26">
        <f>资产资本表!AL69</f>
        <v>178690249.45999986</v>
      </c>
      <c r="AM8" s="26">
        <f>资产资本表!AM69</f>
        <v>243457398.11999995</v>
      </c>
      <c r="AN8" s="26">
        <f>资产资本表!AN69</f>
        <v>276393780.26999998</v>
      </c>
      <c r="AO8" s="26">
        <f>资产资本表!AO69</f>
        <v>256222963.14000002</v>
      </c>
      <c r="AP8" s="26">
        <f>资产资本表!AP69</f>
        <v>272799995.13999999</v>
      </c>
      <c r="AQ8" s="26">
        <f>资产资本表!AQ69</f>
        <v>357132497.99000001</v>
      </c>
      <c r="AR8" s="26">
        <f>资产资本表!AR69</f>
        <v>378821266.73000002</v>
      </c>
      <c r="AS8" s="26">
        <f>资产资本表!AS69</f>
        <v>281136479.54000002</v>
      </c>
      <c r="AT8" s="26">
        <f>资产资本表!AT69</f>
        <v>273215028.27999997</v>
      </c>
      <c r="AU8" s="26">
        <f>资产资本表!AU69</f>
        <v>278164902.93999994</v>
      </c>
      <c r="AV8" s="26">
        <f>资产资本表!AV69</f>
        <v>294043340.31</v>
      </c>
      <c r="AW8" s="26">
        <f>资产资本表!AW69</f>
        <v>252544470.37</v>
      </c>
      <c r="AX8" s="26">
        <f>资产资本表!AX69</f>
        <v>352393621.61000001</v>
      </c>
      <c r="AY8" s="26">
        <f>资产资本表!AY69</f>
        <v>389598948.30000001</v>
      </c>
      <c r="AZ8" s="26">
        <f>资产资本表!AZ69</f>
        <v>388756229.31000006</v>
      </c>
      <c r="BA8" s="26">
        <f>资产资本表!BA69</f>
        <v>346913560.76000005</v>
      </c>
      <c r="BB8" s="26">
        <f>资产资本表!BB69</f>
        <v>365182225.55000001</v>
      </c>
      <c r="BC8" s="26">
        <f>资产资本表!BC69</f>
        <v>433701225.50999993</v>
      </c>
      <c r="BD8" s="26">
        <f>资产资本表!BD69</f>
        <v>469978337.29000008</v>
      </c>
      <c r="BE8" s="26">
        <f>资产资本表!BE69</f>
        <v>404129536.29999995</v>
      </c>
      <c r="BF8" s="26">
        <f>资产资本表!BF69</f>
        <v>264587809.99999997</v>
      </c>
      <c r="BG8" s="26">
        <f>资产资本表!BG69</f>
        <v>500716937.70000005</v>
      </c>
      <c r="BH8" s="26">
        <f>资产资本表!BH69</f>
        <v>515311030.90999997</v>
      </c>
      <c r="BI8" s="26">
        <f>资产资本表!BI69</f>
        <v>509169916.5</v>
      </c>
      <c r="BJ8" s="26">
        <f>资产资本表!BJ69</f>
        <v>609608447.81000006</v>
      </c>
      <c r="BK8" s="26">
        <f>资产资本表!BK69</f>
        <v>616201153.36000001</v>
      </c>
      <c r="BL8" s="26">
        <f>资产资本表!BL69</f>
        <v>637787465.9799999</v>
      </c>
      <c r="BM8" s="26">
        <f>资产资本表!BM69</f>
        <v>626911281.17000008</v>
      </c>
      <c r="BN8" s="26">
        <f>资产资本表!BN69</f>
        <v>663660866.97000003</v>
      </c>
      <c r="BO8" s="26">
        <f>资产资本表!BO69</f>
        <v>848020430.37000012</v>
      </c>
      <c r="BP8" s="26">
        <f>资产资本表!BP69</f>
        <v>686004919.01999998</v>
      </c>
      <c r="BQ8" s="26">
        <f>资产资本表!BQ69</f>
        <v>776797953.24000001</v>
      </c>
      <c r="BR8" s="26">
        <f>资产资本表!BR69</f>
        <v>775709044.27999997</v>
      </c>
      <c r="BS8" s="26">
        <f>资产资本表!BS69</f>
        <v>675403403.21000004</v>
      </c>
      <c r="BT8" s="26">
        <f>资产资本表!BT69</f>
        <v>744225183.66000009</v>
      </c>
      <c r="BU8" s="26">
        <f>资产资本表!BU69</f>
        <v>680641037.80999994</v>
      </c>
      <c r="BV8" s="26">
        <f>资产资本表!BV69</f>
        <v>868885316.71000004</v>
      </c>
      <c r="BW8" s="26">
        <f>资产资本表!BW69</f>
        <v>664460001.09000003</v>
      </c>
      <c r="BX8" s="26">
        <f>资产资本表!BX69</f>
        <v>593982604.31999993</v>
      </c>
      <c r="BY8" s="26">
        <f>资产资本表!BY69</f>
        <v>570648414.42999995</v>
      </c>
      <c r="BZ8" s="26">
        <f>资产资本表!BZ69</f>
        <v>537264507.88999999</v>
      </c>
      <c r="CA8" s="26">
        <f>资产资本表!CA69</f>
        <v>446450216.70999998</v>
      </c>
      <c r="CB8" s="26">
        <f>资产资本表!CB69</f>
        <v>431325581.36000007</v>
      </c>
      <c r="CC8" s="26">
        <f>资产资本表!CC69</f>
        <v>373380862.05000001</v>
      </c>
      <c r="CD8" s="26">
        <f>资产资本表!CD69</f>
        <v>335898745.33000004</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c r="A9" s="46" t="s">
        <v>638</v>
      </c>
      <c r="E9" s="48">
        <f>资产资本表!E70</f>
        <v>3453357387.6299996</v>
      </c>
      <c r="F9" s="48">
        <f>资产资本表!F70</f>
        <v>3315645746.4499998</v>
      </c>
      <c r="G9" s="48">
        <f>资产资本表!G70</f>
        <v>3333877369.3300004</v>
      </c>
      <c r="H9" s="48">
        <f>资产资本表!H70</f>
        <v>3326939575.5899997</v>
      </c>
      <c r="I9" s="48">
        <f>资产资本表!I70</f>
        <v>1646474479.5600002</v>
      </c>
      <c r="J9" s="48">
        <f>资产资本表!J70</f>
        <v>1629280441.6800001</v>
      </c>
      <c r="K9" s="48">
        <f>资产资本表!K70</f>
        <v>1536739354.3599999</v>
      </c>
      <c r="L9" s="48">
        <f>资产资本表!L70</f>
        <v>1623407771.6800001</v>
      </c>
      <c r="M9" s="48">
        <f>资产资本表!M70</f>
        <v>1607350307</v>
      </c>
      <c r="N9" s="48">
        <f>资产资本表!N70</f>
        <v>1533381118.3900001</v>
      </c>
      <c r="O9" s="48">
        <f>资产资本表!O70</f>
        <v>1474796609.6400001</v>
      </c>
      <c r="P9" s="48">
        <f>资产资本表!P70</f>
        <v>1554872295.9000001</v>
      </c>
      <c r="Q9" s="48">
        <f>资产资本表!Q70</f>
        <v>1330141344.0700002</v>
      </c>
      <c r="R9" s="48">
        <f>资产资本表!R70</f>
        <v>1299675708.1500001</v>
      </c>
      <c r="S9" s="48">
        <f>资产资本表!S70</f>
        <v>1282834855.0599999</v>
      </c>
      <c r="T9" s="48">
        <f>资产资本表!T70</f>
        <v>1152801107.1800001</v>
      </c>
      <c r="U9" s="48">
        <f>资产资本表!U70</f>
        <v>1063379514.74</v>
      </c>
      <c r="V9" s="48">
        <f>资产资本表!V70</f>
        <v>1029707975.0599999</v>
      </c>
      <c r="W9" s="48">
        <f>资产资本表!W70</f>
        <v>1007121248.1300001</v>
      </c>
      <c r="X9" s="48">
        <f>资产资本表!X70</f>
        <v>984266221.96000004</v>
      </c>
      <c r="Y9" s="48">
        <f>资产资本表!Y70</f>
        <v>1004728646.4499999</v>
      </c>
      <c r="Z9" s="48">
        <f>资产资本表!Z70</f>
        <v>525728255.86000013</v>
      </c>
      <c r="AA9" s="48">
        <f>资产资本表!AA70</f>
        <v>514212592.65000004</v>
      </c>
      <c r="AB9" s="48">
        <f>资产资本表!AB70</f>
        <v>504284387.65000004</v>
      </c>
      <c r="AC9" s="48">
        <f>资产资本表!AC70</f>
        <v>494369167.55000001</v>
      </c>
      <c r="AD9" s="48">
        <f>资产资本表!AD70</f>
        <v>466029323.86000001</v>
      </c>
      <c r="AE9" s="48">
        <f>资产资本表!AE70</f>
        <v>459233823.48000008</v>
      </c>
      <c r="AF9" s="48">
        <f>资产资本表!AF70</f>
        <v>447940049.52000004</v>
      </c>
      <c r="AG9" s="48">
        <f>资产资本表!AG70</f>
        <v>441252566.37000006</v>
      </c>
      <c r="AH9" s="48">
        <f>资产资本表!AH70</f>
        <v>469074213.95000011</v>
      </c>
      <c r="AI9" s="48">
        <f>资产资本表!AI70</f>
        <v>458773429.38999999</v>
      </c>
      <c r="AJ9" s="48">
        <f>资产资本表!AJ70</f>
        <v>527779211.42999989</v>
      </c>
      <c r="AK9" s="48">
        <f>资产资本表!AK70</f>
        <v>543659830.31999993</v>
      </c>
      <c r="AL9" s="48">
        <f>资产资本表!AL70</f>
        <v>604776136.9599998</v>
      </c>
      <c r="AM9" s="48">
        <f>资产资本表!AM70</f>
        <v>644896740.27999997</v>
      </c>
      <c r="AN9" s="48">
        <f>资产资本表!AN70</f>
        <v>587720006.71000004</v>
      </c>
      <c r="AO9" s="48">
        <f>资产资本表!AO70</f>
        <v>652496002.01999998</v>
      </c>
      <c r="AP9" s="48">
        <f>资产资本表!AP70</f>
        <v>633046407.58999991</v>
      </c>
      <c r="AQ9" s="48">
        <f>资产资本表!AQ70</f>
        <v>702539230.08000004</v>
      </c>
      <c r="AR9" s="48">
        <f>资产资本表!AR70</f>
        <v>735735313.73000002</v>
      </c>
      <c r="AS9" s="48">
        <f>资产资本表!AS70</f>
        <v>794078429.26999998</v>
      </c>
      <c r="AT9" s="48">
        <f>资产资本表!AT70</f>
        <v>711499847.72000003</v>
      </c>
      <c r="AU9" s="48">
        <f>资产资本表!AU70</f>
        <v>622293462.61999989</v>
      </c>
      <c r="AV9" s="48">
        <f>资产资本表!AV70</f>
        <v>625070715.70000005</v>
      </c>
      <c r="AW9" s="48">
        <f>资产资本表!AW70</f>
        <v>590223961.66000009</v>
      </c>
      <c r="AX9" s="48">
        <f>资产资本表!AX70</f>
        <v>596133437.56999993</v>
      </c>
      <c r="AY9" s="48">
        <f>资产资本表!AY70</f>
        <v>597152416.10000002</v>
      </c>
      <c r="AZ9" s="48">
        <f>资产资本表!AZ70</f>
        <v>607224872.68000007</v>
      </c>
      <c r="BA9" s="48">
        <f>资产资本表!BA70</f>
        <v>553020716.21000004</v>
      </c>
      <c r="BB9" s="48">
        <f>资产资本表!BB70</f>
        <v>556295125.07000005</v>
      </c>
      <c r="BC9" s="48">
        <f>资产资本表!BC70</f>
        <v>562899236.17999995</v>
      </c>
      <c r="BD9" s="48">
        <f>资产资本表!BD70</f>
        <v>575994688.42000008</v>
      </c>
      <c r="BE9" s="48">
        <f>资产资本表!BE70</f>
        <v>571300712.22000003</v>
      </c>
      <c r="BF9" s="48">
        <f>资产资本表!BF70</f>
        <v>400768172.51999998</v>
      </c>
      <c r="BG9" s="48">
        <f>资产资本表!BG70</f>
        <v>640823795.21000004</v>
      </c>
      <c r="BH9" s="48">
        <f>资产资本表!BH70</f>
        <v>626474758.5</v>
      </c>
      <c r="BI9" s="48">
        <f>资产资本表!BI70</f>
        <v>632910206.09000003</v>
      </c>
      <c r="BJ9" s="48">
        <f>资产资本表!BJ70</f>
        <v>654884222.34000003</v>
      </c>
      <c r="BK9" s="48">
        <f>资产资本表!BK70</f>
        <v>682476088</v>
      </c>
      <c r="BL9" s="48">
        <f>资产资本表!BL70</f>
        <v>676611105.3499999</v>
      </c>
      <c r="BM9" s="48">
        <f>资产资本表!BM70</f>
        <v>689065036.43000007</v>
      </c>
      <c r="BN9" s="48">
        <f>资产资本表!BN70</f>
        <v>712194075.55000007</v>
      </c>
      <c r="BO9" s="48">
        <f>资产资本表!BO70</f>
        <v>949436220.70000017</v>
      </c>
      <c r="BP9" s="48">
        <f>资产资本表!BP70</f>
        <v>807889146.49000001</v>
      </c>
      <c r="BQ9" s="48">
        <f>资产资本表!BQ70</f>
        <v>920208443.67000008</v>
      </c>
      <c r="BR9" s="48">
        <f>资产资本表!BR70</f>
        <v>912479884.18999994</v>
      </c>
      <c r="BS9" s="48">
        <f>资产资本表!BS70</f>
        <v>805339646.24000001</v>
      </c>
      <c r="BT9" s="48">
        <f>资产资本表!BT70</f>
        <v>914979261.92000008</v>
      </c>
      <c r="BU9" s="48">
        <f>资产资本表!BU70</f>
        <v>771243548.44999993</v>
      </c>
      <c r="BV9" s="48">
        <f>资产资本表!BV70</f>
        <v>964215321.45000005</v>
      </c>
      <c r="BW9" s="48">
        <f>资产资本表!BW70</f>
        <v>731320051.37</v>
      </c>
      <c r="BX9" s="48">
        <f>资产资本表!BX70</f>
        <v>643282579.70999992</v>
      </c>
      <c r="BY9" s="48">
        <f>资产资本表!BY70</f>
        <v>618876641.93999994</v>
      </c>
      <c r="BZ9" s="48">
        <f>资产资本表!BZ70</f>
        <v>582286461.76999998</v>
      </c>
      <c r="CA9" s="48">
        <f>资产资本表!CA70</f>
        <v>479730182.95999998</v>
      </c>
      <c r="CB9" s="48">
        <f>资产资本表!CB70</f>
        <v>466826888.03000009</v>
      </c>
      <c r="CC9" s="48">
        <f>资产资本表!CC70</f>
        <v>399743780.13999999</v>
      </c>
      <c r="CD9" s="48">
        <f>资产资本表!CD70</f>
        <v>355983194.38000005</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c r="A10" s="17" t="s">
        <v>339</v>
      </c>
      <c r="E10" s="26">
        <f>资产资本表!E72</f>
        <v>523215925.93000001</v>
      </c>
      <c r="F10" s="26">
        <f>资产资本表!F72</f>
        <v>415652208.90999997</v>
      </c>
      <c r="G10" s="26">
        <f>资产资本表!G72</f>
        <v>372382035.86000001</v>
      </c>
      <c r="H10" s="26">
        <f>资产资本表!H72</f>
        <v>370100989.93000001</v>
      </c>
      <c r="I10" s="26">
        <f>资产资本表!I72</f>
        <v>280651753.13</v>
      </c>
      <c r="J10" s="26">
        <f>资产资本表!J72</f>
        <v>280651753.13</v>
      </c>
      <c r="K10" s="26">
        <f>资产资本表!K72</f>
        <v>300363187.5</v>
      </c>
      <c r="L10" s="26">
        <f>资产资本表!L72</f>
        <v>402072247.22000003</v>
      </c>
      <c r="M10" s="26">
        <f>资产资本表!M72</f>
        <v>402178998.61000001</v>
      </c>
      <c r="N10" s="26">
        <f>资产资本表!N72</f>
        <v>352091273.61000001</v>
      </c>
      <c r="O10" s="26">
        <f>资产资本表!O72</f>
        <v>301694800</v>
      </c>
      <c r="P10" s="26">
        <f>资产资本表!P72</f>
        <v>403175396.67000002</v>
      </c>
      <c r="Q10" s="26">
        <f>资产资本表!Q72</f>
        <v>202870813.33000001</v>
      </c>
      <c r="R10" s="26">
        <f>资产资本表!R72</f>
        <v>202870813.33000001</v>
      </c>
      <c r="S10" s="26">
        <f>资产资本表!S72</f>
        <v>202707480</v>
      </c>
      <c r="T10" s="26">
        <f>资产资本表!T72</f>
        <v>100000000</v>
      </c>
      <c r="U10" s="26">
        <f>资产资本表!U72</f>
        <v>0</v>
      </c>
      <c r="V10" s="26">
        <f>资产资本表!V72</f>
        <v>0</v>
      </c>
      <c r="W10" s="26">
        <f>资产资本表!W72</f>
        <v>0</v>
      </c>
      <c r="X10" s="26">
        <f>资产资本表!X72</f>
        <v>0</v>
      </c>
      <c r="Y10" s="26">
        <f>资产资本表!Y72</f>
        <v>0</v>
      </c>
      <c r="Z10" s="26">
        <f>资产资本表!Z72</f>
        <v>50091437.5</v>
      </c>
      <c r="AA10" s="26">
        <f>资产资本表!AA72</f>
        <v>50083125</v>
      </c>
      <c r="AB10" s="26">
        <f>资产资本表!AB72</f>
        <v>83125</v>
      </c>
      <c r="AC10" s="26">
        <f>资产资本表!AC72</f>
        <v>50091437.5</v>
      </c>
      <c r="AD10" s="26">
        <f>资产资本表!AD72</f>
        <v>82875</v>
      </c>
      <c r="AE10" s="26">
        <f>资产资本表!AE72</f>
        <v>75562.5</v>
      </c>
      <c r="AF10" s="26">
        <f>资产资本表!AF72</f>
        <v>75562.5</v>
      </c>
      <c r="AG10" s="26">
        <f>资产资本表!AG72</f>
        <v>74649.19</v>
      </c>
      <c r="AH10" s="26">
        <f>资产资本表!AH72</f>
        <v>50142837.5</v>
      </c>
      <c r="AI10" s="26">
        <f>资产资本表!AI72</f>
        <v>50138337.5</v>
      </c>
      <c r="AJ10" s="26">
        <f>资产资本表!AJ72</f>
        <v>50133875</v>
      </c>
      <c r="AK10" s="26">
        <f>资产资本表!AK72</f>
        <v>50142483.329999998</v>
      </c>
      <c r="AL10" s="26">
        <f>资产资本表!AL72</f>
        <v>180534640</v>
      </c>
      <c r="AM10" s="26">
        <f>资产资本表!AM72</f>
        <v>250320850</v>
      </c>
      <c r="AN10" s="26">
        <f>资产资本表!AN72</f>
        <v>200434841.66999999</v>
      </c>
      <c r="AO10" s="26">
        <f>资产资本表!AO72</f>
        <v>270461785.82999998</v>
      </c>
      <c r="AP10" s="26">
        <f>资产资本表!AP72</f>
        <v>260652795</v>
      </c>
      <c r="AQ10" s="26">
        <f>资产资本表!AQ72</f>
        <v>290682284.17000002</v>
      </c>
      <c r="AR10" s="26">
        <f>资产资本表!AR72</f>
        <v>325787423.95999998</v>
      </c>
      <c r="AS10" s="26">
        <f>资产资本表!AS72</f>
        <v>385757248.92000002</v>
      </c>
      <c r="AT10" s="26">
        <f>资产资本表!AT72</f>
        <v>308708944.5</v>
      </c>
      <c r="AU10" s="26">
        <f>资产资本表!AU72</f>
        <v>308634397.82999998</v>
      </c>
      <c r="AV10" s="26">
        <f>资产资本表!AV72</f>
        <v>318000000</v>
      </c>
      <c r="AW10" s="26">
        <f>资产资本表!AW72</f>
        <v>278000000</v>
      </c>
      <c r="AX10" s="26">
        <f>资产资本表!AX72</f>
        <v>288000000</v>
      </c>
      <c r="AY10" s="26">
        <f>资产资本表!AY72</f>
        <v>288000000</v>
      </c>
      <c r="AZ10" s="26">
        <f>资产资本表!AZ72</f>
        <v>308000000</v>
      </c>
      <c r="BA10" s="26">
        <f>资产资本表!BA72</f>
        <v>298000000</v>
      </c>
      <c r="BB10" s="26">
        <f>资产资本表!BB72</f>
        <v>308000000</v>
      </c>
      <c r="BC10" s="26">
        <f>资产资本表!BC72</f>
        <v>308000000</v>
      </c>
      <c r="BD10" s="26">
        <f>资产资本表!BD72</f>
        <v>320000000</v>
      </c>
      <c r="BE10" s="26">
        <f>资产资本表!BE72</f>
        <v>320000000</v>
      </c>
      <c r="BF10" s="26">
        <f>资产资本表!BF72</f>
        <v>340000000</v>
      </c>
      <c r="BG10" s="26">
        <f>资产资本表!BG72</f>
        <v>394000000</v>
      </c>
      <c r="BH10" s="26">
        <f>资产资本表!BH72</f>
        <v>380000000</v>
      </c>
      <c r="BI10" s="26">
        <f>资产资本表!BI72</f>
        <v>389000000</v>
      </c>
      <c r="BJ10" s="26">
        <f>资产资本表!BJ72</f>
        <v>417000000</v>
      </c>
      <c r="BK10" s="26">
        <f>资产资本表!BK72</f>
        <v>475930000</v>
      </c>
      <c r="BL10" s="26">
        <f>资产资本表!BL72</f>
        <v>458430000</v>
      </c>
      <c r="BM10" s="26">
        <f>资产资本表!BM72</f>
        <v>458440888.77999997</v>
      </c>
      <c r="BN10" s="26">
        <f>资产资本表!BN72</f>
        <v>479050877.19</v>
      </c>
      <c r="BO10" s="26">
        <f>资产资本表!BO72</f>
        <v>279000000</v>
      </c>
      <c r="BP10" s="26">
        <f>资产资本表!BP72</f>
        <v>283000000</v>
      </c>
      <c r="BQ10" s="26">
        <f>资产资本表!BQ72</f>
        <v>343430000</v>
      </c>
      <c r="BR10" s="26">
        <f>资产资本表!BR72</f>
        <v>370430000</v>
      </c>
      <c r="BS10" s="26">
        <f>资产资本表!BS72</f>
        <v>375000000</v>
      </c>
      <c r="BT10" s="26">
        <f>资产资本表!BT72</f>
        <v>361000000</v>
      </c>
      <c r="BU10" s="26">
        <f>资产资本表!BU72</f>
        <v>206880000</v>
      </c>
      <c r="BV10" s="26">
        <f>资产资本表!BV72</f>
        <v>325640000</v>
      </c>
      <c r="BW10" s="26">
        <f>资产资本表!BW72</f>
        <v>261650000</v>
      </c>
      <c r="BX10" s="26">
        <f>资产资本表!BX72</f>
        <v>261650000</v>
      </c>
      <c r="BY10" s="26">
        <f>资产资本表!BY72</f>
        <v>293206240</v>
      </c>
      <c r="BZ10" s="26">
        <f>资产资本表!BZ72</f>
        <v>271101520</v>
      </c>
      <c r="CA10" s="26">
        <f>资产资本表!CA72</f>
        <v>0</v>
      </c>
      <c r="CB10" s="26">
        <f>资产资本表!CB72</f>
        <v>174847300</v>
      </c>
      <c r="CC10" s="26">
        <f>资产资本表!CC72</f>
        <v>173890000</v>
      </c>
      <c r="CD10" s="26">
        <f>资产资本表!CD72</f>
        <v>154440000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340</v>
      </c>
      <c r="E11" s="26">
        <f>资产资本表!E81</f>
        <v>1037080000</v>
      </c>
      <c r="F11" s="26">
        <f>资产资本表!F81</f>
        <v>1067080000</v>
      </c>
      <c r="G11" s="26">
        <f>资产资本表!G81</f>
        <v>1162480000</v>
      </c>
      <c r="H11" s="26">
        <f>资产资本表!H81</f>
        <v>1186230000</v>
      </c>
      <c r="I11" s="26">
        <f>资产资本表!I81</f>
        <v>104900000</v>
      </c>
      <c r="J11" s="26">
        <f>资产资本表!J81</f>
        <v>104900000</v>
      </c>
      <c r="K11" s="26">
        <f>资产资本表!K81</f>
        <v>0</v>
      </c>
      <c r="L11" s="26">
        <f>资产资本表!L81</f>
        <v>0</v>
      </c>
      <c r="M11" s="26">
        <f>资产资本表!M81</f>
        <v>0</v>
      </c>
      <c r="N11" s="26">
        <f>资产资本表!N81</f>
        <v>0</v>
      </c>
      <c r="O11" s="26">
        <f>资产资本表!O81</f>
        <v>0</v>
      </c>
      <c r="P11" s="26">
        <f>资产资本表!P81</f>
        <v>0</v>
      </c>
      <c r="Q11" s="26">
        <f>资产资本表!Q81</f>
        <v>0</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50000000</v>
      </c>
      <c r="AC11" s="26">
        <f>资产资本表!AC81</f>
        <v>50000000</v>
      </c>
      <c r="AD11" s="26">
        <f>资产资本表!AD81</f>
        <v>50000000</v>
      </c>
      <c r="AE11" s="26">
        <f>资产资本表!AE81</f>
        <v>50000000</v>
      </c>
      <c r="AF11" s="26">
        <f>资产资本表!AF81</f>
        <v>50000000</v>
      </c>
      <c r="AG11" s="26">
        <f>资产资本表!AG81</f>
        <v>50000000</v>
      </c>
      <c r="AH11" s="26">
        <f>资产资本表!AH81</f>
        <v>50000000</v>
      </c>
      <c r="AI11" s="26">
        <f>资产资本表!AI81</f>
        <v>50000000</v>
      </c>
      <c r="AJ11" s="26">
        <f>资产资本表!AJ81</f>
        <v>50000000</v>
      </c>
      <c r="AK11" s="26">
        <f>资产资本表!AK81</f>
        <v>50000000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121871.35</v>
      </c>
      <c r="BH11" s="26">
        <f>资产资本表!BH81</f>
        <v>121871.35</v>
      </c>
      <c r="BI11" s="26">
        <f>资产资本表!BI81</f>
        <v>136891.35</v>
      </c>
      <c r="BJ11" s="26">
        <f>资产资本表!BJ81</f>
        <v>151977.35</v>
      </c>
      <c r="BK11" s="26">
        <f>资产资本表!BK81</f>
        <v>167307.35</v>
      </c>
      <c r="BL11" s="26">
        <f>资产资本表!BL81</f>
        <v>0</v>
      </c>
      <c r="BM11" s="26">
        <f>资产资本表!BM81</f>
        <v>0</v>
      </c>
      <c r="BN11" s="26">
        <f>资产资本表!BN81</f>
        <v>0</v>
      </c>
      <c r="BO11" s="26">
        <f>资产资本表!BO81</f>
        <v>175233712.68000001</v>
      </c>
      <c r="BP11" s="26">
        <f>资产资本表!BP81</f>
        <v>173464653.63</v>
      </c>
      <c r="BQ11" s="26">
        <f>资产资本表!BQ81</f>
        <v>99847608.719999999</v>
      </c>
      <c r="BR11" s="26">
        <f>资产资本表!BR81</f>
        <v>99847608.719999999</v>
      </c>
      <c r="BS11" s="26">
        <f>资产资本表!BS81</f>
        <v>74632511.310000002</v>
      </c>
      <c r="BT11" s="26">
        <f>资产资本表!BT81</f>
        <v>74475268.620000005</v>
      </c>
      <c r="BU11" s="26">
        <f>资产资本表!BU81</f>
        <v>208503758.53</v>
      </c>
      <c r="BV11" s="26">
        <f>资产资本表!BV81</f>
        <v>100177818.7</v>
      </c>
      <c r="BW11" s="26">
        <f>资产资本表!BW81</f>
        <v>121949203.08</v>
      </c>
      <c r="BX11" s="26">
        <f>资产资本表!BX81</f>
        <v>139430000</v>
      </c>
      <c r="BY11" s="26">
        <f>资产资本表!BY81</f>
        <v>98820000</v>
      </c>
      <c r="BZ11" s="26">
        <f>资产资本表!BZ81</f>
        <v>100838785.5</v>
      </c>
      <c r="CA11" s="26">
        <f>资产资本表!CA81</f>
        <v>0</v>
      </c>
      <c r="CB11" s="26">
        <f>资产资本表!CB81</f>
        <v>89504930</v>
      </c>
      <c r="CC11" s="26">
        <f>资产资本表!CC81</f>
        <v>41145446.799999997</v>
      </c>
      <c r="CD11" s="26">
        <f>资产资本表!CD81</f>
        <v>24422000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41" t="s">
        <v>637</v>
      </c>
      <c r="E12" s="26">
        <f>资产资本表!E89</f>
        <v>1560295925.9300001</v>
      </c>
      <c r="F12" s="26">
        <f>资产资本表!F89</f>
        <v>1482732208.9099998</v>
      </c>
      <c r="G12" s="26">
        <f>资产资本表!G89</f>
        <v>1534862035.8600001</v>
      </c>
      <c r="H12" s="26">
        <f>资产资本表!H89</f>
        <v>1556330989.9300001</v>
      </c>
      <c r="I12" s="26">
        <f>资产资本表!I89</f>
        <v>385551753.13</v>
      </c>
      <c r="J12" s="26">
        <f>资产资本表!J89</f>
        <v>385551753.13</v>
      </c>
      <c r="K12" s="26">
        <f>资产资本表!K89</f>
        <v>300363187.5</v>
      </c>
      <c r="L12" s="26">
        <f>资产资本表!L89</f>
        <v>402072247.22000003</v>
      </c>
      <c r="M12" s="26">
        <f>资产资本表!M89</f>
        <v>402178998.61000001</v>
      </c>
      <c r="N12" s="26">
        <f>资产资本表!N89</f>
        <v>352091273.61000001</v>
      </c>
      <c r="O12" s="26">
        <f>资产资本表!O89</f>
        <v>301694800</v>
      </c>
      <c r="P12" s="26">
        <f>资产资本表!P89</f>
        <v>403175396.67000002</v>
      </c>
      <c r="Q12" s="26">
        <f>资产资本表!Q89</f>
        <v>202870813.33000001</v>
      </c>
      <c r="R12" s="26">
        <f>资产资本表!R89</f>
        <v>202870813.33000001</v>
      </c>
      <c r="S12" s="26">
        <f>资产资本表!S89</f>
        <v>202707480</v>
      </c>
      <c r="T12" s="26">
        <f>资产资本表!T89</f>
        <v>100000000</v>
      </c>
      <c r="U12" s="26">
        <f>资产资本表!U89</f>
        <v>0</v>
      </c>
      <c r="V12" s="26">
        <f>资产资本表!V89</f>
        <v>0</v>
      </c>
      <c r="W12" s="26">
        <f>资产资本表!W89</f>
        <v>0</v>
      </c>
      <c r="X12" s="26">
        <f>资产资本表!X89</f>
        <v>0</v>
      </c>
      <c r="Y12" s="26">
        <f>资产资本表!Y89</f>
        <v>0</v>
      </c>
      <c r="Z12" s="26">
        <f>资产资本表!Z89</f>
        <v>50091437.5</v>
      </c>
      <c r="AA12" s="26">
        <f>资产资本表!AA89</f>
        <v>50083125</v>
      </c>
      <c r="AB12" s="26">
        <f>资产资本表!AB89</f>
        <v>50083125</v>
      </c>
      <c r="AC12" s="26">
        <f>资产资本表!AC89</f>
        <v>100091437.5</v>
      </c>
      <c r="AD12" s="26">
        <f>资产资本表!AD89</f>
        <v>50082875</v>
      </c>
      <c r="AE12" s="26">
        <f>资产资本表!AE89</f>
        <v>50075562.5</v>
      </c>
      <c r="AF12" s="26">
        <f>资产资本表!AF89</f>
        <v>50075562.5</v>
      </c>
      <c r="AG12" s="26">
        <f>资产资本表!AG89</f>
        <v>50074649.189999998</v>
      </c>
      <c r="AH12" s="26">
        <f>资产资本表!AH89</f>
        <v>100142837.5</v>
      </c>
      <c r="AI12" s="26">
        <f>资产资本表!AI89</f>
        <v>100138337.5</v>
      </c>
      <c r="AJ12" s="26">
        <f>资产资本表!AJ89</f>
        <v>100133875</v>
      </c>
      <c r="AK12" s="26">
        <f>资产资本表!AK89</f>
        <v>100142483.33</v>
      </c>
      <c r="AL12" s="26">
        <f>资产资本表!AL89</f>
        <v>180534640</v>
      </c>
      <c r="AM12" s="26">
        <f>资产资本表!AM89</f>
        <v>250320850</v>
      </c>
      <c r="AN12" s="26">
        <f>资产资本表!AN89</f>
        <v>200434841.66999999</v>
      </c>
      <c r="AO12" s="26">
        <f>资产资本表!AO89</f>
        <v>270461785.82999998</v>
      </c>
      <c r="AP12" s="26">
        <f>资产资本表!AP89</f>
        <v>260652795</v>
      </c>
      <c r="AQ12" s="26">
        <f>资产资本表!AQ89</f>
        <v>290682284.17000002</v>
      </c>
      <c r="AR12" s="26">
        <f>资产资本表!AR89</f>
        <v>325787423.95999998</v>
      </c>
      <c r="AS12" s="26">
        <f>资产资本表!AS89</f>
        <v>385757248.92000002</v>
      </c>
      <c r="AT12" s="26">
        <f>资产资本表!AT89</f>
        <v>308708944.5</v>
      </c>
      <c r="AU12" s="26">
        <f>资产资本表!AU89</f>
        <v>308634397.82999998</v>
      </c>
      <c r="AV12" s="26">
        <f>资产资本表!AV89</f>
        <v>318000000</v>
      </c>
      <c r="AW12" s="26">
        <f>资产资本表!AW89</f>
        <v>278000000</v>
      </c>
      <c r="AX12" s="26">
        <f>资产资本表!AX89</f>
        <v>288000000</v>
      </c>
      <c r="AY12" s="26">
        <f>资产资本表!AY89</f>
        <v>288000000</v>
      </c>
      <c r="AZ12" s="26">
        <f>资产资本表!AZ89</f>
        <v>308000000</v>
      </c>
      <c r="BA12" s="26">
        <f>资产资本表!BA89</f>
        <v>298000000</v>
      </c>
      <c r="BB12" s="26">
        <f>资产资本表!BB89</f>
        <v>308000000</v>
      </c>
      <c r="BC12" s="26">
        <f>资产资本表!BC89</f>
        <v>308000000</v>
      </c>
      <c r="BD12" s="26">
        <f>资产资本表!BD89</f>
        <v>320000000</v>
      </c>
      <c r="BE12" s="26">
        <f>资产资本表!BE89</f>
        <v>320000000</v>
      </c>
      <c r="BF12" s="26">
        <f>资产资本表!BF89</f>
        <v>340000000</v>
      </c>
      <c r="BG12" s="26">
        <f>资产资本表!BG89</f>
        <v>394121871.35000002</v>
      </c>
      <c r="BH12" s="26">
        <f>资产资本表!BH89</f>
        <v>380121871.35000002</v>
      </c>
      <c r="BI12" s="26">
        <f>资产资本表!BI89</f>
        <v>389136891.35000002</v>
      </c>
      <c r="BJ12" s="26">
        <f>资产资本表!BJ89</f>
        <v>417151977.35000002</v>
      </c>
      <c r="BK12" s="26">
        <f>资产资本表!BK89</f>
        <v>476097307.35000002</v>
      </c>
      <c r="BL12" s="26">
        <f>资产资本表!BL89</f>
        <v>458430000</v>
      </c>
      <c r="BM12" s="26">
        <f>资产资本表!BM89</f>
        <v>458440888.77999997</v>
      </c>
      <c r="BN12" s="26">
        <f>资产资本表!BN89</f>
        <v>479050877.19</v>
      </c>
      <c r="BO12" s="26">
        <f>资产资本表!BO89</f>
        <v>454233712.68000001</v>
      </c>
      <c r="BP12" s="26">
        <f>资产资本表!BP89</f>
        <v>456464653.63</v>
      </c>
      <c r="BQ12" s="26">
        <f>资产资本表!BQ89</f>
        <v>443277608.72000003</v>
      </c>
      <c r="BR12" s="26">
        <f>资产资本表!BR89</f>
        <v>470277608.72000003</v>
      </c>
      <c r="BS12" s="26">
        <f>资产资本表!BS89</f>
        <v>449632511.31</v>
      </c>
      <c r="BT12" s="26">
        <f>资产资本表!BT89</f>
        <v>435475268.62</v>
      </c>
      <c r="BU12" s="26">
        <f>资产资本表!BU89</f>
        <v>415383758.52999997</v>
      </c>
      <c r="BV12" s="26">
        <f>资产资本表!BV89</f>
        <v>425817818.69999999</v>
      </c>
      <c r="BW12" s="26">
        <f>资产资本表!BW89</f>
        <v>383599203.07999998</v>
      </c>
      <c r="BX12" s="26">
        <f>资产资本表!BX89</f>
        <v>401080000</v>
      </c>
      <c r="BY12" s="26">
        <f>资产资本表!BY89</f>
        <v>392026240</v>
      </c>
      <c r="BZ12" s="26">
        <f>资产资本表!BZ89</f>
        <v>371940305.5</v>
      </c>
      <c r="CA12" s="26">
        <f>资产资本表!CA89</f>
        <v>0</v>
      </c>
      <c r="CB12" s="26">
        <f>资产资本表!CB89</f>
        <v>264352230</v>
      </c>
      <c r="CC12" s="26">
        <f>资产资本表!CC89</f>
        <v>215035446.80000001</v>
      </c>
      <c r="CD12" s="26">
        <f>资产资本表!CD89</f>
        <v>178862000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41" t="s">
        <v>345</v>
      </c>
      <c r="E13" s="26">
        <f>E9-E12</f>
        <v>1893061461.6999996</v>
      </c>
      <c r="F13" s="26">
        <f t="shared" ref="F13:BQ13" si="0">F9-F12</f>
        <v>1832913537.54</v>
      </c>
      <c r="G13" s="26">
        <f t="shared" si="0"/>
        <v>1799015333.4700003</v>
      </c>
      <c r="H13" s="26">
        <f t="shared" si="0"/>
        <v>1770608585.6599996</v>
      </c>
      <c r="I13" s="26">
        <f t="shared" si="0"/>
        <v>1260922726.4300003</v>
      </c>
      <c r="J13" s="26">
        <f t="shared" si="0"/>
        <v>1243728688.5500002</v>
      </c>
      <c r="K13" s="26">
        <f t="shared" si="0"/>
        <v>1236376166.8599999</v>
      </c>
      <c r="L13" s="26">
        <f t="shared" si="0"/>
        <v>1221335524.46</v>
      </c>
      <c r="M13" s="26">
        <f t="shared" si="0"/>
        <v>1205171308.3899999</v>
      </c>
      <c r="N13" s="26">
        <f t="shared" si="0"/>
        <v>1181289844.7800002</v>
      </c>
      <c r="O13" s="26">
        <f t="shared" si="0"/>
        <v>1173101809.6400001</v>
      </c>
      <c r="P13" s="26">
        <f t="shared" si="0"/>
        <v>1151696899.23</v>
      </c>
      <c r="Q13" s="26">
        <f t="shared" si="0"/>
        <v>1127270530.7400002</v>
      </c>
      <c r="R13" s="26">
        <f t="shared" si="0"/>
        <v>1096804894.8200002</v>
      </c>
      <c r="S13" s="26">
        <f t="shared" si="0"/>
        <v>1080127375.0599999</v>
      </c>
      <c r="T13" s="26">
        <f t="shared" si="0"/>
        <v>1052801107.1800001</v>
      </c>
      <c r="U13" s="26">
        <f t="shared" si="0"/>
        <v>1063379514.74</v>
      </c>
      <c r="V13" s="26">
        <f t="shared" si="0"/>
        <v>1029707975.0599999</v>
      </c>
      <c r="W13" s="26">
        <f t="shared" si="0"/>
        <v>1007121248.1300001</v>
      </c>
      <c r="X13" s="26">
        <f t="shared" si="0"/>
        <v>984266221.96000004</v>
      </c>
      <c r="Y13" s="26">
        <f t="shared" si="0"/>
        <v>1004728646.4499999</v>
      </c>
      <c r="Z13" s="26">
        <f t="shared" si="0"/>
        <v>475636818.36000013</v>
      </c>
      <c r="AA13" s="26">
        <f t="shared" si="0"/>
        <v>464129467.65000004</v>
      </c>
      <c r="AB13" s="26">
        <f t="shared" si="0"/>
        <v>454201262.65000004</v>
      </c>
      <c r="AC13" s="26">
        <f t="shared" si="0"/>
        <v>394277730.05000001</v>
      </c>
      <c r="AD13" s="26">
        <f t="shared" si="0"/>
        <v>415946448.86000001</v>
      </c>
      <c r="AE13" s="26">
        <f t="shared" si="0"/>
        <v>409158260.98000008</v>
      </c>
      <c r="AF13" s="26">
        <f t="shared" si="0"/>
        <v>397864487.02000004</v>
      </c>
      <c r="AG13" s="26">
        <f t="shared" si="0"/>
        <v>391177917.18000007</v>
      </c>
      <c r="AH13" s="26">
        <f t="shared" si="0"/>
        <v>368931376.45000011</v>
      </c>
      <c r="AI13" s="26">
        <f t="shared" si="0"/>
        <v>358635091.88999999</v>
      </c>
      <c r="AJ13" s="26">
        <f t="shared" si="0"/>
        <v>427645336.42999989</v>
      </c>
      <c r="AK13" s="26">
        <f t="shared" si="0"/>
        <v>443517346.98999995</v>
      </c>
      <c r="AL13" s="26">
        <f t="shared" si="0"/>
        <v>424241496.9599998</v>
      </c>
      <c r="AM13" s="26">
        <f t="shared" si="0"/>
        <v>394575890.27999997</v>
      </c>
      <c r="AN13" s="26">
        <f t="shared" si="0"/>
        <v>387285165.04000008</v>
      </c>
      <c r="AO13" s="26">
        <f t="shared" si="0"/>
        <v>382034216.19</v>
      </c>
      <c r="AP13" s="26">
        <f t="shared" si="0"/>
        <v>372393612.58999991</v>
      </c>
      <c r="AQ13" s="26">
        <f t="shared" si="0"/>
        <v>411856945.91000003</v>
      </c>
      <c r="AR13" s="26">
        <f t="shared" si="0"/>
        <v>409947889.77000004</v>
      </c>
      <c r="AS13" s="26">
        <f t="shared" si="0"/>
        <v>408321180.34999996</v>
      </c>
      <c r="AT13" s="26">
        <f t="shared" si="0"/>
        <v>402790903.22000003</v>
      </c>
      <c r="AU13" s="26">
        <f t="shared" si="0"/>
        <v>313659064.7899999</v>
      </c>
      <c r="AV13" s="26">
        <f t="shared" si="0"/>
        <v>307070715.70000005</v>
      </c>
      <c r="AW13" s="26">
        <f t="shared" si="0"/>
        <v>312223961.66000009</v>
      </c>
      <c r="AX13" s="26">
        <f t="shared" si="0"/>
        <v>308133437.56999993</v>
      </c>
      <c r="AY13" s="26">
        <f t="shared" si="0"/>
        <v>309152416.10000002</v>
      </c>
      <c r="AZ13" s="26">
        <f t="shared" si="0"/>
        <v>299224872.68000007</v>
      </c>
      <c r="BA13" s="26">
        <f t="shared" si="0"/>
        <v>255020716.21000004</v>
      </c>
      <c r="BB13" s="26">
        <f t="shared" si="0"/>
        <v>248295125.07000005</v>
      </c>
      <c r="BC13" s="26">
        <f t="shared" si="0"/>
        <v>254899236.17999995</v>
      </c>
      <c r="BD13" s="26">
        <f t="shared" si="0"/>
        <v>255994688.42000008</v>
      </c>
      <c r="BE13" s="26">
        <f t="shared" si="0"/>
        <v>251300712.22000003</v>
      </c>
      <c r="BF13" s="26">
        <f t="shared" si="0"/>
        <v>60768172.519999981</v>
      </c>
      <c r="BG13" s="26">
        <f t="shared" si="0"/>
        <v>246701923.86000001</v>
      </c>
      <c r="BH13" s="26">
        <f t="shared" si="0"/>
        <v>246352887.14999998</v>
      </c>
      <c r="BI13" s="26">
        <f t="shared" si="0"/>
        <v>243773314.74000001</v>
      </c>
      <c r="BJ13" s="26">
        <f t="shared" si="0"/>
        <v>237732244.99000001</v>
      </c>
      <c r="BK13" s="26">
        <f t="shared" si="0"/>
        <v>206378780.64999998</v>
      </c>
      <c r="BL13" s="26">
        <f t="shared" si="0"/>
        <v>218181105.3499999</v>
      </c>
      <c r="BM13" s="26">
        <f t="shared" si="0"/>
        <v>230624147.6500001</v>
      </c>
      <c r="BN13" s="26">
        <f t="shared" si="0"/>
        <v>233143198.36000007</v>
      </c>
      <c r="BO13" s="26">
        <f t="shared" si="0"/>
        <v>495202508.02000016</v>
      </c>
      <c r="BP13" s="26">
        <f t="shared" si="0"/>
        <v>351424492.86000001</v>
      </c>
      <c r="BQ13" s="26">
        <f t="shared" si="0"/>
        <v>476930834.95000005</v>
      </c>
      <c r="BR13" s="26">
        <f t="shared" ref="BR13:CL13" si="1">BR9-BR12</f>
        <v>442202275.46999991</v>
      </c>
      <c r="BS13" s="26">
        <f t="shared" si="1"/>
        <v>355707134.93000001</v>
      </c>
      <c r="BT13" s="26">
        <f t="shared" si="1"/>
        <v>479503993.30000007</v>
      </c>
      <c r="BU13" s="26">
        <f t="shared" si="1"/>
        <v>355859789.91999996</v>
      </c>
      <c r="BV13" s="26">
        <f t="shared" si="1"/>
        <v>538397502.75</v>
      </c>
      <c r="BW13" s="26">
        <f t="shared" si="1"/>
        <v>347720848.29000002</v>
      </c>
      <c r="BX13" s="26">
        <f t="shared" si="1"/>
        <v>242202579.70999992</v>
      </c>
      <c r="BY13" s="26">
        <f t="shared" si="1"/>
        <v>226850401.93999994</v>
      </c>
      <c r="BZ13" s="26">
        <f t="shared" si="1"/>
        <v>210346156.26999998</v>
      </c>
      <c r="CA13" s="26">
        <f t="shared" si="1"/>
        <v>479730182.95999998</v>
      </c>
      <c r="CB13" s="26">
        <f t="shared" si="1"/>
        <v>202474658.03000009</v>
      </c>
      <c r="CC13" s="26">
        <f t="shared" si="1"/>
        <v>184708333.33999997</v>
      </c>
      <c r="CD13" s="26">
        <f t="shared" si="1"/>
        <v>177121194.38000005</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c r="A14" s="46" t="s">
        <v>639</v>
      </c>
      <c r="E14" s="48">
        <f>E9</f>
        <v>3453357387.6299996</v>
      </c>
      <c r="F14" s="48">
        <f t="shared" ref="F14:BQ14" si="2">F9</f>
        <v>3315645746.4499998</v>
      </c>
      <c r="G14" s="48">
        <f t="shared" si="2"/>
        <v>3333877369.3300004</v>
      </c>
      <c r="H14" s="48">
        <f t="shared" si="2"/>
        <v>3326939575.5899997</v>
      </c>
      <c r="I14" s="48">
        <f t="shared" si="2"/>
        <v>1646474479.5600002</v>
      </c>
      <c r="J14" s="48">
        <f t="shared" si="2"/>
        <v>1629280441.6800001</v>
      </c>
      <c r="K14" s="48">
        <f t="shared" si="2"/>
        <v>1536739354.3599999</v>
      </c>
      <c r="L14" s="48">
        <f t="shared" si="2"/>
        <v>1623407771.6800001</v>
      </c>
      <c r="M14" s="48">
        <f t="shared" si="2"/>
        <v>1607350307</v>
      </c>
      <c r="N14" s="48">
        <f t="shared" si="2"/>
        <v>1533381118.3900001</v>
      </c>
      <c r="O14" s="48">
        <f t="shared" si="2"/>
        <v>1474796609.6400001</v>
      </c>
      <c r="P14" s="48">
        <f t="shared" si="2"/>
        <v>1554872295.9000001</v>
      </c>
      <c r="Q14" s="48">
        <f t="shared" si="2"/>
        <v>1330141344.0700002</v>
      </c>
      <c r="R14" s="48">
        <f t="shared" si="2"/>
        <v>1299675708.1500001</v>
      </c>
      <c r="S14" s="48">
        <f t="shared" si="2"/>
        <v>1282834855.0599999</v>
      </c>
      <c r="T14" s="48">
        <f t="shared" si="2"/>
        <v>1152801107.1800001</v>
      </c>
      <c r="U14" s="48">
        <f t="shared" si="2"/>
        <v>1063379514.74</v>
      </c>
      <c r="V14" s="48">
        <f t="shared" si="2"/>
        <v>1029707975.0599999</v>
      </c>
      <c r="W14" s="48">
        <f t="shared" si="2"/>
        <v>1007121248.1300001</v>
      </c>
      <c r="X14" s="48">
        <f t="shared" si="2"/>
        <v>984266221.96000004</v>
      </c>
      <c r="Y14" s="48">
        <f t="shared" si="2"/>
        <v>1004728646.4499999</v>
      </c>
      <c r="Z14" s="48">
        <f t="shared" si="2"/>
        <v>525728255.86000013</v>
      </c>
      <c r="AA14" s="48">
        <f t="shared" si="2"/>
        <v>514212592.65000004</v>
      </c>
      <c r="AB14" s="48">
        <f t="shared" si="2"/>
        <v>504284387.65000004</v>
      </c>
      <c r="AC14" s="48">
        <f t="shared" si="2"/>
        <v>494369167.55000001</v>
      </c>
      <c r="AD14" s="48">
        <f t="shared" si="2"/>
        <v>466029323.86000001</v>
      </c>
      <c r="AE14" s="48">
        <f t="shared" si="2"/>
        <v>459233823.48000008</v>
      </c>
      <c r="AF14" s="48">
        <f t="shared" si="2"/>
        <v>447940049.52000004</v>
      </c>
      <c r="AG14" s="48">
        <f t="shared" si="2"/>
        <v>441252566.37000006</v>
      </c>
      <c r="AH14" s="48">
        <f t="shared" si="2"/>
        <v>469074213.95000011</v>
      </c>
      <c r="AI14" s="48">
        <f t="shared" si="2"/>
        <v>458773429.38999999</v>
      </c>
      <c r="AJ14" s="48">
        <f t="shared" si="2"/>
        <v>527779211.42999989</v>
      </c>
      <c r="AK14" s="48">
        <f t="shared" si="2"/>
        <v>543659830.31999993</v>
      </c>
      <c r="AL14" s="48">
        <f t="shared" si="2"/>
        <v>604776136.9599998</v>
      </c>
      <c r="AM14" s="48">
        <f t="shared" si="2"/>
        <v>644896740.27999997</v>
      </c>
      <c r="AN14" s="48">
        <f t="shared" si="2"/>
        <v>587720006.71000004</v>
      </c>
      <c r="AO14" s="48">
        <f t="shared" si="2"/>
        <v>652496002.01999998</v>
      </c>
      <c r="AP14" s="48">
        <f t="shared" si="2"/>
        <v>633046407.58999991</v>
      </c>
      <c r="AQ14" s="48">
        <f t="shared" si="2"/>
        <v>702539230.08000004</v>
      </c>
      <c r="AR14" s="48">
        <f t="shared" si="2"/>
        <v>735735313.73000002</v>
      </c>
      <c r="AS14" s="48">
        <f t="shared" si="2"/>
        <v>794078429.26999998</v>
      </c>
      <c r="AT14" s="48">
        <f t="shared" si="2"/>
        <v>711499847.72000003</v>
      </c>
      <c r="AU14" s="48">
        <f t="shared" si="2"/>
        <v>622293462.61999989</v>
      </c>
      <c r="AV14" s="48">
        <f t="shared" si="2"/>
        <v>625070715.70000005</v>
      </c>
      <c r="AW14" s="48">
        <f t="shared" si="2"/>
        <v>590223961.66000009</v>
      </c>
      <c r="AX14" s="48">
        <f t="shared" si="2"/>
        <v>596133437.56999993</v>
      </c>
      <c r="AY14" s="48">
        <f t="shared" si="2"/>
        <v>597152416.10000002</v>
      </c>
      <c r="AZ14" s="48">
        <f t="shared" si="2"/>
        <v>607224872.68000007</v>
      </c>
      <c r="BA14" s="48">
        <f t="shared" si="2"/>
        <v>553020716.21000004</v>
      </c>
      <c r="BB14" s="48">
        <f t="shared" si="2"/>
        <v>556295125.07000005</v>
      </c>
      <c r="BC14" s="48">
        <f t="shared" si="2"/>
        <v>562899236.17999995</v>
      </c>
      <c r="BD14" s="48">
        <f t="shared" si="2"/>
        <v>575994688.42000008</v>
      </c>
      <c r="BE14" s="48">
        <f t="shared" si="2"/>
        <v>571300712.22000003</v>
      </c>
      <c r="BF14" s="48">
        <f t="shared" si="2"/>
        <v>400768172.51999998</v>
      </c>
      <c r="BG14" s="48">
        <f t="shared" si="2"/>
        <v>640823795.21000004</v>
      </c>
      <c r="BH14" s="48">
        <f t="shared" si="2"/>
        <v>626474758.5</v>
      </c>
      <c r="BI14" s="48">
        <f t="shared" si="2"/>
        <v>632910206.09000003</v>
      </c>
      <c r="BJ14" s="48">
        <f t="shared" si="2"/>
        <v>654884222.34000003</v>
      </c>
      <c r="BK14" s="48">
        <f t="shared" si="2"/>
        <v>682476088</v>
      </c>
      <c r="BL14" s="48">
        <f t="shared" si="2"/>
        <v>676611105.3499999</v>
      </c>
      <c r="BM14" s="48">
        <f t="shared" si="2"/>
        <v>689065036.43000007</v>
      </c>
      <c r="BN14" s="48">
        <f t="shared" si="2"/>
        <v>712194075.55000007</v>
      </c>
      <c r="BO14" s="48">
        <f t="shared" si="2"/>
        <v>949436220.70000017</v>
      </c>
      <c r="BP14" s="48">
        <f t="shared" si="2"/>
        <v>807889146.49000001</v>
      </c>
      <c r="BQ14" s="48">
        <f t="shared" si="2"/>
        <v>920208443.67000008</v>
      </c>
      <c r="BR14" s="48">
        <f t="shared" ref="BR14:CL14" si="3">BR9</f>
        <v>912479884.18999994</v>
      </c>
      <c r="BS14" s="48">
        <f t="shared" si="3"/>
        <v>805339646.24000001</v>
      </c>
      <c r="BT14" s="48">
        <f t="shared" si="3"/>
        <v>914979261.92000008</v>
      </c>
      <c r="BU14" s="48">
        <f t="shared" si="3"/>
        <v>771243548.44999993</v>
      </c>
      <c r="BV14" s="48">
        <f t="shared" si="3"/>
        <v>964215321.45000005</v>
      </c>
      <c r="BW14" s="48">
        <f t="shared" si="3"/>
        <v>731320051.37</v>
      </c>
      <c r="BX14" s="48">
        <f t="shared" si="3"/>
        <v>643282579.70999992</v>
      </c>
      <c r="BY14" s="48">
        <f t="shared" si="3"/>
        <v>618876641.93999994</v>
      </c>
      <c r="BZ14" s="48">
        <f t="shared" si="3"/>
        <v>582286461.76999998</v>
      </c>
      <c r="CA14" s="48">
        <f t="shared" si="3"/>
        <v>479730182.95999998</v>
      </c>
      <c r="CB14" s="48">
        <f t="shared" si="3"/>
        <v>466826888.03000009</v>
      </c>
      <c r="CC14" s="48">
        <f t="shared" si="3"/>
        <v>399743780.13999999</v>
      </c>
      <c r="CD14" s="48">
        <f t="shared" si="3"/>
        <v>355983194.38000005</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c r="A15" s="46" t="s">
        <v>343</v>
      </c>
      <c r="E15" s="58">
        <f>E11+E13-E3-E4-E7</f>
        <v>2562929321.1100006</v>
      </c>
      <c r="F15" s="58">
        <f t="shared" ref="F15:BQ15" si="4">F11+F13-F3-F4-F7</f>
        <v>2715289518.8400002</v>
      </c>
      <c r="G15" s="58">
        <f t="shared" si="4"/>
        <v>2771510250.6500006</v>
      </c>
      <c r="H15" s="58">
        <f t="shared" si="4"/>
        <v>3257532445.3300004</v>
      </c>
      <c r="I15" s="58">
        <f t="shared" si="4"/>
        <v>610639215.37000012</v>
      </c>
      <c r="J15" s="58">
        <f t="shared" si="4"/>
        <v>727195090.5400002</v>
      </c>
      <c r="K15" s="58">
        <f t="shared" si="4"/>
        <v>517104358.98999995</v>
      </c>
      <c r="L15" s="58">
        <f t="shared" si="4"/>
        <v>475169611.44999999</v>
      </c>
      <c r="M15" s="58">
        <f t="shared" si="4"/>
        <v>542706843.83999991</v>
      </c>
      <c r="N15" s="58">
        <f t="shared" si="4"/>
        <v>676461120.80000019</v>
      </c>
      <c r="O15" s="58">
        <f t="shared" si="4"/>
        <v>707244502.12000012</v>
      </c>
      <c r="P15" s="58">
        <f t="shared" si="4"/>
        <v>724501658.99000001</v>
      </c>
      <c r="Q15" s="58">
        <f t="shared" si="4"/>
        <v>767876582.08000028</v>
      </c>
      <c r="R15" s="58">
        <f t="shared" si="4"/>
        <v>863482911.66000021</v>
      </c>
      <c r="S15" s="58">
        <f t="shared" si="4"/>
        <v>879677901.37999988</v>
      </c>
      <c r="T15" s="58">
        <f t="shared" si="4"/>
        <v>823631726.19000018</v>
      </c>
      <c r="U15" s="58">
        <f t="shared" si="4"/>
        <v>906581059.05999994</v>
      </c>
      <c r="V15" s="58">
        <f t="shared" si="4"/>
        <v>981185999.44999981</v>
      </c>
      <c r="W15" s="58">
        <f t="shared" si="4"/>
        <v>950235560.44000006</v>
      </c>
      <c r="X15" s="58">
        <f t="shared" si="4"/>
        <v>955146589.06999981</v>
      </c>
      <c r="Y15" s="58">
        <f t="shared" si="4"/>
        <v>1105189211.3499999</v>
      </c>
      <c r="Z15" s="58">
        <f t="shared" si="4"/>
        <v>444306940.19000006</v>
      </c>
      <c r="AA15" s="58">
        <f t="shared" si="4"/>
        <v>354420018.63000005</v>
      </c>
      <c r="AB15" s="58">
        <f t="shared" si="4"/>
        <v>356397471.99999994</v>
      </c>
      <c r="AC15" s="58">
        <f t="shared" si="4"/>
        <v>353212118.81999993</v>
      </c>
      <c r="AD15" s="58">
        <f t="shared" si="4"/>
        <v>379792545.54000002</v>
      </c>
      <c r="AE15" s="58">
        <f t="shared" si="4"/>
        <v>277380262.35000002</v>
      </c>
      <c r="AF15" s="58">
        <f t="shared" si="4"/>
        <v>222146970.22999996</v>
      </c>
      <c r="AG15" s="58">
        <f t="shared" si="4"/>
        <v>219530848.50999993</v>
      </c>
      <c r="AH15" s="58">
        <f t="shared" si="4"/>
        <v>190950270.60999995</v>
      </c>
      <c r="AI15" s="58">
        <f t="shared" si="4"/>
        <v>107050974.75999999</v>
      </c>
      <c r="AJ15" s="58">
        <f t="shared" si="4"/>
        <v>109664523.12999988</v>
      </c>
      <c r="AK15" s="58">
        <f t="shared" si="4"/>
        <v>172025162.80999994</v>
      </c>
      <c r="AL15" s="58">
        <f t="shared" si="4"/>
        <v>73897287.959999979</v>
      </c>
      <c r="AM15" s="58">
        <f t="shared" si="4"/>
        <v>4824811.0400000215</v>
      </c>
      <c r="AN15" s="58">
        <f t="shared" si="4"/>
        <v>-34569383.369999886</v>
      </c>
      <c r="AO15" s="58">
        <f t="shared" si="4"/>
        <v>-18067463.76000005</v>
      </c>
      <c r="AP15" s="58">
        <f t="shared" si="4"/>
        <v>-45263247.920000076</v>
      </c>
      <c r="AQ15" s="58">
        <f t="shared" si="4"/>
        <v>-136711083.80000001</v>
      </c>
      <c r="AR15" s="58">
        <f t="shared" si="4"/>
        <v>-160884805.98000002</v>
      </c>
      <c r="AS15" s="58">
        <f t="shared" si="4"/>
        <v>-63358893.25000006</v>
      </c>
      <c r="AT15" s="58">
        <f t="shared" si="4"/>
        <v>-59141310.379999936</v>
      </c>
      <c r="AU15" s="58">
        <f t="shared" si="4"/>
        <v>-72042603.170000017</v>
      </c>
      <c r="AV15" s="58">
        <f t="shared" si="4"/>
        <v>-93942205.00999999</v>
      </c>
      <c r="AW15" s="58">
        <f t="shared" si="4"/>
        <v>-45083597.819999933</v>
      </c>
      <c r="AX15" s="58">
        <f t="shared" si="4"/>
        <v>-150142951.74000001</v>
      </c>
      <c r="AY15" s="58">
        <f t="shared" si="4"/>
        <v>-183916812.26999998</v>
      </c>
      <c r="AZ15" s="58">
        <f t="shared" si="4"/>
        <v>-193320258.43000001</v>
      </c>
      <c r="BA15" s="58">
        <f t="shared" si="4"/>
        <v>-163739613.97000003</v>
      </c>
      <c r="BB15" s="58">
        <f t="shared" si="4"/>
        <v>-190280272.26999998</v>
      </c>
      <c r="BC15" s="58">
        <f t="shared" si="4"/>
        <v>-251929372.91999999</v>
      </c>
      <c r="BD15" s="58">
        <f t="shared" si="4"/>
        <v>-287377081.90999997</v>
      </c>
      <c r="BE15" s="58">
        <f t="shared" si="4"/>
        <v>-225415102.37999997</v>
      </c>
      <c r="BF15" s="58">
        <f t="shared" si="4"/>
        <v>-278545233.75999999</v>
      </c>
      <c r="BG15" s="58">
        <f t="shared" si="4"/>
        <v>-331993247.17000008</v>
      </c>
      <c r="BH15" s="58">
        <f t="shared" si="4"/>
        <v>-347371591.52999997</v>
      </c>
      <c r="BI15" s="58">
        <f t="shared" si="4"/>
        <v>-344218952.13999999</v>
      </c>
      <c r="BJ15" s="58">
        <f t="shared" si="4"/>
        <v>-375925145.53000003</v>
      </c>
      <c r="BK15" s="58">
        <f t="shared" si="4"/>
        <v>-413799491.08000004</v>
      </c>
      <c r="BL15" s="58">
        <f t="shared" si="4"/>
        <v>-423820690.15000004</v>
      </c>
      <c r="BM15" s="58">
        <f t="shared" si="4"/>
        <v>-402506124.64000005</v>
      </c>
      <c r="BN15" s="58">
        <f t="shared" si="4"/>
        <v>-436736659.73000002</v>
      </c>
      <c r="BO15" s="58">
        <f t="shared" si="4"/>
        <v>-235207663.33999985</v>
      </c>
      <c r="BP15" s="58">
        <f t="shared" si="4"/>
        <v>-224805960.50999999</v>
      </c>
      <c r="BQ15" s="58">
        <f t="shared" si="4"/>
        <v>-273399544.00999993</v>
      </c>
      <c r="BR15" s="58">
        <f t="shared" ref="BR15:CL15" si="5">BR11+BR13-BR3-BR4-BR7</f>
        <v>-307420542.76000011</v>
      </c>
      <c r="BS15" s="58">
        <f t="shared" si="5"/>
        <v>-265377313.71000004</v>
      </c>
      <c r="BT15" s="58">
        <f t="shared" si="5"/>
        <v>-246584241.93999994</v>
      </c>
      <c r="BU15" s="58">
        <f t="shared" si="5"/>
        <v>-141455663.05000007</v>
      </c>
      <c r="BV15" s="58">
        <f t="shared" si="5"/>
        <v>-258059691.41999996</v>
      </c>
      <c r="BW15" s="58">
        <f t="shared" si="5"/>
        <v>-224620519.29999995</v>
      </c>
      <c r="BX15" s="58">
        <f t="shared" si="5"/>
        <v>-242180594.19000006</v>
      </c>
      <c r="BY15" s="58">
        <f t="shared" si="5"/>
        <v>-277554196.55999994</v>
      </c>
      <c r="BZ15" s="58">
        <f t="shared" si="5"/>
        <v>-258655750.19</v>
      </c>
      <c r="CA15" s="58">
        <f t="shared" si="5"/>
        <v>0</v>
      </c>
      <c r="CB15" s="58">
        <f t="shared" si="5"/>
        <v>-142625959.57999998</v>
      </c>
      <c r="CC15" s="58">
        <f t="shared" si="5"/>
        <v>-151453048.16000003</v>
      </c>
      <c r="CD15" s="58">
        <f t="shared" si="5"/>
        <v>-138281517.19999996</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c r="A16" s="46" t="s">
        <v>344</v>
      </c>
      <c r="E16" s="58">
        <f>E10-E2</f>
        <v>-2562929321.1100001</v>
      </c>
      <c r="F16" s="58">
        <f t="shared" ref="F16:BQ16" si="6">F10-F2</f>
        <v>-2715289518.8400002</v>
      </c>
      <c r="G16" s="58">
        <f t="shared" si="6"/>
        <v>-2771510250.6500001</v>
      </c>
      <c r="H16" s="58">
        <f t="shared" si="6"/>
        <v>-3257532445.3299999</v>
      </c>
      <c r="I16" s="58">
        <f t="shared" si="6"/>
        <v>-610639215.37</v>
      </c>
      <c r="J16" s="58">
        <f t="shared" si="6"/>
        <v>-727195090.54000008</v>
      </c>
      <c r="K16" s="58">
        <f t="shared" si="6"/>
        <v>-517104358.99000001</v>
      </c>
      <c r="L16" s="58">
        <f t="shared" si="6"/>
        <v>-475169611.45000005</v>
      </c>
      <c r="M16" s="58">
        <f t="shared" si="6"/>
        <v>-542706843.84000003</v>
      </c>
      <c r="N16" s="58">
        <f t="shared" si="6"/>
        <v>-676461120.80000007</v>
      </c>
      <c r="O16" s="58">
        <f t="shared" si="6"/>
        <v>-707244502.12000012</v>
      </c>
      <c r="P16" s="58">
        <f t="shared" si="6"/>
        <v>-724501658.99000001</v>
      </c>
      <c r="Q16" s="58">
        <f t="shared" si="6"/>
        <v>-767876582.08000004</v>
      </c>
      <c r="R16" s="58">
        <f t="shared" si="6"/>
        <v>-863482911.65999997</v>
      </c>
      <c r="S16" s="58">
        <f t="shared" si="6"/>
        <v>-879677901.38000011</v>
      </c>
      <c r="T16" s="58">
        <f t="shared" si="6"/>
        <v>-823631726.19000006</v>
      </c>
      <c r="U16" s="58">
        <f t="shared" si="6"/>
        <v>-906581059.05999994</v>
      </c>
      <c r="V16" s="58">
        <f t="shared" si="6"/>
        <v>-981185999.45000005</v>
      </c>
      <c r="W16" s="58">
        <f t="shared" si="6"/>
        <v>-950235560.44000006</v>
      </c>
      <c r="X16" s="58">
        <f t="shared" si="6"/>
        <v>-955146589.06999993</v>
      </c>
      <c r="Y16" s="58">
        <f t="shared" si="6"/>
        <v>-1105189211.3499999</v>
      </c>
      <c r="Z16" s="58">
        <f t="shared" si="6"/>
        <v>-444306940.19</v>
      </c>
      <c r="AA16" s="58">
        <f t="shared" si="6"/>
        <v>-354420018.63</v>
      </c>
      <c r="AB16" s="58">
        <f t="shared" si="6"/>
        <v>-356397472</v>
      </c>
      <c r="AC16" s="58">
        <f t="shared" si="6"/>
        <v>-353212118.81999999</v>
      </c>
      <c r="AD16" s="58">
        <f t="shared" si="6"/>
        <v>-379792545.54000002</v>
      </c>
      <c r="AE16" s="58">
        <f t="shared" si="6"/>
        <v>-277380262.35000002</v>
      </c>
      <c r="AF16" s="58">
        <f t="shared" si="6"/>
        <v>-222146970.22999999</v>
      </c>
      <c r="AG16" s="58">
        <f t="shared" si="6"/>
        <v>-219530848.50999999</v>
      </c>
      <c r="AH16" s="58">
        <f t="shared" si="6"/>
        <v>-190950270.61000001</v>
      </c>
      <c r="AI16" s="58">
        <f t="shared" si="6"/>
        <v>-107050974.75999999</v>
      </c>
      <c r="AJ16" s="58">
        <f t="shared" si="6"/>
        <v>-109664523.13</v>
      </c>
      <c r="AK16" s="58">
        <f t="shared" si="6"/>
        <v>-172025162.81</v>
      </c>
      <c r="AL16" s="58">
        <f t="shared" si="6"/>
        <v>-73897287.960000008</v>
      </c>
      <c r="AM16" s="58">
        <f t="shared" si="6"/>
        <v>-4824811.0400000215</v>
      </c>
      <c r="AN16" s="58">
        <f t="shared" si="6"/>
        <v>34569383.369999975</v>
      </c>
      <c r="AO16" s="58">
        <f t="shared" si="6"/>
        <v>18067463.75999999</v>
      </c>
      <c r="AP16" s="58">
        <f t="shared" si="6"/>
        <v>45263247.920000017</v>
      </c>
      <c r="AQ16" s="58">
        <f t="shared" si="6"/>
        <v>136711083.80000001</v>
      </c>
      <c r="AR16" s="58">
        <f t="shared" si="6"/>
        <v>160884805.97999996</v>
      </c>
      <c r="AS16" s="58">
        <f t="shared" si="6"/>
        <v>63358893.25</v>
      </c>
      <c r="AT16" s="58">
        <f t="shared" si="6"/>
        <v>59141310.379999995</v>
      </c>
      <c r="AU16" s="58">
        <f t="shared" si="6"/>
        <v>72042603.169999987</v>
      </c>
      <c r="AV16" s="58">
        <f t="shared" si="6"/>
        <v>93942205.00999999</v>
      </c>
      <c r="AW16" s="58">
        <f t="shared" si="6"/>
        <v>45083597.819999993</v>
      </c>
      <c r="AX16" s="58">
        <f t="shared" si="6"/>
        <v>150142951.74000001</v>
      </c>
      <c r="AY16" s="58">
        <f t="shared" si="6"/>
        <v>183916812.26999998</v>
      </c>
      <c r="AZ16" s="58">
        <f t="shared" si="6"/>
        <v>193320258.43000001</v>
      </c>
      <c r="BA16" s="58">
        <f t="shared" si="6"/>
        <v>163739613.97</v>
      </c>
      <c r="BB16" s="58">
        <f t="shared" si="6"/>
        <v>190280272.26999998</v>
      </c>
      <c r="BC16" s="58">
        <f t="shared" si="6"/>
        <v>251929372.92000002</v>
      </c>
      <c r="BD16" s="58">
        <f t="shared" si="6"/>
        <v>287377081.91000003</v>
      </c>
      <c r="BE16" s="58">
        <f t="shared" si="6"/>
        <v>225415102.38</v>
      </c>
      <c r="BF16" s="58">
        <f t="shared" si="6"/>
        <v>278545233.75999999</v>
      </c>
      <c r="BG16" s="58">
        <f t="shared" si="6"/>
        <v>331993247.17000002</v>
      </c>
      <c r="BH16" s="58">
        <f t="shared" si="6"/>
        <v>347371591.52999997</v>
      </c>
      <c r="BI16" s="58">
        <f t="shared" si="6"/>
        <v>344218952.13999999</v>
      </c>
      <c r="BJ16" s="58">
        <f t="shared" si="6"/>
        <v>375925145.52999997</v>
      </c>
      <c r="BK16" s="58">
        <f t="shared" si="6"/>
        <v>413799491.07999998</v>
      </c>
      <c r="BL16" s="58">
        <f t="shared" si="6"/>
        <v>423820690.14999998</v>
      </c>
      <c r="BM16" s="58">
        <f t="shared" si="6"/>
        <v>402506124.63999999</v>
      </c>
      <c r="BN16" s="58">
        <f t="shared" si="6"/>
        <v>436736659.73000002</v>
      </c>
      <c r="BO16" s="58">
        <f t="shared" si="6"/>
        <v>235207663.34</v>
      </c>
      <c r="BP16" s="58">
        <f t="shared" si="6"/>
        <v>224805960.50999999</v>
      </c>
      <c r="BQ16" s="58">
        <f t="shared" si="6"/>
        <v>273399544.00999999</v>
      </c>
      <c r="BR16" s="58">
        <f t="shared" ref="BR16:CL16" si="7">BR10-BR2</f>
        <v>307420542.75999999</v>
      </c>
      <c r="BS16" s="58">
        <f t="shared" si="7"/>
        <v>265377313.71000001</v>
      </c>
      <c r="BT16" s="58">
        <f t="shared" si="7"/>
        <v>246584241.94</v>
      </c>
      <c r="BU16" s="58">
        <f t="shared" si="7"/>
        <v>141455663.05000001</v>
      </c>
      <c r="BV16" s="58">
        <f t="shared" si="7"/>
        <v>258059691.42000002</v>
      </c>
      <c r="BW16" s="58">
        <f t="shared" si="7"/>
        <v>224620519.30000001</v>
      </c>
      <c r="BX16" s="58">
        <f t="shared" si="7"/>
        <v>242180594.19</v>
      </c>
      <c r="BY16" s="58">
        <f t="shared" si="7"/>
        <v>277554196.56</v>
      </c>
      <c r="BZ16" s="58">
        <f t="shared" si="7"/>
        <v>258655750.19</v>
      </c>
      <c r="CA16" s="58">
        <f t="shared" si="7"/>
        <v>0</v>
      </c>
      <c r="CB16" s="58">
        <f t="shared" si="7"/>
        <v>142625959.57999998</v>
      </c>
      <c r="CC16" s="58">
        <f t="shared" si="7"/>
        <v>151453048.16</v>
      </c>
      <c r="CD16" s="58">
        <f t="shared" si="7"/>
        <v>138281517.19999999</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c r="A17" s="66" t="s">
        <v>664</v>
      </c>
      <c r="E17" s="59">
        <f>(E11+E13-E7-E3)/E4</f>
        <v>-48.310564969129366</v>
      </c>
      <c r="F17" s="59">
        <f t="shared" ref="F17:BQ17" si="8">(F11+F13-F7-F3)/F4</f>
        <v>-11.472633652441866</v>
      </c>
      <c r="G17" s="59">
        <f t="shared" si="8"/>
        <v>-14.976666519949747</v>
      </c>
      <c r="H17" s="59">
        <f t="shared" si="8"/>
        <v>-3.9604206865638609</v>
      </c>
      <c r="I17" s="59">
        <f t="shared" si="8"/>
        <v>2.41893050513209</v>
      </c>
      <c r="J17" s="59">
        <f t="shared" si="8"/>
        <v>3.5143930282713187</v>
      </c>
      <c r="K17" s="59">
        <f t="shared" si="8"/>
        <v>2.3487039485116012</v>
      </c>
      <c r="L17" s="59">
        <f t="shared" si="8"/>
        <v>2.1783258420625358</v>
      </c>
      <c r="M17" s="59">
        <f t="shared" si="8"/>
        <v>2.7121814234213799</v>
      </c>
      <c r="N17" s="59">
        <f t="shared" si="8"/>
        <v>5.1729852052351877</v>
      </c>
      <c r="O17" s="59">
        <f t="shared" si="8"/>
        <v>6.9570414746863047</v>
      </c>
      <c r="P17" s="59">
        <f t="shared" si="8"/>
        <v>10.579731953115694</v>
      </c>
      <c r="Q17" s="59">
        <f t="shared" si="8"/>
        <v>207.4331272005638</v>
      </c>
      <c r="R17" s="59">
        <f t="shared" si="8"/>
        <v>-5.6901080278645635</v>
      </c>
      <c r="S17" s="59">
        <f t="shared" si="8"/>
        <v>-4.4290827216902464</v>
      </c>
      <c r="T17" s="59">
        <f t="shared" si="8"/>
        <v>-2.7566578139536664</v>
      </c>
      <c r="U17" s="59">
        <f t="shared" si="8"/>
        <v>-2.1082212853405493</v>
      </c>
      <c r="V17" s="59">
        <f t="shared" si="8"/>
        <v>-1.4160619055128059</v>
      </c>
      <c r="W17" s="59">
        <f t="shared" si="8"/>
        <v>-1.3475257909048788</v>
      </c>
      <c r="X17" s="59">
        <f t="shared" si="8"/>
        <v>-1.2934393166396896</v>
      </c>
      <c r="Y17" s="59">
        <f t="shared" si="8"/>
        <v>-0.97840907994034043</v>
      </c>
      <c r="Z17" s="59">
        <f t="shared" si="8"/>
        <v>-1.2607825993667563E-2</v>
      </c>
      <c r="AA17" s="59">
        <f t="shared" si="8"/>
        <v>4.9063463713746799E-3</v>
      </c>
      <c r="AB17" s="59">
        <f t="shared" si="8"/>
        <v>-0.13253412577876822</v>
      </c>
      <c r="AC17" s="59">
        <f t="shared" si="8"/>
        <v>6.993039823111348E-2</v>
      </c>
      <c r="AD17" s="59">
        <f t="shared" si="8"/>
        <v>3.3693465118120235E-2</v>
      </c>
      <c r="AE17" s="59">
        <f t="shared" si="8"/>
        <v>0.11241055481341332</v>
      </c>
      <c r="AF17" s="59">
        <f t="shared" si="8"/>
        <v>0.19244051546010524</v>
      </c>
      <c r="AG17" s="59">
        <f t="shared" si="8"/>
        <v>0.2318402653799595</v>
      </c>
      <c r="AH17" s="59">
        <f t="shared" si="8"/>
        <v>0.33274077421286413</v>
      </c>
      <c r="AI17" s="59">
        <f t="shared" si="8"/>
        <v>0.29641228840328598</v>
      </c>
      <c r="AJ17" s="59">
        <f t="shared" si="8"/>
        <v>0.56102141346328238</v>
      </c>
      <c r="AK17" s="59">
        <f t="shared" si="8"/>
        <v>0.44932291564214599</v>
      </c>
      <c r="AL17" s="59">
        <f t="shared" si="8"/>
        <v>0.74114817636354613</v>
      </c>
      <c r="AM17" s="59">
        <f t="shared" si="8"/>
        <v>0.97865123374693841</v>
      </c>
      <c r="AN17" s="59">
        <f t="shared" si="8"/>
        <v>1.1886406206851479</v>
      </c>
      <c r="AO17" s="59">
        <f t="shared" si="8"/>
        <v>1.0850448914366775</v>
      </c>
      <c r="AP17" s="59">
        <f t="shared" si="8"/>
        <v>1.22791385408926</v>
      </c>
      <c r="AQ17" s="59">
        <f t="shared" si="8"/>
        <v>2.2249507123111938</v>
      </c>
      <c r="AR17" s="59">
        <f t="shared" si="8"/>
        <v>2.8077349812722758</v>
      </c>
      <c r="AS17" s="59">
        <f t="shared" si="8"/>
        <v>1.5208663213563414</v>
      </c>
      <c r="AT17" s="59">
        <f t="shared" si="8"/>
        <v>1.4406427299818056</v>
      </c>
      <c r="AU17" s="59">
        <f t="shared" si="8"/>
        <v>1.705813167452483</v>
      </c>
      <c r="AV17" s="59">
        <f t="shared" si="8"/>
        <v>2.1319124861299903</v>
      </c>
      <c r="AW17" s="59">
        <f t="shared" si="8"/>
        <v>1.3362870387199812</v>
      </c>
      <c r="AX17" s="59">
        <f t="shared" si="8"/>
        <v>2.4780597171521062</v>
      </c>
      <c r="AY17" s="59">
        <f t="shared" si="8"/>
        <v>3.2635458671651243</v>
      </c>
      <c r="AZ17" s="59">
        <f t="shared" si="8"/>
        <v>3.4759336824431872</v>
      </c>
      <c r="BA17" s="59">
        <f t="shared" si="8"/>
        <v>2.2118757369010456</v>
      </c>
      <c r="BB17" s="59">
        <f t="shared" si="8"/>
        <v>2.5423734140112617</v>
      </c>
      <c r="BC17" s="59">
        <f t="shared" si="8"/>
        <v>6.2661230861652735</v>
      </c>
      <c r="BD17" s="59">
        <f t="shared" si="8"/>
        <v>18.656402271004804</v>
      </c>
      <c r="BE17" s="59">
        <f t="shared" si="8"/>
        <v>3.5362556189882852</v>
      </c>
      <c r="BF17" s="59">
        <f t="shared" si="8"/>
        <v>2.1741656709988719</v>
      </c>
      <c r="BG17" s="59">
        <f t="shared" si="8"/>
        <v>32.975256054462932</v>
      </c>
      <c r="BH17" s="59">
        <f t="shared" si="8"/>
        <v>72.073028760512031</v>
      </c>
      <c r="BI17" s="59">
        <f t="shared" si="8"/>
        <v>17.537513331260776</v>
      </c>
      <c r="BJ17" s="59">
        <f t="shared" si="8"/>
        <v>72.020677962061939</v>
      </c>
      <c r="BK17" s="59">
        <f t="shared" si="8"/>
        <v>34.031136253773802</v>
      </c>
      <c r="BL17" s="59">
        <f t="shared" si="8"/>
        <v>148.00549430319117</v>
      </c>
      <c r="BM17" s="59">
        <f t="shared" si="8"/>
        <v>19.714148593504714</v>
      </c>
      <c r="BN17" s="59">
        <f t="shared" si="8"/>
        <v>50775.712633795833</v>
      </c>
      <c r="BO17" s="59">
        <f t="shared" si="8"/>
        <v>5.310600209613249E-3</v>
      </c>
      <c r="BP17" s="59">
        <f t="shared" si="8"/>
        <v>-2.4253009100965297</v>
      </c>
      <c r="BQ17" s="59">
        <f t="shared" si="8"/>
        <v>-0.67334792832523627</v>
      </c>
      <c r="BR17" s="59">
        <f t="shared" ref="BR17:CL17" si="9">(BR11+BR13-BR7-BR3)/BR4</f>
        <v>-0.95948813068666605</v>
      </c>
      <c r="BS17" s="59">
        <f t="shared" si="9"/>
        <v>-7.1430797608044427</v>
      </c>
      <c r="BT17" s="59">
        <f t="shared" si="9"/>
        <v>-0.81909061451272258</v>
      </c>
      <c r="BU17" s="59">
        <f t="shared" si="9"/>
        <v>-4.6447730048428095</v>
      </c>
      <c r="BV17" s="59">
        <f t="shared" si="9"/>
        <v>-0.16449572603400778</v>
      </c>
      <c r="BW17" s="59">
        <f t="shared" si="9"/>
        <v>-2.2738933465381934</v>
      </c>
      <c r="BX17" s="59">
        <f t="shared" si="9"/>
        <v>-26.016131174322215</v>
      </c>
      <c r="BY17" s="59">
        <f t="shared" si="9"/>
        <v>-201.95390430426968</v>
      </c>
      <c r="BZ17" s="59">
        <f t="shared" si="9"/>
        <v>-31.776181244418424</v>
      </c>
      <c r="CA17" s="59" t="e">
        <f t="shared" si="9"/>
        <v>#DIV/0!</v>
      </c>
      <c r="CB17" s="59">
        <f t="shared" si="9"/>
        <v>-2.7803950555195356</v>
      </c>
      <c r="CC17" s="59">
        <f t="shared" si="9"/>
        <v>-3.4289394135800002</v>
      </c>
      <c r="CD17" s="59">
        <f t="shared" si="9"/>
        <v>-10.867616776428283</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c r="A18" s="275" t="s">
        <v>743</v>
      </c>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c r="AA18" s="277"/>
      <c r="AB18" s="277"/>
      <c r="AC18" s="277"/>
      <c r="AD18" s="277"/>
      <c r="AE18" s="277"/>
      <c r="AF18" s="277"/>
      <c r="AG18" s="277"/>
    </row>
    <row r="19" spans="1:90">
      <c r="A19" s="113" t="s">
        <v>573</v>
      </c>
      <c r="B19" s="114"/>
      <c r="C19" s="114"/>
      <c r="D19" s="114"/>
      <c r="E19" s="114" t="s">
        <v>566</v>
      </c>
      <c r="F19" s="114"/>
      <c r="G19" s="114"/>
      <c r="H19" s="114"/>
      <c r="I19" s="114" t="s">
        <v>601</v>
      </c>
      <c r="M19" s="114" t="s">
        <v>568</v>
      </c>
      <c r="N19" s="63"/>
      <c r="O19" s="63"/>
      <c r="P19" s="63"/>
      <c r="Q19" s="63"/>
      <c r="R19" s="63"/>
      <c r="S19" s="63"/>
      <c r="T19" s="63"/>
      <c r="U19" s="63"/>
    </row>
    <row r="20" spans="1:90" s="63" customFormat="1" ht="14.25" customHeight="1">
      <c r="A20" s="113" t="s">
        <v>574</v>
      </c>
      <c r="B20" s="115"/>
      <c r="C20" s="115"/>
      <c r="D20" s="115"/>
      <c r="E20" s="115">
        <f>POWER(E9/U9,1/5)-1</f>
        <v>0.26564132644746707</v>
      </c>
      <c r="F20" s="115"/>
      <c r="G20" s="115"/>
      <c r="H20" s="115"/>
      <c r="I20" s="115">
        <f>POWER(E9/Y9,1/6)-1</f>
        <v>0.22847255034909519</v>
      </c>
      <c r="M20" s="115">
        <f>POWER(E9/AC9,1/7)-1</f>
        <v>0.32007495844779665</v>
      </c>
    </row>
    <row r="21" spans="1:90" s="63" customFormat="1" ht="14.25" customHeight="1">
      <c r="A21" s="113" t="s">
        <v>572</v>
      </c>
      <c r="B21" s="115"/>
      <c r="C21" s="115"/>
      <c r="D21" s="115"/>
      <c r="E21" s="115">
        <f>POWER(E4/U4,1/5)-1</f>
        <v>-0.29176010302344035</v>
      </c>
      <c r="F21" s="115"/>
      <c r="G21" s="115"/>
      <c r="H21" s="115"/>
      <c r="I21" s="115">
        <f>POWER(E4/Y4,1/6)-1</f>
        <v>-0.32684870569946545</v>
      </c>
      <c r="M21" s="115">
        <f>POWER(E4/AC4,1/7)-1</f>
        <v>-0.24731904138909089</v>
      </c>
    </row>
    <row r="22" spans="1:90" s="63" customFormat="1" ht="14.25" customHeight="1">
      <c r="A22" s="113" t="s">
        <v>575</v>
      </c>
      <c r="B22" s="115"/>
      <c r="C22" s="115"/>
      <c r="D22" s="115"/>
      <c r="E22" s="115">
        <f>POWER(E5/U5,1/5)-1</f>
        <v>0.33891667505195855</v>
      </c>
      <c r="F22" s="115"/>
      <c r="G22" s="115"/>
      <c r="H22" s="115"/>
      <c r="I22" s="115">
        <f>POWER(E5/Y5,1/6)-1</f>
        <v>0.33753088111903162</v>
      </c>
      <c r="M22" s="115">
        <f>POWER(E5/AC5,1/7)-1</f>
        <v>0.31416587741436364</v>
      </c>
    </row>
    <row r="23" spans="1:90" s="63" customFormat="1" ht="14.25" customHeight="1">
      <c r="A23" s="113" t="s">
        <v>576</v>
      </c>
      <c r="B23" s="115"/>
      <c r="C23" s="115"/>
      <c r="D23" s="115"/>
      <c r="E23" s="115">
        <f>POWER(E6/U6,1/5)-1</f>
        <v>0.19584787514296953</v>
      </c>
      <c r="F23" s="115"/>
      <c r="G23" s="115"/>
      <c r="H23" s="115"/>
      <c r="I23" s="115">
        <f>POWER(E6/Y6,1/6)-1</f>
        <v>0.11458535675899295</v>
      </c>
      <c r="M23" s="115">
        <f>POWER(E6/AC6,1/7)-1</f>
        <v>0.14710797336151904</v>
      </c>
    </row>
    <row r="24" spans="1:90" s="63" customFormat="1" ht="14.25" customHeight="1">
      <c r="A24" s="113" t="s">
        <v>577</v>
      </c>
      <c r="B24" s="115"/>
      <c r="C24" s="115"/>
      <c r="D24" s="115"/>
      <c r="E24" s="115">
        <f>POWER(E7/U7,1/5)-1</f>
        <v>2.9837084056342222E-2</v>
      </c>
      <c r="F24" s="115"/>
      <c r="G24" s="115"/>
      <c r="H24" s="115"/>
      <c r="I24" s="115">
        <f>POWER(E7/Y7,1/6)-1</f>
        <v>8.4224194741764347E-3</v>
      </c>
      <c r="M24" s="115">
        <f>POWER(E7/AC7,1/7)-1</f>
        <v>2.722450884128369E-3</v>
      </c>
    </row>
    <row r="25" spans="1:90" s="107" customFormat="1">
      <c r="A25" s="142" t="s">
        <v>553</v>
      </c>
      <c r="B25" s="108"/>
      <c r="C25" s="108"/>
      <c r="D25" s="108"/>
      <c r="E25" s="108">
        <f>(E2-I2)/I2</f>
        <v>2.4625563997735043</v>
      </c>
      <c r="F25" s="108">
        <f t="shared" ref="F25:BQ25" si="10">(F2-J2)/J2</f>
        <v>2.1065649978610899</v>
      </c>
      <c r="G25" s="108">
        <f t="shared" si="10"/>
        <v>2.8458924761100097</v>
      </c>
      <c r="H25" s="108">
        <f t="shared" si="10"/>
        <v>3.1352717034728723</v>
      </c>
      <c r="I25" s="108">
        <f t="shared" si="10"/>
        <v>-5.6721004318398487E-2</v>
      </c>
      <c r="J25" s="107">
        <f t="shared" si="10"/>
        <v>-2.013076908141093E-2</v>
      </c>
      <c r="K25" s="107">
        <f t="shared" si="10"/>
        <v>-0.18977529691595565</v>
      </c>
      <c r="L25" s="107">
        <f t="shared" si="10"/>
        <v>-0.22208059987832846</v>
      </c>
      <c r="M25" s="108">
        <f t="shared" si="10"/>
        <v>-2.6640867729629376E-2</v>
      </c>
      <c r="N25" s="108">
        <f t="shared" si="10"/>
        <v>-3.5449147589702856E-2</v>
      </c>
      <c r="O25" s="108">
        <f t="shared" si="10"/>
        <v>-6.7855756852849433E-2</v>
      </c>
      <c r="P25" s="108">
        <f t="shared" si="10"/>
        <v>0.22091632810372508</v>
      </c>
      <c r="Q25" s="108">
        <f t="shared" si="10"/>
        <v>7.0778377409000601E-2</v>
      </c>
      <c r="R25" s="108">
        <f t="shared" si="10"/>
        <v>8.6800795759153102E-2</v>
      </c>
      <c r="S25" s="108">
        <f t="shared" si="10"/>
        <v>0.13907059095831878</v>
      </c>
      <c r="T25" s="108">
        <f t="shared" si="10"/>
        <v>-3.2994791836805946E-2</v>
      </c>
      <c r="U25" s="108">
        <f t="shared" si="10"/>
        <v>-0.17970511316102886</v>
      </c>
      <c r="V25" s="107">
        <f t="shared" si="10"/>
        <v>0.98460602568001931</v>
      </c>
      <c r="W25" s="107">
        <f t="shared" si="10"/>
        <v>1.3491425849317573</v>
      </c>
      <c r="X25" s="107">
        <f t="shared" si="10"/>
        <v>1.6793788977805149</v>
      </c>
      <c r="Y25" s="107">
        <f t="shared" si="10"/>
        <v>1.7403408525192645</v>
      </c>
      <c r="Z25" s="107">
        <f t="shared" si="10"/>
        <v>0.30147503880931137</v>
      </c>
      <c r="AA25" s="107">
        <f t="shared" si="10"/>
        <v>0.45790106893118976</v>
      </c>
      <c r="AB25" s="107">
        <f t="shared" si="10"/>
        <v>0.60416044503067268</v>
      </c>
      <c r="AC25" s="107">
        <f t="shared" si="10"/>
        <v>0.83649116503880683</v>
      </c>
      <c r="AD25" s="107">
        <f t="shared" si="10"/>
        <v>0.57563782522841689</v>
      </c>
      <c r="AE25" s="107">
        <f t="shared" si="10"/>
        <v>0.76510616950262134</v>
      </c>
      <c r="AF25" s="107">
        <f t="shared" si="10"/>
        <v>0.39064305606628419</v>
      </c>
      <c r="AG25" s="107">
        <f t="shared" si="10"/>
        <v>-1.1532500274074459E-2</v>
      </c>
      <c r="AH25" s="107">
        <f t="shared" si="10"/>
        <v>-5.2425888358229276E-2</v>
      </c>
      <c r="AI25" s="107">
        <f t="shared" si="10"/>
        <v>-0.38392323969265185</v>
      </c>
      <c r="AJ25" s="107">
        <f t="shared" si="10"/>
        <v>-3.6578201586894336E-2</v>
      </c>
      <c r="AK25" s="107">
        <f t="shared" si="10"/>
        <v>-0.11975973025897467</v>
      </c>
      <c r="AL25" s="107">
        <f t="shared" si="10"/>
        <v>0.18126404651149994</v>
      </c>
      <c r="AM25" s="107">
        <f t="shared" si="10"/>
        <v>0.65709990197435009</v>
      </c>
      <c r="AN25" s="107">
        <f t="shared" si="10"/>
        <v>5.8388419286149211E-3</v>
      </c>
      <c r="AO25" s="107">
        <f t="shared" si="10"/>
        <v>-0.21713520670575207</v>
      </c>
      <c r="AP25" s="107">
        <f t="shared" si="10"/>
        <v>-0.1369491967999589</v>
      </c>
      <c r="AQ25" s="107">
        <f t="shared" si="10"/>
        <v>-0.34921157941564257</v>
      </c>
      <c r="AR25" s="107">
        <f t="shared" si="10"/>
        <v>-0.26401749161478699</v>
      </c>
      <c r="AS25" s="107">
        <f t="shared" si="10"/>
        <v>0.38418055857160077</v>
      </c>
      <c r="AT25" s="107">
        <f t="shared" si="10"/>
        <v>0.81033641202960149</v>
      </c>
      <c r="AU25" s="107">
        <f t="shared" si="10"/>
        <v>1.2731028883717297</v>
      </c>
      <c r="AV25" s="107">
        <f t="shared" si="10"/>
        <v>0.95376961896305068</v>
      </c>
      <c r="AW25" s="107">
        <f t="shared" si="10"/>
        <v>0.73481105683664338</v>
      </c>
      <c r="AX25" s="107">
        <f t="shared" si="10"/>
        <v>0.17106156222333954</v>
      </c>
      <c r="AY25" s="107">
        <f t="shared" si="10"/>
        <v>0.85628720687387772</v>
      </c>
      <c r="AZ25" s="107">
        <f t="shared" si="10"/>
        <v>2.5153121880029827</v>
      </c>
      <c r="BA25" s="107">
        <f t="shared" si="10"/>
        <v>0.41946959195746492</v>
      </c>
      <c r="BB25" s="107">
        <f t="shared" si="10"/>
        <v>0.91555081782050562</v>
      </c>
      <c r="BC25" s="107">
        <f t="shared" si="10"/>
        <v>-9.5733536737114766E-2</v>
      </c>
      <c r="BD25" s="107">
        <f t="shared" si="10"/>
        <v>-1.6826992971621815E-4</v>
      </c>
      <c r="BE25" s="107">
        <f t="shared" si="10"/>
        <v>1.1121635633829494</v>
      </c>
      <c r="BF25" s="107">
        <f t="shared" si="10"/>
        <v>0.49616516072832245</v>
      </c>
      <c r="BG25" s="107">
        <f t="shared" si="10"/>
        <v>-1.9918731095435486E-3</v>
      </c>
      <c r="BH25" s="107">
        <f t="shared" si="10"/>
        <v>-5.7236084411547504E-2</v>
      </c>
      <c r="BI25" s="107">
        <f t="shared" si="10"/>
        <v>-0.19940579801289926</v>
      </c>
      <c r="BJ25" s="107">
        <f t="shared" si="10"/>
        <v>-2.9289516961328251E-2</v>
      </c>
      <c r="BK25" s="107">
        <f t="shared" si="10"/>
        <v>0.41875299786754966</v>
      </c>
      <c r="BL25" s="107">
        <f t="shared" si="10"/>
        <v>-0.4052774106539343</v>
      </c>
      <c r="BM25" s="107">
        <f t="shared" si="10"/>
        <v>-0.2012794526429014</v>
      </c>
      <c r="BN25" s="107">
        <f t="shared" si="10"/>
        <v>-0.32844656479380269</v>
      </c>
      <c r="BO25" s="107">
        <f t="shared" si="10"/>
        <v>-0.60051757403435546</v>
      </c>
      <c r="BP25" s="107">
        <f t="shared" si="10"/>
        <v>-0.4913809034985997</v>
      </c>
      <c r="BQ25" s="107">
        <f t="shared" si="10"/>
        <v>7.0403755769358103E-2</v>
      </c>
      <c r="BR25" s="107">
        <f t="shared" ref="BR25:CK25" si="11">(BR2-BV2)/BV2</f>
        <v>-6.7635845944519699E-2</v>
      </c>
      <c r="BS25" s="107">
        <f t="shared" si="11"/>
        <v>1.96041651726431</v>
      </c>
      <c r="BT25" s="107">
        <f t="shared" si="11"/>
        <v>4.8766949118310041</v>
      </c>
      <c r="BU25" s="107">
        <f t="shared" si="11"/>
        <v>3.1799230369373421</v>
      </c>
      <c r="BV25" s="107">
        <f t="shared" si="11"/>
        <v>4.4299822037283834</v>
      </c>
      <c r="BW25" s="107" t="e">
        <f t="shared" si="11"/>
        <v>#DIV/0!</v>
      </c>
      <c r="BX25" s="107">
        <f t="shared" si="11"/>
        <v>-0.39576052528481376</v>
      </c>
      <c r="BY25" s="107">
        <f t="shared" si="11"/>
        <v>-0.30239884848814652</v>
      </c>
      <c r="BZ25" s="107">
        <f t="shared" si="11"/>
        <v>-0.22976866305789551</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c r="A26" s="142" t="s">
        <v>561</v>
      </c>
      <c r="E26" s="108">
        <f>E2/E9</f>
        <v>0.89366517873146822</v>
      </c>
      <c r="F26" s="108">
        <f t="shared" ref="F26:BQ26" si="12">F2/F9</f>
        <v>0.94429319872373008</v>
      </c>
      <c r="G26" s="108">
        <f t="shared" si="12"/>
        <v>0.94301377592116387</v>
      </c>
      <c r="H26" s="108">
        <f t="shared" si="12"/>
        <v>1.0903815211662433</v>
      </c>
      <c r="I26" s="108">
        <f t="shared" si="12"/>
        <v>0.54133299942686408</v>
      </c>
      <c r="J26" s="108">
        <f t="shared" si="12"/>
        <v>0.61858401898618443</v>
      </c>
      <c r="K26" s="108">
        <f t="shared" si="12"/>
        <v>0.5319493798155821</v>
      </c>
      <c r="L26" s="108">
        <f t="shared" si="12"/>
        <v>0.54037061665793151</v>
      </c>
      <c r="M26" s="108">
        <f t="shared" si="12"/>
        <v>0.58785308861113128</v>
      </c>
      <c r="N26" s="108">
        <f t="shared" si="12"/>
        <v>0.67077413571516153</v>
      </c>
      <c r="O26" s="108">
        <f t="shared" si="12"/>
        <v>0.68412098015758493</v>
      </c>
      <c r="P26" s="108">
        <f t="shared" si="12"/>
        <v>0.72525380935369455</v>
      </c>
      <c r="Q26" s="108">
        <f t="shared" si="12"/>
        <v>0.7298077003152782</v>
      </c>
      <c r="R26" s="108">
        <f t="shared" si="12"/>
        <v>0.82047676839931238</v>
      </c>
      <c r="S26" s="108">
        <f t="shared" si="12"/>
        <v>0.84374491160000131</v>
      </c>
      <c r="T26" s="108">
        <f t="shared" si="12"/>
        <v>0.80120648777775927</v>
      </c>
      <c r="U26" s="108">
        <f t="shared" si="12"/>
        <v>0.85254704129001602</v>
      </c>
      <c r="V26" s="108">
        <f t="shared" si="12"/>
        <v>0.95287792579525032</v>
      </c>
      <c r="W26" s="108">
        <f t="shared" si="12"/>
        <v>0.94351654500823601</v>
      </c>
      <c r="X26" s="108">
        <f t="shared" si="12"/>
        <v>0.97041488142099064</v>
      </c>
      <c r="Y26" s="108">
        <f t="shared" si="12"/>
        <v>1.0999877581424164</v>
      </c>
      <c r="Z26" s="108">
        <f t="shared" si="12"/>
        <v>0.94040670665732073</v>
      </c>
      <c r="AA26" s="108">
        <f t="shared" si="12"/>
        <v>0.78664573643634195</v>
      </c>
      <c r="AB26" s="108">
        <f t="shared" si="12"/>
        <v>0.70690389337894066</v>
      </c>
      <c r="AC26" s="108">
        <f t="shared" si="12"/>
        <v>0.81579431484106513</v>
      </c>
      <c r="AD26" s="108">
        <f t="shared" si="12"/>
        <v>0.81513201228109522</v>
      </c>
      <c r="AE26" s="108">
        <f t="shared" si="12"/>
        <v>0.60417114477214329</v>
      </c>
      <c r="AF26" s="108">
        <f t="shared" si="12"/>
        <v>0.49609882609989309</v>
      </c>
      <c r="AG26" s="108">
        <f t="shared" si="12"/>
        <v>0.49768661858808522</v>
      </c>
      <c r="AH26" s="108">
        <f t="shared" si="12"/>
        <v>0.51397646884017112</v>
      </c>
      <c r="AI26" s="108">
        <f t="shared" si="12"/>
        <v>0.34262950334548359</v>
      </c>
      <c r="AJ26" s="108">
        <f t="shared" si="12"/>
        <v>0.30277508978997419</v>
      </c>
      <c r="AK26" s="108">
        <f t="shared" si="12"/>
        <v>0.40865194327348303</v>
      </c>
      <c r="AL26" s="108">
        <f t="shared" si="12"/>
        <v>0.42070431091898103</v>
      </c>
      <c r="AM26" s="108">
        <f t="shared" si="12"/>
        <v>0.39563800699197421</v>
      </c>
      <c r="AN26" s="108">
        <f t="shared" si="12"/>
        <v>0.28221849929611698</v>
      </c>
      <c r="AO26" s="108">
        <f t="shared" si="12"/>
        <v>0.38681359163678636</v>
      </c>
      <c r="AP26" s="108">
        <f t="shared" si="12"/>
        <v>0.34024290241213972</v>
      </c>
      <c r="AQ26" s="108">
        <f t="shared" si="12"/>
        <v>0.21916384705302064</v>
      </c>
      <c r="AR26" s="108">
        <f t="shared" si="12"/>
        <v>0.22413307462976548</v>
      </c>
      <c r="AS26" s="108">
        <f t="shared" si="12"/>
        <v>0.40600316516138379</v>
      </c>
      <c r="AT26" s="108">
        <f t="shared" si="12"/>
        <v>0.35076273722297907</v>
      </c>
      <c r="AU26" s="108">
        <f t="shared" si="12"/>
        <v>0.38019328318811779</v>
      </c>
      <c r="AV26" s="108">
        <f t="shared" si="12"/>
        <v>0.35845191489907452</v>
      </c>
      <c r="AW26" s="108">
        <f t="shared" si="12"/>
        <v>0.39462376540072097</v>
      </c>
      <c r="AX26" s="108">
        <f t="shared" si="12"/>
        <v>0.23125199757615067</v>
      </c>
      <c r="AY26" s="108">
        <f t="shared" si="12"/>
        <v>0.17429919887081238</v>
      </c>
      <c r="AZ26" s="108">
        <f t="shared" si="12"/>
        <v>0.18885876835686669</v>
      </c>
      <c r="BA26" s="108">
        <f t="shared" si="12"/>
        <v>0.24277641342285078</v>
      </c>
      <c r="BB26" s="108">
        <f t="shared" si="12"/>
        <v>0.21161380430070645</v>
      </c>
      <c r="BC26" s="108">
        <f t="shared" si="12"/>
        <v>9.9610415996496629E-2</v>
      </c>
      <c r="BD26" s="108">
        <f t="shared" si="12"/>
        <v>5.6637532855532573E-2</v>
      </c>
      <c r="BE26" s="108">
        <f t="shared" si="12"/>
        <v>0.16556061562124688</v>
      </c>
      <c r="BF26" s="108">
        <f t="shared" si="12"/>
        <v>0.15334243199398065</v>
      </c>
      <c r="BG26" s="108">
        <f t="shared" si="12"/>
        <v>9.676100246820607E-2</v>
      </c>
      <c r="BH26" s="108">
        <f t="shared" si="12"/>
        <v>5.2082558837843421E-2</v>
      </c>
      <c r="BI26" s="108">
        <f t="shared" si="12"/>
        <v>7.0754188238879689E-2</v>
      </c>
      <c r="BJ26" s="108">
        <f t="shared" si="12"/>
        <v>6.2720787993995872E-2</v>
      </c>
      <c r="BK26" s="108">
        <f t="shared" si="12"/>
        <v>9.1036902262867272E-2</v>
      </c>
      <c r="BL26" s="108">
        <f t="shared" si="12"/>
        <v>5.115096334710198E-2</v>
      </c>
      <c r="BM26" s="108">
        <f t="shared" si="12"/>
        <v>8.117486910929958E-2</v>
      </c>
      <c r="BN26" s="108">
        <f t="shared" si="12"/>
        <v>5.9413885782919999E-2</v>
      </c>
      <c r="BO26" s="108">
        <f t="shared" si="12"/>
        <v>4.6124569197194515E-2</v>
      </c>
      <c r="BP26" s="108">
        <f t="shared" si="12"/>
        <v>7.2032208555880536E-2</v>
      </c>
      <c r="BQ26" s="108">
        <f t="shared" si="12"/>
        <v>7.6102818303538544E-2</v>
      </c>
      <c r="BR26" s="108">
        <f t="shared" ref="BR26:CK26" si="13">BR2/BR9</f>
        <v>6.905298224292683E-2</v>
      </c>
      <c r="BS26" s="108">
        <f t="shared" si="13"/>
        <v>0.13611981826774641</v>
      </c>
      <c r="BT26" s="108">
        <f t="shared" si="13"/>
        <v>0.12504737847271971</v>
      </c>
      <c r="BU26" s="108">
        <f t="shared" si="13"/>
        <v>8.4829671614739602E-2</v>
      </c>
      <c r="BV26" s="108">
        <f t="shared" si="13"/>
        <v>7.0088399423452227E-2</v>
      </c>
      <c r="BW26" s="108">
        <f t="shared" si="13"/>
        <v>5.063375553648742E-2</v>
      </c>
      <c r="BX26" s="108">
        <f t="shared" si="13"/>
        <v>3.0265712805058482E-2</v>
      </c>
      <c r="BY26" s="108">
        <f t="shared" si="13"/>
        <v>2.5291055404733573E-2</v>
      </c>
      <c r="BZ26" s="108">
        <f t="shared" si="13"/>
        <v>2.1373963894279948E-2</v>
      </c>
      <c r="CA26" s="108">
        <f t="shared" si="13"/>
        <v>0</v>
      </c>
      <c r="CB26" s="108">
        <f t="shared" si="13"/>
        <v>6.9022032034130251E-2</v>
      </c>
      <c r="CC26" s="108">
        <f t="shared" si="13"/>
        <v>5.6128332583791636E-2</v>
      </c>
      <c r="CD26" s="108">
        <f t="shared" si="13"/>
        <v>4.5391139399550882E-2</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c r="A27" s="143" t="s">
        <v>554</v>
      </c>
      <c r="E27" s="109" t="e">
        <f>(E3-I3)/I3</f>
        <v>#DIV/0!</v>
      </c>
      <c r="F27" s="109" t="e">
        <f t="shared" ref="F27:BQ27" si="14">(F3-J3)/J3</f>
        <v>#DIV/0!</v>
      </c>
      <c r="G27" s="109" t="e">
        <f t="shared" si="14"/>
        <v>#DIV/0!</v>
      </c>
      <c r="H27" s="109" t="e">
        <f t="shared" si="14"/>
        <v>#DIV/0!</v>
      </c>
      <c r="I27" s="109" t="e">
        <f t="shared" si="14"/>
        <v>#DIV/0!</v>
      </c>
      <c r="J27" s="109" t="e">
        <f t="shared" si="14"/>
        <v>#DIV/0!</v>
      </c>
      <c r="K27" s="109" t="e">
        <f t="shared" si="14"/>
        <v>#DIV/0!</v>
      </c>
      <c r="L27" s="109" t="e">
        <f t="shared" si="14"/>
        <v>#DIV/0!</v>
      </c>
      <c r="M27" s="109" t="e">
        <f t="shared" si="14"/>
        <v>#DIV/0!</v>
      </c>
      <c r="N27" s="109" t="e">
        <f t="shared" si="14"/>
        <v>#DIV/0!</v>
      </c>
      <c r="O27" s="109" t="e">
        <f t="shared" si="14"/>
        <v>#DIV/0!</v>
      </c>
      <c r="P27" s="109">
        <f t="shared" si="14"/>
        <v>-1</v>
      </c>
      <c r="Q27" s="109">
        <f t="shared" si="14"/>
        <v>-1</v>
      </c>
      <c r="R27" s="109">
        <f t="shared" si="14"/>
        <v>-1</v>
      </c>
      <c r="S27" s="109">
        <f t="shared" si="14"/>
        <v>-1</v>
      </c>
      <c r="T27" s="109">
        <f t="shared" si="14"/>
        <v>0.45406549118387907</v>
      </c>
      <c r="U27" s="109">
        <f t="shared" si="14"/>
        <v>0.45406549118387907</v>
      </c>
      <c r="V27" s="109">
        <f t="shared" si="14"/>
        <v>0.45406549118387907</v>
      </c>
      <c r="W27" s="109">
        <f t="shared" si="14"/>
        <v>0.45406549118387907</v>
      </c>
      <c r="X27" s="109">
        <f t="shared" si="14"/>
        <v>0</v>
      </c>
      <c r="Y27" s="109">
        <f t="shared" si="14"/>
        <v>0</v>
      </c>
      <c r="Z27" s="109">
        <f t="shared" si="14"/>
        <v>0</v>
      </c>
      <c r="AA27" s="109">
        <f t="shared" si="14"/>
        <v>0</v>
      </c>
      <c r="AB27" s="109">
        <f t="shared" si="14"/>
        <v>0</v>
      </c>
      <c r="AC27" s="109">
        <f t="shared" si="14"/>
        <v>0</v>
      </c>
      <c r="AD27" s="109">
        <f t="shared" si="14"/>
        <v>0</v>
      </c>
      <c r="AE27" s="109">
        <f t="shared" si="14"/>
        <v>1190</v>
      </c>
      <c r="AF27" s="109">
        <f t="shared" si="14"/>
        <v>-0.62213076288038804</v>
      </c>
      <c r="AG27" s="109">
        <f t="shared" si="14"/>
        <v>-0.65206770662519042</v>
      </c>
      <c r="AH27" s="109">
        <f t="shared" si="14"/>
        <v>-0.65308111645322553</v>
      </c>
      <c r="AI27" s="109">
        <f t="shared" si="14"/>
        <v>-0.99965822173851115</v>
      </c>
      <c r="AJ27" s="109">
        <f t="shared" si="14"/>
        <v>8.3413773178497755E-2</v>
      </c>
      <c r="AK27" s="109">
        <f t="shared" si="14"/>
        <v>0.1895712795104959</v>
      </c>
      <c r="AL27" s="109">
        <f t="shared" si="14"/>
        <v>0.18499015632813556</v>
      </c>
      <c r="AM27" s="109">
        <f t="shared" si="14"/>
        <v>-0.23580706358120587</v>
      </c>
      <c r="AN27" s="109">
        <f t="shared" si="14"/>
        <v>-0.24243692741410347</v>
      </c>
      <c r="AO27" s="109">
        <f t="shared" si="14"/>
        <v>-0.2449039416948636</v>
      </c>
      <c r="AP27" s="109">
        <f t="shared" si="14"/>
        <v>-0.23241296162629727</v>
      </c>
      <c r="AQ27" s="109">
        <f t="shared" si="14"/>
        <v>0.7801868196834475</v>
      </c>
      <c r="AR27" s="109">
        <f t="shared" si="14"/>
        <v>0.79500964949096875</v>
      </c>
      <c r="AS27" s="109">
        <f t="shared" si="14"/>
        <v>0.81880465418437109</v>
      </c>
      <c r="AT27" s="109">
        <f t="shared" si="14"/>
        <v>0.78232199081437481</v>
      </c>
      <c r="AU27" s="109">
        <f t="shared" si="14"/>
        <v>3.9300994906449789E-2</v>
      </c>
      <c r="AV27" s="109">
        <f t="shared" si="14"/>
        <v>3.0645652327347481E-2</v>
      </c>
      <c r="AW27" s="109">
        <f t="shared" si="14"/>
        <v>0.45814613455447967</v>
      </c>
      <c r="AX27" s="109">
        <f t="shared" si="14"/>
        <v>0.44267872770184297</v>
      </c>
      <c r="AY27" s="109">
        <f t="shared" si="14"/>
        <v>0.41493206772065216</v>
      </c>
      <c r="AZ27" s="109">
        <f t="shared" si="14"/>
        <v>0.41414425652270848</v>
      </c>
      <c r="BA27" s="109">
        <f t="shared" si="14"/>
        <v>-1.0187998301050728E-2</v>
      </c>
      <c r="BB27" s="109">
        <f t="shared" si="14"/>
        <v>-1.7830898063460655E-2</v>
      </c>
      <c r="BC27" s="109">
        <f t="shared" si="14"/>
        <v>-6.3671119397019527E-2</v>
      </c>
      <c r="BD27" s="109">
        <f t="shared" si="14"/>
        <v>-6.5472275883202619E-2</v>
      </c>
      <c r="BE27" s="109">
        <f t="shared" si="14"/>
        <v>-8.0712064735781838E-2</v>
      </c>
      <c r="BF27" s="109">
        <f t="shared" si="14"/>
        <v>16.78791198421424</v>
      </c>
      <c r="BG27" s="109">
        <f t="shared" si="14"/>
        <v>17.844614418617208</v>
      </c>
      <c r="BH27" s="109">
        <f t="shared" si="14"/>
        <v>17.635305746096478</v>
      </c>
      <c r="BI27" s="109">
        <f t="shared" si="14"/>
        <v>11.696471213163591</v>
      </c>
      <c r="BJ27" s="109">
        <f t="shared" si="14"/>
        <v>-0.32450135738415403</v>
      </c>
      <c r="BK27" s="109">
        <f t="shared" si="14"/>
        <v>-0.92807745013455045</v>
      </c>
      <c r="BL27" s="109">
        <f t="shared" si="14"/>
        <v>-0.93383078848309586</v>
      </c>
      <c r="BM27" s="109">
        <f t="shared" si="14"/>
        <v>-0.91524954754436605</v>
      </c>
      <c r="BN27" s="109">
        <f t="shared" si="14"/>
        <v>-0.9156877095454804</v>
      </c>
      <c r="BO27" s="109">
        <f t="shared" si="14"/>
        <v>1.8366993731103738</v>
      </c>
      <c r="BP27" s="109">
        <f t="shared" si="14"/>
        <v>0.13049497666776358</v>
      </c>
      <c r="BQ27" s="109">
        <f t="shared" si="14"/>
        <v>1.9144303849625242</v>
      </c>
      <c r="BR27" s="109">
        <f t="shared" ref="BR27:CL27" si="15">(BR3-BV3)/BV3</f>
        <v>1.6580969479703307</v>
      </c>
      <c r="BS27" s="109">
        <f t="shared" si="15"/>
        <v>-0.31903557236737151</v>
      </c>
      <c r="BT27" s="109">
        <f t="shared" si="15"/>
        <v>0.8886102744002653</v>
      </c>
      <c r="BU27" s="109">
        <f t="shared" si="15"/>
        <v>-0.22709874072736963</v>
      </c>
      <c r="BV27" s="109">
        <f t="shared" si="15"/>
        <v>-0.1481600146790919</v>
      </c>
      <c r="BW27" s="109">
        <f t="shared" si="15"/>
        <v>-0.10364784158998364</v>
      </c>
      <c r="BX27" s="109">
        <f t="shared" si="15"/>
        <v>8.094779429513947</v>
      </c>
      <c r="BY27" s="109">
        <f t="shared" si="15"/>
        <v>7.2976220363585655</v>
      </c>
      <c r="BZ27" s="109">
        <f t="shared" si="15"/>
        <v>7.2976220363585655</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c r="A28" s="143" t="s">
        <v>562</v>
      </c>
      <c r="E28" s="109">
        <f>E3/E9</f>
        <v>0</v>
      </c>
      <c r="F28" s="109">
        <f t="shared" ref="F28:BQ28" si="16">F3/F9</f>
        <v>0</v>
      </c>
      <c r="G28" s="109">
        <f t="shared" si="16"/>
        <v>0</v>
      </c>
      <c r="H28" s="109">
        <f t="shared" si="16"/>
        <v>0</v>
      </c>
      <c r="I28" s="109">
        <f t="shared" si="16"/>
        <v>0</v>
      </c>
      <c r="J28" s="109">
        <f t="shared" si="16"/>
        <v>0</v>
      </c>
      <c r="K28" s="109">
        <f t="shared" si="16"/>
        <v>0</v>
      </c>
      <c r="L28" s="109">
        <f t="shared" si="16"/>
        <v>0</v>
      </c>
      <c r="M28" s="109">
        <f t="shared" si="16"/>
        <v>0</v>
      </c>
      <c r="N28" s="109">
        <f t="shared" si="16"/>
        <v>0</v>
      </c>
      <c r="O28" s="109">
        <f t="shared" si="16"/>
        <v>0</v>
      </c>
      <c r="P28" s="109">
        <f t="shared" si="16"/>
        <v>0</v>
      </c>
      <c r="Q28" s="109">
        <f t="shared" si="16"/>
        <v>0</v>
      </c>
      <c r="R28" s="109">
        <f t="shared" si="16"/>
        <v>0</v>
      </c>
      <c r="S28" s="109">
        <f t="shared" si="16"/>
        <v>0</v>
      </c>
      <c r="T28" s="109">
        <f t="shared" si="16"/>
        <v>7.5112349789303048E-2</v>
      </c>
      <c r="U28" s="109">
        <f t="shared" si="16"/>
        <v>8.1428689193031381E-2</v>
      </c>
      <c r="V28" s="109">
        <f t="shared" si="16"/>
        <v>8.4091414359449362E-2</v>
      </c>
      <c r="W28" s="109">
        <f t="shared" si="16"/>
        <v>8.5977334070527864E-2</v>
      </c>
      <c r="X28" s="109">
        <f t="shared" si="16"/>
        <v>6.0501923840702597E-2</v>
      </c>
      <c r="Y28" s="109">
        <f t="shared" si="16"/>
        <v>5.926973438092719E-2</v>
      </c>
      <c r="Z28" s="109">
        <f t="shared" si="16"/>
        <v>0.11327144648633454</v>
      </c>
      <c r="AA28" s="109">
        <f t="shared" si="16"/>
        <v>0.11580813237791095</v>
      </c>
      <c r="AB28" s="109">
        <f t="shared" si="16"/>
        <v>0.11808812935396851</v>
      </c>
      <c r="AC28" s="109">
        <f t="shared" si="16"/>
        <v>0.12045654120203031</v>
      </c>
      <c r="AD28" s="109">
        <f t="shared" si="16"/>
        <v>0.12778165868783276</v>
      </c>
      <c r="AE28" s="109">
        <f t="shared" si="16"/>
        <v>0.12967250440906045</v>
      </c>
      <c r="AF28" s="109">
        <f t="shared" si="16"/>
        <v>0.13294189716640006</v>
      </c>
      <c r="AG28" s="109">
        <f t="shared" si="16"/>
        <v>0.13495672215550583</v>
      </c>
      <c r="AH28" s="109">
        <f t="shared" si="16"/>
        <v>0.12695219270003957</v>
      </c>
      <c r="AI28" s="109">
        <f t="shared" si="16"/>
        <v>1.0898625944070392E-4</v>
      </c>
      <c r="AJ28" s="109">
        <f t="shared" si="16"/>
        <v>0.29859872508620383</v>
      </c>
      <c r="AK28" s="109">
        <f t="shared" si="16"/>
        <v>0.31481816331594376</v>
      </c>
      <c r="AL28" s="109">
        <f t="shared" si="16"/>
        <v>0.2838305763895464</v>
      </c>
      <c r="AM28" s="109">
        <f t="shared" si="16"/>
        <v>0.22684822543293134</v>
      </c>
      <c r="AN28" s="109">
        <f t="shared" si="16"/>
        <v>0.24750011311385389</v>
      </c>
      <c r="AO28" s="109">
        <f t="shared" si="16"/>
        <v>0.22050513162468374</v>
      </c>
      <c r="AP28" s="109">
        <f t="shared" si="16"/>
        <v>0.22882503341495666</v>
      </c>
      <c r="AQ28" s="109">
        <f t="shared" si="16"/>
        <v>0.2724908781224939</v>
      </c>
      <c r="AR28" s="109">
        <f t="shared" si="16"/>
        <v>0.26097894913667868</v>
      </c>
      <c r="AS28" s="109">
        <f t="shared" si="16"/>
        <v>0.23995563540892004</v>
      </c>
      <c r="AT28" s="109">
        <f t="shared" si="16"/>
        <v>0.26523854632540522</v>
      </c>
      <c r="AU28" s="109">
        <f t="shared" si="16"/>
        <v>0.17280715848635989</v>
      </c>
      <c r="AV28" s="109">
        <f t="shared" si="16"/>
        <v>0.17113196589318316</v>
      </c>
      <c r="AW28" s="109">
        <f t="shared" si="16"/>
        <v>0.17749718058778005</v>
      </c>
      <c r="AX28" s="109">
        <f t="shared" si="16"/>
        <v>0.17761588434228184</v>
      </c>
      <c r="AY28" s="109">
        <f t="shared" si="16"/>
        <v>0.17327281491342522</v>
      </c>
      <c r="AZ28" s="109">
        <f t="shared" si="16"/>
        <v>0.17092333741522386</v>
      </c>
      <c r="BA28" s="109">
        <f t="shared" si="16"/>
        <v>0.12991695846836493</v>
      </c>
      <c r="BB28" s="109">
        <f t="shared" si="16"/>
        <v>0.13193207792494094</v>
      </c>
      <c r="BC28" s="109">
        <f t="shared" si="16"/>
        <v>0.12991203201173973</v>
      </c>
      <c r="BD28" s="109">
        <f t="shared" si="16"/>
        <v>0.12742032958901778</v>
      </c>
      <c r="BE28" s="109">
        <f t="shared" si="16"/>
        <v>0.12705441590986152</v>
      </c>
      <c r="BF28" s="109">
        <f t="shared" si="16"/>
        <v>0.18645591492490809</v>
      </c>
      <c r="BG28" s="109">
        <f t="shared" si="16"/>
        <v>0.12187453909136808</v>
      </c>
      <c r="BH28" s="109">
        <f t="shared" si="16"/>
        <v>0.12536070776106137</v>
      </c>
      <c r="BI28" s="109">
        <f t="shared" si="16"/>
        <v>0.12475583577296899</v>
      </c>
      <c r="BJ28" s="109">
        <f t="shared" si="16"/>
        <v>6.4147522824560942E-3</v>
      </c>
      <c r="BK28" s="109">
        <f t="shared" si="16"/>
        <v>6.0726313974534445E-3</v>
      </c>
      <c r="BL28" s="109">
        <f t="shared" si="16"/>
        <v>6.2285846133429863E-3</v>
      </c>
      <c r="BM28" s="109">
        <f t="shared" si="16"/>
        <v>9.0252600135107396E-3</v>
      </c>
      <c r="BN28" s="109">
        <f t="shared" si="16"/>
        <v>8.7321578955810789E-3</v>
      </c>
      <c r="BO28" s="109">
        <f t="shared" si="16"/>
        <v>6.0692284972565499E-2</v>
      </c>
      <c r="BP28" s="109">
        <f t="shared" si="16"/>
        <v>7.8835305879169093E-2</v>
      </c>
      <c r="BQ28" s="109">
        <f t="shared" si="16"/>
        <v>7.9742839728077011E-2</v>
      </c>
      <c r="BR28" s="109">
        <f t="shared" ref="BR28:CK28" si="17">BR3/BR9</f>
        <v>8.0836173978210274E-2</v>
      </c>
      <c r="BS28" s="109">
        <f t="shared" si="17"/>
        <v>2.5223589618170041E-2</v>
      </c>
      <c r="BT28" s="109">
        <f t="shared" si="17"/>
        <v>6.1573330177756382E-2</v>
      </c>
      <c r="BU28" s="109">
        <f t="shared" si="17"/>
        <v>3.2646203317488513E-2</v>
      </c>
      <c r="BV28" s="109">
        <f t="shared" si="17"/>
        <v>2.877956359194711E-2</v>
      </c>
      <c r="BW28" s="109">
        <f t="shared" si="17"/>
        <v>4.0790033753508675E-2</v>
      </c>
      <c r="BX28" s="109">
        <f t="shared" si="17"/>
        <v>4.6372419401514035E-2</v>
      </c>
      <c r="BY28" s="109">
        <f t="shared" si="17"/>
        <v>5.2637604754128466E-2</v>
      </c>
      <c r="BZ28" s="109">
        <f t="shared" si="17"/>
        <v>5.5945288459870492E-2</v>
      </c>
      <c r="CA28" s="109">
        <f t="shared" si="17"/>
        <v>6.9372258473832341E-2</v>
      </c>
      <c r="CB28" s="109">
        <f t="shared" si="17"/>
        <v>7.0260868302624777E-3</v>
      </c>
      <c r="CC28" s="109">
        <f t="shared" si="17"/>
        <v>9.8212065954472912E-3</v>
      </c>
      <c r="CD28" s="109">
        <f t="shared" si="17"/>
        <v>1.102851570518007E-2</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c r="A29" s="142" t="s">
        <v>571</v>
      </c>
      <c r="E29" s="108">
        <f>(E4-I4)/I4</f>
        <v>-1.1207738985511375</v>
      </c>
      <c r="F29" s="108">
        <f t="shared" ref="F29:BQ29" si="18">(F4-J4)/J4</f>
        <v>-1.7527316938919095</v>
      </c>
      <c r="G29" s="108">
        <f t="shared" si="18"/>
        <v>-1.4524480795520831</v>
      </c>
      <c r="H29" s="108">
        <f t="shared" si="18"/>
        <v>-2.6284970793535436</v>
      </c>
      <c r="I29" s="108">
        <f t="shared" si="18"/>
        <v>0.357713224752986</v>
      </c>
      <c r="J29" s="108">
        <f t="shared" si="18"/>
        <v>0.78411062055236913</v>
      </c>
      <c r="K29" s="108">
        <f t="shared" si="18"/>
        <v>2.2294057445405766</v>
      </c>
      <c r="L29" s="108">
        <f t="shared" si="18"/>
        <v>4.3320870281337767</v>
      </c>
      <c r="M29" s="108">
        <f t="shared" si="18"/>
        <v>84.212535125416665</v>
      </c>
      <c r="N29" s="108">
        <f t="shared" si="18"/>
        <v>-2.2559587592499923</v>
      </c>
      <c r="O29" s="108">
        <f t="shared" si="18"/>
        <v>-1.7327262207967833</v>
      </c>
      <c r="P29" s="108">
        <f t="shared" si="18"/>
        <v>-1.344948767467369</v>
      </c>
      <c r="Q29" s="108">
        <f t="shared" si="18"/>
        <v>-1.0127531456734291</v>
      </c>
      <c r="R29" s="108">
        <f t="shared" si="18"/>
        <v>-0.68218284774969229</v>
      </c>
      <c r="S29" s="108">
        <f t="shared" si="18"/>
        <v>-0.59970854757498304</v>
      </c>
      <c r="T29" s="108">
        <f t="shared" si="18"/>
        <v>-0.4735602749652979</v>
      </c>
      <c r="U29" s="108">
        <f t="shared" si="18"/>
        <v>-0.47787538165158483</v>
      </c>
      <c r="V29" s="108">
        <f t="shared" si="18"/>
        <v>-7.4446628232449588E-2</v>
      </c>
      <c r="W29" s="108">
        <f t="shared" si="18"/>
        <v>0.13649261755809561</v>
      </c>
      <c r="X29" s="108">
        <f t="shared" si="18"/>
        <v>0.32342537682853428</v>
      </c>
      <c r="Y29" s="108">
        <f t="shared" si="18"/>
        <v>0.47095841284897572</v>
      </c>
      <c r="Z29" s="108">
        <f t="shared" si="18"/>
        <v>0.11637550247811307</v>
      </c>
      <c r="AA29" s="108">
        <f t="shared" si="18"/>
        <v>0.13970082376553866</v>
      </c>
      <c r="AB29" s="108">
        <f t="shared" si="18"/>
        <v>0.14397740161983599</v>
      </c>
      <c r="AC29" s="108">
        <f t="shared" si="18"/>
        <v>0.32885051279255062</v>
      </c>
      <c r="AD29" s="108">
        <f t="shared" si="18"/>
        <v>0.37342778389443193</v>
      </c>
      <c r="AE29" s="108">
        <f t="shared" si="18"/>
        <v>1.0539555703636874</v>
      </c>
      <c r="AF29" s="108">
        <f t="shared" si="18"/>
        <v>0.10114130456741681</v>
      </c>
      <c r="AG29" s="108">
        <f t="shared" si="18"/>
        <v>-8.5151786835605259E-2</v>
      </c>
      <c r="AH29" s="108">
        <f t="shared" si="18"/>
        <v>2.4169922761615396E-3</v>
      </c>
      <c r="AI29" s="108">
        <f t="shared" si="18"/>
        <v>-0.32676784075378573</v>
      </c>
      <c r="AJ29" s="108">
        <f t="shared" si="18"/>
        <v>0.3632214232494369</v>
      </c>
      <c r="AK29" s="108">
        <f t="shared" si="18"/>
        <v>0.47043561146919466</v>
      </c>
      <c r="AL29" s="108">
        <f t="shared" si="18"/>
        <v>0.43748155978910835</v>
      </c>
      <c r="AM29" s="108">
        <f t="shared" si="18"/>
        <v>1.0249878200400471</v>
      </c>
      <c r="AN29" s="108">
        <f t="shared" si="18"/>
        <v>1.0590938769935112</v>
      </c>
      <c r="AO29" s="108">
        <f t="shared" si="18"/>
        <v>0.74649624451157082</v>
      </c>
      <c r="AP29" s="108">
        <f t="shared" si="18"/>
        <v>0.47968971530396343</v>
      </c>
      <c r="AQ29" s="108">
        <f t="shared" si="18"/>
        <v>9.3416116024035559E-2</v>
      </c>
      <c r="AR29" s="108">
        <f t="shared" si="18"/>
        <v>7.2339663649161237E-2</v>
      </c>
      <c r="AS29" s="108">
        <f t="shared" si="18"/>
        <v>-9.2654129298030005E-2</v>
      </c>
      <c r="AT29" s="108">
        <f t="shared" si="18"/>
        <v>0.32126936314915416</v>
      </c>
      <c r="AU29" s="108">
        <f t="shared" si="18"/>
        <v>0.25622522335603892</v>
      </c>
      <c r="AV29" s="108">
        <f t="shared" si="18"/>
        <v>6.2941932359224115E-2</v>
      </c>
      <c r="AW29" s="108">
        <f t="shared" si="18"/>
        <v>-7.7690574686219947E-3</v>
      </c>
      <c r="AX29" s="108">
        <f t="shared" si="18"/>
        <v>-0.17660403359363364</v>
      </c>
      <c r="AY29" s="108">
        <f t="shared" si="18"/>
        <v>0.69841701421768387</v>
      </c>
      <c r="AZ29" s="108">
        <f t="shared" si="18"/>
        <v>3.797206831033427</v>
      </c>
      <c r="BA29" s="108">
        <f t="shared" si="18"/>
        <v>0.5202173483588074</v>
      </c>
      <c r="BB29" s="108">
        <f t="shared" si="18"/>
        <v>-0.47995864555261558</v>
      </c>
      <c r="BC29" s="108">
        <f t="shared" si="18"/>
        <v>3.6075767775199239</v>
      </c>
      <c r="BD29" s="108">
        <f t="shared" si="18"/>
        <v>2.3301242702848288</v>
      </c>
      <c r="BE29" s="108">
        <f t="shared" si="18"/>
        <v>3.2699758273926496</v>
      </c>
      <c r="BF29" s="108">
        <f t="shared" si="18"/>
        <v>43.81772319808173</v>
      </c>
      <c r="BG29" s="108">
        <f t="shared" si="18"/>
        <v>-0.17120183581055187</v>
      </c>
      <c r="BH29" s="108">
        <f t="shared" si="18"/>
        <v>0.69527784969583672</v>
      </c>
      <c r="BI29" s="108">
        <f t="shared" si="18"/>
        <v>-3.2252292157150787E-2</v>
      </c>
      <c r="BJ29" s="108">
        <f t="shared" si="18"/>
        <v>614.38143292106292</v>
      </c>
      <c r="BK29" s="108">
        <f t="shared" si="18"/>
        <v>-1.0529788419661199</v>
      </c>
      <c r="BL29" s="108">
        <f t="shared" si="18"/>
        <v>-1.0439278042718976</v>
      </c>
      <c r="BM29" s="108">
        <f t="shared" si="18"/>
        <v>-1.1316409124997109</v>
      </c>
      <c r="BN29" s="108">
        <f t="shared" si="18"/>
        <v>-1.0000548254148054</v>
      </c>
      <c r="BO29" s="108">
        <f t="shared" si="18"/>
        <v>6.2558596362304844</v>
      </c>
      <c r="BP29" s="108">
        <f t="shared" si="18"/>
        <v>-0.51582974420786498</v>
      </c>
      <c r="BQ29" s="108">
        <f t="shared" si="18"/>
        <v>5.5198511228595768</v>
      </c>
      <c r="BR29" s="108">
        <f t="shared" ref="BR29:CK29" si="19">(BR4-BV4)/BV4</f>
        <v>-0.29204121844704867</v>
      </c>
      <c r="BS29" s="108">
        <f t="shared" si="19"/>
        <v>-0.52500372340740575</v>
      </c>
      <c r="BT29" s="108">
        <f t="shared" si="19"/>
        <v>14.121497505318299</v>
      </c>
      <c r="BU29" s="108">
        <f t="shared" si="19"/>
        <v>17.324134413954752</v>
      </c>
      <c r="BV29" s="108">
        <f t="shared" si="19"/>
        <v>27.081382784395579</v>
      </c>
      <c r="BW29" s="108" t="e">
        <f t="shared" si="19"/>
        <v>#DIV/0!</v>
      </c>
      <c r="BX29" s="108">
        <f t="shared" si="19"/>
        <v>-0.76239542903569646</v>
      </c>
      <c r="BY29" s="108">
        <f t="shared" si="19"/>
        <v>-0.96000809347604599</v>
      </c>
      <c r="BZ29" s="108">
        <f t="shared" si="19"/>
        <v>-0.32272793468129907</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c r="A30" s="142" t="s">
        <v>555</v>
      </c>
      <c r="E30" s="108">
        <f>(E5-I5)/I5</f>
        <v>0.3696079726729275</v>
      </c>
      <c r="F30" s="108">
        <f t="shared" ref="F30:BQ30" si="20">(F5-J5)/J5</f>
        <v>0.37573968739991825</v>
      </c>
      <c r="G30" s="108">
        <f t="shared" si="20"/>
        <v>0.50212681680262783</v>
      </c>
      <c r="H30" s="108">
        <f t="shared" si="20"/>
        <v>0.42866928061129972</v>
      </c>
      <c r="I30" s="108">
        <f t="shared" si="20"/>
        <v>0.48038871030806557</v>
      </c>
      <c r="J30" s="108">
        <f t="shared" si="20"/>
        <v>0.63275580551349753</v>
      </c>
      <c r="K30" s="108">
        <f t="shared" si="20"/>
        <v>0.44389333609842957</v>
      </c>
      <c r="L30" s="108">
        <f t="shared" si="20"/>
        <v>0.49473142335375575</v>
      </c>
      <c r="M30" s="108">
        <f t="shared" si="20"/>
        <v>0.4532433340494868</v>
      </c>
      <c r="N30" s="108">
        <f t="shared" si="20"/>
        <v>0.43857796465424947</v>
      </c>
      <c r="O30" s="108">
        <f t="shared" si="20"/>
        <v>0.39862672026093932</v>
      </c>
      <c r="P30" s="108">
        <f t="shared" si="20"/>
        <v>0.54085328150506506</v>
      </c>
      <c r="Q30" s="108">
        <f t="shared" si="20"/>
        <v>0.46035140347032638</v>
      </c>
      <c r="R30" s="108">
        <f t="shared" si="20"/>
        <v>0.39386862023008817</v>
      </c>
      <c r="S30" s="108">
        <f t="shared" si="20"/>
        <v>0.3742931679667546</v>
      </c>
      <c r="T30" s="108">
        <f t="shared" si="20"/>
        <v>0.13446127880839617</v>
      </c>
      <c r="U30" s="108">
        <f t="shared" si="20"/>
        <v>0.33062339647323369</v>
      </c>
      <c r="V30" s="108">
        <f t="shared" si="20"/>
        <v>0.25890551377803306</v>
      </c>
      <c r="W30" s="108">
        <f t="shared" si="20"/>
        <v>0.20020307740535936</v>
      </c>
      <c r="X30" s="108">
        <f t="shared" si="20"/>
        <v>0.3200362746053016</v>
      </c>
      <c r="Y30" s="108">
        <f t="shared" si="20"/>
        <v>0.18230192852389929</v>
      </c>
      <c r="Z30" s="108">
        <f t="shared" si="20"/>
        <v>0.1537729769881187</v>
      </c>
      <c r="AA30" s="108">
        <f t="shared" si="20"/>
        <v>0.3511881785296212</v>
      </c>
      <c r="AB30" s="108">
        <f t="shared" si="20"/>
        <v>0.24139287503718718</v>
      </c>
      <c r="AC30" s="108">
        <f t="shared" si="20"/>
        <v>0.1188171152889531</v>
      </c>
      <c r="AD30" s="108">
        <f t="shared" si="20"/>
        <v>0.19655495371108023</v>
      </c>
      <c r="AE30" s="108">
        <f t="shared" si="20"/>
        <v>-0.14603661928653688</v>
      </c>
      <c r="AF30" s="108">
        <f t="shared" si="20"/>
        <v>1.0535044161401312</v>
      </c>
      <c r="AG30" s="108">
        <f t="shared" si="20"/>
        <v>2.8431035421790205</v>
      </c>
      <c r="AH30" s="108">
        <f t="shared" si="20"/>
        <v>3.3647781947893374</v>
      </c>
      <c r="AI30" s="108">
        <f t="shared" si="20"/>
        <v>3.4768201896784792</v>
      </c>
      <c r="AJ30" s="108">
        <f t="shared" si="20"/>
        <v>0.76504452111367516</v>
      </c>
      <c r="AK30" s="108">
        <f t="shared" si="20"/>
        <v>0.15001984268033522</v>
      </c>
      <c r="AL30" s="108">
        <f t="shared" si="20"/>
        <v>-0.16311355256225296</v>
      </c>
      <c r="AM30" s="108">
        <f t="shared" si="20"/>
        <v>-0.22664102991228441</v>
      </c>
      <c r="AN30" s="108">
        <f t="shared" si="20"/>
        <v>-0.10923577347851864</v>
      </c>
      <c r="AO30" s="108">
        <f t="shared" si="20"/>
        <v>-0.34151829854014842</v>
      </c>
      <c r="AP30" s="108">
        <f t="shared" si="20"/>
        <v>0.17414558481275427</v>
      </c>
      <c r="AQ30" s="108">
        <f t="shared" si="20"/>
        <v>0.25905597941007724</v>
      </c>
      <c r="AR30" s="108">
        <f t="shared" si="20"/>
        <v>0.22760874394852743</v>
      </c>
      <c r="AS30" s="108">
        <f t="shared" si="20"/>
        <v>0.41907681322274171</v>
      </c>
      <c r="AT30" s="108">
        <f t="shared" si="20"/>
        <v>0.38705355539530145</v>
      </c>
      <c r="AU30" s="108">
        <f t="shared" si="20"/>
        <v>0.774886762128014</v>
      </c>
      <c r="AV30" s="108">
        <f t="shared" si="20"/>
        <v>5.7769292340923852E-2</v>
      </c>
      <c r="AW30" s="108">
        <f t="shared" si="20"/>
        <v>0.62198449016495772</v>
      </c>
      <c r="AX30" s="108">
        <f t="shared" si="20"/>
        <v>-0.16438195186660201</v>
      </c>
      <c r="AY30" s="108">
        <f t="shared" si="20"/>
        <v>-0.83677673035021016</v>
      </c>
      <c r="AZ30" s="108">
        <f t="shared" si="20"/>
        <v>-0.77183355845455071</v>
      </c>
      <c r="BA30" s="108">
        <f t="shared" si="20"/>
        <v>-0.82397982311432427</v>
      </c>
      <c r="BB30" s="108">
        <f t="shared" si="20"/>
        <v>0.19335402267572951</v>
      </c>
      <c r="BC30" s="108">
        <f t="shared" si="20"/>
        <v>0.2784177302011499</v>
      </c>
      <c r="BD30" s="108">
        <f t="shared" si="20"/>
        <v>0.26722039640068623</v>
      </c>
      <c r="BE30" s="108">
        <f t="shared" si="20"/>
        <v>2.4443251208073752E-3</v>
      </c>
      <c r="BF30" s="108">
        <f t="shared" si="20"/>
        <v>-0.82070956797305172</v>
      </c>
      <c r="BG30" s="108">
        <f t="shared" si="20"/>
        <v>-0.15059280503542816</v>
      </c>
      <c r="BH30" s="108">
        <f t="shared" si="20"/>
        <v>-0.22708810714749164</v>
      </c>
      <c r="BI30" s="108">
        <f t="shared" si="20"/>
        <v>4.6683772277278476E-2</v>
      </c>
      <c r="BJ30" s="108">
        <f t="shared" si="20"/>
        <v>-0.15424095401503501</v>
      </c>
      <c r="BK30" s="108">
        <f t="shared" si="20"/>
        <v>-0.46878028120787396</v>
      </c>
      <c r="BL30" s="108">
        <f t="shared" si="20"/>
        <v>4.030271566941903E-2</v>
      </c>
      <c r="BM30" s="108">
        <f t="shared" si="20"/>
        <v>-0.4740065286512532</v>
      </c>
      <c r="BN30" s="108">
        <f t="shared" si="20"/>
        <v>-0.35554403567653015</v>
      </c>
      <c r="BO30" s="108">
        <f t="shared" si="20"/>
        <v>0.53282524578479551</v>
      </c>
      <c r="BP30" s="108">
        <f t="shared" si="20"/>
        <v>-0.32777480331034498</v>
      </c>
      <c r="BQ30" s="108">
        <f t="shared" si="20"/>
        <v>1.697667826614047</v>
      </c>
      <c r="BR30" s="108">
        <f t="shared" ref="BR30:CK30" si="21">(BR5-BV5)/BV5</f>
        <v>4.0748954391878811E-2</v>
      </c>
      <c r="BS30" s="108">
        <f t="shared" si="21"/>
        <v>0.87991713295762075</v>
      </c>
      <c r="BT30" s="108">
        <f t="shared" si="21"/>
        <v>2.0744060408731197</v>
      </c>
      <c r="BU30" s="108">
        <f t="shared" si="21"/>
        <v>-3.9058946598851972E-2</v>
      </c>
      <c r="BV30" s="108">
        <f t="shared" si="21"/>
        <v>1.5199374869398365</v>
      </c>
      <c r="BW30" s="108" t="e">
        <f t="shared" si="21"/>
        <v>#DIV/0!</v>
      </c>
      <c r="BX30" s="108">
        <f t="shared" si="21"/>
        <v>-0.36420159388621282</v>
      </c>
      <c r="BY30" s="108">
        <f t="shared" si="21"/>
        <v>-0.12606563389155923</v>
      </c>
      <c r="BZ30" s="108">
        <f t="shared" si="21"/>
        <v>-8.5456232413951214E-2</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c r="A31" s="142" t="s">
        <v>556</v>
      </c>
      <c r="E31" s="108">
        <f>(E6-I6)/I6</f>
        <v>1.3014906235817967</v>
      </c>
      <c r="F31" s="108">
        <f t="shared" ref="F31:BQ31" si="22">(F6-J6)/J6</f>
        <v>1.1675245367439231</v>
      </c>
      <c r="G31" s="108">
        <f t="shared" si="22"/>
        <v>2.0485204145124203</v>
      </c>
      <c r="H31" s="108">
        <f t="shared" si="22"/>
        <v>3.4247299243024236</v>
      </c>
      <c r="I31" s="108">
        <f t="shared" si="22"/>
        <v>0.56903185733867567</v>
      </c>
      <c r="J31" s="108">
        <f t="shared" si="22"/>
        <v>0.58280513906530107</v>
      </c>
      <c r="K31" s="108">
        <f t="shared" si="22"/>
        <v>4.4968603648208273E-3</v>
      </c>
      <c r="L31" s="108">
        <f t="shared" si="22"/>
        <v>-0.12347261221161472</v>
      </c>
      <c r="M31" s="108">
        <f t="shared" si="22"/>
        <v>-0.15027891572340385</v>
      </c>
      <c r="N31" s="108">
        <f t="shared" si="22"/>
        <v>-0.1577577311487372</v>
      </c>
      <c r="O31" s="108">
        <f t="shared" si="22"/>
        <v>-0.18486670650218337</v>
      </c>
      <c r="P31" s="108">
        <f t="shared" si="22"/>
        <v>-0.18071399639483332</v>
      </c>
      <c r="Q31" s="108">
        <f t="shared" si="22"/>
        <v>-0.20299267123481743</v>
      </c>
      <c r="R31" s="108">
        <f t="shared" si="22"/>
        <v>-0.20319016869981704</v>
      </c>
      <c r="S31" s="108">
        <f t="shared" si="22"/>
        <v>-0.17516230267324903</v>
      </c>
      <c r="T31" s="108">
        <f t="shared" si="22"/>
        <v>-0.21323279977485721</v>
      </c>
      <c r="U31" s="108">
        <f t="shared" si="22"/>
        <v>-0.21602842314140502</v>
      </c>
      <c r="V31" s="108">
        <f t="shared" si="22"/>
        <v>4.9226451762483692E-2</v>
      </c>
      <c r="W31" s="108">
        <f t="shared" si="22"/>
        <v>0.16341134850066596</v>
      </c>
      <c r="X31" s="108">
        <f t="shared" si="22"/>
        <v>0.32197218765916347</v>
      </c>
      <c r="Y31" s="108">
        <f t="shared" si="22"/>
        <v>0.3631702234876279</v>
      </c>
      <c r="Z31" s="108">
        <f t="shared" si="22"/>
        <v>0.12996358850355161</v>
      </c>
      <c r="AA31" s="108">
        <f t="shared" si="22"/>
        <v>0.22040905536208266</v>
      </c>
      <c r="AB31" s="108">
        <f t="shared" si="22"/>
        <v>0.18380995708716963</v>
      </c>
      <c r="AC31" s="108">
        <f t="shared" si="22"/>
        <v>0.24180010551702794</v>
      </c>
      <c r="AD31" s="108">
        <f t="shared" si="22"/>
        <v>0.30342267112319471</v>
      </c>
      <c r="AE31" s="108">
        <f t="shared" si="22"/>
        <v>0.33698736065486368</v>
      </c>
      <c r="AF31" s="108">
        <f t="shared" si="22"/>
        <v>0.35882041414851662</v>
      </c>
      <c r="AG31" s="108">
        <f t="shared" si="22"/>
        <v>0.33710241478710479</v>
      </c>
      <c r="AH31" s="108">
        <f t="shared" si="22"/>
        <v>0.44210949069863964</v>
      </c>
      <c r="AI31" s="108">
        <f t="shared" si="22"/>
        <v>0.36732334573872211</v>
      </c>
      <c r="AJ31" s="108">
        <f t="shared" si="22"/>
        <v>0.45270279891535647</v>
      </c>
      <c r="AK31" s="108">
        <f t="shared" si="22"/>
        <v>0.41364029791386248</v>
      </c>
      <c r="AL31" s="108">
        <f t="shared" si="22"/>
        <v>0.31415242367606055</v>
      </c>
      <c r="AM31" s="108">
        <f t="shared" si="22"/>
        <v>0.56329063898743226</v>
      </c>
      <c r="AN31" s="108">
        <f t="shared" si="22"/>
        <v>0.59362842381922676</v>
      </c>
      <c r="AO31" s="108">
        <f t="shared" si="22"/>
        <v>0.35085726513353849</v>
      </c>
      <c r="AP31" s="108">
        <f t="shared" si="22"/>
        <v>0.40463148989022069</v>
      </c>
      <c r="AQ31" s="108">
        <f t="shared" si="22"/>
        <v>0.14918492936163788</v>
      </c>
      <c r="AR31" s="108">
        <f t="shared" si="22"/>
        <v>0.12924254998893761</v>
      </c>
      <c r="AS31" s="108">
        <f t="shared" si="22"/>
        <v>4.428196040692662E-2</v>
      </c>
      <c r="AT31" s="108">
        <f t="shared" si="22"/>
        <v>0.33684456117141737</v>
      </c>
      <c r="AU31" s="108">
        <f t="shared" si="22"/>
        <v>0.39330946057152893</v>
      </c>
      <c r="AV31" s="108">
        <f t="shared" si="22"/>
        <v>6.1040405175453706E-2</v>
      </c>
      <c r="AW31" s="108">
        <f t="shared" si="22"/>
        <v>0.10727247964439895</v>
      </c>
      <c r="AX31" s="108">
        <f t="shared" si="22"/>
        <v>-0.17374272500263543</v>
      </c>
      <c r="AY31" s="108">
        <f t="shared" si="22"/>
        <v>-0.51277592807317851</v>
      </c>
      <c r="AZ31" s="108">
        <f t="shared" si="22"/>
        <v>-0.4262711098288679</v>
      </c>
      <c r="BA31" s="108">
        <f t="shared" si="22"/>
        <v>-0.36526254445364709</v>
      </c>
      <c r="BB31" s="108">
        <f t="shared" si="22"/>
        <v>-0.40081250525667589</v>
      </c>
      <c r="BC31" s="108">
        <f t="shared" si="22"/>
        <v>0.50844188234905785</v>
      </c>
      <c r="BD31" s="108">
        <f t="shared" si="22"/>
        <v>0.32950941882178258</v>
      </c>
      <c r="BE31" s="108">
        <f t="shared" si="22"/>
        <v>0.356748024228845</v>
      </c>
      <c r="BF31" s="108">
        <f t="shared" si="22"/>
        <v>0.48078974353773668</v>
      </c>
      <c r="BG31" s="108">
        <f t="shared" si="22"/>
        <v>-0.15204966596982236</v>
      </c>
      <c r="BH31" s="108">
        <f t="shared" si="22"/>
        <v>-0.21417832526016706</v>
      </c>
      <c r="BI31" s="108">
        <f t="shared" si="22"/>
        <v>3.7507621995526437E-2</v>
      </c>
      <c r="BJ31" s="108">
        <f t="shared" si="22"/>
        <v>-0.12887698569777065</v>
      </c>
      <c r="BK31" s="108">
        <f t="shared" si="22"/>
        <v>1.4092074206852372</v>
      </c>
      <c r="BL31" s="108">
        <f t="shared" si="22"/>
        <v>0.58936462199231798</v>
      </c>
      <c r="BM31" s="108">
        <f t="shared" si="22"/>
        <v>0.25456358874759449</v>
      </c>
      <c r="BN31" s="108">
        <f t="shared" si="22"/>
        <v>0.25185038011123245</v>
      </c>
      <c r="BO31" s="108">
        <f t="shared" si="22"/>
        <v>-0.56645178003451879</v>
      </c>
      <c r="BP31" s="108">
        <f t="shared" si="22"/>
        <v>-0.1631789336419</v>
      </c>
      <c r="BQ31" s="108">
        <f t="shared" si="22"/>
        <v>0.63547319160164084</v>
      </c>
      <c r="BR31" s="108">
        <f t="shared" ref="BR31:CK31" si="23">(BR6-BV6)/BV6</f>
        <v>0.86848797861742655</v>
      </c>
      <c r="BS31" s="108">
        <f t="shared" si="23"/>
        <v>3.3529004350008265</v>
      </c>
      <c r="BT31" s="108">
        <f t="shared" si="23"/>
        <v>0.81134769521532313</v>
      </c>
      <c r="BU31" s="108">
        <f t="shared" si="23"/>
        <v>-0.23935804793395232</v>
      </c>
      <c r="BV31" s="108">
        <f t="shared" si="23"/>
        <v>-0.22797689043741165</v>
      </c>
      <c r="BW31" s="108" t="e">
        <f t="shared" si="23"/>
        <v>#DIV/0!</v>
      </c>
      <c r="BX31" s="108">
        <f t="shared" si="23"/>
        <v>-0.22867733574406537</v>
      </c>
      <c r="BY31" s="108">
        <f t="shared" si="23"/>
        <v>0.15075314383310198</v>
      </c>
      <c r="BZ31" s="108">
        <f t="shared" si="23"/>
        <v>-6.3009521724584447E-2</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c r="A32" s="143" t="s">
        <v>558</v>
      </c>
      <c r="E32" s="109">
        <f>(E7-I7)/I7</f>
        <v>0.29047537480180741</v>
      </c>
      <c r="F32" s="109">
        <f t="shared" ref="F32:BQ32" si="24">(F7-J7)/J7</f>
        <v>0.21125470654223097</v>
      </c>
      <c r="G32" s="109">
        <f t="shared" si="24"/>
        <v>8.2158388695581189E-2</v>
      </c>
      <c r="H32" s="109">
        <f t="shared" si="24"/>
        <v>3.8212465113785246E-2</v>
      </c>
      <c r="I32" s="109">
        <f t="shared" si="24"/>
        <v>-5.9811404418944072E-2</v>
      </c>
      <c r="J32" s="109">
        <f t="shared" si="24"/>
        <v>-3.0646410714075568E-2</v>
      </c>
      <c r="K32" s="109">
        <f t="shared" si="24"/>
        <v>-3.2465155707356745E-2</v>
      </c>
      <c r="L32" s="109">
        <f t="shared" si="24"/>
        <v>-2.4629692730636303E-2</v>
      </c>
      <c r="M32" s="109">
        <f t="shared" si="24"/>
        <v>-2.8615569997911927E-2</v>
      </c>
      <c r="N32" s="109">
        <f t="shared" si="24"/>
        <v>-5.4269371812571618E-2</v>
      </c>
      <c r="O32" s="109">
        <f t="shared" si="24"/>
        <v>-4.2338743105446386E-2</v>
      </c>
      <c r="P32" s="109">
        <f t="shared" si="24"/>
        <v>-2.8353459117986358E-2</v>
      </c>
      <c r="Q32" s="109">
        <f t="shared" si="24"/>
        <v>-1.7151013411960715E-2</v>
      </c>
      <c r="R32" s="109">
        <f t="shared" si="24"/>
        <v>-1.5355351586759306E-2</v>
      </c>
      <c r="S32" s="109">
        <f t="shared" si="24"/>
        <v>-3.358684280651749E-2</v>
      </c>
      <c r="T32" s="109">
        <f t="shared" si="24"/>
        <v>-6.2721866843063426E-2</v>
      </c>
      <c r="U32" s="109">
        <f t="shared" si="24"/>
        <v>-9.2153712619843411E-2</v>
      </c>
      <c r="V32" s="109">
        <f t="shared" si="24"/>
        <v>-0.10354967340329384</v>
      </c>
      <c r="W32" s="109">
        <f t="shared" si="24"/>
        <v>-7.690636098490361E-2</v>
      </c>
      <c r="X32" s="109">
        <f t="shared" si="24"/>
        <v>-4.1954552878076326E-2</v>
      </c>
      <c r="Y32" s="109">
        <f t="shared" si="24"/>
        <v>-3.0807114574324255E-2</v>
      </c>
      <c r="Z32" s="109">
        <f t="shared" si="24"/>
        <v>-2.1647999767186399E-2</v>
      </c>
      <c r="AA32" s="109">
        <f t="shared" si="24"/>
        <v>-6.5351356620518775E-2</v>
      </c>
      <c r="AB32" s="109">
        <f t="shared" si="24"/>
        <v>-8.6816171673700357E-2</v>
      </c>
      <c r="AC32" s="109">
        <f t="shared" si="24"/>
        <v>-8.1717212789384014E-2</v>
      </c>
      <c r="AD32" s="109">
        <f t="shared" si="24"/>
        <v>-7.6908969407534306E-2</v>
      </c>
      <c r="AE32" s="109">
        <f t="shared" si="24"/>
        <v>-4.1761690800971057E-2</v>
      </c>
      <c r="AF32" s="109">
        <f t="shared" si="24"/>
        <v>-4.1182231206043279E-2</v>
      </c>
      <c r="AG32" s="109">
        <f t="shared" si="24"/>
        <v>-3.2074144243625598E-2</v>
      </c>
      <c r="AH32" s="109">
        <f t="shared" si="24"/>
        <v>-2.0615532145027114E-2</v>
      </c>
      <c r="AI32" s="109">
        <f t="shared" si="24"/>
        <v>-3.3597668095756282E-2</v>
      </c>
      <c r="AJ32" s="109">
        <f t="shared" si="24"/>
        <v>1.2075837174537289E-3</v>
      </c>
      <c r="AK32" s="109">
        <f t="shared" si="24"/>
        <v>-1.26795448162728E-2</v>
      </c>
      <c r="AL32" s="109">
        <f t="shared" si="24"/>
        <v>-1.5330481791254364E-2</v>
      </c>
      <c r="AM32" s="109">
        <f t="shared" si="24"/>
        <v>1.5340137018751867E-3</v>
      </c>
      <c r="AN32" s="109">
        <f t="shared" si="24"/>
        <v>-1.7464532443679164E-2</v>
      </c>
      <c r="AO32" s="109">
        <f t="shared" si="24"/>
        <v>0.16359218842484372</v>
      </c>
      <c r="AP32" s="109">
        <f t="shared" si="24"/>
        <v>0.15700082086889816</v>
      </c>
      <c r="AQ32" s="109">
        <f t="shared" si="24"/>
        <v>0.23275750686721</v>
      </c>
      <c r="AR32" s="109">
        <f t="shared" si="24"/>
        <v>0.24077627345916514</v>
      </c>
      <c r="AS32" s="109">
        <f t="shared" si="24"/>
        <v>4.1826763445669858E-2</v>
      </c>
      <c r="AT32" s="109">
        <f t="shared" si="24"/>
        <v>-0.10252485464631578</v>
      </c>
      <c r="AU32" s="109">
        <f t="shared" si="24"/>
        <v>-0.19245027686522434</v>
      </c>
      <c r="AV32" s="109">
        <f t="shared" si="24"/>
        <v>-0.19235535640813986</v>
      </c>
      <c r="AW32" s="109">
        <f t="shared" si="24"/>
        <v>-0.1979535683731371</v>
      </c>
      <c r="AX32" s="109">
        <f t="shared" si="24"/>
        <v>-7.0772542794451707E-2</v>
      </c>
      <c r="AY32" s="109">
        <f t="shared" si="24"/>
        <v>-2.2200123847074343E-2</v>
      </c>
      <c r="AZ32" s="109">
        <f t="shared" si="24"/>
        <v>-3.9934755922356867E-2</v>
      </c>
      <c r="BA32" s="109">
        <f t="shared" si="24"/>
        <v>-2.2272628827357629E-2</v>
      </c>
      <c r="BB32" s="109">
        <f t="shared" si="24"/>
        <v>-2.6434628329811409E-2</v>
      </c>
      <c r="BC32" s="109">
        <f t="shared" si="24"/>
        <v>-5.7833917353703863E-2</v>
      </c>
      <c r="BD32" s="109">
        <f t="shared" si="24"/>
        <v>-6.5252276422890068E-2</v>
      </c>
      <c r="BE32" s="109">
        <f t="shared" si="24"/>
        <v>-6.9771286079735012E-2</v>
      </c>
      <c r="BF32" s="109">
        <f t="shared" si="24"/>
        <v>-0.18390843396711734</v>
      </c>
      <c r="BG32" s="109">
        <f t="shared" si="24"/>
        <v>-0.18709016218736713</v>
      </c>
      <c r="BH32" s="109">
        <f t="shared" si="24"/>
        <v>-0.18804039251433657</v>
      </c>
      <c r="BI32" s="109">
        <f t="shared" si="24"/>
        <v>-0.18265192383110043</v>
      </c>
      <c r="BJ32" s="109">
        <f t="shared" si="24"/>
        <v>-7.3482123496455193E-2</v>
      </c>
      <c r="BK32" s="109">
        <f t="shared" si="24"/>
        <v>2.8078670359395611E-2</v>
      </c>
      <c r="BL32" s="109">
        <f t="shared" si="24"/>
        <v>3.2716694764498018E-2</v>
      </c>
      <c r="BM32" s="109">
        <f t="shared" si="24"/>
        <v>5.7067900059681827E-2</v>
      </c>
      <c r="BN32" s="109">
        <f t="shared" si="24"/>
        <v>7.2474306553228604E-2</v>
      </c>
      <c r="BO32" s="109">
        <f t="shared" si="24"/>
        <v>-4.8625401262055529E-2</v>
      </c>
      <c r="BP32" s="109">
        <f t="shared" si="24"/>
        <v>1.9225971518623774E-2</v>
      </c>
      <c r="BQ32" s="109">
        <f t="shared" si="24"/>
        <v>-6.4321919087796817E-2</v>
      </c>
      <c r="BR32" s="109">
        <f t="shared" ref="BR32:CK32" si="25">(BR7-BV7)/BV7</f>
        <v>-4.3965702663307314E-2</v>
      </c>
      <c r="BS32" s="109">
        <f t="shared" si="25"/>
        <v>7.8817935956735571E-2</v>
      </c>
      <c r="BT32" s="109">
        <f t="shared" si="25"/>
        <v>4.0431720973462433E-2</v>
      </c>
      <c r="BU32" s="109">
        <f t="shared" si="25"/>
        <v>0.15159584807221624</v>
      </c>
      <c r="BV32" s="109">
        <f t="shared" si="25"/>
        <v>0.22272766678552641</v>
      </c>
      <c r="BW32" s="109">
        <f t="shared" si="25"/>
        <v>0.33464018349227426</v>
      </c>
      <c r="BX32" s="109">
        <f t="shared" si="25"/>
        <v>0.48633535226848001</v>
      </c>
      <c r="BY32" s="109">
        <f t="shared" si="25"/>
        <v>0.67838042944866794</v>
      </c>
      <c r="BZ32" s="109">
        <f t="shared" si="25"/>
        <v>0.6326237507522835</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c r="A33" s="143" t="s">
        <v>565</v>
      </c>
      <c r="E33" s="109">
        <f>E7/E9</f>
        <v>0.12138546672914255</v>
      </c>
      <c r="F33" s="109">
        <f t="shared" ref="F33:BQ33" si="26">F7/F9</f>
        <v>0.12136513451439926</v>
      </c>
      <c r="G33" s="109">
        <f t="shared" si="26"/>
        <v>0.109019443535514</v>
      </c>
      <c r="H33" s="109">
        <f t="shared" si="26"/>
        <v>0.10700856054677967</v>
      </c>
      <c r="I33" s="109">
        <f t="shared" si="26"/>
        <v>0.1972892823985995</v>
      </c>
      <c r="J33" s="109">
        <f t="shared" si="26"/>
        <v>0.20390634633006294</v>
      </c>
      <c r="K33" s="109">
        <f t="shared" si="26"/>
        <v>0.21855590172601247</v>
      </c>
      <c r="L33" s="109">
        <f t="shared" si="26"/>
        <v>0.21122707042675942</v>
      </c>
      <c r="M33" s="109">
        <f t="shared" si="26"/>
        <v>0.21494778801196324</v>
      </c>
      <c r="N33" s="109">
        <f t="shared" si="26"/>
        <v>0.22350860764468578</v>
      </c>
      <c r="O33" s="109">
        <f t="shared" si="26"/>
        <v>0.2353769910040244</v>
      </c>
      <c r="P33" s="109">
        <f t="shared" si="26"/>
        <v>0.22610644431509674</v>
      </c>
      <c r="Q33" s="109">
        <f t="shared" si="26"/>
        <v>0.26739580345025515</v>
      </c>
      <c r="R33" s="109">
        <f t="shared" si="26"/>
        <v>0.27883154702940349</v>
      </c>
      <c r="S33" s="109">
        <f t="shared" si="26"/>
        <v>0.28256181261386626</v>
      </c>
      <c r="T33" s="109">
        <f t="shared" si="26"/>
        <v>0.31386650555454754</v>
      </c>
      <c r="U33" s="109">
        <f t="shared" si="26"/>
        <v>0.34031202544698363</v>
      </c>
      <c r="V33" s="109">
        <f t="shared" si="26"/>
        <v>0.35742366923841162</v>
      </c>
      <c r="W33" s="109">
        <f t="shared" si="26"/>
        <v>0.37242568604965487</v>
      </c>
      <c r="X33" s="109">
        <f t="shared" si="26"/>
        <v>0.3922096643947296</v>
      </c>
      <c r="Y33" s="109">
        <f t="shared" si="26"/>
        <v>0.39673862036125102</v>
      </c>
      <c r="Z33" s="109">
        <f t="shared" si="26"/>
        <v>0.78092591688533763</v>
      </c>
      <c r="AA33" s="109">
        <f t="shared" si="26"/>
        <v>0.7901925284948581</v>
      </c>
      <c r="AB33" s="109">
        <f t="shared" si="26"/>
        <v>0.79904131961678815</v>
      </c>
      <c r="AC33" s="109">
        <f t="shared" si="26"/>
        <v>0.83193935477054803</v>
      </c>
      <c r="AD33" s="109">
        <f t="shared" si="26"/>
        <v>0.90045657512329413</v>
      </c>
      <c r="AE33" s="109">
        <f t="shared" si="26"/>
        <v>0.94665858942102332</v>
      </c>
      <c r="AF33" s="109">
        <f t="shared" si="26"/>
        <v>0.98506900700848943</v>
      </c>
      <c r="AG33" s="109">
        <f t="shared" si="26"/>
        <v>1.0150311213701553</v>
      </c>
      <c r="AH33" s="109">
        <f t="shared" si="26"/>
        <v>0.96914760679736989</v>
      </c>
      <c r="AI33" s="109">
        <f t="shared" si="26"/>
        <v>0.98890702143154485</v>
      </c>
      <c r="AJ33" s="109">
        <f t="shared" si="26"/>
        <v>0.8719632776234072</v>
      </c>
      <c r="AK33" s="109">
        <f t="shared" si="26"/>
        <v>0.85113268024168276</v>
      </c>
      <c r="AL33" s="109">
        <f t="shared" si="26"/>
        <v>0.76750926771553563</v>
      </c>
      <c r="AM33" s="109">
        <f t="shared" si="26"/>
        <v>0.72795673190435439</v>
      </c>
      <c r="AN33" s="109">
        <f t="shared" si="26"/>
        <v>0.78208844540289002</v>
      </c>
      <c r="AO33" s="109">
        <f t="shared" si="26"/>
        <v>0.71827131306412917</v>
      </c>
      <c r="AP33" s="109">
        <f t="shared" si="26"/>
        <v>0.74465006604271977</v>
      </c>
      <c r="AQ33" s="109">
        <f t="shared" si="26"/>
        <v>0.66720526495954335</v>
      </c>
      <c r="AR33" s="109">
        <f t="shared" si="26"/>
        <v>0.63585268029105402</v>
      </c>
      <c r="AS33" s="109">
        <f t="shared" si="26"/>
        <v>0.50722678684305222</v>
      </c>
      <c r="AT33" s="109">
        <f t="shared" si="26"/>
        <v>0.57263686365585609</v>
      </c>
      <c r="AU33" s="109">
        <f t="shared" si="26"/>
        <v>0.61102242666847451</v>
      </c>
      <c r="AV33" s="109">
        <f t="shared" si="26"/>
        <v>0.60319186399216551</v>
      </c>
      <c r="AW33" s="109">
        <f t="shared" si="26"/>
        <v>0.65501799737623334</v>
      </c>
      <c r="AX33" s="109">
        <f t="shared" si="26"/>
        <v>0.76153207721499905</v>
      </c>
      <c r="AY33" s="109">
        <f t="shared" si="26"/>
        <v>0.78849314659919367</v>
      </c>
      <c r="AZ33" s="109">
        <f t="shared" si="26"/>
        <v>0.76880244932920716</v>
      </c>
      <c r="BA33" s="109">
        <f t="shared" si="26"/>
        <v>0.87162395684460936</v>
      </c>
      <c r="BB33" s="109">
        <f t="shared" si="26"/>
        <v>0.87822216859895075</v>
      </c>
      <c r="BC33" s="109">
        <f t="shared" si="26"/>
        <v>0.85546546028002823</v>
      </c>
      <c r="BD33" s="109">
        <f t="shared" si="26"/>
        <v>0.844199487956799</v>
      </c>
      <c r="BE33" s="109">
        <f t="shared" si="26"/>
        <v>0.86295474286079643</v>
      </c>
      <c r="BF33" s="109">
        <f t="shared" si="26"/>
        <v>1.2521354384122338</v>
      </c>
      <c r="BG33" s="109">
        <f t="shared" si="26"/>
        <v>0.7975667554643644</v>
      </c>
      <c r="BH33" s="109">
        <f t="shared" si="26"/>
        <v>0.83035837324960626</v>
      </c>
      <c r="BI33" s="109">
        <f t="shared" si="26"/>
        <v>0.83737684071196039</v>
      </c>
      <c r="BJ33" s="109">
        <f t="shared" si="26"/>
        <v>0.93894707738241712</v>
      </c>
      <c r="BK33" s="109">
        <f t="shared" si="26"/>
        <v>0.92124650650031281</v>
      </c>
      <c r="BL33" s="109">
        <f t="shared" si="26"/>
        <v>0.94688143174740169</v>
      </c>
      <c r="BM33" s="109">
        <f t="shared" si="26"/>
        <v>0.94101335191728452</v>
      </c>
      <c r="BN33" s="109">
        <f t="shared" si="26"/>
        <v>0.93186603373170951</v>
      </c>
      <c r="BO33" s="109">
        <f t="shared" si="26"/>
        <v>0.64412647313909244</v>
      </c>
      <c r="BP33" s="109">
        <f t="shared" si="26"/>
        <v>0.767894841842239</v>
      </c>
      <c r="BQ33" s="109">
        <f t="shared" si="26"/>
        <v>0.66660244300038041</v>
      </c>
      <c r="BR33" s="109">
        <f t="shared" ref="BR33:CK33" si="27">BR7/BR9</f>
        <v>0.67817479237837841</v>
      </c>
      <c r="BS33" s="109">
        <f t="shared" si="27"/>
        <v>0.79819005651987285</v>
      </c>
      <c r="BT33" s="109">
        <f t="shared" si="27"/>
        <v>0.66522994646103617</v>
      </c>
      <c r="BU33" s="109">
        <f t="shared" si="27"/>
        <v>0.85003168605760016</v>
      </c>
      <c r="BV33" s="109">
        <f t="shared" si="27"/>
        <v>0.6713012275791399</v>
      </c>
      <c r="BW33" s="109">
        <f t="shared" si="27"/>
        <v>0.81476010131785481</v>
      </c>
      <c r="BX33" s="109">
        <f t="shared" si="27"/>
        <v>0.90942662969939858</v>
      </c>
      <c r="BY33" s="109">
        <f t="shared" si="27"/>
        <v>0.91986157379517264</v>
      </c>
      <c r="BZ33" s="109">
        <f t="shared" si="27"/>
        <v>0.9091280080956089</v>
      </c>
      <c r="CA33" s="109">
        <f t="shared" si="27"/>
        <v>0.93062774152616767</v>
      </c>
      <c r="CB33" s="109">
        <f t="shared" si="27"/>
        <v>0.84313435905753986</v>
      </c>
      <c r="CC33" s="109">
        <f t="shared" si="27"/>
        <v>0.84850507998200564</v>
      </c>
      <c r="CD33" s="109">
        <f t="shared" si="27"/>
        <v>0.91084845163751627</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c r="A34" s="142" t="s">
        <v>559</v>
      </c>
      <c r="E34" s="108">
        <f>(E10-I10)/I10</f>
        <v>0.86428882091337755</v>
      </c>
      <c r="F34" s="108">
        <f t="shared" ref="F34:BQ34" si="28">(F10-J10)/J10</f>
        <v>0.48102480841253376</v>
      </c>
      <c r="G34" s="108">
        <f t="shared" si="28"/>
        <v>0.23977255321942545</v>
      </c>
      <c r="H34" s="108">
        <f t="shared" si="28"/>
        <v>-7.9516200163167336E-2</v>
      </c>
      <c r="I34" s="108">
        <f t="shared" si="28"/>
        <v>-0.30217203260244602</v>
      </c>
      <c r="J34" s="108">
        <f t="shared" si="28"/>
        <v>-0.20290057105797868</v>
      </c>
      <c r="K34" s="108">
        <f t="shared" si="28"/>
        <v>-4.4137734558235674E-3</v>
      </c>
      <c r="L34" s="108">
        <f t="shared" si="28"/>
        <v>-2.7361526995728818E-3</v>
      </c>
      <c r="M34" s="108">
        <f t="shared" si="28"/>
        <v>0.98243893248357583</v>
      </c>
      <c r="N34" s="108">
        <f t="shared" si="28"/>
        <v>0.73554425020848313</v>
      </c>
      <c r="O34" s="108">
        <f t="shared" si="28"/>
        <v>0.48832593646766265</v>
      </c>
      <c r="P34" s="108">
        <f t="shared" si="28"/>
        <v>3.0317539667000002</v>
      </c>
      <c r="Q34" s="108" t="e">
        <f t="shared" si="28"/>
        <v>#DIV/0!</v>
      </c>
      <c r="R34" s="108" t="e">
        <f t="shared" si="28"/>
        <v>#DIV/0!</v>
      </c>
      <c r="S34" s="108" t="e">
        <f t="shared" si="28"/>
        <v>#DIV/0!</v>
      </c>
      <c r="T34" s="108" t="e">
        <f t="shared" si="28"/>
        <v>#DIV/0!</v>
      </c>
      <c r="U34" s="108" t="e">
        <f t="shared" si="28"/>
        <v>#DIV/0!</v>
      </c>
      <c r="V34" s="108">
        <f t="shared" si="28"/>
        <v>-1</v>
      </c>
      <c r="W34" s="108">
        <f t="shared" si="28"/>
        <v>-1</v>
      </c>
      <c r="X34" s="108">
        <f t="shared" si="28"/>
        <v>-1</v>
      </c>
      <c r="Y34" s="108">
        <f t="shared" si="28"/>
        <v>-1</v>
      </c>
      <c r="Z34" s="108">
        <f t="shared" si="28"/>
        <v>603.42156862745094</v>
      </c>
      <c r="AA34" s="108">
        <f t="shared" si="28"/>
        <v>661.80397022332511</v>
      </c>
      <c r="AB34" s="108">
        <f t="shared" si="28"/>
        <v>0.10008271298593879</v>
      </c>
      <c r="AC34" s="108">
        <f t="shared" si="28"/>
        <v>670.02452819648818</v>
      </c>
      <c r="AD34" s="108">
        <f t="shared" si="28"/>
        <v>-0.9983472215747663</v>
      </c>
      <c r="AE34" s="108">
        <f t="shared" si="28"/>
        <v>-0.99849291971438026</v>
      </c>
      <c r="AF34" s="108">
        <f t="shared" si="28"/>
        <v>-0.99849278556664534</v>
      </c>
      <c r="AG34" s="108">
        <f t="shared" si="28"/>
        <v>-0.9985112586165964</v>
      </c>
      <c r="AH34" s="108">
        <f t="shared" si="28"/>
        <v>-0.72225364893961619</v>
      </c>
      <c r="AI34" s="108">
        <f t="shared" si="28"/>
        <v>-0.7997037102582546</v>
      </c>
      <c r="AJ34" s="108">
        <f t="shared" si="28"/>
        <v>-0.74987445005922959</v>
      </c>
      <c r="AK34" s="108">
        <f t="shared" si="28"/>
        <v>-0.81460418455745431</v>
      </c>
      <c r="AL34" s="108">
        <f t="shared" si="28"/>
        <v>-0.30737500819816643</v>
      </c>
      <c r="AM34" s="108">
        <f t="shared" si="28"/>
        <v>-0.13885068464095116</v>
      </c>
      <c r="AN34" s="108">
        <f t="shared" si="28"/>
        <v>-0.38476802071215221</v>
      </c>
      <c r="AO34" s="108">
        <f t="shared" si="28"/>
        <v>-0.29888087239524691</v>
      </c>
      <c r="AP34" s="108">
        <f t="shared" si="28"/>
        <v>-0.15566814747734009</v>
      </c>
      <c r="AQ34" s="108">
        <f t="shared" si="28"/>
        <v>-5.8166276300440869E-2</v>
      </c>
      <c r="AR34" s="108">
        <f t="shared" si="28"/>
        <v>2.44887545911949E-2</v>
      </c>
      <c r="AS34" s="108">
        <f t="shared" si="28"/>
        <v>0.38761600330935259</v>
      </c>
      <c r="AT34" s="108">
        <f t="shared" si="28"/>
        <v>7.1906057291666672E-2</v>
      </c>
      <c r="AU34" s="108">
        <f t="shared" si="28"/>
        <v>7.1647214687499947E-2</v>
      </c>
      <c r="AV34" s="108">
        <f t="shared" si="28"/>
        <v>3.2467532467532464E-2</v>
      </c>
      <c r="AW34" s="108">
        <f t="shared" si="28"/>
        <v>-6.7114093959731544E-2</v>
      </c>
      <c r="AX34" s="108">
        <f t="shared" si="28"/>
        <v>-6.4935064935064929E-2</v>
      </c>
      <c r="AY34" s="108">
        <f t="shared" si="28"/>
        <v>-6.4935064935064929E-2</v>
      </c>
      <c r="AZ34" s="108">
        <f t="shared" si="28"/>
        <v>-3.7499999999999999E-2</v>
      </c>
      <c r="BA34" s="108">
        <f t="shared" si="28"/>
        <v>-6.8750000000000006E-2</v>
      </c>
      <c r="BB34" s="108">
        <f t="shared" si="28"/>
        <v>-9.4117647058823528E-2</v>
      </c>
      <c r="BC34" s="108">
        <f t="shared" si="28"/>
        <v>-0.21827411167512689</v>
      </c>
      <c r="BD34" s="108">
        <f t="shared" si="28"/>
        <v>-0.15789473684210525</v>
      </c>
      <c r="BE34" s="108">
        <f t="shared" si="28"/>
        <v>-0.17737789203084833</v>
      </c>
      <c r="BF34" s="108">
        <f t="shared" si="28"/>
        <v>-0.18465227817745802</v>
      </c>
      <c r="BG34" s="108">
        <f t="shared" si="28"/>
        <v>-0.17214716449898093</v>
      </c>
      <c r="BH34" s="108">
        <f t="shared" si="28"/>
        <v>-0.17108391684662871</v>
      </c>
      <c r="BI34" s="108">
        <f t="shared" si="28"/>
        <v>-0.15147184834405944</v>
      </c>
      <c r="BJ34" s="108">
        <f t="shared" si="28"/>
        <v>-0.12952878315133431</v>
      </c>
      <c r="BK34" s="108">
        <f t="shared" si="28"/>
        <v>0.70584229390681008</v>
      </c>
      <c r="BL34" s="108">
        <f t="shared" si="28"/>
        <v>0.61989399293286218</v>
      </c>
      <c r="BM34" s="108">
        <f t="shared" si="28"/>
        <v>0.33488888210115592</v>
      </c>
      <c r="BN34" s="108">
        <f t="shared" si="28"/>
        <v>0.29322915851847853</v>
      </c>
      <c r="BO34" s="108">
        <f t="shared" si="28"/>
        <v>-0.25600000000000001</v>
      </c>
      <c r="BP34" s="108">
        <f t="shared" si="28"/>
        <v>-0.21606648199445982</v>
      </c>
      <c r="BQ34" s="108">
        <f t="shared" si="28"/>
        <v>0.66004447022428459</v>
      </c>
      <c r="BR34" s="108">
        <f t="shared" ref="BR34:CK34" si="29">(BR10-BV10)/BV10</f>
        <v>0.13754452769929984</v>
      </c>
      <c r="BS34" s="108">
        <f t="shared" si="29"/>
        <v>0.43321230651633863</v>
      </c>
      <c r="BT34" s="108">
        <f t="shared" si="29"/>
        <v>0.37970571373972867</v>
      </c>
      <c r="BU34" s="108">
        <f t="shared" si="29"/>
        <v>-0.29442156483436371</v>
      </c>
      <c r="BV34" s="108">
        <f t="shared" si="29"/>
        <v>0.20117364151997377</v>
      </c>
      <c r="BW34" s="108" t="e">
        <f t="shared" si="29"/>
        <v>#DIV/0!</v>
      </c>
      <c r="BX34" s="108">
        <f t="shared" si="29"/>
        <v>0.49644861544902325</v>
      </c>
      <c r="BY34" s="108">
        <f t="shared" si="29"/>
        <v>0.6861592961067341</v>
      </c>
      <c r="BZ34" s="108">
        <f t="shared" si="29"/>
        <v>0.7553840973840974</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c r="A35" s="142" t="s">
        <v>563</v>
      </c>
      <c r="E35" s="108">
        <f>E10/E12</f>
        <v>0.33533121328772419</v>
      </c>
      <c r="F35" s="108">
        <f t="shared" ref="F35:BQ35" si="30">F10/F12</f>
        <v>0.28032857613281237</v>
      </c>
      <c r="G35" s="108">
        <f t="shared" si="30"/>
        <v>0.24261596623005288</v>
      </c>
      <c r="H35" s="108">
        <f t="shared" si="30"/>
        <v>0.23780352143900074</v>
      </c>
      <c r="I35" s="108">
        <f t="shared" si="30"/>
        <v>0.72792238876260562</v>
      </c>
      <c r="J35" s="108">
        <f t="shared" si="30"/>
        <v>0.72792238876260562</v>
      </c>
      <c r="K35" s="108">
        <f t="shared" si="30"/>
        <v>1</v>
      </c>
      <c r="L35" s="108">
        <f t="shared" si="30"/>
        <v>1</v>
      </c>
      <c r="M35" s="108">
        <f t="shared" si="30"/>
        <v>1</v>
      </c>
      <c r="N35" s="108">
        <f t="shared" si="30"/>
        <v>1</v>
      </c>
      <c r="O35" s="108">
        <f t="shared" si="30"/>
        <v>1</v>
      </c>
      <c r="P35" s="108">
        <f t="shared" si="30"/>
        <v>1</v>
      </c>
      <c r="Q35" s="108">
        <f t="shared" si="30"/>
        <v>1</v>
      </c>
      <c r="R35" s="108">
        <f t="shared" si="30"/>
        <v>1</v>
      </c>
      <c r="S35" s="108">
        <f t="shared" si="30"/>
        <v>1</v>
      </c>
      <c r="T35" s="108">
        <f t="shared" si="30"/>
        <v>1</v>
      </c>
      <c r="U35" s="108" t="e">
        <f t="shared" si="30"/>
        <v>#DIV/0!</v>
      </c>
      <c r="V35" s="108" t="e">
        <f t="shared" si="30"/>
        <v>#DIV/0!</v>
      </c>
      <c r="W35" s="108" t="e">
        <f t="shared" si="30"/>
        <v>#DIV/0!</v>
      </c>
      <c r="X35" s="108" t="e">
        <f t="shared" si="30"/>
        <v>#DIV/0!</v>
      </c>
      <c r="Y35" s="108" t="e">
        <f t="shared" si="30"/>
        <v>#DIV/0!</v>
      </c>
      <c r="Z35" s="108">
        <f t="shared" si="30"/>
        <v>1</v>
      </c>
      <c r="AA35" s="108">
        <f t="shared" si="30"/>
        <v>1</v>
      </c>
      <c r="AB35" s="108">
        <f t="shared" si="30"/>
        <v>1.6597406811176419E-3</v>
      </c>
      <c r="AC35" s="108">
        <f t="shared" si="30"/>
        <v>0.50045676984107657</v>
      </c>
      <c r="AD35" s="108">
        <f t="shared" si="30"/>
        <v>1.6547572398749072E-3</v>
      </c>
      <c r="AE35" s="108">
        <f t="shared" si="30"/>
        <v>1.5089695697377337E-3</v>
      </c>
      <c r="AF35" s="108">
        <f t="shared" si="30"/>
        <v>1.5089695697377337E-3</v>
      </c>
      <c r="AG35" s="108">
        <f t="shared" si="30"/>
        <v>1.490758122273727E-3</v>
      </c>
      <c r="AH35" s="108">
        <f t="shared" si="30"/>
        <v>0.50071316882747607</v>
      </c>
      <c r="AI35" s="108">
        <f t="shared" si="30"/>
        <v>0.50069073195867664</v>
      </c>
      <c r="AJ35" s="108">
        <f t="shared" si="30"/>
        <v>0.50066848007230325</v>
      </c>
      <c r="AK35" s="108">
        <f t="shared" si="30"/>
        <v>0.5007114030192884</v>
      </c>
      <c r="AL35" s="108">
        <f t="shared" si="30"/>
        <v>1</v>
      </c>
      <c r="AM35" s="108">
        <f t="shared" si="30"/>
        <v>1</v>
      </c>
      <c r="AN35" s="108">
        <f t="shared" si="30"/>
        <v>1</v>
      </c>
      <c r="AO35" s="108">
        <f t="shared" si="30"/>
        <v>1</v>
      </c>
      <c r="AP35" s="108">
        <f t="shared" si="30"/>
        <v>1</v>
      </c>
      <c r="AQ35" s="108">
        <f t="shared" si="30"/>
        <v>1</v>
      </c>
      <c r="AR35" s="108">
        <f t="shared" si="30"/>
        <v>1</v>
      </c>
      <c r="AS35" s="108">
        <f t="shared" si="30"/>
        <v>1</v>
      </c>
      <c r="AT35" s="108">
        <f t="shared" si="30"/>
        <v>1</v>
      </c>
      <c r="AU35" s="108">
        <f t="shared" si="30"/>
        <v>1</v>
      </c>
      <c r="AV35" s="108">
        <f t="shared" si="30"/>
        <v>1</v>
      </c>
      <c r="AW35" s="108">
        <f t="shared" si="30"/>
        <v>1</v>
      </c>
      <c r="AX35" s="108">
        <f t="shared" si="30"/>
        <v>1</v>
      </c>
      <c r="AY35" s="108">
        <f t="shared" si="30"/>
        <v>1</v>
      </c>
      <c r="AZ35" s="108">
        <f t="shared" si="30"/>
        <v>1</v>
      </c>
      <c r="BA35" s="108">
        <f t="shared" si="30"/>
        <v>1</v>
      </c>
      <c r="BB35" s="108">
        <f t="shared" si="30"/>
        <v>1</v>
      </c>
      <c r="BC35" s="108">
        <f t="shared" si="30"/>
        <v>1</v>
      </c>
      <c r="BD35" s="108">
        <f t="shared" si="30"/>
        <v>1</v>
      </c>
      <c r="BE35" s="108">
        <f t="shared" si="30"/>
        <v>1</v>
      </c>
      <c r="BF35" s="108">
        <f t="shared" si="30"/>
        <v>1</v>
      </c>
      <c r="BG35" s="108">
        <f t="shared" si="30"/>
        <v>0.99969077750092228</v>
      </c>
      <c r="BH35" s="108">
        <f t="shared" si="30"/>
        <v>0.9996793887455957</v>
      </c>
      <c r="BI35" s="108">
        <f t="shared" si="30"/>
        <v>0.99964821801005521</v>
      </c>
      <c r="BJ35" s="108">
        <f t="shared" si="30"/>
        <v>0.99963567870164372</v>
      </c>
      <c r="BK35" s="108">
        <f t="shared" si="30"/>
        <v>0.99964858580920934</v>
      </c>
      <c r="BL35" s="108">
        <f t="shared" si="30"/>
        <v>1</v>
      </c>
      <c r="BM35" s="108">
        <f t="shared" si="30"/>
        <v>1</v>
      </c>
      <c r="BN35" s="108">
        <f t="shared" si="30"/>
        <v>1</v>
      </c>
      <c r="BO35" s="108">
        <f t="shared" si="30"/>
        <v>0.61422125265402927</v>
      </c>
      <c r="BP35" s="108">
        <f t="shared" si="30"/>
        <v>0.6199822872361842</v>
      </c>
      <c r="BQ35" s="108">
        <f t="shared" si="30"/>
        <v>0.77475151743324444</v>
      </c>
      <c r="BR35" s="108">
        <f t="shared" ref="BR35:CK35" si="31">BR10/BR12</f>
        <v>0.78768368540495703</v>
      </c>
      <c r="BS35" s="108">
        <f t="shared" si="31"/>
        <v>0.83401442415149452</v>
      </c>
      <c r="BT35" s="108">
        <f t="shared" si="31"/>
        <v>0.82897933823886594</v>
      </c>
      <c r="BU35" s="108">
        <f t="shared" si="31"/>
        <v>0.49804547181172143</v>
      </c>
      <c r="BV35" s="108">
        <f t="shared" si="31"/>
        <v>0.7647401909909789</v>
      </c>
      <c r="BW35" s="108">
        <f t="shared" si="31"/>
        <v>0.68209213652988909</v>
      </c>
      <c r="BX35" s="108">
        <f t="shared" si="31"/>
        <v>0.65236361823077693</v>
      </c>
      <c r="BY35" s="108">
        <f t="shared" si="31"/>
        <v>0.74792503685467582</v>
      </c>
      <c r="BZ35" s="108">
        <f t="shared" si="31"/>
        <v>0.72888449030969571</v>
      </c>
      <c r="CA35" s="108" t="e">
        <f t="shared" si="31"/>
        <v>#DIV/0!</v>
      </c>
      <c r="CB35" s="108">
        <f t="shared" si="31"/>
        <v>0.66141791200323896</v>
      </c>
      <c r="CC35" s="108">
        <f t="shared" si="31"/>
        <v>0.80865737527325654</v>
      </c>
      <c r="CD35" s="108">
        <f t="shared" si="31"/>
        <v>0.86345897954847872</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c r="A36" s="142" t="s">
        <v>560</v>
      </c>
      <c r="E36" s="108">
        <f>(E11-I11)/I11</f>
        <v>8.8863679694947564</v>
      </c>
      <c r="F36" s="108">
        <f t="shared" ref="F36:BQ36" si="32">(F11-J11)/J11</f>
        <v>9.1723546234509055</v>
      </c>
      <c r="G36" s="108" t="e">
        <f t="shared" si="32"/>
        <v>#DIV/0!</v>
      </c>
      <c r="H36" s="108" t="e">
        <f t="shared" si="32"/>
        <v>#DIV/0!</v>
      </c>
      <c r="I36" s="108" t="e">
        <f t="shared" si="32"/>
        <v>#DIV/0!</v>
      </c>
      <c r="J36" s="108" t="e">
        <f t="shared" si="32"/>
        <v>#DIV/0!</v>
      </c>
      <c r="K36" s="108" t="e">
        <f t="shared" si="32"/>
        <v>#DIV/0!</v>
      </c>
      <c r="L36" s="108" t="e">
        <f t="shared" si="32"/>
        <v>#DIV/0!</v>
      </c>
      <c r="M36" s="108" t="e">
        <f t="shared" si="32"/>
        <v>#DIV/0!</v>
      </c>
      <c r="N36" s="108" t="e">
        <f t="shared" si="32"/>
        <v>#DIV/0!</v>
      </c>
      <c r="O36" s="108" t="e">
        <f t="shared" si="32"/>
        <v>#DIV/0!</v>
      </c>
      <c r="P36" s="108" t="e">
        <f t="shared" si="32"/>
        <v>#DIV/0!</v>
      </c>
      <c r="Q36" s="108" t="e">
        <f t="shared" si="32"/>
        <v>#DIV/0!</v>
      </c>
      <c r="R36" s="108" t="e">
        <f t="shared" si="32"/>
        <v>#DIV/0!</v>
      </c>
      <c r="S36" s="108" t="e">
        <f t="shared" si="32"/>
        <v>#DIV/0!</v>
      </c>
      <c r="T36" s="108" t="e">
        <f t="shared" si="32"/>
        <v>#DIV/0!</v>
      </c>
      <c r="U36" s="108" t="e">
        <f t="shared" si="32"/>
        <v>#DIV/0!</v>
      </c>
      <c r="V36" s="108" t="e">
        <f t="shared" si="32"/>
        <v>#DIV/0!</v>
      </c>
      <c r="W36" s="108" t="e">
        <f t="shared" si="32"/>
        <v>#DIV/0!</v>
      </c>
      <c r="X36" s="108">
        <f t="shared" si="32"/>
        <v>-1</v>
      </c>
      <c r="Y36" s="108">
        <f t="shared" si="32"/>
        <v>-1</v>
      </c>
      <c r="Z36" s="108">
        <f t="shared" si="32"/>
        <v>-1</v>
      </c>
      <c r="AA36" s="108">
        <f t="shared" si="32"/>
        <v>-1</v>
      </c>
      <c r="AB36" s="108">
        <f t="shared" si="32"/>
        <v>0</v>
      </c>
      <c r="AC36" s="108">
        <f t="shared" si="32"/>
        <v>0</v>
      </c>
      <c r="AD36" s="108">
        <f t="shared" si="32"/>
        <v>0</v>
      </c>
      <c r="AE36" s="108">
        <f t="shared" si="32"/>
        <v>0</v>
      </c>
      <c r="AF36" s="108">
        <f t="shared" si="32"/>
        <v>0</v>
      </c>
      <c r="AG36" s="108">
        <f t="shared" si="32"/>
        <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f t="shared" si="32"/>
        <v>-1</v>
      </c>
      <c r="BD36" s="108">
        <f t="shared" si="32"/>
        <v>-1</v>
      </c>
      <c r="BE36" s="108">
        <f t="shared" si="32"/>
        <v>-1</v>
      </c>
      <c r="BF36" s="108">
        <f t="shared" si="32"/>
        <v>-1</v>
      </c>
      <c r="BG36" s="108">
        <f t="shared" si="32"/>
        <v>-0.27157204988304456</v>
      </c>
      <c r="BH36" s="108" t="e">
        <f t="shared" si="32"/>
        <v>#DIV/0!</v>
      </c>
      <c r="BI36" s="108" t="e">
        <f t="shared" si="32"/>
        <v>#DIV/0!</v>
      </c>
      <c r="BJ36" s="108" t="e">
        <f t="shared" si="32"/>
        <v>#DIV/0!</v>
      </c>
      <c r="BK36" s="108">
        <f t="shared" si="32"/>
        <v>-0.99904523309218751</v>
      </c>
      <c r="BL36" s="108">
        <f t="shared" si="32"/>
        <v>-1</v>
      </c>
      <c r="BM36" s="108">
        <f t="shared" si="32"/>
        <v>-1</v>
      </c>
      <c r="BN36" s="108">
        <f t="shared" si="32"/>
        <v>-1</v>
      </c>
      <c r="BO36" s="108">
        <f t="shared" si="32"/>
        <v>1.3479541235338339</v>
      </c>
      <c r="BP36" s="108">
        <f t="shared" si="32"/>
        <v>1.3291578109651401</v>
      </c>
      <c r="BQ36" s="108">
        <f t="shared" si="32"/>
        <v>-0.52112321895802327</v>
      </c>
      <c r="BR36" s="108">
        <f t="shared" ref="BR36:CK36" si="33">(BR11-BV11)/BV11</f>
        <v>-3.296238471600941E-3</v>
      </c>
      <c r="BS36" s="108">
        <f t="shared" si="33"/>
        <v>-0.388003288049039</v>
      </c>
      <c r="BT36" s="108">
        <f t="shared" si="33"/>
        <v>-0.46585907896435486</v>
      </c>
      <c r="BU36" s="108">
        <f t="shared" si="33"/>
        <v>1.109934816130338</v>
      </c>
      <c r="BV36" s="108">
        <f t="shared" si="33"/>
        <v>-6.5546882255934844E-3</v>
      </c>
      <c r="BW36" s="108" t="e">
        <f t="shared" si="33"/>
        <v>#DIV/0!</v>
      </c>
      <c r="BX36" s="108">
        <f t="shared" si="33"/>
        <v>0.5577912859101728</v>
      </c>
      <c r="BY36" s="108">
        <f t="shared" si="33"/>
        <v>1.401723828163655</v>
      </c>
      <c r="BZ36" s="108">
        <f t="shared" si="33"/>
        <v>3.129014228973876</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c r="A37" s="142" t="s">
        <v>564</v>
      </c>
      <c r="B37" s="108"/>
      <c r="C37" s="108"/>
      <c r="D37" s="108"/>
      <c r="E37" s="108">
        <f>E11/E12</f>
        <v>0.66466878671227569</v>
      </c>
      <c r="F37" s="108">
        <f t="shared" ref="F37:BQ37" si="34">F11/F12</f>
        <v>0.71967142386718774</v>
      </c>
      <c r="G37" s="108">
        <f t="shared" si="34"/>
        <v>0.75738403376994701</v>
      </c>
      <c r="H37" s="108">
        <f t="shared" si="34"/>
        <v>0.76219647856099926</v>
      </c>
      <c r="I37" s="108">
        <f t="shared" si="34"/>
        <v>0.27207761123739438</v>
      </c>
      <c r="J37" s="108">
        <f t="shared" si="34"/>
        <v>0.27207761123739438</v>
      </c>
      <c r="K37" s="108">
        <f t="shared" si="34"/>
        <v>0</v>
      </c>
      <c r="L37" s="108">
        <f t="shared" si="34"/>
        <v>0</v>
      </c>
      <c r="M37" s="108">
        <f t="shared" si="34"/>
        <v>0</v>
      </c>
      <c r="N37" s="108">
        <f t="shared" si="34"/>
        <v>0</v>
      </c>
      <c r="O37" s="110">
        <f t="shared" si="34"/>
        <v>0</v>
      </c>
      <c r="P37" s="110">
        <f t="shared" si="34"/>
        <v>0</v>
      </c>
      <c r="Q37" s="110">
        <f t="shared" si="34"/>
        <v>0</v>
      </c>
      <c r="R37" s="110">
        <f t="shared" si="34"/>
        <v>0</v>
      </c>
      <c r="S37" s="110">
        <f t="shared" si="34"/>
        <v>0</v>
      </c>
      <c r="T37" s="110">
        <f t="shared" si="34"/>
        <v>0</v>
      </c>
      <c r="U37" s="110" t="e">
        <f t="shared" si="34"/>
        <v>#DIV/0!</v>
      </c>
      <c r="V37" s="110" t="e">
        <f t="shared" si="34"/>
        <v>#DIV/0!</v>
      </c>
      <c r="W37" s="110" t="e">
        <f t="shared" si="34"/>
        <v>#DIV/0!</v>
      </c>
      <c r="X37" s="110" t="e">
        <f t="shared" si="34"/>
        <v>#DIV/0!</v>
      </c>
      <c r="Y37" s="110" t="e">
        <f t="shared" si="34"/>
        <v>#DIV/0!</v>
      </c>
      <c r="Z37" s="110">
        <f t="shared" si="34"/>
        <v>0</v>
      </c>
      <c r="AA37" s="110">
        <f t="shared" si="34"/>
        <v>0</v>
      </c>
      <c r="AB37" s="110">
        <f t="shared" si="34"/>
        <v>0.99834025931888237</v>
      </c>
      <c r="AC37" s="110">
        <f t="shared" si="34"/>
        <v>0.49954323015892343</v>
      </c>
      <c r="AD37" s="110">
        <f t="shared" si="34"/>
        <v>0.99834524276012504</v>
      </c>
      <c r="AE37" s="110">
        <f t="shared" si="34"/>
        <v>0.99849103043026222</v>
      </c>
      <c r="AF37" s="110">
        <f t="shared" si="34"/>
        <v>0.99849103043026222</v>
      </c>
      <c r="AG37" s="110">
        <f t="shared" si="34"/>
        <v>0.99850924187772627</v>
      </c>
      <c r="AH37" s="110">
        <f t="shared" si="34"/>
        <v>0.49928683117252393</v>
      </c>
      <c r="AI37" s="110">
        <f t="shared" si="34"/>
        <v>0.49930926804132336</v>
      </c>
      <c r="AJ37" s="110">
        <f t="shared" si="34"/>
        <v>0.49933151992769681</v>
      </c>
      <c r="AK37" s="110">
        <f t="shared" si="34"/>
        <v>0.4992885969807116</v>
      </c>
      <c r="AL37" s="110">
        <f t="shared" si="34"/>
        <v>0</v>
      </c>
      <c r="AM37" s="110">
        <f t="shared" si="34"/>
        <v>0</v>
      </c>
      <c r="AN37" s="110">
        <f t="shared" si="34"/>
        <v>0</v>
      </c>
      <c r="AO37" s="110">
        <f t="shared" si="34"/>
        <v>0</v>
      </c>
      <c r="AP37" s="110">
        <f t="shared" si="34"/>
        <v>0</v>
      </c>
      <c r="AQ37" s="110">
        <f t="shared" si="34"/>
        <v>0</v>
      </c>
      <c r="AR37" s="110">
        <f t="shared" si="34"/>
        <v>0</v>
      </c>
      <c r="AS37" s="110">
        <f t="shared" si="34"/>
        <v>0</v>
      </c>
      <c r="AT37" s="110">
        <f t="shared" si="34"/>
        <v>0</v>
      </c>
      <c r="AU37" s="110">
        <f t="shared" si="34"/>
        <v>0</v>
      </c>
      <c r="AV37" s="110">
        <f t="shared" si="34"/>
        <v>0</v>
      </c>
      <c r="AW37" s="110">
        <f t="shared" si="34"/>
        <v>0</v>
      </c>
      <c r="AX37" s="110">
        <f t="shared" si="34"/>
        <v>0</v>
      </c>
      <c r="AY37" s="110">
        <f t="shared" si="34"/>
        <v>0</v>
      </c>
      <c r="AZ37" s="110">
        <f t="shared" si="34"/>
        <v>0</v>
      </c>
      <c r="BA37" s="110">
        <f t="shared" si="34"/>
        <v>0</v>
      </c>
      <c r="BB37" s="110">
        <f t="shared" si="34"/>
        <v>0</v>
      </c>
      <c r="BC37" s="110">
        <f t="shared" si="34"/>
        <v>0</v>
      </c>
      <c r="BD37" s="110">
        <f t="shared" si="34"/>
        <v>0</v>
      </c>
      <c r="BE37" s="110">
        <f t="shared" si="34"/>
        <v>0</v>
      </c>
      <c r="BF37" s="110">
        <f t="shared" si="34"/>
        <v>0</v>
      </c>
      <c r="BG37" s="110">
        <f t="shared" si="34"/>
        <v>3.0922249907763209E-4</v>
      </c>
      <c r="BH37" s="110">
        <f t="shared" si="34"/>
        <v>3.20611254404212E-4</v>
      </c>
      <c r="BI37" s="110">
        <f t="shared" si="34"/>
        <v>3.5178198994470635E-4</v>
      </c>
      <c r="BJ37" s="110">
        <f t="shared" si="34"/>
        <v>3.643212983561805E-4</v>
      </c>
      <c r="BK37" s="110">
        <f t="shared" si="34"/>
        <v>3.5141419079063398E-4</v>
      </c>
      <c r="BL37" s="110">
        <f t="shared" si="34"/>
        <v>0</v>
      </c>
      <c r="BM37" s="110">
        <f t="shared" si="34"/>
        <v>0</v>
      </c>
      <c r="BN37" s="110">
        <f t="shared" si="34"/>
        <v>0</v>
      </c>
      <c r="BO37" s="110">
        <f t="shared" si="34"/>
        <v>0.38577874734597078</v>
      </c>
      <c r="BP37" s="110">
        <f t="shared" si="34"/>
        <v>0.3800177127638158</v>
      </c>
      <c r="BQ37" s="110">
        <f t="shared" si="34"/>
        <v>0.2252484825667555</v>
      </c>
      <c r="BR37" s="110">
        <f t="shared" ref="BR37:CK37" si="35">BR11/BR12</f>
        <v>0.21231631459504285</v>
      </c>
      <c r="BS37" s="110">
        <f t="shared" si="35"/>
        <v>0.16598557584850548</v>
      </c>
      <c r="BT37" s="110">
        <f t="shared" si="35"/>
        <v>0.17102066176113404</v>
      </c>
      <c r="BU37" s="110">
        <f t="shared" si="35"/>
        <v>0.50195452818827868</v>
      </c>
      <c r="BV37" s="110">
        <f t="shared" si="35"/>
        <v>0.23525980900902119</v>
      </c>
      <c r="BW37" s="110">
        <f t="shared" si="35"/>
        <v>0.31790786347011096</v>
      </c>
      <c r="BX37" s="110">
        <f t="shared" si="35"/>
        <v>0.34763638176922312</v>
      </c>
      <c r="BY37" s="110">
        <f t="shared" si="35"/>
        <v>0.25207496314532413</v>
      </c>
      <c r="BZ37" s="110">
        <f t="shared" si="35"/>
        <v>0.27111550969030435</v>
      </c>
      <c r="CA37" s="110" t="e">
        <f t="shared" si="35"/>
        <v>#DIV/0!</v>
      </c>
      <c r="CB37" s="110">
        <f t="shared" si="35"/>
        <v>0.33858208799676098</v>
      </c>
      <c r="CC37" s="110">
        <f t="shared" si="35"/>
        <v>0.1913426247267434</v>
      </c>
      <c r="CD37" s="110">
        <f t="shared" si="35"/>
        <v>0.13654102045152128</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8" customFormat="1">
      <c r="A38" s="185" t="s">
        <v>634</v>
      </c>
      <c r="B38" s="186"/>
      <c r="C38" s="186"/>
      <c r="D38" s="186"/>
      <c r="E38" s="187">
        <f>E1</f>
        <v>43190</v>
      </c>
      <c r="F38" s="187">
        <f t="shared" ref="F38:U38" si="36">F1</f>
        <v>43100</v>
      </c>
      <c r="G38" s="187">
        <f t="shared" si="36"/>
        <v>43008</v>
      </c>
      <c r="H38" s="187">
        <f t="shared" si="36"/>
        <v>42916</v>
      </c>
      <c r="I38" s="187">
        <f t="shared" si="36"/>
        <v>42825</v>
      </c>
      <c r="J38" s="187">
        <f t="shared" si="36"/>
        <v>42735</v>
      </c>
      <c r="K38" s="187">
        <f t="shared" si="36"/>
        <v>42643</v>
      </c>
      <c r="L38" s="187">
        <f t="shared" si="36"/>
        <v>42551</v>
      </c>
      <c r="M38" s="187">
        <f t="shared" si="36"/>
        <v>42460</v>
      </c>
      <c r="N38" s="187">
        <f t="shared" si="36"/>
        <v>42369</v>
      </c>
      <c r="O38" s="187">
        <f t="shared" si="36"/>
        <v>42277</v>
      </c>
      <c r="P38" s="187">
        <f t="shared" si="36"/>
        <v>42185</v>
      </c>
      <c r="Q38" s="187">
        <f t="shared" si="36"/>
        <v>42094</v>
      </c>
      <c r="R38" s="187">
        <f t="shared" si="36"/>
        <v>42004</v>
      </c>
      <c r="S38" s="187">
        <f t="shared" si="36"/>
        <v>41912</v>
      </c>
      <c r="T38" s="187">
        <f t="shared" si="36"/>
        <v>41820</v>
      </c>
      <c r="U38" s="187">
        <f t="shared" si="36"/>
        <v>41729</v>
      </c>
    </row>
    <row r="39" spans="1:89" s="224" customFormat="1">
      <c r="A39" s="221" t="s">
        <v>551</v>
      </c>
      <c r="B39" s="222"/>
      <c r="C39" s="222"/>
      <c r="D39" s="222"/>
      <c r="E39" s="223">
        <f>E2/E9</f>
        <v>0.89366517873146822</v>
      </c>
      <c r="F39" s="223">
        <f t="shared" ref="F39:U39" si="37">F2/F9</f>
        <v>0.94429319872373008</v>
      </c>
      <c r="G39" s="223">
        <f t="shared" si="37"/>
        <v>0.94301377592116387</v>
      </c>
      <c r="H39" s="223">
        <f t="shared" si="37"/>
        <v>1.0903815211662433</v>
      </c>
      <c r="I39" s="223">
        <f t="shared" si="37"/>
        <v>0.54133299942686408</v>
      </c>
      <c r="J39" s="223">
        <f t="shared" si="37"/>
        <v>0.61858401898618443</v>
      </c>
      <c r="K39" s="223">
        <f t="shared" si="37"/>
        <v>0.5319493798155821</v>
      </c>
      <c r="L39" s="223">
        <f t="shared" si="37"/>
        <v>0.54037061665793151</v>
      </c>
      <c r="M39" s="223">
        <f t="shared" si="37"/>
        <v>0.58785308861113128</v>
      </c>
      <c r="N39" s="223">
        <f t="shared" si="37"/>
        <v>0.67077413571516153</v>
      </c>
      <c r="O39" s="223">
        <f t="shared" si="37"/>
        <v>0.68412098015758493</v>
      </c>
      <c r="P39" s="223">
        <f t="shared" si="37"/>
        <v>0.72525380935369455</v>
      </c>
      <c r="Q39" s="223">
        <f t="shared" si="37"/>
        <v>0.7298077003152782</v>
      </c>
      <c r="R39" s="223">
        <f t="shared" si="37"/>
        <v>0.82047676839931238</v>
      </c>
      <c r="S39" s="223">
        <f t="shared" si="37"/>
        <v>0.84374491160000131</v>
      </c>
      <c r="T39" s="223">
        <f t="shared" si="37"/>
        <v>0.80120648777775927</v>
      </c>
      <c r="U39" s="223">
        <f t="shared" si="37"/>
        <v>0.85254704129001602</v>
      </c>
    </row>
    <row r="40" spans="1:89" s="224" customFormat="1">
      <c r="A40" s="221" t="s">
        <v>552</v>
      </c>
      <c r="B40" s="222"/>
      <c r="C40" s="222"/>
      <c r="D40" s="222"/>
      <c r="E40" s="223">
        <f>E3/E9</f>
        <v>0</v>
      </c>
      <c r="F40" s="223">
        <f t="shared" ref="F40:U40" si="38">F3/F9</f>
        <v>0</v>
      </c>
      <c r="G40" s="223">
        <f t="shared" si="38"/>
        <v>0</v>
      </c>
      <c r="H40" s="223">
        <f t="shared" si="38"/>
        <v>0</v>
      </c>
      <c r="I40" s="223">
        <f t="shared" si="38"/>
        <v>0</v>
      </c>
      <c r="J40" s="223">
        <f t="shared" si="38"/>
        <v>0</v>
      </c>
      <c r="K40" s="223">
        <f t="shared" si="38"/>
        <v>0</v>
      </c>
      <c r="L40" s="223">
        <f t="shared" si="38"/>
        <v>0</v>
      </c>
      <c r="M40" s="223">
        <f t="shared" si="38"/>
        <v>0</v>
      </c>
      <c r="N40" s="223">
        <f t="shared" si="38"/>
        <v>0</v>
      </c>
      <c r="O40" s="223">
        <f t="shared" si="38"/>
        <v>0</v>
      </c>
      <c r="P40" s="223">
        <f t="shared" si="38"/>
        <v>0</v>
      </c>
      <c r="Q40" s="223">
        <f t="shared" si="38"/>
        <v>0</v>
      </c>
      <c r="R40" s="223">
        <f t="shared" si="38"/>
        <v>0</v>
      </c>
      <c r="S40" s="223">
        <f t="shared" si="38"/>
        <v>0</v>
      </c>
      <c r="T40" s="223">
        <f t="shared" si="38"/>
        <v>7.5112349789303048E-2</v>
      </c>
      <c r="U40" s="223">
        <f t="shared" si="38"/>
        <v>8.1428689193031381E-2</v>
      </c>
    </row>
    <row r="41" spans="1:89">
      <c r="A41" s="183" t="s">
        <v>557</v>
      </c>
      <c r="B41" s="64"/>
      <c r="C41" s="64"/>
      <c r="D41" s="64"/>
      <c r="E41" s="90">
        <f>E4/E9</f>
        <v>-1.505064546061082E-2</v>
      </c>
      <c r="F41" s="90">
        <f t="shared" ref="F41:U41" si="39">F4/F9</f>
        <v>-6.5658333238129335E-2</v>
      </c>
      <c r="G41" s="90">
        <f t="shared" si="39"/>
        <v>-5.2033219456677909E-2</v>
      </c>
      <c r="H41" s="90">
        <f t="shared" si="39"/>
        <v>-0.197390081713023</v>
      </c>
      <c r="I41" s="90">
        <f t="shared" si="39"/>
        <v>0.26137771817453637</v>
      </c>
      <c r="J41" s="90">
        <f t="shared" si="39"/>
        <v>0.17750963468375267</v>
      </c>
      <c r="K41" s="90">
        <f t="shared" si="39"/>
        <v>0.24949471845840546</v>
      </c>
      <c r="L41" s="90">
        <f t="shared" si="39"/>
        <v>0.24840231291530912</v>
      </c>
      <c r="M41" s="90">
        <f t="shared" si="39"/>
        <v>0.19719912337690557</v>
      </c>
      <c r="N41" s="213">
        <f t="shared" si="39"/>
        <v>0.1057172566401527</v>
      </c>
      <c r="O41" s="213">
        <f t="shared" si="39"/>
        <v>8.0502028838390569E-2</v>
      </c>
      <c r="P41" s="213">
        <f t="shared" si="39"/>
        <v>4.8639746331208621E-2</v>
      </c>
      <c r="Q41" s="213">
        <f t="shared" si="39"/>
        <v>2.7964962344665194E-3</v>
      </c>
      <c r="R41" s="213">
        <f t="shared" si="39"/>
        <v>-9.9308315428716015E-2</v>
      </c>
      <c r="S41" s="213">
        <f t="shared" si="39"/>
        <v>-0.12630672421386752</v>
      </c>
      <c r="T41" s="213">
        <f t="shared" si="39"/>
        <v>-0.19018534312160987</v>
      </c>
      <c r="U41" s="213">
        <f t="shared" si="39"/>
        <v>-0.27428775593003107</v>
      </c>
    </row>
    <row r="42" spans="1:89">
      <c r="A42" s="183" t="s">
        <v>334</v>
      </c>
      <c r="B42" s="64"/>
      <c r="C42" s="64"/>
      <c r="D42" s="64"/>
      <c r="E42" s="90">
        <f>E5/E9</f>
        <v>0.44364813204330589</v>
      </c>
      <c r="F42" s="90">
        <f t="shared" ref="F42:U42" si="40">F5/F9</f>
        <v>0.44258805563627768</v>
      </c>
      <c r="G42" s="90">
        <f t="shared" si="40"/>
        <v>0.39109900194140501</v>
      </c>
      <c r="H42" s="90">
        <f t="shared" si="40"/>
        <v>0.34986976272737896</v>
      </c>
      <c r="I42" s="90">
        <f t="shared" si="40"/>
        <v>0.67940525879814317</v>
      </c>
      <c r="J42" s="90">
        <f t="shared" si="40"/>
        <v>0.65468999200046907</v>
      </c>
      <c r="K42" s="90">
        <f t="shared" si="40"/>
        <v>0.5648452955651031</v>
      </c>
      <c r="L42" s="90">
        <f t="shared" si="40"/>
        <v>0.50187087884078374</v>
      </c>
      <c r="M42" s="90">
        <f t="shared" si="40"/>
        <v>0.47010796090885998</v>
      </c>
      <c r="N42" s="213">
        <f t="shared" si="40"/>
        <v>0.4260496358243539</v>
      </c>
      <c r="O42" s="213">
        <f t="shared" si="40"/>
        <v>0.40762657201032315</v>
      </c>
      <c r="P42" s="213">
        <f t="shared" si="40"/>
        <v>0.35055948878071452</v>
      </c>
      <c r="Q42" s="213">
        <f t="shared" si="40"/>
        <v>0.39090570709501721</v>
      </c>
      <c r="R42" s="213">
        <f t="shared" si="40"/>
        <v>0.34941528906962355</v>
      </c>
      <c r="S42" s="213">
        <f t="shared" si="40"/>
        <v>0.33505958392430524</v>
      </c>
      <c r="T42" s="213">
        <f t="shared" si="40"/>
        <v>0.3068603527241105</v>
      </c>
      <c r="U42" s="213">
        <f t="shared" si="40"/>
        <v>0.3348298294114268</v>
      </c>
    </row>
    <row r="43" spans="1:89">
      <c r="A43" s="183" t="s">
        <v>335</v>
      </c>
      <c r="B43" s="64"/>
      <c r="C43" s="64"/>
      <c r="D43" s="64"/>
      <c r="E43" s="90">
        <f>E6/E9</f>
        <v>0.45869877750391669</v>
      </c>
      <c r="F43" s="90">
        <f t="shared" ref="F43:U43" si="41">F6/F9</f>
        <v>0.50824638887440698</v>
      </c>
      <c r="G43" s="90">
        <f t="shared" si="41"/>
        <v>0.44313222139808289</v>
      </c>
      <c r="H43" s="90">
        <f t="shared" si="41"/>
        <v>0.54725984444040199</v>
      </c>
      <c r="I43" s="90">
        <f t="shared" si="41"/>
        <v>0.41802754062360686</v>
      </c>
      <c r="J43" s="90">
        <f t="shared" si="41"/>
        <v>0.47718035731671649</v>
      </c>
      <c r="K43" s="90">
        <f t="shared" si="41"/>
        <v>0.31535057710669773</v>
      </c>
      <c r="L43" s="90">
        <f t="shared" si="41"/>
        <v>0.25346856592547462</v>
      </c>
      <c r="M43" s="90">
        <f t="shared" si="41"/>
        <v>0.27290883753195438</v>
      </c>
      <c r="N43" s="213">
        <f t="shared" si="41"/>
        <v>0.32033237918420121</v>
      </c>
      <c r="O43" s="213">
        <f t="shared" si="41"/>
        <v>0.32712454317193262</v>
      </c>
      <c r="P43" s="213">
        <f t="shared" si="41"/>
        <v>0.30191974244950592</v>
      </c>
      <c r="Q43" s="213">
        <f t="shared" si="41"/>
        <v>0.38810921086055067</v>
      </c>
      <c r="R43" s="213">
        <f t="shared" si="41"/>
        <v>0.44872360449833959</v>
      </c>
      <c r="S43" s="213">
        <f t="shared" si="41"/>
        <v>0.46136630813817275</v>
      </c>
      <c r="T43" s="213">
        <f t="shared" si="41"/>
        <v>0.49704569584572039</v>
      </c>
      <c r="U43" s="213">
        <f t="shared" si="41"/>
        <v>0.60911758534145788</v>
      </c>
    </row>
    <row r="44" spans="1:89">
      <c r="A44" s="183" t="s">
        <v>336</v>
      </c>
      <c r="B44" s="64"/>
      <c r="C44" s="64"/>
      <c r="D44" s="64"/>
      <c r="E44" s="90">
        <f>E7/E9</f>
        <v>0.12138546672914255</v>
      </c>
      <c r="F44" s="90">
        <f t="shared" ref="F44:U44" si="42">F7/F9</f>
        <v>0.12136513451439926</v>
      </c>
      <c r="G44" s="90">
        <f t="shared" si="42"/>
        <v>0.109019443535514</v>
      </c>
      <c r="H44" s="90">
        <f t="shared" si="42"/>
        <v>0.10700856054677967</v>
      </c>
      <c r="I44" s="90">
        <f t="shared" si="42"/>
        <v>0.1972892823985995</v>
      </c>
      <c r="J44" s="90">
        <f t="shared" si="42"/>
        <v>0.20390634633006294</v>
      </c>
      <c r="K44" s="90">
        <f t="shared" si="42"/>
        <v>0.21855590172601247</v>
      </c>
      <c r="L44" s="90">
        <f t="shared" si="42"/>
        <v>0.21122707042675942</v>
      </c>
      <c r="M44" s="90">
        <f t="shared" si="42"/>
        <v>0.21494778801196324</v>
      </c>
      <c r="N44" s="213">
        <f t="shared" si="42"/>
        <v>0.22350860764468578</v>
      </c>
      <c r="O44" s="213">
        <f t="shared" si="42"/>
        <v>0.2353769910040244</v>
      </c>
      <c r="P44" s="213">
        <f t="shared" si="42"/>
        <v>0.22610644431509674</v>
      </c>
      <c r="Q44" s="213">
        <f t="shared" si="42"/>
        <v>0.26739580345025515</v>
      </c>
      <c r="R44" s="213">
        <f t="shared" si="42"/>
        <v>0.27883154702940349</v>
      </c>
      <c r="S44" s="213">
        <f t="shared" si="42"/>
        <v>0.28256181261386626</v>
      </c>
      <c r="T44" s="213">
        <f t="shared" si="42"/>
        <v>0.31386650555454754</v>
      </c>
      <c r="U44" s="213">
        <f t="shared" si="42"/>
        <v>0.34031202544698363</v>
      </c>
    </row>
    <row r="45" spans="1:89" s="224" customFormat="1">
      <c r="A45" s="221" t="s">
        <v>337</v>
      </c>
      <c r="B45" s="222"/>
      <c r="C45" s="222"/>
      <c r="D45" s="222"/>
      <c r="E45" s="223">
        <f>E8/E9</f>
        <v>0.10633482126853173</v>
      </c>
      <c r="F45" s="223">
        <f t="shared" ref="F45:U45" si="43">F8/F9</f>
        <v>5.5706801276269931E-2</v>
      </c>
      <c r="G45" s="223">
        <f t="shared" si="43"/>
        <v>5.6986224078836092E-2</v>
      </c>
      <c r="H45" s="223">
        <f t="shared" si="43"/>
        <v>-9.0381521166243317E-2</v>
      </c>
      <c r="I45" s="223">
        <f t="shared" si="43"/>
        <v>0.45866700057313586</v>
      </c>
      <c r="J45" s="223">
        <f t="shared" si="43"/>
        <v>0.38141598101381557</v>
      </c>
      <c r="K45" s="223">
        <f t="shared" si="43"/>
        <v>0.4680506201844179</v>
      </c>
      <c r="L45" s="223">
        <f t="shared" si="43"/>
        <v>0.45962938334206854</v>
      </c>
      <c r="M45" s="223">
        <f t="shared" si="43"/>
        <v>0.41214691138886883</v>
      </c>
      <c r="N45" s="223">
        <f t="shared" si="43"/>
        <v>0.32922586428483847</v>
      </c>
      <c r="O45" s="223">
        <f t="shared" si="43"/>
        <v>0.31587901984241495</v>
      </c>
      <c r="P45" s="223">
        <f t="shared" si="43"/>
        <v>0.27474619064630534</v>
      </c>
      <c r="Q45" s="223">
        <f t="shared" si="43"/>
        <v>0.27019229968472169</v>
      </c>
      <c r="R45" s="223">
        <f t="shared" si="43"/>
        <v>0.17952323160068748</v>
      </c>
      <c r="S45" s="223">
        <f t="shared" si="43"/>
        <v>0.15625508839999877</v>
      </c>
      <c r="T45" s="223">
        <f t="shared" si="43"/>
        <v>0.12368116243293764</v>
      </c>
      <c r="U45" s="223">
        <f t="shared" si="43"/>
        <v>6.6024269516952575E-2</v>
      </c>
    </row>
    <row r="46" spans="1:89">
      <c r="A46" s="184"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3">
        <f t="shared" si="44"/>
        <v>1</v>
      </c>
      <c r="O46" s="213">
        <f t="shared" si="44"/>
        <v>1</v>
      </c>
      <c r="P46" s="213">
        <f t="shared" si="44"/>
        <v>1</v>
      </c>
      <c r="Q46" s="213">
        <f t="shared" si="44"/>
        <v>1</v>
      </c>
      <c r="R46" s="213">
        <f t="shared" si="44"/>
        <v>1</v>
      </c>
      <c r="S46" s="213">
        <f t="shared" si="44"/>
        <v>1</v>
      </c>
      <c r="T46" s="213">
        <f t="shared" si="44"/>
        <v>1</v>
      </c>
      <c r="U46" s="213">
        <f t="shared" si="44"/>
        <v>1</v>
      </c>
    </row>
    <row r="47" spans="1:89">
      <c r="A47" s="183" t="s">
        <v>339</v>
      </c>
      <c r="B47" s="64"/>
      <c r="C47" s="64"/>
      <c r="D47" s="64"/>
      <c r="E47" s="90">
        <f>E10/E14</f>
        <v>0.15150934791868653</v>
      </c>
      <c r="F47" s="90">
        <f t="shared" ref="F47:U47" si="45">F10/F14</f>
        <v>0.12536086201459581</v>
      </c>
      <c r="G47" s="90">
        <f t="shared" si="45"/>
        <v>0.11169638070246013</v>
      </c>
      <c r="H47" s="90">
        <f t="shared" si="45"/>
        <v>0.11124367651443332</v>
      </c>
      <c r="I47" s="90">
        <f t="shared" si="45"/>
        <v>0.1704561817471964</v>
      </c>
      <c r="J47" s="90">
        <f t="shared" si="45"/>
        <v>0.17225503108636811</v>
      </c>
      <c r="K47" s="90">
        <f t="shared" si="45"/>
        <v>0.19545486789794039</v>
      </c>
      <c r="L47" s="90">
        <f t="shared" si="45"/>
        <v>0.2476717521217183</v>
      </c>
      <c r="M47" s="90">
        <f t="shared" si="45"/>
        <v>0.25021241285021262</v>
      </c>
      <c r="N47" s="213">
        <f t="shared" si="45"/>
        <v>0.22961758781775291</v>
      </c>
      <c r="O47" s="213">
        <f t="shared" si="45"/>
        <v>0.20456705557089944</v>
      </c>
      <c r="P47" s="213">
        <f t="shared" si="45"/>
        <v>0.2592980772331735</v>
      </c>
      <c r="Q47" s="213">
        <f t="shared" si="45"/>
        <v>0.15251823742975371</v>
      </c>
      <c r="R47" s="213">
        <f t="shared" si="45"/>
        <v>0.15609341011595332</v>
      </c>
      <c r="S47" s="213">
        <f t="shared" si="45"/>
        <v>0.15801525753719803</v>
      </c>
      <c r="T47" s="213">
        <f t="shared" si="45"/>
        <v>8.6745232440504458E-2</v>
      </c>
      <c r="U47" s="213">
        <f t="shared" si="45"/>
        <v>0</v>
      </c>
    </row>
    <row r="48" spans="1:89">
      <c r="A48" s="183" t="s">
        <v>340</v>
      </c>
      <c r="B48" s="64"/>
      <c r="C48" s="64"/>
      <c r="D48" s="64"/>
      <c r="E48" s="90">
        <f>E11/E14</f>
        <v>0.3003106494899262</v>
      </c>
      <c r="F48" s="90">
        <f t="shared" ref="F48:U48" si="46">F11/F14</f>
        <v>0.32183172799521864</v>
      </c>
      <c r="G48" s="90">
        <f t="shared" si="46"/>
        <v>0.34868709050135827</v>
      </c>
      <c r="H48" s="90">
        <f t="shared" si="46"/>
        <v>0.35655291388622046</v>
      </c>
      <c r="I48" s="90">
        <f t="shared" si="46"/>
        <v>6.3711889435439789E-2</v>
      </c>
      <c r="J48" s="90">
        <f t="shared" si="46"/>
        <v>6.4384250443609611E-2</v>
      </c>
      <c r="K48" s="90">
        <f t="shared" si="46"/>
        <v>0</v>
      </c>
      <c r="L48" s="90">
        <f t="shared" si="46"/>
        <v>0</v>
      </c>
      <c r="M48" s="90">
        <f t="shared" si="46"/>
        <v>0</v>
      </c>
      <c r="N48" s="213">
        <f t="shared" si="46"/>
        <v>0</v>
      </c>
      <c r="O48" s="213">
        <f t="shared" si="46"/>
        <v>0</v>
      </c>
      <c r="P48" s="213">
        <f t="shared" si="46"/>
        <v>0</v>
      </c>
      <c r="Q48" s="213">
        <f t="shared" si="46"/>
        <v>0</v>
      </c>
      <c r="R48" s="213">
        <f t="shared" si="46"/>
        <v>0</v>
      </c>
      <c r="S48" s="213">
        <f t="shared" si="46"/>
        <v>0</v>
      </c>
      <c r="T48" s="213">
        <f t="shared" si="46"/>
        <v>0</v>
      </c>
      <c r="U48" s="213">
        <f t="shared" si="46"/>
        <v>0</v>
      </c>
    </row>
    <row r="49" spans="1:21">
      <c r="A49" s="183" t="s">
        <v>341</v>
      </c>
      <c r="B49" s="64"/>
      <c r="C49" s="64"/>
      <c r="D49" s="64"/>
      <c r="E49" s="90">
        <f>E12/E14</f>
        <v>0.45181999740861273</v>
      </c>
      <c r="F49" s="90">
        <f t="shared" ref="F49:U49" si="47">F12/F14</f>
        <v>0.44719259000981443</v>
      </c>
      <c r="G49" s="90">
        <f t="shared" si="47"/>
        <v>0.4603834712038184</v>
      </c>
      <c r="H49" s="90">
        <f t="shared" si="47"/>
        <v>0.4677965904006538</v>
      </c>
      <c r="I49" s="90">
        <f t="shared" si="47"/>
        <v>0.23416807118263619</v>
      </c>
      <c r="J49" s="90">
        <f t="shared" si="47"/>
        <v>0.23663928152997774</v>
      </c>
      <c r="K49" s="90">
        <f t="shared" si="47"/>
        <v>0.19545486789794039</v>
      </c>
      <c r="L49" s="90">
        <f t="shared" si="47"/>
        <v>0.2476717521217183</v>
      </c>
      <c r="M49" s="90">
        <f t="shared" si="47"/>
        <v>0.25021241285021262</v>
      </c>
      <c r="N49" s="213">
        <f t="shared" si="47"/>
        <v>0.22961758781775291</v>
      </c>
      <c r="O49" s="213">
        <f t="shared" si="47"/>
        <v>0.20456705557089944</v>
      </c>
      <c r="P49" s="213">
        <f t="shared" si="47"/>
        <v>0.2592980772331735</v>
      </c>
      <c r="Q49" s="213">
        <f t="shared" si="47"/>
        <v>0.15251823742975371</v>
      </c>
      <c r="R49" s="213">
        <f t="shared" si="47"/>
        <v>0.15609341011595332</v>
      </c>
      <c r="S49" s="213">
        <f t="shared" si="47"/>
        <v>0.15801525753719803</v>
      </c>
      <c r="T49" s="213">
        <f t="shared" si="47"/>
        <v>8.6745232440504458E-2</v>
      </c>
      <c r="U49" s="213">
        <f t="shared" si="47"/>
        <v>0</v>
      </c>
    </row>
    <row r="50" spans="1:21">
      <c r="A50" s="183" t="s">
        <v>345</v>
      </c>
      <c r="B50" s="64"/>
      <c r="C50" s="64"/>
      <c r="D50" s="64"/>
      <c r="E50" s="90">
        <f>E13/E14</f>
        <v>0.54818000259138722</v>
      </c>
      <c r="F50" s="90">
        <f t="shared" ref="F50:U50" si="48">F13/F14</f>
        <v>0.55280740999018563</v>
      </c>
      <c r="G50" s="90">
        <f t="shared" si="48"/>
        <v>0.5396165287961816</v>
      </c>
      <c r="H50" s="90">
        <f t="shared" si="48"/>
        <v>0.5322034095993462</v>
      </c>
      <c r="I50" s="90">
        <f t="shared" si="48"/>
        <v>0.76583192881736384</v>
      </c>
      <c r="J50" s="90">
        <f t="shared" si="48"/>
        <v>0.76336071847002229</v>
      </c>
      <c r="K50" s="90">
        <f t="shared" si="48"/>
        <v>0.80454513210205958</v>
      </c>
      <c r="L50" s="90">
        <f t="shared" si="48"/>
        <v>0.75232824787828168</v>
      </c>
      <c r="M50" s="90">
        <f t="shared" si="48"/>
        <v>0.74978758714978733</v>
      </c>
      <c r="N50" s="213">
        <f t="shared" si="48"/>
        <v>0.77038241218224712</v>
      </c>
      <c r="O50" s="213">
        <f t="shared" si="48"/>
        <v>0.79543294442910051</v>
      </c>
      <c r="P50" s="213">
        <f t="shared" si="48"/>
        <v>0.74070192276682645</v>
      </c>
      <c r="Q50" s="213">
        <f t="shared" si="48"/>
        <v>0.84748176257024632</v>
      </c>
      <c r="R50" s="213">
        <f t="shared" si="48"/>
        <v>0.84390658988404676</v>
      </c>
      <c r="S50" s="213">
        <f t="shared" si="48"/>
        <v>0.84198474246280197</v>
      </c>
      <c r="T50" s="213">
        <f t="shared" si="48"/>
        <v>0.91325476755949553</v>
      </c>
      <c r="U50" s="213">
        <f t="shared" si="48"/>
        <v>1</v>
      </c>
    </row>
    <row r="51" spans="1:21">
      <c r="A51" s="184"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3">
        <f t="shared" si="49"/>
        <v>1</v>
      </c>
      <c r="O51" s="213">
        <f t="shared" si="49"/>
        <v>1</v>
      </c>
      <c r="P51" s="213">
        <f t="shared" si="49"/>
        <v>1</v>
      </c>
      <c r="Q51" s="213">
        <f t="shared" si="49"/>
        <v>1</v>
      </c>
      <c r="R51" s="213">
        <f t="shared" si="49"/>
        <v>1</v>
      </c>
      <c r="S51" s="213">
        <f t="shared" si="49"/>
        <v>1</v>
      </c>
      <c r="T51" s="213">
        <f t="shared" si="49"/>
        <v>1</v>
      </c>
      <c r="U51" s="213">
        <f t="shared" si="49"/>
        <v>1</v>
      </c>
    </row>
    <row r="54" spans="1:21" s="9" customFormat="1">
      <c r="A54" s="228" t="s">
        <v>640</v>
      </c>
      <c r="B54" s="229"/>
      <c r="C54" s="229"/>
      <c r="D54" s="229"/>
      <c r="E54" s="230">
        <f>E1</f>
        <v>43190</v>
      </c>
      <c r="F54" s="230">
        <f t="shared" ref="F54:U54" si="50">F1</f>
        <v>43100</v>
      </c>
      <c r="G54" s="230">
        <f t="shared" si="50"/>
        <v>43008</v>
      </c>
      <c r="H54" s="230">
        <f t="shared" si="50"/>
        <v>42916</v>
      </c>
      <c r="I54" s="230">
        <f t="shared" si="50"/>
        <v>42825</v>
      </c>
      <c r="J54" s="230">
        <f t="shared" si="50"/>
        <v>42735</v>
      </c>
      <c r="K54" s="230">
        <f t="shared" si="50"/>
        <v>42643</v>
      </c>
      <c r="L54" s="230">
        <f t="shared" si="50"/>
        <v>42551</v>
      </c>
      <c r="M54" s="230">
        <f t="shared" si="50"/>
        <v>42460</v>
      </c>
      <c r="N54" s="230">
        <f t="shared" si="50"/>
        <v>42369</v>
      </c>
      <c r="O54" s="230">
        <f t="shared" si="50"/>
        <v>42277</v>
      </c>
      <c r="P54" s="230">
        <f t="shared" si="50"/>
        <v>42185</v>
      </c>
      <c r="Q54" s="230">
        <f t="shared" si="50"/>
        <v>42094</v>
      </c>
      <c r="R54" s="230">
        <f t="shared" si="50"/>
        <v>42004</v>
      </c>
      <c r="S54" s="230">
        <f t="shared" si="50"/>
        <v>41912</v>
      </c>
      <c r="T54" s="230">
        <f t="shared" si="50"/>
        <v>41820</v>
      </c>
      <c r="U54" s="230">
        <f t="shared" si="50"/>
        <v>41729</v>
      </c>
    </row>
    <row r="55" spans="1:21">
      <c r="A55" s="183" t="s">
        <v>644</v>
      </c>
      <c r="B55" s="64"/>
      <c r="C55" s="64"/>
      <c r="D55" s="64"/>
      <c r="E55" s="213">
        <f>E2/E9</f>
        <v>0.89366517873146822</v>
      </c>
      <c r="F55" s="213">
        <f t="shared" ref="F55:U55" si="51">F2/F9</f>
        <v>0.94429319872373008</v>
      </c>
      <c r="G55" s="213">
        <f t="shared" si="51"/>
        <v>0.94301377592116387</v>
      </c>
      <c r="H55" s="213">
        <f t="shared" si="51"/>
        <v>1.0903815211662433</v>
      </c>
      <c r="I55" s="213">
        <f t="shared" si="51"/>
        <v>0.54133299942686408</v>
      </c>
      <c r="J55" s="213">
        <f t="shared" si="51"/>
        <v>0.61858401898618443</v>
      </c>
      <c r="K55" s="213">
        <f t="shared" si="51"/>
        <v>0.5319493798155821</v>
      </c>
      <c r="L55" s="213">
        <f t="shared" si="51"/>
        <v>0.54037061665793151</v>
      </c>
      <c r="M55" s="213">
        <f t="shared" si="51"/>
        <v>0.58785308861113128</v>
      </c>
      <c r="N55" s="213">
        <f t="shared" si="51"/>
        <v>0.67077413571516153</v>
      </c>
      <c r="O55" s="213">
        <f t="shared" si="51"/>
        <v>0.68412098015758493</v>
      </c>
      <c r="P55" s="213">
        <f t="shared" si="51"/>
        <v>0.72525380935369455</v>
      </c>
      <c r="Q55" s="213">
        <f t="shared" si="51"/>
        <v>0.7298077003152782</v>
      </c>
      <c r="R55" s="213">
        <f t="shared" si="51"/>
        <v>0.82047676839931238</v>
      </c>
      <c r="S55" s="213">
        <f t="shared" si="51"/>
        <v>0.84374491160000131</v>
      </c>
      <c r="T55" s="213">
        <f t="shared" si="51"/>
        <v>0.80120648777775927</v>
      </c>
      <c r="U55" s="213">
        <f t="shared" si="51"/>
        <v>0.85254704129001602</v>
      </c>
    </row>
    <row r="56" spans="1:21">
      <c r="A56" s="183" t="s">
        <v>645</v>
      </c>
      <c r="B56" s="64"/>
      <c r="C56" s="64"/>
      <c r="D56" s="64"/>
      <c r="E56" s="213">
        <f>E4/E9</f>
        <v>-1.505064546061082E-2</v>
      </c>
      <c r="F56" s="213">
        <f t="shared" ref="F56:U56" si="52">F4/F9</f>
        <v>-6.5658333238129335E-2</v>
      </c>
      <c r="G56" s="213">
        <f t="shared" si="52"/>
        <v>-5.2033219456677909E-2</v>
      </c>
      <c r="H56" s="213">
        <f t="shared" si="52"/>
        <v>-0.197390081713023</v>
      </c>
      <c r="I56" s="213">
        <f t="shared" si="52"/>
        <v>0.26137771817453637</v>
      </c>
      <c r="J56" s="213">
        <f t="shared" si="52"/>
        <v>0.17750963468375267</v>
      </c>
      <c r="K56" s="213">
        <f t="shared" si="52"/>
        <v>0.24949471845840546</v>
      </c>
      <c r="L56" s="213">
        <f t="shared" si="52"/>
        <v>0.24840231291530912</v>
      </c>
      <c r="M56" s="213">
        <f t="shared" si="52"/>
        <v>0.19719912337690557</v>
      </c>
      <c r="N56" s="213">
        <f t="shared" si="52"/>
        <v>0.1057172566401527</v>
      </c>
      <c r="O56" s="213">
        <f t="shared" si="52"/>
        <v>8.0502028838390569E-2</v>
      </c>
      <c r="P56" s="213">
        <f t="shared" si="52"/>
        <v>4.8639746331208621E-2</v>
      </c>
      <c r="Q56" s="213">
        <f t="shared" si="52"/>
        <v>2.7964962344665194E-3</v>
      </c>
      <c r="R56" s="213">
        <f t="shared" si="52"/>
        <v>-9.9308315428716015E-2</v>
      </c>
      <c r="S56" s="213">
        <f t="shared" si="52"/>
        <v>-0.12630672421386752</v>
      </c>
      <c r="T56" s="213">
        <f t="shared" si="52"/>
        <v>-0.19018534312160987</v>
      </c>
      <c r="U56" s="213">
        <f t="shared" si="52"/>
        <v>-0.27428775593003107</v>
      </c>
    </row>
    <row r="57" spans="1:21">
      <c r="A57" s="183" t="s">
        <v>646</v>
      </c>
      <c r="B57" s="64"/>
      <c r="C57" s="64"/>
      <c r="D57" s="64"/>
      <c r="E57" s="213">
        <f>E5/E9</f>
        <v>0.44364813204330589</v>
      </c>
      <c r="F57" s="213">
        <f t="shared" ref="F57:U57" si="53">F5/F9</f>
        <v>0.44258805563627768</v>
      </c>
      <c r="G57" s="213">
        <f t="shared" si="53"/>
        <v>0.39109900194140501</v>
      </c>
      <c r="H57" s="213">
        <f t="shared" si="53"/>
        <v>0.34986976272737896</v>
      </c>
      <c r="I57" s="213">
        <f t="shared" si="53"/>
        <v>0.67940525879814317</v>
      </c>
      <c r="J57" s="213">
        <f t="shared" si="53"/>
        <v>0.65468999200046907</v>
      </c>
      <c r="K57" s="213">
        <f t="shared" si="53"/>
        <v>0.5648452955651031</v>
      </c>
      <c r="L57" s="213">
        <f t="shared" si="53"/>
        <v>0.50187087884078374</v>
      </c>
      <c r="M57" s="213">
        <f t="shared" si="53"/>
        <v>0.47010796090885998</v>
      </c>
      <c r="N57" s="213">
        <f t="shared" si="53"/>
        <v>0.4260496358243539</v>
      </c>
      <c r="O57" s="213">
        <f t="shared" si="53"/>
        <v>0.40762657201032315</v>
      </c>
      <c r="P57" s="213">
        <f t="shared" si="53"/>
        <v>0.35055948878071452</v>
      </c>
      <c r="Q57" s="213">
        <f t="shared" si="53"/>
        <v>0.39090570709501721</v>
      </c>
      <c r="R57" s="213">
        <f t="shared" si="53"/>
        <v>0.34941528906962355</v>
      </c>
      <c r="S57" s="213">
        <f t="shared" si="53"/>
        <v>0.33505958392430524</v>
      </c>
      <c r="T57" s="213">
        <f t="shared" si="53"/>
        <v>0.3068603527241105</v>
      </c>
      <c r="U57" s="213">
        <f t="shared" si="53"/>
        <v>0.3348298294114268</v>
      </c>
    </row>
    <row r="58" spans="1:21">
      <c r="A58" s="183" t="s">
        <v>647</v>
      </c>
      <c r="B58" s="64"/>
      <c r="C58" s="64"/>
      <c r="D58" s="64"/>
      <c r="E58" s="213">
        <f>E6/E9</f>
        <v>0.45869877750391669</v>
      </c>
      <c r="F58" s="213">
        <f t="shared" ref="F58:U58" si="54">F6/F9</f>
        <v>0.50824638887440698</v>
      </c>
      <c r="G58" s="213">
        <f t="shared" si="54"/>
        <v>0.44313222139808289</v>
      </c>
      <c r="H58" s="213">
        <f t="shared" si="54"/>
        <v>0.54725984444040199</v>
      </c>
      <c r="I58" s="213">
        <f t="shared" si="54"/>
        <v>0.41802754062360686</v>
      </c>
      <c r="J58" s="213">
        <f t="shared" si="54"/>
        <v>0.47718035731671649</v>
      </c>
      <c r="K58" s="213">
        <f t="shared" si="54"/>
        <v>0.31535057710669773</v>
      </c>
      <c r="L58" s="213">
        <f t="shared" si="54"/>
        <v>0.25346856592547462</v>
      </c>
      <c r="M58" s="213">
        <f t="shared" si="54"/>
        <v>0.27290883753195438</v>
      </c>
      <c r="N58" s="213">
        <f t="shared" si="54"/>
        <v>0.32033237918420121</v>
      </c>
      <c r="O58" s="213">
        <f t="shared" si="54"/>
        <v>0.32712454317193262</v>
      </c>
      <c r="P58" s="213">
        <f t="shared" si="54"/>
        <v>0.30191974244950592</v>
      </c>
      <c r="Q58" s="213">
        <f t="shared" si="54"/>
        <v>0.38810921086055067</v>
      </c>
      <c r="R58" s="213">
        <f t="shared" si="54"/>
        <v>0.44872360449833959</v>
      </c>
      <c r="S58" s="213">
        <f t="shared" si="54"/>
        <v>0.46136630813817275</v>
      </c>
      <c r="T58" s="213">
        <f t="shared" si="54"/>
        <v>0.49704569584572039</v>
      </c>
      <c r="U58" s="213">
        <f t="shared" si="54"/>
        <v>0.60911758534145788</v>
      </c>
    </row>
    <row r="59" spans="1:21" s="224" customFormat="1">
      <c r="A59" s="226" t="s">
        <v>641</v>
      </c>
      <c r="B59" s="222"/>
      <c r="C59" s="222"/>
      <c r="D59" s="222"/>
      <c r="E59" s="223">
        <f>E55+E56</f>
        <v>0.87861453327085737</v>
      </c>
      <c r="F59" s="223">
        <f t="shared" ref="F59:U59" si="55">F55+F56</f>
        <v>0.87863486548560077</v>
      </c>
      <c r="G59" s="223">
        <f t="shared" si="55"/>
        <v>0.89098055646448593</v>
      </c>
      <c r="H59" s="223">
        <f t="shared" si="55"/>
        <v>0.89299143945322035</v>
      </c>
      <c r="I59" s="223">
        <f t="shared" si="55"/>
        <v>0.80271071760140045</v>
      </c>
      <c r="J59" s="223">
        <f t="shared" si="55"/>
        <v>0.79609365366993712</v>
      </c>
      <c r="K59" s="223">
        <f t="shared" si="55"/>
        <v>0.78144409827398753</v>
      </c>
      <c r="L59" s="223">
        <f t="shared" si="55"/>
        <v>0.78877292957324063</v>
      </c>
      <c r="M59" s="223">
        <f t="shared" si="55"/>
        <v>0.78505221198803687</v>
      </c>
      <c r="N59" s="223">
        <f t="shared" si="55"/>
        <v>0.77649139235531428</v>
      </c>
      <c r="O59" s="223">
        <f t="shared" si="55"/>
        <v>0.76462300899597546</v>
      </c>
      <c r="P59" s="223">
        <f t="shared" si="55"/>
        <v>0.77389355568490314</v>
      </c>
      <c r="Q59" s="223">
        <f t="shared" si="55"/>
        <v>0.73260419654974474</v>
      </c>
      <c r="R59" s="223">
        <f t="shared" si="55"/>
        <v>0.7211684529705964</v>
      </c>
      <c r="S59" s="223">
        <f t="shared" si="55"/>
        <v>0.71743818738613374</v>
      </c>
      <c r="T59" s="223">
        <f t="shared" si="55"/>
        <v>0.61102114465614943</v>
      </c>
      <c r="U59" s="223">
        <f t="shared" si="55"/>
        <v>0.57825928535998494</v>
      </c>
    </row>
    <row r="60" spans="1:21">
      <c r="A60" s="183" t="s">
        <v>648</v>
      </c>
      <c r="B60" s="64"/>
      <c r="C60" s="64"/>
      <c r="D60" s="64"/>
      <c r="E60" s="213">
        <f>E3/E9</f>
        <v>0</v>
      </c>
      <c r="F60" s="213">
        <f t="shared" ref="F60:U60" si="56">F3/F9</f>
        <v>0</v>
      </c>
      <c r="G60" s="213">
        <f t="shared" si="56"/>
        <v>0</v>
      </c>
      <c r="H60" s="213">
        <f t="shared" si="56"/>
        <v>0</v>
      </c>
      <c r="I60" s="213">
        <f t="shared" si="56"/>
        <v>0</v>
      </c>
      <c r="J60" s="213">
        <f t="shared" si="56"/>
        <v>0</v>
      </c>
      <c r="K60" s="213">
        <f t="shared" si="56"/>
        <v>0</v>
      </c>
      <c r="L60" s="213">
        <f t="shared" si="56"/>
        <v>0</v>
      </c>
      <c r="M60" s="213">
        <f t="shared" si="56"/>
        <v>0</v>
      </c>
      <c r="N60" s="213">
        <f t="shared" si="56"/>
        <v>0</v>
      </c>
      <c r="O60" s="213">
        <f t="shared" si="56"/>
        <v>0</v>
      </c>
      <c r="P60" s="213">
        <f t="shared" si="56"/>
        <v>0</v>
      </c>
      <c r="Q60" s="213">
        <f t="shared" si="56"/>
        <v>0</v>
      </c>
      <c r="R60" s="213">
        <f t="shared" si="56"/>
        <v>0</v>
      </c>
      <c r="S60" s="213">
        <f t="shared" si="56"/>
        <v>0</v>
      </c>
      <c r="T60" s="213">
        <f t="shared" si="56"/>
        <v>7.5112349789303048E-2</v>
      </c>
      <c r="U60" s="213">
        <f t="shared" si="56"/>
        <v>8.1428689193031381E-2</v>
      </c>
    </row>
    <row r="61" spans="1:21">
      <c r="A61" s="183" t="s">
        <v>649</v>
      </c>
      <c r="B61" s="64"/>
      <c r="C61" s="64"/>
      <c r="D61" s="64"/>
      <c r="E61" s="213">
        <f>E7/E9</f>
        <v>0.12138546672914255</v>
      </c>
      <c r="F61" s="213">
        <f t="shared" ref="F61:U61" si="57">F7/F9</f>
        <v>0.12136513451439926</v>
      </c>
      <c r="G61" s="213">
        <f t="shared" si="57"/>
        <v>0.109019443535514</v>
      </c>
      <c r="H61" s="213">
        <f t="shared" si="57"/>
        <v>0.10700856054677967</v>
      </c>
      <c r="I61" s="213">
        <f t="shared" si="57"/>
        <v>0.1972892823985995</v>
      </c>
      <c r="J61" s="213">
        <f t="shared" si="57"/>
        <v>0.20390634633006294</v>
      </c>
      <c r="K61" s="213">
        <f t="shared" si="57"/>
        <v>0.21855590172601247</v>
      </c>
      <c r="L61" s="213">
        <f t="shared" si="57"/>
        <v>0.21122707042675942</v>
      </c>
      <c r="M61" s="213">
        <f t="shared" si="57"/>
        <v>0.21494778801196324</v>
      </c>
      <c r="N61" s="213">
        <f t="shared" si="57"/>
        <v>0.22350860764468578</v>
      </c>
      <c r="O61" s="213">
        <f t="shared" si="57"/>
        <v>0.2353769910040244</v>
      </c>
      <c r="P61" s="213">
        <f t="shared" si="57"/>
        <v>0.22610644431509674</v>
      </c>
      <c r="Q61" s="213">
        <f t="shared" si="57"/>
        <v>0.26739580345025515</v>
      </c>
      <c r="R61" s="213">
        <f t="shared" si="57"/>
        <v>0.27883154702940349</v>
      </c>
      <c r="S61" s="213">
        <f t="shared" si="57"/>
        <v>0.28256181261386626</v>
      </c>
      <c r="T61" s="213">
        <f t="shared" si="57"/>
        <v>0.31386650555454754</v>
      </c>
      <c r="U61" s="213">
        <f t="shared" si="57"/>
        <v>0.34031202544698363</v>
      </c>
    </row>
    <row r="62" spans="1:21" s="224" customFormat="1">
      <c r="A62" s="226" t="s">
        <v>642</v>
      </c>
      <c r="B62" s="222"/>
      <c r="C62" s="222"/>
      <c r="D62" s="222"/>
      <c r="E62" s="223">
        <f>E60+E61</f>
        <v>0.12138546672914255</v>
      </c>
      <c r="F62" s="223">
        <f t="shared" ref="F62:M62" si="58">F60+F61</f>
        <v>0.12136513451439926</v>
      </c>
      <c r="G62" s="223">
        <f t="shared" si="58"/>
        <v>0.109019443535514</v>
      </c>
      <c r="H62" s="223">
        <f t="shared" si="58"/>
        <v>0.10700856054677967</v>
      </c>
      <c r="I62" s="223">
        <f t="shared" si="58"/>
        <v>0.1972892823985995</v>
      </c>
      <c r="J62" s="223">
        <f t="shared" si="58"/>
        <v>0.20390634633006294</v>
      </c>
      <c r="K62" s="223">
        <f t="shared" si="58"/>
        <v>0.21855590172601247</v>
      </c>
      <c r="L62" s="223">
        <f t="shared" si="58"/>
        <v>0.21122707042675942</v>
      </c>
      <c r="M62" s="223">
        <f t="shared" si="58"/>
        <v>0.21494778801196324</v>
      </c>
      <c r="N62" s="223">
        <f t="shared" ref="N62" si="59">N60+N61</f>
        <v>0.22350860764468578</v>
      </c>
      <c r="O62" s="223">
        <f t="shared" ref="O62" si="60">O60+O61</f>
        <v>0.2353769910040244</v>
      </c>
      <c r="P62" s="223">
        <f t="shared" ref="P62" si="61">P60+P61</f>
        <v>0.22610644431509674</v>
      </c>
      <c r="Q62" s="223">
        <f t="shared" ref="Q62" si="62">Q60+Q61</f>
        <v>0.26739580345025515</v>
      </c>
      <c r="R62" s="223">
        <f t="shared" ref="R62" si="63">R60+R61</f>
        <v>0.27883154702940349</v>
      </c>
      <c r="S62" s="223">
        <f t="shared" ref="S62" si="64">S60+S61</f>
        <v>0.28256181261386626</v>
      </c>
      <c r="T62" s="223">
        <f t="shared" ref="T62" si="65">T60+T61</f>
        <v>0.38897885534385057</v>
      </c>
      <c r="U62" s="223">
        <f t="shared" ref="U62" si="66">U60+U61</f>
        <v>0.421740714640015</v>
      </c>
    </row>
    <row r="63" spans="1:21">
      <c r="A63" s="225" t="s">
        <v>643</v>
      </c>
      <c r="B63" s="64"/>
      <c r="C63" s="64"/>
      <c r="D63" s="64"/>
      <c r="E63" s="213">
        <v>1</v>
      </c>
      <c r="F63" s="213">
        <v>1</v>
      </c>
      <c r="G63" s="213">
        <v>1</v>
      </c>
      <c r="H63" s="213">
        <v>1</v>
      </c>
      <c r="I63" s="213">
        <v>1</v>
      </c>
      <c r="J63" s="213">
        <v>1</v>
      </c>
      <c r="K63" s="213">
        <v>1</v>
      </c>
      <c r="L63" s="213">
        <v>1</v>
      </c>
      <c r="M63" s="213">
        <v>1</v>
      </c>
      <c r="N63" s="213">
        <v>1</v>
      </c>
      <c r="O63" s="213">
        <v>1</v>
      </c>
      <c r="P63" s="213">
        <v>1</v>
      </c>
      <c r="Q63" s="213">
        <v>1</v>
      </c>
      <c r="R63" s="213">
        <v>1</v>
      </c>
      <c r="S63" s="213">
        <v>1</v>
      </c>
      <c r="T63" s="213">
        <v>1</v>
      </c>
      <c r="U63" s="213">
        <v>1</v>
      </c>
    </row>
    <row r="64" spans="1:21" ht="42.6" customHeight="1">
      <c r="A64" s="279" t="s">
        <v>699</v>
      </c>
      <c r="B64" s="280"/>
      <c r="C64" s="280"/>
      <c r="D64" s="280"/>
      <c r="E64" s="280"/>
      <c r="F64" s="280"/>
      <c r="G64" s="280"/>
      <c r="H64" s="280"/>
      <c r="I64" s="280"/>
      <c r="J64" s="280"/>
      <c r="K64" s="280"/>
      <c r="L64" s="280"/>
      <c r="M64" s="280"/>
      <c r="N64" s="280"/>
      <c r="O64" s="280"/>
      <c r="P64" s="280"/>
      <c r="Q64" s="280"/>
      <c r="R64" s="280"/>
      <c r="S64" s="280"/>
      <c r="T64" s="280"/>
      <c r="U64" s="280"/>
    </row>
    <row r="66" spans="1:21" s="9" customFormat="1">
      <c r="A66" s="231" t="s">
        <v>650</v>
      </c>
      <c r="E66" s="232">
        <f>E1</f>
        <v>43190</v>
      </c>
      <c r="F66" s="232">
        <f t="shared" ref="F66:U66" si="67">F1</f>
        <v>43100</v>
      </c>
      <c r="G66" s="232">
        <f t="shared" si="67"/>
        <v>43008</v>
      </c>
      <c r="H66" s="232">
        <f t="shared" si="67"/>
        <v>42916</v>
      </c>
      <c r="I66" s="232">
        <f t="shared" si="67"/>
        <v>42825</v>
      </c>
      <c r="J66" s="232">
        <f t="shared" si="67"/>
        <v>42735</v>
      </c>
      <c r="K66" s="232">
        <f t="shared" si="67"/>
        <v>42643</v>
      </c>
      <c r="L66" s="232">
        <f t="shared" si="67"/>
        <v>42551</v>
      </c>
      <c r="M66" s="232">
        <f t="shared" si="67"/>
        <v>42460</v>
      </c>
      <c r="N66" s="232">
        <f t="shared" si="67"/>
        <v>42369</v>
      </c>
      <c r="O66" s="232">
        <f t="shared" si="67"/>
        <v>42277</v>
      </c>
      <c r="P66" s="232">
        <f t="shared" si="67"/>
        <v>42185</v>
      </c>
      <c r="Q66" s="232">
        <f t="shared" si="67"/>
        <v>42094</v>
      </c>
      <c r="R66" s="232">
        <f t="shared" si="67"/>
        <v>42004</v>
      </c>
      <c r="S66" s="232">
        <f t="shared" si="67"/>
        <v>41912</v>
      </c>
      <c r="T66" s="232">
        <f t="shared" si="67"/>
        <v>41820</v>
      </c>
      <c r="U66" s="232">
        <f t="shared" si="67"/>
        <v>41729</v>
      </c>
    </row>
    <row r="67" spans="1:21">
      <c r="A67" s="17" t="s">
        <v>651</v>
      </c>
      <c r="E67" s="192">
        <f>E10</f>
        <v>523215925.93000001</v>
      </c>
      <c r="F67" s="192">
        <f t="shared" ref="F67:U67" si="68">F10</f>
        <v>415652208.90999997</v>
      </c>
      <c r="G67" s="192">
        <f t="shared" si="68"/>
        <v>372382035.86000001</v>
      </c>
      <c r="H67" s="192">
        <f t="shared" si="68"/>
        <v>370100989.93000001</v>
      </c>
      <c r="I67" s="192">
        <f t="shared" si="68"/>
        <v>280651753.13</v>
      </c>
      <c r="J67" s="192">
        <f t="shared" si="68"/>
        <v>280651753.13</v>
      </c>
      <c r="K67" s="192">
        <f t="shared" si="68"/>
        <v>300363187.5</v>
      </c>
      <c r="L67" s="192">
        <f t="shared" si="68"/>
        <v>402072247.22000003</v>
      </c>
      <c r="M67" s="192">
        <f t="shared" si="68"/>
        <v>402178998.61000001</v>
      </c>
      <c r="N67" s="192">
        <f t="shared" si="68"/>
        <v>352091273.61000001</v>
      </c>
      <c r="O67" s="192">
        <f t="shared" si="68"/>
        <v>301694800</v>
      </c>
      <c r="P67" s="192">
        <f t="shared" si="68"/>
        <v>403175396.67000002</v>
      </c>
      <c r="Q67" s="192">
        <f t="shared" si="68"/>
        <v>202870813.33000001</v>
      </c>
      <c r="R67" s="192">
        <f t="shared" si="68"/>
        <v>202870813.33000001</v>
      </c>
      <c r="S67" s="192">
        <f t="shared" si="68"/>
        <v>202707480</v>
      </c>
      <c r="T67" s="192">
        <f t="shared" si="68"/>
        <v>100000000</v>
      </c>
      <c r="U67" s="192">
        <f t="shared" si="68"/>
        <v>0</v>
      </c>
    </row>
    <row r="68" spans="1:21">
      <c r="A68" s="17" t="s">
        <v>652</v>
      </c>
      <c r="E68" s="192">
        <f>E11</f>
        <v>1037080000</v>
      </c>
      <c r="F68" s="192">
        <f t="shared" ref="F68:U68" si="69">F11</f>
        <v>1067080000</v>
      </c>
      <c r="G68" s="192">
        <f t="shared" si="69"/>
        <v>1162480000</v>
      </c>
      <c r="H68" s="192">
        <f t="shared" si="69"/>
        <v>1186230000</v>
      </c>
      <c r="I68" s="192">
        <f t="shared" si="69"/>
        <v>104900000</v>
      </c>
      <c r="J68" s="192">
        <f t="shared" si="69"/>
        <v>104900000</v>
      </c>
      <c r="K68" s="192">
        <f t="shared" si="69"/>
        <v>0</v>
      </c>
      <c r="L68" s="192">
        <f t="shared" si="69"/>
        <v>0</v>
      </c>
      <c r="M68" s="192">
        <f t="shared" si="69"/>
        <v>0</v>
      </c>
      <c r="N68" s="192">
        <f t="shared" si="69"/>
        <v>0</v>
      </c>
      <c r="O68" s="192">
        <f t="shared" si="69"/>
        <v>0</v>
      </c>
      <c r="P68" s="192">
        <f t="shared" si="69"/>
        <v>0</v>
      </c>
      <c r="Q68" s="192">
        <f t="shared" si="69"/>
        <v>0</v>
      </c>
      <c r="R68" s="192">
        <f t="shared" si="69"/>
        <v>0</v>
      </c>
      <c r="S68" s="192">
        <f t="shared" si="69"/>
        <v>0</v>
      </c>
      <c r="T68" s="192">
        <f t="shared" si="69"/>
        <v>0</v>
      </c>
      <c r="U68" s="192">
        <f t="shared" si="69"/>
        <v>0</v>
      </c>
    </row>
    <row r="69" spans="1:21">
      <c r="A69" s="17" t="s">
        <v>653</v>
      </c>
      <c r="E69" s="192">
        <f>E12</f>
        <v>1560295925.9300001</v>
      </c>
      <c r="F69" s="192">
        <f t="shared" ref="F69:U69" si="70">F12</f>
        <v>1482732208.9099998</v>
      </c>
      <c r="G69" s="192">
        <f t="shared" si="70"/>
        <v>1534862035.8600001</v>
      </c>
      <c r="H69" s="192">
        <f t="shared" si="70"/>
        <v>1556330989.9300001</v>
      </c>
      <c r="I69" s="192">
        <f t="shared" si="70"/>
        <v>385551753.13</v>
      </c>
      <c r="J69" s="192">
        <f t="shared" si="70"/>
        <v>385551753.13</v>
      </c>
      <c r="K69" s="192">
        <f t="shared" si="70"/>
        <v>300363187.5</v>
      </c>
      <c r="L69" s="192">
        <f t="shared" si="70"/>
        <v>402072247.22000003</v>
      </c>
      <c r="M69" s="192">
        <f t="shared" si="70"/>
        <v>402178998.61000001</v>
      </c>
      <c r="N69" s="192">
        <f t="shared" si="70"/>
        <v>352091273.61000001</v>
      </c>
      <c r="O69" s="192">
        <f t="shared" si="70"/>
        <v>301694800</v>
      </c>
      <c r="P69" s="192">
        <f t="shared" si="70"/>
        <v>403175396.67000002</v>
      </c>
      <c r="Q69" s="192">
        <f t="shared" si="70"/>
        <v>202870813.33000001</v>
      </c>
      <c r="R69" s="192">
        <f t="shared" si="70"/>
        <v>202870813.33000001</v>
      </c>
      <c r="S69" s="192">
        <f t="shared" si="70"/>
        <v>202707480</v>
      </c>
      <c r="T69" s="192">
        <f t="shared" si="70"/>
        <v>100000000</v>
      </c>
      <c r="U69" s="192">
        <f t="shared" si="70"/>
        <v>0</v>
      </c>
    </row>
    <row r="70" spans="1:21" s="233" customFormat="1">
      <c r="A70" s="233" t="s">
        <v>656</v>
      </c>
      <c r="E70" s="233">
        <f>E69/E74</f>
        <v>0.45181999740861273</v>
      </c>
      <c r="F70" s="233">
        <f t="shared" ref="F70:U70" si="71">F69/F74</f>
        <v>0.44719259000981443</v>
      </c>
      <c r="G70" s="233">
        <f t="shared" si="71"/>
        <v>0.4603834712038184</v>
      </c>
      <c r="H70" s="233">
        <f t="shared" si="71"/>
        <v>0.4677965904006538</v>
      </c>
      <c r="I70" s="233">
        <f t="shared" si="71"/>
        <v>0.23416807118263619</v>
      </c>
      <c r="J70" s="233">
        <f t="shared" si="71"/>
        <v>0.23663928152997774</v>
      </c>
      <c r="K70" s="233">
        <f t="shared" si="71"/>
        <v>0.19545486789794039</v>
      </c>
      <c r="L70" s="233">
        <f t="shared" si="71"/>
        <v>0.2476717521217183</v>
      </c>
      <c r="M70" s="233">
        <f t="shared" si="71"/>
        <v>0.25021241285021262</v>
      </c>
      <c r="N70" s="233">
        <f t="shared" si="71"/>
        <v>0.22961758781775291</v>
      </c>
      <c r="O70" s="233">
        <f t="shared" si="71"/>
        <v>0.20456705557089944</v>
      </c>
      <c r="P70" s="233">
        <f t="shared" si="71"/>
        <v>0.2592980772331735</v>
      </c>
      <c r="Q70" s="233">
        <f t="shared" si="71"/>
        <v>0.15251823742975371</v>
      </c>
      <c r="R70" s="233">
        <f t="shared" si="71"/>
        <v>0.15609341011595332</v>
      </c>
      <c r="S70" s="233">
        <f t="shared" si="71"/>
        <v>0.15801525753719803</v>
      </c>
      <c r="T70" s="233">
        <f t="shared" si="71"/>
        <v>8.6745232440504458E-2</v>
      </c>
      <c r="U70" s="233">
        <f t="shared" si="71"/>
        <v>0</v>
      </c>
    </row>
    <row r="71" spans="1:21">
      <c r="A71" s="17" t="s">
        <v>654</v>
      </c>
      <c r="E71" s="192">
        <f>E13</f>
        <v>1893061461.6999996</v>
      </c>
      <c r="F71" s="192">
        <f t="shared" ref="F71:U71" si="72">F13</f>
        <v>1832913537.54</v>
      </c>
      <c r="G71" s="192">
        <f t="shared" si="72"/>
        <v>1799015333.4700003</v>
      </c>
      <c r="H71" s="192">
        <f t="shared" si="72"/>
        <v>1770608585.6599996</v>
      </c>
      <c r="I71" s="192">
        <f t="shared" si="72"/>
        <v>1260922726.4300003</v>
      </c>
      <c r="J71" s="192">
        <f t="shared" si="72"/>
        <v>1243728688.5500002</v>
      </c>
      <c r="K71" s="192">
        <f t="shared" si="72"/>
        <v>1236376166.8599999</v>
      </c>
      <c r="L71" s="192">
        <f t="shared" si="72"/>
        <v>1221335524.46</v>
      </c>
      <c r="M71" s="192">
        <f t="shared" si="72"/>
        <v>1205171308.3899999</v>
      </c>
      <c r="N71" s="192">
        <f t="shared" si="72"/>
        <v>1181289844.7800002</v>
      </c>
      <c r="O71" s="192">
        <f t="shared" si="72"/>
        <v>1173101809.6400001</v>
      </c>
      <c r="P71" s="192">
        <f t="shared" si="72"/>
        <v>1151696899.23</v>
      </c>
      <c r="Q71" s="192">
        <f t="shared" si="72"/>
        <v>1127270530.7400002</v>
      </c>
      <c r="R71" s="192">
        <f t="shared" si="72"/>
        <v>1096804894.8200002</v>
      </c>
      <c r="S71" s="192">
        <f t="shared" si="72"/>
        <v>1080127375.0599999</v>
      </c>
      <c r="T71" s="192">
        <f t="shared" si="72"/>
        <v>1052801107.1800001</v>
      </c>
      <c r="U71" s="192">
        <f t="shared" si="72"/>
        <v>1063379514.74</v>
      </c>
    </row>
    <row r="72" spans="1:21" s="233" customFormat="1">
      <c r="A72" s="233" t="s">
        <v>657</v>
      </c>
      <c r="E72" s="233">
        <f>E71/E74</f>
        <v>0.54818000259138722</v>
      </c>
      <c r="F72" s="233">
        <f t="shared" ref="F72:U72" si="73">F71/F74</f>
        <v>0.55280740999018563</v>
      </c>
      <c r="G72" s="233">
        <f t="shared" si="73"/>
        <v>0.5396165287961816</v>
      </c>
      <c r="H72" s="233">
        <f t="shared" si="73"/>
        <v>0.5322034095993462</v>
      </c>
      <c r="I72" s="233">
        <f t="shared" si="73"/>
        <v>0.76583192881736384</v>
      </c>
      <c r="J72" s="233">
        <f t="shared" si="73"/>
        <v>0.76336071847002229</v>
      </c>
      <c r="K72" s="233">
        <f t="shared" si="73"/>
        <v>0.80454513210205958</v>
      </c>
      <c r="L72" s="233">
        <f t="shared" si="73"/>
        <v>0.75232824787828168</v>
      </c>
      <c r="M72" s="233">
        <f t="shared" si="73"/>
        <v>0.74978758714978733</v>
      </c>
      <c r="N72" s="233">
        <f t="shared" si="73"/>
        <v>0.77038241218224712</v>
      </c>
      <c r="O72" s="233">
        <f t="shared" si="73"/>
        <v>0.79543294442910051</v>
      </c>
      <c r="P72" s="233">
        <f t="shared" si="73"/>
        <v>0.74070192276682645</v>
      </c>
      <c r="Q72" s="233">
        <f t="shared" si="73"/>
        <v>0.84748176257024632</v>
      </c>
      <c r="R72" s="233">
        <f t="shared" si="73"/>
        <v>0.84390658988404676</v>
      </c>
      <c r="S72" s="233">
        <f t="shared" si="73"/>
        <v>0.84198474246280197</v>
      </c>
      <c r="T72" s="233">
        <f t="shared" si="73"/>
        <v>0.91325476755949553</v>
      </c>
      <c r="U72" s="233">
        <f t="shared" si="73"/>
        <v>1</v>
      </c>
    </row>
    <row r="73" spans="1:21" s="235" customFormat="1">
      <c r="A73" s="234" t="s">
        <v>658</v>
      </c>
      <c r="E73" s="236">
        <f>E74/E71</f>
        <v>1.8242183138252834</v>
      </c>
      <c r="F73" s="236">
        <f t="shared" ref="F73:U73" si="74">F74/F71</f>
        <v>1.8089482556280383</v>
      </c>
      <c r="G73" s="236">
        <f t="shared" si="74"/>
        <v>1.853167845378787</v>
      </c>
      <c r="H73" s="236">
        <f t="shared" si="74"/>
        <v>1.8789808219244983</v>
      </c>
      <c r="I73" s="236">
        <f t="shared" si="74"/>
        <v>1.305769532936881</v>
      </c>
      <c r="J73" s="236">
        <f t="shared" si="74"/>
        <v>1.3099966710420541</v>
      </c>
      <c r="K73" s="236">
        <f t="shared" si="74"/>
        <v>1.2429383512485739</v>
      </c>
      <c r="L73" s="236">
        <f t="shared" si="74"/>
        <v>1.3292070353867516</v>
      </c>
      <c r="M73" s="236">
        <f t="shared" si="74"/>
        <v>1.333711063157714</v>
      </c>
      <c r="N73" s="236">
        <f t="shared" si="74"/>
        <v>1.2980566328965373</v>
      </c>
      <c r="O73" s="236">
        <f t="shared" si="74"/>
        <v>1.2571769965068793</v>
      </c>
      <c r="P73" s="236">
        <f t="shared" si="74"/>
        <v>1.3500707494650324</v>
      </c>
      <c r="Q73" s="236">
        <f t="shared" si="74"/>
        <v>1.1799663947542607</v>
      </c>
      <c r="R73" s="236">
        <f t="shared" si="74"/>
        <v>1.1849652698379811</v>
      </c>
      <c r="S73" s="236">
        <f t="shared" si="74"/>
        <v>1.1876699773383115</v>
      </c>
      <c r="T73" s="236">
        <f t="shared" si="74"/>
        <v>1.0949847025406887</v>
      </c>
      <c r="U73" s="236">
        <f t="shared" si="74"/>
        <v>1</v>
      </c>
    </row>
    <row r="74" spans="1:21">
      <c r="A74" s="17" t="s">
        <v>655</v>
      </c>
      <c r="E74" s="192">
        <f>E14</f>
        <v>3453357387.6299996</v>
      </c>
      <c r="F74" s="192">
        <f t="shared" ref="F74:U74" si="75">F14</f>
        <v>3315645746.4499998</v>
      </c>
      <c r="G74" s="192">
        <f t="shared" si="75"/>
        <v>3333877369.3300004</v>
      </c>
      <c r="H74" s="192">
        <f t="shared" si="75"/>
        <v>3326939575.5899997</v>
      </c>
      <c r="I74" s="192">
        <f t="shared" si="75"/>
        <v>1646474479.5600002</v>
      </c>
      <c r="J74" s="192">
        <f t="shared" si="75"/>
        <v>1629280441.6800001</v>
      </c>
      <c r="K74" s="192">
        <f t="shared" si="75"/>
        <v>1536739354.3599999</v>
      </c>
      <c r="L74" s="192">
        <f t="shared" si="75"/>
        <v>1623407771.6800001</v>
      </c>
      <c r="M74" s="192">
        <f t="shared" si="75"/>
        <v>1607350307</v>
      </c>
      <c r="N74" s="192">
        <f t="shared" si="75"/>
        <v>1533381118.3900001</v>
      </c>
      <c r="O74" s="192">
        <f t="shared" si="75"/>
        <v>1474796609.6400001</v>
      </c>
      <c r="P74" s="192">
        <f t="shared" si="75"/>
        <v>1554872295.9000001</v>
      </c>
      <c r="Q74" s="192">
        <f t="shared" si="75"/>
        <v>1330141344.0700002</v>
      </c>
      <c r="R74" s="192">
        <f t="shared" si="75"/>
        <v>1299675708.1500001</v>
      </c>
      <c r="S74" s="192">
        <f t="shared" si="75"/>
        <v>1282834855.0599999</v>
      </c>
      <c r="T74" s="192">
        <f t="shared" si="75"/>
        <v>1152801107.1800001</v>
      </c>
      <c r="U74" s="192">
        <f t="shared" si="75"/>
        <v>1063379514.74</v>
      </c>
    </row>
    <row r="75" spans="1:21" ht="83.45" customHeight="1">
      <c r="A75" s="277" t="s">
        <v>700</v>
      </c>
      <c r="B75" s="276"/>
      <c r="C75" s="276"/>
      <c r="D75" s="276"/>
      <c r="E75" s="276"/>
      <c r="F75" s="276"/>
      <c r="G75" s="276"/>
      <c r="H75" s="276"/>
      <c r="I75" s="276"/>
      <c r="J75" s="276"/>
      <c r="K75" s="276"/>
      <c r="L75" s="276"/>
      <c r="M75" s="276"/>
      <c r="N75" s="276"/>
      <c r="O75" s="276"/>
      <c r="P75" s="276"/>
      <c r="Q75" s="276"/>
      <c r="R75" s="276"/>
      <c r="S75" s="276"/>
      <c r="T75" s="276"/>
      <c r="U75" s="276"/>
    </row>
    <row r="77" spans="1:21" s="237" customFormat="1">
      <c r="A77" s="238" t="s">
        <v>659</v>
      </c>
      <c r="B77" s="239"/>
      <c r="C77" s="239"/>
      <c r="D77" s="239"/>
      <c r="E77" s="240">
        <f>E1</f>
        <v>43190</v>
      </c>
      <c r="F77" s="240">
        <f t="shared" ref="F77:U77" si="76">F1</f>
        <v>43100</v>
      </c>
      <c r="G77" s="240">
        <f t="shared" si="76"/>
        <v>43008</v>
      </c>
      <c r="H77" s="240">
        <f t="shared" si="76"/>
        <v>42916</v>
      </c>
      <c r="I77" s="240">
        <f t="shared" si="76"/>
        <v>42825</v>
      </c>
      <c r="J77" s="240">
        <f t="shared" si="76"/>
        <v>42735</v>
      </c>
      <c r="K77" s="240">
        <f t="shared" si="76"/>
        <v>42643</v>
      </c>
      <c r="L77" s="240">
        <f t="shared" si="76"/>
        <v>42551</v>
      </c>
      <c r="M77" s="240">
        <f t="shared" si="76"/>
        <v>42460</v>
      </c>
      <c r="N77" s="240">
        <f t="shared" si="76"/>
        <v>42369</v>
      </c>
      <c r="O77" s="240">
        <f t="shared" si="76"/>
        <v>42277</v>
      </c>
      <c r="P77" s="240">
        <f t="shared" si="76"/>
        <v>42185</v>
      </c>
      <c r="Q77" s="240">
        <f t="shared" si="76"/>
        <v>42094</v>
      </c>
      <c r="R77" s="240">
        <f t="shared" si="76"/>
        <v>42004</v>
      </c>
      <c r="S77" s="240">
        <f t="shared" si="76"/>
        <v>41912</v>
      </c>
      <c r="T77" s="240">
        <f t="shared" si="76"/>
        <v>41820</v>
      </c>
      <c r="U77" s="240">
        <f t="shared" si="76"/>
        <v>41729</v>
      </c>
    </row>
    <row r="78" spans="1:21">
      <c r="A78" s="183" t="s">
        <v>651</v>
      </c>
      <c r="B78" s="64"/>
      <c r="C78" s="64"/>
      <c r="D78" s="64"/>
      <c r="E78" s="89">
        <f>E10</f>
        <v>523215925.93000001</v>
      </c>
      <c r="F78" s="89">
        <f t="shared" ref="F78:U78" si="77">F10</f>
        <v>415652208.90999997</v>
      </c>
      <c r="G78" s="89">
        <f t="shared" si="77"/>
        <v>372382035.86000001</v>
      </c>
      <c r="H78" s="89">
        <f t="shared" si="77"/>
        <v>370100989.93000001</v>
      </c>
      <c r="I78" s="89">
        <f t="shared" si="77"/>
        <v>280651753.13</v>
      </c>
      <c r="J78" s="89">
        <f t="shared" si="77"/>
        <v>280651753.13</v>
      </c>
      <c r="K78" s="89">
        <f t="shared" si="77"/>
        <v>300363187.5</v>
      </c>
      <c r="L78" s="89">
        <f t="shared" si="77"/>
        <v>402072247.22000003</v>
      </c>
      <c r="M78" s="89">
        <f t="shared" si="77"/>
        <v>402178998.61000001</v>
      </c>
      <c r="N78" s="89">
        <f t="shared" si="77"/>
        <v>352091273.61000001</v>
      </c>
      <c r="O78" s="89">
        <f t="shared" si="77"/>
        <v>301694800</v>
      </c>
      <c r="P78" s="89">
        <f t="shared" si="77"/>
        <v>403175396.67000002</v>
      </c>
      <c r="Q78" s="89">
        <f t="shared" si="77"/>
        <v>202870813.33000001</v>
      </c>
      <c r="R78" s="89">
        <f t="shared" si="77"/>
        <v>202870813.33000001</v>
      </c>
      <c r="S78" s="89">
        <f t="shared" si="77"/>
        <v>202707480</v>
      </c>
      <c r="T78" s="89">
        <f t="shared" si="77"/>
        <v>100000000</v>
      </c>
      <c r="U78" s="89">
        <f t="shared" si="77"/>
        <v>0</v>
      </c>
    </row>
    <row r="79" spans="1:21">
      <c r="A79" s="183" t="s">
        <v>660</v>
      </c>
      <c r="B79" s="64"/>
      <c r="C79" s="64"/>
      <c r="D79" s="64"/>
      <c r="E79" s="89">
        <f>E78</f>
        <v>523215925.93000001</v>
      </c>
      <c r="F79" s="89">
        <f t="shared" ref="F79:U79" si="78">F78</f>
        <v>415652208.90999997</v>
      </c>
      <c r="G79" s="89">
        <f t="shared" si="78"/>
        <v>372382035.86000001</v>
      </c>
      <c r="H79" s="89">
        <f t="shared" si="78"/>
        <v>370100989.93000001</v>
      </c>
      <c r="I79" s="89">
        <f t="shared" si="78"/>
        <v>280651753.13</v>
      </c>
      <c r="J79" s="89">
        <f t="shared" si="78"/>
        <v>280651753.13</v>
      </c>
      <c r="K79" s="89">
        <f t="shared" si="78"/>
        <v>300363187.5</v>
      </c>
      <c r="L79" s="89">
        <f t="shared" si="78"/>
        <v>402072247.22000003</v>
      </c>
      <c r="M79" s="89">
        <f t="shared" si="78"/>
        <v>402178998.61000001</v>
      </c>
      <c r="N79" s="89">
        <f t="shared" si="78"/>
        <v>352091273.61000001</v>
      </c>
      <c r="O79" s="89">
        <f t="shared" si="78"/>
        <v>301694800</v>
      </c>
      <c r="P79" s="89">
        <f t="shared" si="78"/>
        <v>403175396.67000002</v>
      </c>
      <c r="Q79" s="89">
        <f t="shared" si="78"/>
        <v>202870813.33000001</v>
      </c>
      <c r="R79" s="89">
        <f t="shared" si="78"/>
        <v>202870813.33000001</v>
      </c>
      <c r="S79" s="89">
        <f t="shared" si="78"/>
        <v>202707480</v>
      </c>
      <c r="T79" s="89">
        <f t="shared" si="78"/>
        <v>100000000</v>
      </c>
      <c r="U79" s="89">
        <f t="shared" si="78"/>
        <v>0</v>
      </c>
    </row>
    <row r="80" spans="1:21" s="219" customFormat="1">
      <c r="A80" s="223" t="s">
        <v>661</v>
      </c>
      <c r="B80" s="223"/>
      <c r="C80" s="223"/>
      <c r="D80" s="223"/>
      <c r="E80" s="223">
        <f>E79/E85</f>
        <v>0.15150934791868653</v>
      </c>
      <c r="F80" s="223">
        <f t="shared" ref="F80:U80" si="79">F79/F85</f>
        <v>0.12536086201459581</v>
      </c>
      <c r="G80" s="223">
        <f t="shared" si="79"/>
        <v>0.11169638070246013</v>
      </c>
      <c r="H80" s="223">
        <f t="shared" si="79"/>
        <v>0.11124367651443332</v>
      </c>
      <c r="I80" s="223">
        <f t="shared" si="79"/>
        <v>0.1704561817471964</v>
      </c>
      <c r="J80" s="223">
        <f t="shared" si="79"/>
        <v>0.17225503108636811</v>
      </c>
      <c r="K80" s="223">
        <f t="shared" si="79"/>
        <v>0.19545486789794039</v>
      </c>
      <c r="L80" s="223">
        <f t="shared" si="79"/>
        <v>0.2476717521217183</v>
      </c>
      <c r="M80" s="223">
        <f t="shared" si="79"/>
        <v>0.25021241285021262</v>
      </c>
      <c r="N80" s="223">
        <f t="shared" si="79"/>
        <v>0.22961758781775291</v>
      </c>
      <c r="O80" s="223">
        <f t="shared" si="79"/>
        <v>0.20456705557089944</v>
      </c>
      <c r="P80" s="223">
        <f t="shared" si="79"/>
        <v>0.2592980772331735</v>
      </c>
      <c r="Q80" s="223">
        <f t="shared" si="79"/>
        <v>0.15251823742975371</v>
      </c>
      <c r="R80" s="223">
        <f t="shared" si="79"/>
        <v>0.15609341011595332</v>
      </c>
      <c r="S80" s="223">
        <f t="shared" si="79"/>
        <v>0.15801525753719803</v>
      </c>
      <c r="T80" s="223">
        <f t="shared" si="79"/>
        <v>8.6745232440504458E-2</v>
      </c>
      <c r="U80" s="223">
        <f t="shared" si="79"/>
        <v>0</v>
      </c>
    </row>
    <row r="81" spans="1:21">
      <c r="A81" s="183" t="s">
        <v>652</v>
      </c>
      <c r="B81" s="64"/>
      <c r="C81" s="64"/>
      <c r="D81" s="64"/>
      <c r="E81" s="89">
        <f>E11</f>
        <v>1037080000</v>
      </c>
      <c r="F81" s="89">
        <f t="shared" ref="F81:U81" si="80">F11</f>
        <v>1067080000</v>
      </c>
      <c r="G81" s="89">
        <f t="shared" si="80"/>
        <v>1162480000</v>
      </c>
      <c r="H81" s="89">
        <f t="shared" si="80"/>
        <v>1186230000</v>
      </c>
      <c r="I81" s="89">
        <f t="shared" si="80"/>
        <v>104900000</v>
      </c>
      <c r="J81" s="89">
        <f t="shared" si="80"/>
        <v>104900000</v>
      </c>
      <c r="K81" s="89">
        <f t="shared" si="80"/>
        <v>0</v>
      </c>
      <c r="L81" s="89">
        <f t="shared" si="80"/>
        <v>0</v>
      </c>
      <c r="M81" s="89">
        <f t="shared" si="80"/>
        <v>0</v>
      </c>
      <c r="N81" s="89">
        <f t="shared" si="80"/>
        <v>0</v>
      </c>
      <c r="O81" s="89">
        <f t="shared" si="80"/>
        <v>0</v>
      </c>
      <c r="P81" s="89">
        <f t="shared" si="80"/>
        <v>0</v>
      </c>
      <c r="Q81" s="89">
        <f t="shared" si="80"/>
        <v>0</v>
      </c>
      <c r="R81" s="89">
        <f t="shared" si="80"/>
        <v>0</v>
      </c>
      <c r="S81" s="89">
        <f t="shared" si="80"/>
        <v>0</v>
      </c>
      <c r="T81" s="89">
        <f t="shared" si="80"/>
        <v>0</v>
      </c>
      <c r="U81" s="89">
        <f t="shared" si="80"/>
        <v>0</v>
      </c>
    </row>
    <row r="82" spans="1:21">
      <c r="A82" s="183" t="s">
        <v>654</v>
      </c>
      <c r="B82" s="64"/>
      <c r="C82" s="64"/>
      <c r="D82" s="64"/>
      <c r="E82" s="89">
        <f>E13</f>
        <v>1893061461.6999996</v>
      </c>
      <c r="F82" s="89">
        <f t="shared" ref="F82:U82" si="81">F13</f>
        <v>1832913537.54</v>
      </c>
      <c r="G82" s="89">
        <f t="shared" si="81"/>
        <v>1799015333.4700003</v>
      </c>
      <c r="H82" s="89">
        <f t="shared" si="81"/>
        <v>1770608585.6599996</v>
      </c>
      <c r="I82" s="89">
        <f t="shared" si="81"/>
        <v>1260922726.4300003</v>
      </c>
      <c r="J82" s="89">
        <f t="shared" si="81"/>
        <v>1243728688.5500002</v>
      </c>
      <c r="K82" s="89">
        <f t="shared" si="81"/>
        <v>1236376166.8599999</v>
      </c>
      <c r="L82" s="89">
        <f t="shared" si="81"/>
        <v>1221335524.46</v>
      </c>
      <c r="M82" s="89">
        <f t="shared" si="81"/>
        <v>1205171308.3899999</v>
      </c>
      <c r="N82" s="89">
        <f t="shared" si="81"/>
        <v>1181289844.7800002</v>
      </c>
      <c r="O82" s="89">
        <f t="shared" si="81"/>
        <v>1173101809.6400001</v>
      </c>
      <c r="P82" s="89">
        <f t="shared" si="81"/>
        <v>1151696899.23</v>
      </c>
      <c r="Q82" s="89">
        <f t="shared" si="81"/>
        <v>1127270530.7400002</v>
      </c>
      <c r="R82" s="89">
        <f t="shared" si="81"/>
        <v>1096804894.8200002</v>
      </c>
      <c r="S82" s="89">
        <f t="shared" si="81"/>
        <v>1080127375.0599999</v>
      </c>
      <c r="T82" s="89">
        <f t="shared" si="81"/>
        <v>1052801107.1800001</v>
      </c>
      <c r="U82" s="89">
        <f t="shared" si="81"/>
        <v>1063379514.74</v>
      </c>
    </row>
    <row r="83" spans="1:21">
      <c r="A83" s="183" t="s">
        <v>662</v>
      </c>
      <c r="B83" s="64"/>
      <c r="C83" s="64"/>
      <c r="D83" s="64"/>
      <c r="E83" s="89">
        <f>E81+E82</f>
        <v>2930141461.6999998</v>
      </c>
      <c r="F83" s="89">
        <f t="shared" ref="F83:U83" si="82">F81+F82</f>
        <v>2899993537.54</v>
      </c>
      <c r="G83" s="89">
        <f t="shared" si="82"/>
        <v>2961495333.4700003</v>
      </c>
      <c r="H83" s="89">
        <f t="shared" si="82"/>
        <v>2956838585.6599998</v>
      </c>
      <c r="I83" s="89">
        <f t="shared" si="82"/>
        <v>1365822726.4300003</v>
      </c>
      <c r="J83" s="89">
        <f t="shared" si="82"/>
        <v>1348628688.5500002</v>
      </c>
      <c r="K83" s="89">
        <f t="shared" si="82"/>
        <v>1236376166.8599999</v>
      </c>
      <c r="L83" s="89">
        <f t="shared" si="82"/>
        <v>1221335524.46</v>
      </c>
      <c r="M83" s="89">
        <f t="shared" si="82"/>
        <v>1205171308.3899999</v>
      </c>
      <c r="N83" s="89">
        <f t="shared" si="82"/>
        <v>1181289844.7800002</v>
      </c>
      <c r="O83" s="89">
        <f t="shared" si="82"/>
        <v>1173101809.6400001</v>
      </c>
      <c r="P83" s="89">
        <f t="shared" si="82"/>
        <v>1151696899.23</v>
      </c>
      <c r="Q83" s="89">
        <f t="shared" si="82"/>
        <v>1127270530.7400002</v>
      </c>
      <c r="R83" s="89">
        <f t="shared" si="82"/>
        <v>1096804894.8200002</v>
      </c>
      <c r="S83" s="89">
        <f t="shared" si="82"/>
        <v>1080127375.0599999</v>
      </c>
      <c r="T83" s="89">
        <f t="shared" si="82"/>
        <v>1052801107.1800001</v>
      </c>
      <c r="U83" s="89">
        <f t="shared" si="82"/>
        <v>1063379514.74</v>
      </c>
    </row>
    <row r="84" spans="1:21" s="219" customFormat="1">
      <c r="A84" s="223" t="s">
        <v>663</v>
      </c>
      <c r="B84" s="223"/>
      <c r="C84" s="223"/>
      <c r="D84" s="223"/>
      <c r="E84" s="223">
        <f>E83/E85</f>
        <v>0.84849065208131358</v>
      </c>
      <c r="F84" s="223">
        <f t="shared" ref="F84:U84" si="83">F83/F85</f>
        <v>0.87463913798540427</v>
      </c>
      <c r="G84" s="223">
        <f t="shared" si="83"/>
        <v>0.88830361929753987</v>
      </c>
      <c r="H84" s="223">
        <f t="shared" si="83"/>
        <v>0.88875632348556677</v>
      </c>
      <c r="I84" s="223">
        <f t="shared" si="83"/>
        <v>0.82954381825280366</v>
      </c>
      <c r="J84" s="223">
        <f t="shared" si="83"/>
        <v>0.82774496891363192</v>
      </c>
      <c r="K84" s="223">
        <f t="shared" si="83"/>
        <v>0.80454513210205958</v>
      </c>
      <c r="L84" s="223">
        <f t="shared" si="83"/>
        <v>0.75232824787828168</v>
      </c>
      <c r="M84" s="223">
        <f t="shared" si="83"/>
        <v>0.74978758714978733</v>
      </c>
      <c r="N84" s="223">
        <f t="shared" si="83"/>
        <v>0.77038241218224712</v>
      </c>
      <c r="O84" s="223">
        <f t="shared" si="83"/>
        <v>0.79543294442910051</v>
      </c>
      <c r="P84" s="223">
        <f t="shared" si="83"/>
        <v>0.74070192276682645</v>
      </c>
      <c r="Q84" s="223">
        <f t="shared" si="83"/>
        <v>0.84748176257024632</v>
      </c>
      <c r="R84" s="223">
        <f t="shared" si="83"/>
        <v>0.84390658988404676</v>
      </c>
      <c r="S84" s="223">
        <f t="shared" si="83"/>
        <v>0.84198474246280197</v>
      </c>
      <c r="T84" s="223">
        <f t="shared" si="83"/>
        <v>0.91325476755949553</v>
      </c>
      <c r="U84" s="223">
        <f t="shared" si="83"/>
        <v>1</v>
      </c>
    </row>
    <row r="85" spans="1:21">
      <c r="A85" s="183" t="s">
        <v>655</v>
      </c>
      <c r="B85" s="64"/>
      <c r="C85" s="64"/>
      <c r="D85" s="64"/>
      <c r="E85" s="89">
        <f>E14</f>
        <v>3453357387.6299996</v>
      </c>
      <c r="F85" s="89">
        <f t="shared" ref="F85:U85" si="84">F14</f>
        <v>3315645746.4499998</v>
      </c>
      <c r="G85" s="89">
        <f t="shared" si="84"/>
        <v>3333877369.3300004</v>
      </c>
      <c r="H85" s="89">
        <f t="shared" si="84"/>
        <v>3326939575.5899997</v>
      </c>
      <c r="I85" s="89">
        <f t="shared" si="84"/>
        <v>1646474479.5600002</v>
      </c>
      <c r="J85" s="89">
        <f t="shared" si="84"/>
        <v>1629280441.6800001</v>
      </c>
      <c r="K85" s="89">
        <f t="shared" si="84"/>
        <v>1536739354.3599999</v>
      </c>
      <c r="L85" s="89">
        <f t="shared" si="84"/>
        <v>1623407771.6800001</v>
      </c>
      <c r="M85" s="89">
        <f t="shared" si="84"/>
        <v>1607350307</v>
      </c>
      <c r="N85" s="89">
        <f t="shared" si="84"/>
        <v>1533381118.3900001</v>
      </c>
      <c r="O85" s="89">
        <f t="shared" si="84"/>
        <v>1474796609.6400001</v>
      </c>
      <c r="P85" s="89">
        <f t="shared" si="84"/>
        <v>1554872295.9000001</v>
      </c>
      <c r="Q85" s="89">
        <f t="shared" si="84"/>
        <v>1330141344.0700002</v>
      </c>
      <c r="R85" s="89">
        <f t="shared" si="84"/>
        <v>1299675708.1500001</v>
      </c>
      <c r="S85" s="89">
        <f t="shared" si="84"/>
        <v>1282834855.0599999</v>
      </c>
      <c r="T85" s="89">
        <f t="shared" si="84"/>
        <v>1152801107.1800001</v>
      </c>
      <c r="U85" s="89">
        <f t="shared" si="84"/>
        <v>1063379514.74</v>
      </c>
    </row>
    <row r="87" spans="1:21" s="56" customFormat="1" ht="85.9" customHeight="1">
      <c r="A87" s="275" t="s">
        <v>701</v>
      </c>
      <c r="B87" s="278"/>
      <c r="C87" s="278"/>
      <c r="D87" s="278"/>
      <c r="E87" s="278"/>
      <c r="F87" s="278"/>
      <c r="G87" s="278"/>
      <c r="H87" s="278"/>
      <c r="I87" s="278"/>
      <c r="J87" s="278"/>
      <c r="K87" s="278"/>
      <c r="L87" s="278"/>
      <c r="M87" s="278"/>
      <c r="N87" s="278"/>
      <c r="O87" s="278"/>
      <c r="P87" s="278"/>
      <c r="Q87" s="278"/>
      <c r="R87" s="278"/>
      <c r="S87" s="278"/>
      <c r="T87" s="278"/>
      <c r="U87" s="278"/>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78"/>
  <sheetViews>
    <sheetView zoomScaleNormal="100" workbookViewId="0">
      <selection activeCell="A35" sqref="A35:AG35"/>
    </sheetView>
  </sheetViews>
  <sheetFormatPr defaultRowHeight="13.5"/>
  <cols>
    <col min="1" max="1" width="45.625" style="17" bestFit="1" customWidth="1"/>
    <col min="2" max="2" width="11.625" bestFit="1" customWidth="1"/>
    <col min="3" max="4" width="10.5" hidden="1" customWidth="1"/>
    <col min="5" max="5" width="20.5" hidden="1" customWidth="1"/>
    <col min="6" max="6" width="19.375" bestFit="1" customWidth="1"/>
    <col min="7" max="7" width="19.375" hidden="1" customWidth="1"/>
    <col min="8" max="8" width="17.25" hidden="1" customWidth="1"/>
    <col min="9" max="9" width="23" hidden="1" customWidth="1"/>
    <col min="10" max="10" width="19.375" bestFit="1" customWidth="1"/>
    <col min="11" max="12" width="17.25" hidden="1" customWidth="1"/>
    <col min="13" max="13" width="23" hidden="1" customWidth="1"/>
    <col min="14" max="14" width="19.375" bestFit="1" customWidth="1"/>
    <col min="15" max="17" width="17.25" hidden="1" customWidth="1"/>
    <col min="18" max="18" width="19.375" bestFit="1" customWidth="1"/>
    <col min="19" max="21" width="17.25" hidden="1" customWidth="1"/>
    <col min="22" max="22" width="19.375" bestFit="1" customWidth="1"/>
    <col min="23" max="23" width="19.375" hidden="1" customWidth="1"/>
    <col min="24" max="25" width="17.25" hidden="1" customWidth="1"/>
    <col min="26" max="26" width="19.375" bestFit="1" customWidth="1"/>
    <col min="27" max="29" width="17.25" hidden="1" customWidth="1"/>
    <col min="30" max="30" width="19.375" bestFit="1" customWidth="1"/>
    <col min="31" max="33" width="17.25" hidden="1" customWidth="1"/>
    <col min="34" max="34" width="18.375" bestFit="1" customWidth="1"/>
    <col min="35" max="37" width="17.25" hidden="1" customWidth="1"/>
    <col min="38" max="38" width="17.25" bestFit="1" customWidth="1"/>
    <col min="39" max="41" width="17.25" hidden="1" customWidth="1"/>
    <col min="42" max="42" width="17.25" bestFit="1" customWidth="1"/>
    <col min="43" max="45" width="17.25" hidden="1" customWidth="1"/>
    <col min="46" max="46" width="17.25" bestFit="1" customWidth="1"/>
    <col min="47" max="49" width="17.25" hidden="1" customWidth="1"/>
    <col min="50" max="50" width="17.25" bestFit="1" customWidth="1"/>
    <col min="51" max="53" width="17.25" hidden="1" customWidth="1"/>
    <col min="54" max="54" width="17.25" bestFit="1" customWidth="1"/>
    <col min="55" max="57" width="17.25" hidden="1" customWidth="1"/>
    <col min="58" max="58" width="17.25" bestFit="1" customWidth="1"/>
    <col min="59" max="61" width="17.25" hidden="1" customWidth="1"/>
    <col min="62" max="62" width="17.25" bestFit="1" customWidth="1"/>
    <col min="63" max="65" width="17.25" hidden="1" customWidth="1"/>
    <col min="66" max="66" width="18.375" bestFit="1" customWidth="1"/>
    <col min="67" max="69" width="17.25" hidden="1" customWidth="1"/>
    <col min="70" max="70" width="17.25" bestFit="1" customWidth="1"/>
    <col min="71" max="71" width="17.25" hidden="1" customWidth="1"/>
    <col min="72" max="72" width="17.25" bestFit="1" customWidth="1"/>
    <col min="73" max="73" width="17.25" hidden="1" customWidth="1"/>
    <col min="74" max="74" width="18.375" bestFit="1" customWidth="1"/>
    <col min="75" max="75" width="17.25" hidden="1" customWidth="1"/>
    <col min="76" max="76" width="17.25" bestFit="1" customWidth="1"/>
    <col min="77" max="77" width="17.25" hidden="1" customWidth="1"/>
    <col min="78" max="78" width="17.25" bestFit="1" customWidth="1"/>
    <col min="79" max="79" width="17.25" hidden="1" customWidth="1"/>
    <col min="80" max="80" width="17.25" bestFit="1" customWidth="1"/>
    <col min="81" max="81" width="17.25" hidden="1" customWidth="1"/>
    <col min="82" max="82" width="17.25" bestFit="1" customWidth="1"/>
    <col min="83" max="83" width="9.625" hidden="1" customWidth="1"/>
    <col min="84" max="84" width="9.625" bestFit="1" customWidth="1"/>
    <col min="85" max="85" width="17.25" bestFit="1" customWidth="1"/>
    <col min="86" max="86" width="16.125" bestFit="1" customWidth="1"/>
    <col min="87" max="87" width="17.25" bestFit="1" customWidth="1"/>
    <col min="88" max="88" width="16.125" bestFit="1" customWidth="1"/>
    <col min="89" max="89" width="9.625" bestFit="1" customWidth="1"/>
  </cols>
  <sheetData>
    <row r="1" spans="1:89" s="26" customFormat="1" ht="14.45">
      <c r="A1" s="17">
        <v>600738</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37529</v>
      </c>
      <c r="BP1" s="1">
        <v>37437</v>
      </c>
      <c r="BQ1" s="1">
        <v>37346</v>
      </c>
      <c r="BR1" s="1">
        <v>37256</v>
      </c>
      <c r="BS1" s="1">
        <v>37072</v>
      </c>
      <c r="BT1" s="1">
        <v>36891</v>
      </c>
      <c r="BU1" s="1">
        <v>36707</v>
      </c>
      <c r="BV1" s="1">
        <v>36525</v>
      </c>
      <c r="BW1" s="1">
        <v>36341</v>
      </c>
      <c r="BX1" s="1">
        <v>36160</v>
      </c>
      <c r="BY1" s="1">
        <v>35976</v>
      </c>
      <c r="BZ1" s="1">
        <v>35795</v>
      </c>
      <c r="CA1" s="1">
        <v>35611</v>
      </c>
      <c r="CB1" s="1">
        <v>35430</v>
      </c>
      <c r="CC1" s="1">
        <v>35246</v>
      </c>
      <c r="CD1" s="1">
        <v>35064</v>
      </c>
      <c r="CE1" s="1">
        <v>25569</v>
      </c>
      <c r="CF1" s="1"/>
      <c r="CG1" s="1"/>
      <c r="CH1" s="1"/>
      <c r="CI1" s="1"/>
      <c r="CJ1" s="1"/>
      <c r="CK1" s="1"/>
    </row>
    <row r="2" spans="1:89" s="26" customFormat="1">
      <c r="A2" s="17" t="s">
        <v>351</v>
      </c>
      <c r="E2" s="26">
        <f>股权价值增加表!E4</f>
        <v>421474197.36000001</v>
      </c>
      <c r="F2" s="26">
        <f>股权价值增加表!F4</f>
        <v>1366363612.6199999</v>
      </c>
      <c r="G2" s="26">
        <f>股权价值增加表!G4</f>
        <v>1026037642.64</v>
      </c>
      <c r="H2" s="26">
        <f>股权价值增加表!H4</f>
        <v>698379557.87</v>
      </c>
      <c r="I2" s="26">
        <f>股权价值增加表!I4</f>
        <v>284244614.87</v>
      </c>
      <c r="J2" s="26">
        <f>股权价值增加表!J4</f>
        <v>1026535858.9299999</v>
      </c>
      <c r="K2" s="26">
        <f>股权价值增加表!K4</f>
        <v>766151820.29999995</v>
      </c>
      <c r="L2" s="26">
        <f>股权价值增加表!L4</f>
        <v>525882189.83999997</v>
      </c>
      <c r="M2" s="26">
        <f>股权价值增加表!M4</f>
        <v>295249656.20999998</v>
      </c>
      <c r="N2" s="26">
        <f>股权价值增加表!N4</f>
        <v>1120665180.8800001</v>
      </c>
      <c r="O2" s="26">
        <f>股权价值增加表!O4</f>
        <v>857530976.39999998</v>
      </c>
      <c r="P2" s="26">
        <f>股权价值增加表!P4</f>
        <v>593268789.13</v>
      </c>
      <c r="Q2" s="26">
        <f>股权价值增加表!Q4</f>
        <v>335552584.61000001</v>
      </c>
      <c r="R2" s="26">
        <f>股权价值增加表!R4</f>
        <v>1214852555.8099999</v>
      </c>
      <c r="S2" s="26">
        <f>股权价值增加表!S4</f>
        <v>927620999.42999995</v>
      </c>
      <c r="T2" s="26">
        <f>股权价值增加表!T4</f>
        <v>630920696.25999999</v>
      </c>
      <c r="U2" s="26">
        <f>股权价值增加表!U4</f>
        <v>359411030.98000002</v>
      </c>
      <c r="V2" s="26">
        <f>股权价值增加表!V4</f>
        <v>1428005507.79</v>
      </c>
      <c r="W2" s="26">
        <f>股权价值增加表!W4</f>
        <v>1090244284</v>
      </c>
      <c r="X2" s="26">
        <f>股权价值增加表!X4</f>
        <v>753590720.29999995</v>
      </c>
      <c r="Y2" s="26">
        <f>股权价值增加表!Y4</f>
        <v>407134157.54000002</v>
      </c>
      <c r="Z2" s="26">
        <f>股权价值增加表!Z4</f>
        <v>1320057528.8499999</v>
      </c>
      <c r="AA2" s="26">
        <f>股权价值增加表!AA4</f>
        <v>999698057.85000002</v>
      </c>
      <c r="AB2" s="26">
        <f>股权价值增加表!AB4</f>
        <v>696223866.28999996</v>
      </c>
      <c r="AC2" s="26">
        <f>股权价值增加表!AC4</f>
        <v>397167146.08999997</v>
      </c>
      <c r="AD2" s="26">
        <f>股权价值增加表!AD4</f>
        <v>1188181022.1600001</v>
      </c>
      <c r="AE2" s="26">
        <f>股权价值增加表!AE4</f>
        <v>881523761.17999995</v>
      </c>
      <c r="AF2" s="26">
        <f>股权价值增加表!AF4</f>
        <v>619936758.73000002</v>
      </c>
      <c r="AG2" s="26">
        <f>股权价值增加表!AG4</f>
        <v>360707870.79000002</v>
      </c>
      <c r="AH2" s="26">
        <f>股权价值增加表!AH4</f>
        <v>920899447.85000002</v>
      </c>
      <c r="AI2" s="26">
        <f>股权价值增加表!AI4</f>
        <v>652183381.96000004</v>
      </c>
      <c r="AJ2" s="26">
        <f>股权价值增加表!AJ4</f>
        <v>437443143.19</v>
      </c>
      <c r="AK2" s="26">
        <f>股权价值增加表!AK4</f>
        <v>250700453.44</v>
      </c>
      <c r="AL2" s="26">
        <f>股权价值增加表!AL4</f>
        <v>729118833.46000004</v>
      </c>
      <c r="AM2" s="26">
        <f>股权价值增加表!AM4</f>
        <v>531954310.14999998</v>
      </c>
      <c r="AN2" s="26">
        <f>股权价值增加表!AN4</f>
        <v>364490143.06999999</v>
      </c>
      <c r="AO2" s="26">
        <f>股权价值增加表!AO4</f>
        <v>208744716.30000001</v>
      </c>
      <c r="AP2" s="26">
        <f>股权价值增加表!AP4</f>
        <v>622896991.75999999</v>
      </c>
      <c r="AQ2" s="26">
        <f>股权价值增加表!AQ4</f>
        <v>458272083.85000002</v>
      </c>
      <c r="AR2" s="26">
        <f>股权价值增加表!AR4</f>
        <v>312351104.93000001</v>
      </c>
      <c r="AS2" s="26">
        <f>股权价值增加表!AS4</f>
        <v>187257445.02000001</v>
      </c>
      <c r="AT2" s="26">
        <f>股权价值增加表!AT4</f>
        <v>547411619.92999995</v>
      </c>
      <c r="AU2" s="26">
        <f>股权价值增加表!AU4</f>
        <v>398835936.57999998</v>
      </c>
      <c r="AV2" s="26">
        <f>股权价值增加表!AV4</f>
        <v>271330509.35000002</v>
      </c>
      <c r="AW2" s="26">
        <f>股权价值增加表!AW4</f>
        <v>152264846.55000001</v>
      </c>
      <c r="AX2" s="26">
        <f>股权价值增加表!AX4</f>
        <v>450343864.37</v>
      </c>
      <c r="AY2" s="26">
        <f>股权价值增加表!AY4</f>
        <v>331144512.04000002</v>
      </c>
      <c r="AZ2" s="26">
        <f>股权价值增加表!AZ4</f>
        <v>224380432.09</v>
      </c>
      <c r="BA2" s="26">
        <f>股权价值增加表!BA4</f>
        <v>130299434.17</v>
      </c>
      <c r="BB2" s="26">
        <f>股权价值增加表!BB4</f>
        <v>439515310.91000003</v>
      </c>
      <c r="BC2" s="26">
        <f>股权价值增加表!BC4</f>
        <v>322811947.29000002</v>
      </c>
      <c r="BD2" s="26">
        <f>股权价值增加表!BD4</f>
        <v>227255482.66</v>
      </c>
      <c r="BE2" s="26">
        <f>股权价值增加表!BE4</f>
        <v>132693042.41</v>
      </c>
      <c r="BF2" s="26">
        <f>股权价值增加表!BF4</f>
        <v>403756671.35000002</v>
      </c>
      <c r="BG2" s="26">
        <f>股权价值增加表!BG4</f>
        <v>299944780.02999997</v>
      </c>
      <c r="BH2" s="26">
        <f>股权价值增加表!BH4</f>
        <v>209668828.09999999</v>
      </c>
      <c r="BI2" s="26">
        <f>股权价值增加表!BI4</f>
        <v>123795153.15000001</v>
      </c>
      <c r="BJ2" s="26">
        <f>股权价值增加表!BJ4</f>
        <v>479585510.57999998</v>
      </c>
      <c r="BK2" s="26">
        <f>股权价值增加表!BK4</f>
        <v>364898704.38</v>
      </c>
      <c r="BL2" s="26">
        <f>股权价值增加表!BL4</f>
        <v>257249053.94</v>
      </c>
      <c r="BM2" s="26">
        <f>股权价值增加表!BM4</f>
        <v>149535383.96000001</v>
      </c>
      <c r="BN2" s="26">
        <f>股权价值增加表!BN4</f>
        <v>507279280.06</v>
      </c>
      <c r="BO2" s="26">
        <f>股权价值增加表!BO4</f>
        <v>406011008.52999997</v>
      </c>
      <c r="BP2" s="26">
        <f>股权价值增加表!BP4</f>
        <v>292249245.88</v>
      </c>
      <c r="BQ2" s="26">
        <f>股权价值增加表!BQ4</f>
        <v>173938225.12</v>
      </c>
      <c r="BR2" s="26">
        <f>股权价值增加表!BR4</f>
        <v>649680863.10000002</v>
      </c>
      <c r="BS2" s="26">
        <f>股权价值增加表!BS4</f>
        <v>342143319.51999998</v>
      </c>
      <c r="BT2" s="26">
        <f>股权价值增加表!BT4</f>
        <v>649870942.78999996</v>
      </c>
      <c r="BU2" s="26">
        <f>股权价值增加表!BU4</f>
        <v>312370113.82999998</v>
      </c>
      <c r="BV2" s="26">
        <f>股权价值增加表!BV4</f>
        <v>587005192.25999999</v>
      </c>
      <c r="BW2" s="26">
        <f>股权价值增加表!BW4</f>
        <v>318639859.5</v>
      </c>
      <c r="BX2" s="26">
        <f>股权价值增加表!BX4</f>
        <v>607433824.57000005</v>
      </c>
      <c r="BY2" s="26">
        <f>股权价值增加表!BY4</f>
        <v>312160826.85000002</v>
      </c>
      <c r="BZ2" s="26">
        <f>股权价值增加表!BZ4</f>
        <v>602599165.12</v>
      </c>
      <c r="CA2" s="26">
        <f>股权价值增加表!CA4</f>
        <v>345556667.12</v>
      </c>
      <c r="CB2" s="26">
        <f>股权价值增加表!CB4</f>
        <v>612674307.19000006</v>
      </c>
      <c r="CC2" s="26">
        <f>股权价值增加表!CC4</f>
        <v>334022343.13999999</v>
      </c>
      <c r="CD2" s="26">
        <f>股权价值增加表!CD4</f>
        <v>552412855.38999999</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c r="A3" s="46" t="s">
        <v>372</v>
      </c>
      <c r="E3" s="66">
        <f>(E2-I2)/I2</f>
        <v>0.48278692123248246</v>
      </c>
      <c r="F3" s="66">
        <f t="shared" ref="F3:BQ3" si="0">(F2-J2)/J2</f>
        <v>0.33104323705186123</v>
      </c>
      <c r="G3" s="66">
        <f t="shared" si="0"/>
        <v>0.3392092995853449</v>
      </c>
      <c r="H3" s="66">
        <f t="shared" si="0"/>
        <v>0.32801523109668818</v>
      </c>
      <c r="I3" s="66">
        <f t="shared" si="0"/>
        <v>-3.7273680454931679E-2</v>
      </c>
      <c r="J3" s="66">
        <f t="shared" si="0"/>
        <v>-8.3994152362336538E-2</v>
      </c>
      <c r="K3" s="66">
        <f t="shared" si="0"/>
        <v>-0.106560764117955</v>
      </c>
      <c r="L3" s="66">
        <f t="shared" si="0"/>
        <v>-0.11358527622668169</v>
      </c>
      <c r="M3" s="66">
        <f t="shared" si="0"/>
        <v>-0.12010912819176343</v>
      </c>
      <c r="N3" s="66">
        <f t="shared" si="0"/>
        <v>-7.752988169597308E-2</v>
      </c>
      <c r="O3" s="66">
        <f t="shared" si="0"/>
        <v>-7.5558900750488128E-2</v>
      </c>
      <c r="P3" s="66">
        <f t="shared" si="0"/>
        <v>-5.9677717585101674E-2</v>
      </c>
      <c r="Q3" s="66">
        <f t="shared" si="0"/>
        <v>-6.6382064860239759E-2</v>
      </c>
      <c r="R3" s="66">
        <f t="shared" si="0"/>
        <v>-0.149266197376142</v>
      </c>
      <c r="S3" s="66">
        <f t="shared" si="0"/>
        <v>-0.14916224460572367</v>
      </c>
      <c r="T3" s="66">
        <f t="shared" si="0"/>
        <v>-0.16278069877395221</v>
      </c>
      <c r="U3" s="66">
        <f t="shared" si="0"/>
        <v>-0.11721720144621202</v>
      </c>
      <c r="V3" s="66">
        <f t="shared" si="0"/>
        <v>8.1775207959339125E-2</v>
      </c>
      <c r="W3" s="66">
        <f t="shared" si="0"/>
        <v>9.0573574129705875E-2</v>
      </c>
      <c r="X3" s="66">
        <f t="shared" si="0"/>
        <v>8.2397138029314296E-2</v>
      </c>
      <c r="Y3" s="66">
        <f t="shared" si="0"/>
        <v>2.5095256614557627E-2</v>
      </c>
      <c r="Z3" s="66">
        <f t="shared" si="0"/>
        <v>0.11099024831271995</v>
      </c>
      <c r="AA3" s="66">
        <f t="shared" si="0"/>
        <v>0.13405684778344829</v>
      </c>
      <c r="AB3" s="66">
        <f t="shared" si="0"/>
        <v>0.12305627386296855</v>
      </c>
      <c r="AC3" s="66">
        <f t="shared" si="0"/>
        <v>0.10107701620191738</v>
      </c>
      <c r="AD3" s="66">
        <f t="shared" si="0"/>
        <v>0.29023969439227637</v>
      </c>
      <c r="AE3" s="66">
        <f t="shared" si="0"/>
        <v>0.35165014252703836</v>
      </c>
      <c r="AF3" s="66">
        <f t="shared" si="0"/>
        <v>0.41718248046863393</v>
      </c>
      <c r="AG3" s="66">
        <f t="shared" si="0"/>
        <v>0.43880023286965469</v>
      </c>
      <c r="AH3" s="66">
        <f t="shared" si="0"/>
        <v>0.26303066878675163</v>
      </c>
      <c r="AI3" s="66">
        <f t="shared" si="0"/>
        <v>0.22601390667574059</v>
      </c>
      <c r="AJ3" s="66">
        <f t="shared" si="0"/>
        <v>0.20015081753799155</v>
      </c>
      <c r="AK3" s="66">
        <f t="shared" si="0"/>
        <v>0.20099065443986033</v>
      </c>
      <c r="AL3" s="66">
        <f t="shared" si="0"/>
        <v>0.1705287440863528</v>
      </c>
      <c r="AM3" s="66">
        <f t="shared" si="0"/>
        <v>0.16078270725326868</v>
      </c>
      <c r="AN3" s="66">
        <f t="shared" si="0"/>
        <v>0.16692445557919411</v>
      </c>
      <c r="AO3" s="66">
        <f t="shared" si="0"/>
        <v>0.11474722021175209</v>
      </c>
      <c r="AP3" s="66">
        <f t="shared" si="0"/>
        <v>0.13789508494476735</v>
      </c>
      <c r="AQ3" s="66">
        <f t="shared" si="0"/>
        <v>0.14902405179348255</v>
      </c>
      <c r="AR3" s="66">
        <f t="shared" si="0"/>
        <v>0.15118312967557174</v>
      </c>
      <c r="AS3" s="66">
        <f t="shared" si="0"/>
        <v>0.22981403300143408</v>
      </c>
      <c r="AT3" s="66">
        <f t="shared" si="0"/>
        <v>0.21554141899055521</v>
      </c>
      <c r="AU3" s="66">
        <f t="shared" si="0"/>
        <v>0.20441656762780142</v>
      </c>
      <c r="AV3" s="66">
        <f t="shared" si="0"/>
        <v>0.20924318944696627</v>
      </c>
      <c r="AW3" s="66">
        <f t="shared" si="0"/>
        <v>0.16857642183880875</v>
      </c>
      <c r="AX3" s="66">
        <f t="shared" si="0"/>
        <v>2.4637488595288894E-2</v>
      </c>
      <c r="AY3" s="66">
        <f t="shared" si="0"/>
        <v>2.5812442259190584E-2</v>
      </c>
      <c r="AZ3" s="66">
        <f t="shared" si="0"/>
        <v>-1.2651182432862994E-2</v>
      </c>
      <c r="BA3" s="66">
        <f t="shared" si="0"/>
        <v>-1.8038686855970435E-2</v>
      </c>
      <c r="BB3" s="66">
        <f t="shared" si="0"/>
        <v>8.8564826533856361E-2</v>
      </c>
      <c r="BC3" s="66">
        <f t="shared" si="0"/>
        <v>7.6237923719535694E-2</v>
      </c>
      <c r="BD3" s="66">
        <f t="shared" si="0"/>
        <v>8.3878250855736067E-2</v>
      </c>
      <c r="BE3" s="66">
        <f t="shared" si="0"/>
        <v>7.1875909787991479E-2</v>
      </c>
      <c r="BF3" s="66">
        <f t="shared" si="0"/>
        <v>-0.15811328231808808</v>
      </c>
      <c r="BG3" s="66">
        <f t="shared" si="0"/>
        <v>-0.17800535757002303</v>
      </c>
      <c r="BH3" s="66">
        <f t="shared" si="0"/>
        <v>-0.18495782632148172</v>
      </c>
      <c r="BI3" s="66">
        <f t="shared" si="0"/>
        <v>-0.17213471573313638</v>
      </c>
      <c r="BJ3" s="66">
        <f t="shared" si="0"/>
        <v>-5.4592747168235325E-2</v>
      </c>
      <c r="BK3" s="66">
        <f t="shared" si="0"/>
        <v>-0.10125908728152677</v>
      </c>
      <c r="BL3" s="66">
        <f t="shared" si="0"/>
        <v>-0.1197614448400369</v>
      </c>
      <c r="BM3" s="66">
        <f t="shared" si="0"/>
        <v>-0.1402960225859754</v>
      </c>
      <c r="BN3" s="66">
        <f t="shared" si="0"/>
        <v>-0.21918697491029734</v>
      </c>
      <c r="BO3" s="66">
        <f t="shared" si="0"/>
        <v>0.18666940245859925</v>
      </c>
      <c r="BP3" s="66">
        <f t="shared" si="0"/>
        <v>-0.55029648713738888</v>
      </c>
      <c r="BQ3" s="66">
        <f t="shared" si="0"/>
        <v>-0.44316623960171247</v>
      </c>
      <c r="BR3" s="66">
        <f t="shared" ref="BR3:CJ3" si="1">(BR2-BV2)/BV2</f>
        <v>0.106771918999039</v>
      </c>
      <c r="BS3" s="66">
        <f t="shared" si="1"/>
        <v>7.3761832737689811E-2</v>
      </c>
      <c r="BT3" s="66">
        <f t="shared" si="1"/>
        <v>6.9862948857089033E-2</v>
      </c>
      <c r="BU3" s="66">
        <f t="shared" si="1"/>
        <v>6.7044600730932317E-4</v>
      </c>
      <c r="BV3" s="66">
        <f t="shared" si="1"/>
        <v>-2.5877853410060186E-2</v>
      </c>
      <c r="BW3" s="66">
        <f t="shared" si="1"/>
        <v>-7.7894048013412279E-2</v>
      </c>
      <c r="BX3" s="66">
        <f t="shared" si="1"/>
        <v>-8.5534558222870732E-3</v>
      </c>
      <c r="BY3" s="66">
        <f t="shared" si="1"/>
        <v>-6.5449263317205894E-2</v>
      </c>
      <c r="BZ3" s="66">
        <f t="shared" si="1"/>
        <v>9.0849279194577762E-2</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c r="A4" s="17" t="s">
        <v>352</v>
      </c>
      <c r="E4" s="26">
        <f>股权价值增加表!E5</f>
        <v>263688083.88999999</v>
      </c>
      <c r="F4" s="26">
        <f>股权价值增加表!F5</f>
        <v>900085415.95000005</v>
      </c>
      <c r="G4" s="26">
        <f>股权价值增加表!G5</f>
        <v>680910529.57000005</v>
      </c>
      <c r="H4" s="26">
        <f>股权价值增加表!H5</f>
        <v>461637531.44999999</v>
      </c>
      <c r="I4" s="26">
        <f>股权价值增加表!I5</f>
        <v>223631303.81</v>
      </c>
      <c r="J4" s="26">
        <f>股权价值增加表!J5</f>
        <v>772490154.46000004</v>
      </c>
      <c r="K4" s="26">
        <f>股权价值增加表!K5</f>
        <v>573439463.30999994</v>
      </c>
      <c r="L4" s="26">
        <f>股权价值增加表!L5</f>
        <v>394363248.07999998</v>
      </c>
      <c r="M4" s="26">
        <f>股权价值增加表!M5</f>
        <v>224168272.72999999</v>
      </c>
      <c r="N4" s="26">
        <f>股权价值增加表!N5</f>
        <v>844167795.64999998</v>
      </c>
      <c r="O4" s="26">
        <f>股权价值增加表!O5</f>
        <v>631605745.25</v>
      </c>
      <c r="P4" s="26">
        <f>股权价值增加表!P5</f>
        <v>438234823.49000001</v>
      </c>
      <c r="Q4" s="26">
        <f>股权价值增加表!Q5</f>
        <v>250642805.96000001</v>
      </c>
      <c r="R4" s="26">
        <f>股权价值增加表!R5</f>
        <v>929336217.23000002</v>
      </c>
      <c r="S4" s="26">
        <f>股权价值增加表!S5</f>
        <v>693968455.54999995</v>
      </c>
      <c r="T4" s="26">
        <f>股权价值增加表!T5</f>
        <v>471604028.91000003</v>
      </c>
      <c r="U4" s="26">
        <f>股权价值增加表!U5</f>
        <v>271801418.05000001</v>
      </c>
      <c r="V4" s="26">
        <f>股权价值增加表!V5</f>
        <v>1119633795.79</v>
      </c>
      <c r="W4" s="26">
        <f>股权价值增加表!W5</f>
        <v>839204328.77999997</v>
      </c>
      <c r="X4" s="26">
        <f>股权价值增加表!X5</f>
        <v>580317509.42999995</v>
      </c>
      <c r="Y4" s="26">
        <f>股权价值增加表!Y5</f>
        <v>312435103.45999998</v>
      </c>
      <c r="Z4" s="26">
        <f>股权价值增加表!Z5</f>
        <v>1069338346.86</v>
      </c>
      <c r="AA4" s="26">
        <f>股权价值增加表!AA5</f>
        <v>797821138.41999996</v>
      </c>
      <c r="AB4" s="26">
        <f>股权价值增加表!AB5</f>
        <v>556927629.21000004</v>
      </c>
      <c r="AC4" s="26">
        <f>股权价值增加表!AC5</f>
        <v>323352462.49000001</v>
      </c>
      <c r="AD4" s="26">
        <f>股权价值增加表!AD5</f>
        <v>960325577.27999997</v>
      </c>
      <c r="AE4" s="26">
        <f>股权价值增加表!AE5</f>
        <v>701202875.5</v>
      </c>
      <c r="AF4" s="26">
        <f>股权价值增加表!AF5</f>
        <v>497118229.79000002</v>
      </c>
      <c r="AG4" s="26">
        <f>股权价值增加表!AG5</f>
        <v>290174039.55000001</v>
      </c>
      <c r="AH4" s="26">
        <f>股权价值增加表!AH5</f>
        <v>730427935.96000004</v>
      </c>
      <c r="AI4" s="26">
        <f>股权价值增加表!AI5</f>
        <v>509425921.22000003</v>
      </c>
      <c r="AJ4" s="26">
        <f>股权价值增加表!AJ5</f>
        <v>343856277.77999997</v>
      </c>
      <c r="AK4" s="26">
        <f>股权价值增加表!AK5</f>
        <v>195030198.22999999</v>
      </c>
      <c r="AL4" s="26">
        <f>股权价值增加表!AL5</f>
        <v>570395109.64999998</v>
      </c>
      <c r="AM4" s="26">
        <f>股权价值增加表!AM5</f>
        <v>412711422.69999999</v>
      </c>
      <c r="AN4" s="26">
        <f>股权价值增加表!AN5</f>
        <v>283640792.91000003</v>
      </c>
      <c r="AO4" s="26">
        <f>股权价值增加表!AO5</f>
        <v>162914977.18000001</v>
      </c>
      <c r="AP4" s="26">
        <f>股权价值增加表!AP5</f>
        <v>473076544.41000003</v>
      </c>
      <c r="AQ4" s="26">
        <f>股权价值增加表!AQ5</f>
        <v>345463912.06999999</v>
      </c>
      <c r="AR4" s="26">
        <f>股权价值增加表!AR5</f>
        <v>235488980.74000001</v>
      </c>
      <c r="AS4" s="26">
        <f>股权价值增加表!AS5</f>
        <v>142727403.27000001</v>
      </c>
      <c r="AT4" s="26">
        <f>股权价值增加表!AT5</f>
        <v>411588157.97000003</v>
      </c>
      <c r="AU4" s="26">
        <f>股权价值增加表!AU5</f>
        <v>294666651.83999997</v>
      </c>
      <c r="AV4" s="26">
        <f>股权价值增加表!AV5</f>
        <v>201837807.18000001</v>
      </c>
      <c r="AW4" s="26">
        <f>股权价值增加表!AW5</f>
        <v>114234848.56999999</v>
      </c>
      <c r="AX4" s="26">
        <f>股权价值增加表!AX5</f>
        <v>346565490.01999998</v>
      </c>
      <c r="AY4" s="26">
        <f>股权价值增加表!AY5</f>
        <v>254753350.65000001</v>
      </c>
      <c r="AZ4" s="26">
        <f>股权价值增加表!AZ5</f>
        <v>172510142.87</v>
      </c>
      <c r="BA4" s="26">
        <f>股权价值增加表!BA5</f>
        <v>100494315.39</v>
      </c>
      <c r="BB4" s="26">
        <f>股权价值增加表!BB5</f>
        <v>338479924.23000002</v>
      </c>
      <c r="BC4" s="26">
        <f>股权价值增加表!BC5</f>
        <v>246871437.91</v>
      </c>
      <c r="BD4" s="26">
        <f>股权价值增加表!BD5</f>
        <v>174264210.16</v>
      </c>
      <c r="BE4" s="26">
        <f>股权价值增加表!BE5</f>
        <v>102238954.23999999</v>
      </c>
      <c r="BF4" s="26">
        <f>股权价值增加表!BF5</f>
        <v>312399287.14999998</v>
      </c>
      <c r="BG4" s="26">
        <f>股权价值增加表!BG5</f>
        <v>229256420.13999999</v>
      </c>
      <c r="BH4" s="26">
        <f>股权价值增加表!BH5</f>
        <v>159789254.65000001</v>
      </c>
      <c r="BI4" s="26">
        <f>股权价值增加表!BI5</f>
        <v>95341748.280000001</v>
      </c>
      <c r="BJ4" s="26">
        <f>股权价值增加表!BJ5</f>
        <v>391635877.38999999</v>
      </c>
      <c r="BK4" s="26">
        <f>股权价值增加表!BK5</f>
        <v>298646455.82999998</v>
      </c>
      <c r="BL4" s="26">
        <f>股权价值增加表!BL5</f>
        <v>212376683.41999999</v>
      </c>
      <c r="BM4" s="26">
        <f>股权价值增加表!BM5</f>
        <v>122759882.84999999</v>
      </c>
      <c r="BN4" s="26">
        <f>股权价值增加表!BN5</f>
        <v>432871684.63</v>
      </c>
      <c r="BO4" s="26">
        <f>股权价值增加表!BO5</f>
        <v>342824117.12</v>
      </c>
      <c r="BP4" s="26">
        <f>股权价值增加表!BP5</f>
        <v>245805576.74000001</v>
      </c>
      <c r="BQ4" s="26">
        <f>股权价值增加表!BQ5</f>
        <v>146503334.08000001</v>
      </c>
      <c r="BR4" s="26">
        <f>股权价值增加表!BR5</f>
        <v>546957779.86000001</v>
      </c>
      <c r="BS4" s="26">
        <f>股权价值增加表!BS5</f>
        <v>282374903.05000001</v>
      </c>
      <c r="BT4" s="26">
        <f>股权价值增加表!BT5</f>
        <v>542540850.66999996</v>
      </c>
      <c r="BU4" s="26">
        <f>股权价值增加表!BU5</f>
        <v>257209472.91999999</v>
      </c>
      <c r="BV4" s="26">
        <f>股权价值增加表!BV5</f>
        <v>478910059.79000002</v>
      </c>
      <c r="BW4" s="26">
        <f>股权价值增加表!BW5</f>
        <v>258255305.94999999</v>
      </c>
      <c r="BX4" s="26">
        <f>股权价值增加表!BX5</f>
        <v>490035966.43000001</v>
      </c>
      <c r="BY4" s="26">
        <f>股权价值增加表!BY5</f>
        <v>251721971.47</v>
      </c>
      <c r="BZ4" s="26">
        <f>股权价值增加表!BZ5</f>
        <v>485235735.23000002</v>
      </c>
      <c r="CA4" s="26">
        <f>股权价值增加表!CA5</f>
        <v>272066119.88999999</v>
      </c>
      <c r="CB4" s="26">
        <f>股权价值增加表!CB5</f>
        <v>493733173.69999999</v>
      </c>
      <c r="CC4" s="26">
        <f>股权价值增加表!CC5</f>
        <v>272228569.94999999</v>
      </c>
      <c r="CD4" s="26">
        <f>股权价值增加表!CD5</f>
        <v>448944744.41000003</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c r="A5" s="46" t="s">
        <v>353</v>
      </c>
      <c r="E5" s="66">
        <f t="shared" ref="E5:AJ5" si="2">E4/E2</f>
        <v>0.62563280395732546</v>
      </c>
      <c r="F5" s="66">
        <f t="shared" si="2"/>
        <v>0.6587451595143754</v>
      </c>
      <c r="G5" s="66">
        <f t="shared" si="2"/>
        <v>0.66363113912469518</v>
      </c>
      <c r="H5" s="66">
        <f t="shared" si="2"/>
        <v>0.66101237679114833</v>
      </c>
      <c r="I5" s="66">
        <f t="shared" si="2"/>
        <v>0.78675651924761481</v>
      </c>
      <c r="J5" s="66">
        <f t="shared" si="2"/>
        <v>0.75252135396925923</v>
      </c>
      <c r="K5" s="66">
        <f t="shared" si="2"/>
        <v>0.74846714204171683</v>
      </c>
      <c r="L5" s="66">
        <f t="shared" si="2"/>
        <v>0.74990797501620143</v>
      </c>
      <c r="M5" s="66">
        <f t="shared" si="2"/>
        <v>0.75924990263344294</v>
      </c>
      <c r="N5" s="66">
        <f t="shared" si="2"/>
        <v>0.75327386810315533</v>
      </c>
      <c r="O5" s="66">
        <f t="shared" si="2"/>
        <v>0.73653985993782234</v>
      </c>
      <c r="P5" s="66">
        <f t="shared" si="2"/>
        <v>0.73867837229841504</v>
      </c>
      <c r="Q5" s="66">
        <f t="shared" si="2"/>
        <v>0.74695537288533354</v>
      </c>
      <c r="R5" s="66">
        <f t="shared" si="2"/>
        <v>0.76497860813271068</v>
      </c>
      <c r="S5" s="66">
        <f t="shared" si="2"/>
        <v>0.74811637077688664</v>
      </c>
      <c r="T5" s="66">
        <f t="shared" si="2"/>
        <v>0.74748543153774405</v>
      </c>
      <c r="U5" s="66">
        <f t="shared" si="2"/>
        <v>0.75624116852753143</v>
      </c>
      <c r="V5" s="66">
        <f t="shared" si="2"/>
        <v>0.7840542558710154</v>
      </c>
      <c r="W5" s="66">
        <f t="shared" si="2"/>
        <v>0.76973971897476146</v>
      </c>
      <c r="X5" s="66">
        <f t="shared" si="2"/>
        <v>0.77006987187817155</v>
      </c>
      <c r="Y5" s="66">
        <f t="shared" si="2"/>
        <v>0.76740086203478008</v>
      </c>
      <c r="Z5" s="66">
        <f t="shared" si="2"/>
        <v>0.81006950340382511</v>
      </c>
      <c r="AA5" s="66">
        <f t="shared" si="2"/>
        <v>0.79806210700842362</v>
      </c>
      <c r="AB5" s="66">
        <f t="shared" si="2"/>
        <v>0.79992608150267219</v>
      </c>
      <c r="AC5" s="66">
        <f t="shared" si="2"/>
        <v>0.81414705539799814</v>
      </c>
      <c r="AD5" s="66">
        <f t="shared" si="2"/>
        <v>0.808231708274737</v>
      </c>
      <c r="AE5" s="66">
        <f t="shared" si="2"/>
        <v>0.79544410074820449</v>
      </c>
      <c r="AF5" s="66">
        <f t="shared" si="2"/>
        <v>0.8018853903878751</v>
      </c>
      <c r="AG5" s="66">
        <f t="shared" si="2"/>
        <v>0.80445718834601199</v>
      </c>
      <c r="AH5" s="66">
        <f t="shared" si="2"/>
        <v>0.79316795950449437</v>
      </c>
      <c r="AI5" s="66">
        <f t="shared" si="2"/>
        <v>0.78110840495356926</v>
      </c>
      <c r="AJ5" s="66">
        <f t="shared" si="2"/>
        <v>0.78605936138916388</v>
      </c>
      <c r="AK5" s="66">
        <f t="shared" ref="AK5:BP5" si="3">AK4/AK2</f>
        <v>0.77794114671067582</v>
      </c>
      <c r="AL5" s="66">
        <f t="shared" si="3"/>
        <v>0.7823074696112513</v>
      </c>
      <c r="AM5" s="66">
        <f t="shared" si="3"/>
        <v>0.7758399825421548</v>
      </c>
      <c r="AN5" s="66">
        <f t="shared" si="3"/>
        <v>0.7781850848447418</v>
      </c>
      <c r="AO5" s="66">
        <f t="shared" si="3"/>
        <v>0.78045078250442879</v>
      </c>
      <c r="AP5" s="66">
        <f t="shared" si="3"/>
        <v>0.75947797255099725</v>
      </c>
      <c r="AQ5" s="66">
        <f t="shared" si="3"/>
        <v>0.75384018412754983</v>
      </c>
      <c r="AR5" s="66">
        <f t="shared" si="3"/>
        <v>0.75392395616072716</v>
      </c>
      <c r="AS5" s="66">
        <f t="shared" si="3"/>
        <v>0.76219881807506251</v>
      </c>
      <c r="AT5" s="66">
        <f t="shared" si="3"/>
        <v>0.75188056479807952</v>
      </c>
      <c r="AU5" s="66">
        <f t="shared" si="3"/>
        <v>0.73881670334612548</v>
      </c>
      <c r="AV5" s="66">
        <f t="shared" si="3"/>
        <v>0.74388172440881462</v>
      </c>
      <c r="AW5" s="66">
        <f t="shared" si="3"/>
        <v>0.75023783334315508</v>
      </c>
      <c r="AX5" s="66">
        <f t="shared" si="3"/>
        <v>0.76955748138108016</v>
      </c>
      <c r="AY5" s="66">
        <f t="shared" si="3"/>
        <v>0.76931170950291194</v>
      </c>
      <c r="AZ5" s="66">
        <f t="shared" si="3"/>
        <v>0.76882882015667664</v>
      </c>
      <c r="BA5" s="66">
        <f t="shared" si="3"/>
        <v>0.77125672901147335</v>
      </c>
      <c r="BB5" s="66">
        <f t="shared" si="3"/>
        <v>0.7701208941485792</v>
      </c>
      <c r="BC5" s="66">
        <f t="shared" si="3"/>
        <v>0.76475310155798415</v>
      </c>
      <c r="BD5" s="66">
        <f t="shared" si="3"/>
        <v>0.76682070821903581</v>
      </c>
      <c r="BE5" s="66">
        <f t="shared" si="3"/>
        <v>0.77049220051868428</v>
      </c>
      <c r="BF5" s="66">
        <f t="shared" si="3"/>
        <v>0.77373157972959883</v>
      </c>
      <c r="BG5" s="66">
        <f t="shared" si="3"/>
        <v>0.76432875450297932</v>
      </c>
      <c r="BH5" s="66">
        <f t="shared" si="3"/>
        <v>0.76210305603363082</v>
      </c>
      <c r="BI5" s="66">
        <f t="shared" si="3"/>
        <v>0.77015735958964715</v>
      </c>
      <c r="BJ5" s="66">
        <f t="shared" si="3"/>
        <v>0.81661323945413677</v>
      </c>
      <c r="BK5" s="66">
        <f t="shared" si="3"/>
        <v>0.81843660239197258</v>
      </c>
      <c r="BL5" s="66">
        <f t="shared" si="3"/>
        <v>0.82556837495516733</v>
      </c>
      <c r="BM5" s="66">
        <f t="shared" si="3"/>
        <v>0.82094203792486775</v>
      </c>
      <c r="BN5" s="66">
        <f t="shared" si="3"/>
        <v>0.85332025502559616</v>
      </c>
      <c r="BO5" s="66">
        <f t="shared" si="3"/>
        <v>0.84437148234287074</v>
      </c>
      <c r="BP5" s="66">
        <f t="shared" si="3"/>
        <v>0.84108198808126211</v>
      </c>
      <c r="BQ5" s="66">
        <f t="shared" ref="BQ5:CK5" si="4">BQ4/BQ2</f>
        <v>0.84227221462635571</v>
      </c>
      <c r="BR5" s="66">
        <f t="shared" si="4"/>
        <v>0.84188685695643051</v>
      </c>
      <c r="BS5" s="66">
        <f t="shared" si="4"/>
        <v>0.82531175370061194</v>
      </c>
      <c r="BT5" s="66">
        <f t="shared" si="4"/>
        <v>0.83484398970168638</v>
      </c>
      <c r="BU5" s="66">
        <f t="shared" si="4"/>
        <v>0.8234125530330989</v>
      </c>
      <c r="BV5" s="66">
        <f t="shared" si="4"/>
        <v>0.8158531919388512</v>
      </c>
      <c r="BW5" s="66">
        <f t="shared" si="4"/>
        <v>0.81049278127113911</v>
      </c>
      <c r="BX5" s="66">
        <f t="shared" si="4"/>
        <v>0.80673144400033125</v>
      </c>
      <c r="BY5" s="66">
        <f t="shared" si="4"/>
        <v>0.80638552252092099</v>
      </c>
      <c r="BZ5" s="66">
        <f t="shared" si="4"/>
        <v>0.80523798125968438</v>
      </c>
      <c r="CA5" s="66">
        <f t="shared" si="4"/>
        <v>0.78732707476751052</v>
      </c>
      <c r="CB5" s="66">
        <f t="shared" si="4"/>
        <v>0.80586564167262442</v>
      </c>
      <c r="CC5" s="66">
        <f t="shared" si="4"/>
        <v>0.815001078643113</v>
      </c>
      <c r="CD5" s="66">
        <f t="shared" si="4"/>
        <v>0.81269785818624352</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c r="A6" s="46" t="s">
        <v>354</v>
      </c>
      <c r="E6" s="66">
        <f>(E4-I4)/I4</f>
        <v>0.17911973591153738</v>
      </c>
      <c r="F6" s="66">
        <f t="shared" ref="F6:BQ6" si="5">(F4-J4)/J4</f>
        <v>0.16517396468204043</v>
      </c>
      <c r="G6" s="66">
        <f t="shared" si="5"/>
        <v>0.18741484173352319</v>
      </c>
      <c r="H6" s="66">
        <f t="shared" si="5"/>
        <v>0.17058963708594072</v>
      </c>
      <c r="I6" s="66">
        <f t="shared" si="5"/>
        <v>-2.3953832246668572E-3</v>
      </c>
      <c r="J6" s="66">
        <f t="shared" si="5"/>
        <v>-8.4909234348141571E-2</v>
      </c>
      <c r="K6" s="66">
        <f t="shared" si="5"/>
        <v>-9.2092705580087586E-2</v>
      </c>
      <c r="L6" s="66">
        <f t="shared" si="5"/>
        <v>-0.10010974267315642</v>
      </c>
      <c r="M6" s="66">
        <f t="shared" si="5"/>
        <v>-0.10562654343338736</v>
      </c>
      <c r="N6" s="66">
        <f t="shared" si="5"/>
        <v>-9.1644358630351155E-2</v>
      </c>
      <c r="O6" s="66">
        <f t="shared" si="5"/>
        <v>-8.9863897704939355E-2</v>
      </c>
      <c r="P6" s="66">
        <f t="shared" si="5"/>
        <v>-7.0756828556204146E-2</v>
      </c>
      <c r="Q6" s="66">
        <f t="shared" si="5"/>
        <v>-7.7845848788425778E-2</v>
      </c>
      <c r="R6" s="66">
        <f t="shared" si="5"/>
        <v>-0.16996412512336526</v>
      </c>
      <c r="S6" s="66">
        <f t="shared" si="5"/>
        <v>-0.17306377987961266</v>
      </c>
      <c r="T6" s="66">
        <f t="shared" si="5"/>
        <v>-0.18733448285367194</v>
      </c>
      <c r="U6" s="66">
        <f t="shared" si="5"/>
        <v>-0.13005480165324049</v>
      </c>
      <c r="V6" s="66">
        <f t="shared" si="5"/>
        <v>4.7034176860567344E-2</v>
      </c>
      <c r="W6" s="66">
        <f t="shared" si="5"/>
        <v>5.1870260597450486E-2</v>
      </c>
      <c r="X6" s="66">
        <f t="shared" si="5"/>
        <v>4.1998060417972757E-2</v>
      </c>
      <c r="Y6" s="66">
        <f t="shared" si="5"/>
        <v>-3.3763030427942577E-2</v>
      </c>
      <c r="Z6" s="66">
        <f t="shared" si="5"/>
        <v>0.11351646999631609</v>
      </c>
      <c r="AA6" s="66">
        <f t="shared" si="5"/>
        <v>0.13778931361498667</v>
      </c>
      <c r="AB6" s="66">
        <f t="shared" si="5"/>
        <v>0.1203122232014416</v>
      </c>
      <c r="AC6" s="66">
        <f t="shared" si="5"/>
        <v>0.11433973553062458</v>
      </c>
      <c r="AD6" s="66">
        <f t="shared" si="5"/>
        <v>0.31474376868930387</v>
      </c>
      <c r="AE6" s="66">
        <f t="shared" si="5"/>
        <v>0.37645700050111786</v>
      </c>
      <c r="AF6" s="66">
        <f t="shared" si="5"/>
        <v>0.44571514878101892</v>
      </c>
      <c r="AG6" s="66">
        <f t="shared" si="5"/>
        <v>0.48784158650034526</v>
      </c>
      <c r="AH6" s="66">
        <f t="shared" si="5"/>
        <v>0.28056486390319468</v>
      </c>
      <c r="AI6" s="66">
        <f t="shared" si="5"/>
        <v>0.23433928212426006</v>
      </c>
      <c r="AJ6" s="66">
        <f t="shared" si="5"/>
        <v>0.21229486863374578</v>
      </c>
      <c r="AK6" s="66">
        <f t="shared" si="5"/>
        <v>0.1971287207959819</v>
      </c>
      <c r="AL6" s="66">
        <f t="shared" si="5"/>
        <v>0.20571420500538939</v>
      </c>
      <c r="AM6" s="66">
        <f t="shared" si="5"/>
        <v>0.19465856861012418</v>
      </c>
      <c r="AN6" s="66">
        <f t="shared" si="5"/>
        <v>0.20447586132772699</v>
      </c>
      <c r="AO6" s="66">
        <f t="shared" si="5"/>
        <v>0.1414414712766181</v>
      </c>
      <c r="AP6" s="66">
        <f t="shared" si="5"/>
        <v>0.14939299211927712</v>
      </c>
      <c r="AQ6" s="66">
        <f t="shared" si="5"/>
        <v>0.17238890085730585</v>
      </c>
      <c r="AR6" s="66">
        <f t="shared" si="5"/>
        <v>0.16672383648118863</v>
      </c>
      <c r="AS6" s="66">
        <f t="shared" si="5"/>
        <v>0.24942086461943844</v>
      </c>
      <c r="AT6" s="66">
        <f t="shared" si="5"/>
        <v>0.18762014632861354</v>
      </c>
      <c r="AU6" s="66">
        <f t="shared" si="5"/>
        <v>0.15667429334358773</v>
      </c>
      <c r="AV6" s="66">
        <f t="shared" si="5"/>
        <v>0.1700054490830763</v>
      </c>
      <c r="AW6" s="66">
        <f t="shared" si="5"/>
        <v>0.13672945705113274</v>
      </c>
      <c r="AX6" s="66">
        <f t="shared" si="5"/>
        <v>2.3887874025006431E-2</v>
      </c>
      <c r="AY6" s="66">
        <f t="shared" si="5"/>
        <v>3.1927195817903639E-2</v>
      </c>
      <c r="AZ6" s="66">
        <f t="shared" si="5"/>
        <v>-1.0065562449050793E-2</v>
      </c>
      <c r="BA6" s="66">
        <f t="shared" si="5"/>
        <v>-1.7064326048411606E-2</v>
      </c>
      <c r="BB6" s="66">
        <f t="shared" si="5"/>
        <v>8.3484944277344986E-2</v>
      </c>
      <c r="BC6" s="66">
        <f t="shared" si="5"/>
        <v>7.6835439370653388E-2</v>
      </c>
      <c r="BD6" s="66">
        <f t="shared" si="5"/>
        <v>9.0587790409972918E-2</v>
      </c>
      <c r="BE6" s="66">
        <f t="shared" si="5"/>
        <v>7.2341928739802983E-2</v>
      </c>
      <c r="BF6" s="66">
        <f t="shared" si="5"/>
        <v>-0.2023220925724698</v>
      </c>
      <c r="BG6" s="66">
        <f t="shared" si="5"/>
        <v>-0.23234843185113582</v>
      </c>
      <c r="BH6" s="66">
        <f t="shared" si="5"/>
        <v>-0.24761394670620279</v>
      </c>
      <c r="BI6" s="66">
        <f t="shared" si="5"/>
        <v>-0.22334767623965676</v>
      </c>
      <c r="BJ6" s="66">
        <f t="shared" si="5"/>
        <v>-9.5261040867680211E-2</v>
      </c>
      <c r="BK6" s="66">
        <f t="shared" si="5"/>
        <v>-0.12886392492199245</v>
      </c>
      <c r="BL6" s="66">
        <f t="shared" si="5"/>
        <v>-0.13599729413527228</v>
      </c>
      <c r="BM6" s="66">
        <f t="shared" si="5"/>
        <v>-0.16206765108181501</v>
      </c>
      <c r="BN6" s="66">
        <f t="shared" si="5"/>
        <v>-0.20858300115815454</v>
      </c>
      <c r="BO6" s="66">
        <f t="shared" si="5"/>
        <v>0.21407431544756042</v>
      </c>
      <c r="BP6" s="66">
        <f t="shared" si="5"/>
        <v>-0.54693627874021411</v>
      </c>
      <c r="BQ6" s="66">
        <f t="shared" si="5"/>
        <v>-0.43041237005463234</v>
      </c>
      <c r="BR6" s="66">
        <f t="shared" ref="BR6:CJ6" si="6">(BR4-BV4)/BV4</f>
        <v>0.14208872559461086</v>
      </c>
      <c r="BS6" s="66">
        <f t="shared" si="6"/>
        <v>9.3394391303115165E-2</v>
      </c>
      <c r="BT6" s="66">
        <f t="shared" si="6"/>
        <v>0.10714496044546987</v>
      </c>
      <c r="BU6" s="66">
        <f t="shared" si="6"/>
        <v>2.1799850914698497E-2</v>
      </c>
      <c r="BV6" s="66">
        <f t="shared" si="6"/>
        <v>-1.3036293456420002E-2</v>
      </c>
      <c r="BW6" s="66">
        <f t="shared" si="6"/>
        <v>-5.0762711452583278E-2</v>
      </c>
      <c r="BX6" s="66">
        <f t="shared" si="6"/>
        <v>-7.4882699136729711E-3</v>
      </c>
      <c r="BY6" s="66">
        <f t="shared" si="6"/>
        <v>-7.5328605237012486E-2</v>
      </c>
      <c r="BZ6" s="66">
        <f t="shared" si="6"/>
        <v>8.083620817901177E-2</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c r="A7" s="128" t="s">
        <v>355</v>
      </c>
      <c r="E7" s="27">
        <f>股权价值增加表!E6</f>
        <v>157786113.47000003</v>
      </c>
      <c r="F7" s="27">
        <f>股权价值增加表!F6</f>
        <v>466278196.66999984</v>
      </c>
      <c r="G7" s="27">
        <f>股权价值增加表!G6</f>
        <v>345127113.06999993</v>
      </c>
      <c r="H7" s="27">
        <f>股权价值增加表!H6</f>
        <v>236742026.42000002</v>
      </c>
      <c r="I7" s="27">
        <f>股权价值增加表!I6</f>
        <v>60613311.060000002</v>
      </c>
      <c r="J7" s="27">
        <f>股权价值增加表!J6</f>
        <v>254045704.46999991</v>
      </c>
      <c r="K7" s="27">
        <f>股权价值增加表!K6</f>
        <v>192712356.99000001</v>
      </c>
      <c r="L7" s="27">
        <f>股权价值增加表!L6</f>
        <v>131518941.75999999</v>
      </c>
      <c r="M7" s="27">
        <f>股权价值增加表!M6</f>
        <v>71081383.479999989</v>
      </c>
      <c r="N7" s="27">
        <f>股权价值增加表!N6</f>
        <v>276497385.23000014</v>
      </c>
      <c r="O7" s="27">
        <f>股权价值增加表!O6</f>
        <v>225925231.14999998</v>
      </c>
      <c r="P7" s="27">
        <f>股权价值增加表!P6</f>
        <v>155033965.63999999</v>
      </c>
      <c r="Q7" s="27">
        <f>股权价值增加表!Q6</f>
        <v>84909778.650000006</v>
      </c>
      <c r="R7" s="27">
        <f>股权价值增加表!R6</f>
        <v>285516338.57999992</v>
      </c>
      <c r="S7" s="27">
        <f>股权价值增加表!S6</f>
        <v>233652543.88</v>
      </c>
      <c r="T7" s="27">
        <f>股权价值增加表!T6</f>
        <v>159316667.34999996</v>
      </c>
      <c r="U7" s="27">
        <f>股权价值增加表!U6</f>
        <v>87609612.930000007</v>
      </c>
      <c r="V7" s="27">
        <f>股权价值增加表!V6</f>
        <v>308371712</v>
      </c>
      <c r="W7" s="27">
        <f>股权价值增加表!W6</f>
        <v>251039955.22000003</v>
      </c>
      <c r="X7" s="27">
        <f>股权价值增加表!X6</f>
        <v>173273210.87</v>
      </c>
      <c r="Y7" s="27">
        <f>股权价值增加表!Y6</f>
        <v>94699054.080000043</v>
      </c>
      <c r="Z7" s="27">
        <f>股权价值增加表!Z6</f>
        <v>250719181.98999989</v>
      </c>
      <c r="AA7" s="27">
        <f>股权价值增加表!AA6</f>
        <v>201876919.43000007</v>
      </c>
      <c r="AB7" s="27">
        <f>股权价值增加表!AB6</f>
        <v>139296237.07999992</v>
      </c>
      <c r="AC7" s="27">
        <f>股权价值增加表!AC6</f>
        <v>73814683.599999964</v>
      </c>
      <c r="AD7" s="27">
        <f>股权价值增加表!AD6</f>
        <v>227855444.88000011</v>
      </c>
      <c r="AE7" s="27">
        <f>股权价值增加表!AE6</f>
        <v>180320885.67999995</v>
      </c>
      <c r="AF7" s="27">
        <f>股权价值增加表!AF6</f>
        <v>122818528.94</v>
      </c>
      <c r="AG7" s="27">
        <f>股权价值增加表!AG6</f>
        <v>70533831.24000001</v>
      </c>
      <c r="AH7" s="27">
        <f>股权价值增加表!AH6</f>
        <v>190471511.88999999</v>
      </c>
      <c r="AI7" s="27">
        <f>股权价值增加表!AI6</f>
        <v>142757460.74000001</v>
      </c>
      <c r="AJ7" s="27">
        <f>股权价值增加表!AJ6</f>
        <v>93586865.410000026</v>
      </c>
      <c r="AK7" s="27">
        <f>股权价值增加表!AK6</f>
        <v>55670255.210000008</v>
      </c>
      <c r="AL7" s="27">
        <f>股权价值增加表!AL6</f>
        <v>158723723.81000006</v>
      </c>
      <c r="AM7" s="27">
        <f>股权价值增加表!AM6</f>
        <v>119242887.44999999</v>
      </c>
      <c r="AN7" s="27">
        <f>股权价值增加表!AN6</f>
        <v>80849350.159999967</v>
      </c>
      <c r="AO7" s="27">
        <f>股权价值增加表!AO6</f>
        <v>45829739.120000005</v>
      </c>
      <c r="AP7" s="27">
        <f>股权价值增加表!AP6</f>
        <v>149820447.34999996</v>
      </c>
      <c r="AQ7" s="27">
        <f>股权价值增加表!AQ6</f>
        <v>112808171.78000003</v>
      </c>
      <c r="AR7" s="27">
        <f>股权价值增加表!AR6</f>
        <v>76862124.189999998</v>
      </c>
      <c r="AS7" s="27">
        <f>股权价值增加表!AS6</f>
        <v>44530041.75</v>
      </c>
      <c r="AT7" s="27">
        <f>股权价值增加表!AT6</f>
        <v>135823461.95999992</v>
      </c>
      <c r="AU7" s="27">
        <f>股权价值增加表!AU6</f>
        <v>104169284.74000001</v>
      </c>
      <c r="AV7" s="27">
        <f>股权价值增加表!AV6</f>
        <v>69492702.170000017</v>
      </c>
      <c r="AW7" s="27">
        <f>股权价值增加表!AW6</f>
        <v>38029997.980000019</v>
      </c>
      <c r="AX7" s="27">
        <f>股权价值增加表!AX6</f>
        <v>103778374.35000002</v>
      </c>
      <c r="AY7" s="27">
        <f>股权价值增加表!AY6</f>
        <v>76391161.390000015</v>
      </c>
      <c r="AZ7" s="27">
        <f>股权价值增加表!AZ6</f>
        <v>51870289.219999999</v>
      </c>
      <c r="BA7" s="27">
        <f>股权价值增加表!BA6</f>
        <v>29805118.780000001</v>
      </c>
      <c r="BB7" s="27">
        <f>股权价值增加表!BB6</f>
        <v>101035386.68000001</v>
      </c>
      <c r="BC7" s="27">
        <f>股权价值增加表!BC6</f>
        <v>75940509.380000025</v>
      </c>
      <c r="BD7" s="27">
        <f>股权价值增加表!BD6</f>
        <v>52991272.5</v>
      </c>
      <c r="BE7" s="27">
        <f>股权价值增加表!BE6</f>
        <v>30454088.170000002</v>
      </c>
      <c r="BF7" s="27">
        <f>股权价值增加表!BF6</f>
        <v>91357384.200000048</v>
      </c>
      <c r="BG7" s="27">
        <f>股权价值增加表!BG6</f>
        <v>70688359.889999986</v>
      </c>
      <c r="BH7" s="27">
        <f>股权价值增加表!BH6</f>
        <v>49879573.449999988</v>
      </c>
      <c r="BI7" s="27">
        <f>股权价值增加表!BI6</f>
        <v>28453404.870000005</v>
      </c>
      <c r="BJ7" s="27">
        <f>股权价值增加表!BJ6</f>
        <v>87949633.189999998</v>
      </c>
      <c r="BK7" s="27">
        <f>股权价值增加表!BK6</f>
        <v>66252248.550000012</v>
      </c>
      <c r="BL7" s="27">
        <f>股权价值增加表!BL6</f>
        <v>44872370.520000011</v>
      </c>
      <c r="BM7" s="27">
        <f>股权价值增加表!BM6</f>
        <v>26775501.110000014</v>
      </c>
      <c r="BN7" s="27">
        <f>股权价值增加表!BN6</f>
        <v>74407595.430000007</v>
      </c>
      <c r="BO7" s="27">
        <f>股权价值增加表!BO6</f>
        <v>63186891.409999967</v>
      </c>
      <c r="BP7" s="27">
        <f>股权价值增加表!BP6</f>
        <v>46443669.139999986</v>
      </c>
      <c r="BQ7" s="27">
        <f>股权价值增加表!BQ6</f>
        <v>27434891.039999992</v>
      </c>
      <c r="BR7" s="27">
        <f>股权价值增加表!BR6</f>
        <v>102723083.24000001</v>
      </c>
      <c r="BS7" s="27">
        <f>股权价值增加表!BS6</f>
        <v>59768416.469999969</v>
      </c>
      <c r="BT7" s="27">
        <f>股权价值增加表!BT6</f>
        <v>107330092.12</v>
      </c>
      <c r="BU7" s="27">
        <f>股权价值增加表!BU6</f>
        <v>55160640.909999996</v>
      </c>
      <c r="BV7" s="27">
        <f>股权价值增加表!BV6</f>
        <v>108095132.46999997</v>
      </c>
      <c r="BW7" s="27">
        <f>股权价值增加表!BW6</f>
        <v>60384553.550000012</v>
      </c>
      <c r="BX7" s="27">
        <f>股权价值增加表!BX6</f>
        <v>117397858.14000005</v>
      </c>
      <c r="BY7" s="27">
        <f>股权价值增加表!BY6</f>
        <v>60438855.380000025</v>
      </c>
      <c r="BZ7" s="27">
        <f>股权价值增加表!BZ6</f>
        <v>117363429.88999999</v>
      </c>
      <c r="CA7" s="27">
        <f>股权价值增加表!CA6</f>
        <v>73490547.230000019</v>
      </c>
      <c r="CB7" s="27">
        <f>股权价值增加表!CB6</f>
        <v>118941133.49000007</v>
      </c>
      <c r="CC7" s="27">
        <f>股权价值增加表!CC6</f>
        <v>61793773.189999998</v>
      </c>
      <c r="CD7" s="27">
        <f>股权价值增加表!CD6</f>
        <v>103468110.97999996</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c r="A8" s="46" t="s">
        <v>356</v>
      </c>
      <c r="E8" s="66">
        <f>E7/E2</f>
        <v>0.37436719604267454</v>
      </c>
      <c r="F8" s="66">
        <f t="shared" ref="F8:BQ8" si="7">F7/F2</f>
        <v>0.3412548404856246</v>
      </c>
      <c r="G8" s="66">
        <f t="shared" si="7"/>
        <v>0.33636886087530488</v>
      </c>
      <c r="H8" s="66">
        <f t="shared" si="7"/>
        <v>0.33898762320885173</v>
      </c>
      <c r="I8" s="66">
        <f t="shared" si="7"/>
        <v>0.21324348075238525</v>
      </c>
      <c r="J8" s="66">
        <f t="shared" si="7"/>
        <v>0.24747864603074077</v>
      </c>
      <c r="K8" s="66">
        <f t="shared" si="7"/>
        <v>0.25153285795828323</v>
      </c>
      <c r="L8" s="66">
        <f t="shared" si="7"/>
        <v>0.25009202498379862</v>
      </c>
      <c r="M8" s="66">
        <f t="shared" si="7"/>
        <v>0.24075009736655706</v>
      </c>
      <c r="N8" s="66">
        <f t="shared" si="7"/>
        <v>0.24672613189684461</v>
      </c>
      <c r="O8" s="66">
        <f t="shared" si="7"/>
        <v>0.26346014006217766</v>
      </c>
      <c r="P8" s="66">
        <f t="shared" si="7"/>
        <v>0.26132162770158496</v>
      </c>
      <c r="Q8" s="66">
        <f t="shared" si="7"/>
        <v>0.25304462711466641</v>
      </c>
      <c r="R8" s="66">
        <f t="shared" si="7"/>
        <v>0.23502139186728929</v>
      </c>
      <c r="S8" s="66">
        <f t="shared" si="7"/>
        <v>0.25188362922311341</v>
      </c>
      <c r="T8" s="66">
        <f t="shared" si="7"/>
        <v>0.25251456846225595</v>
      </c>
      <c r="U8" s="66">
        <f t="shared" si="7"/>
        <v>0.24375883147246857</v>
      </c>
      <c r="V8" s="66">
        <f t="shared" si="7"/>
        <v>0.21594574412898457</v>
      </c>
      <c r="W8" s="66">
        <f t="shared" si="7"/>
        <v>0.2302602810252386</v>
      </c>
      <c r="X8" s="66">
        <f t="shared" si="7"/>
        <v>0.22993012812182848</v>
      </c>
      <c r="Y8" s="66">
        <f t="shared" si="7"/>
        <v>0.23259913796521992</v>
      </c>
      <c r="Z8" s="66">
        <f t="shared" si="7"/>
        <v>0.18993049659617484</v>
      </c>
      <c r="AA8" s="66">
        <f t="shared" si="7"/>
        <v>0.20193789299157641</v>
      </c>
      <c r="AB8" s="66">
        <f t="shared" si="7"/>
        <v>0.20007391849732784</v>
      </c>
      <c r="AC8" s="66">
        <f t="shared" si="7"/>
        <v>0.18585294460200191</v>
      </c>
      <c r="AD8" s="66">
        <f t="shared" si="7"/>
        <v>0.19176829172526302</v>
      </c>
      <c r="AE8" s="66">
        <f t="shared" si="7"/>
        <v>0.20455589925179554</v>
      </c>
      <c r="AF8" s="66">
        <f t="shared" si="7"/>
        <v>0.19811460961212488</v>
      </c>
      <c r="AG8" s="66">
        <f t="shared" si="7"/>
        <v>0.19554281165398799</v>
      </c>
      <c r="AH8" s="66">
        <f t="shared" si="7"/>
        <v>0.20683204049550563</v>
      </c>
      <c r="AI8" s="66">
        <f t="shared" si="7"/>
        <v>0.21889159504643077</v>
      </c>
      <c r="AJ8" s="66">
        <f t="shared" si="7"/>
        <v>0.21394063861083612</v>
      </c>
      <c r="AK8" s="66">
        <f t="shared" si="7"/>
        <v>0.22205885328932418</v>
      </c>
      <c r="AL8" s="66">
        <f t="shared" si="7"/>
        <v>0.2176925303887487</v>
      </c>
      <c r="AM8" s="66">
        <f t="shared" si="7"/>
        <v>0.2241600174578452</v>
      </c>
      <c r="AN8" s="66">
        <f t="shared" si="7"/>
        <v>0.2218149151552582</v>
      </c>
      <c r="AO8" s="66">
        <f t="shared" si="7"/>
        <v>0.21954921749557119</v>
      </c>
      <c r="AP8" s="66">
        <f t="shared" si="7"/>
        <v>0.24052202744900275</v>
      </c>
      <c r="AQ8" s="66">
        <f t="shared" si="7"/>
        <v>0.24615981587245012</v>
      </c>
      <c r="AR8" s="66">
        <f t="shared" si="7"/>
        <v>0.24607604383927287</v>
      </c>
      <c r="AS8" s="66">
        <f t="shared" si="7"/>
        <v>0.23780118192493749</v>
      </c>
      <c r="AT8" s="66">
        <f t="shared" si="7"/>
        <v>0.24811943520192042</v>
      </c>
      <c r="AU8" s="66">
        <f t="shared" si="7"/>
        <v>0.26118329665387452</v>
      </c>
      <c r="AV8" s="66">
        <f t="shared" si="7"/>
        <v>0.25611827559118544</v>
      </c>
      <c r="AW8" s="66">
        <f t="shared" si="7"/>
        <v>0.24976216665684492</v>
      </c>
      <c r="AX8" s="66">
        <f t="shared" si="7"/>
        <v>0.23044251861891982</v>
      </c>
      <c r="AY8" s="66">
        <f t="shared" si="7"/>
        <v>0.23068829049708811</v>
      </c>
      <c r="AZ8" s="66">
        <f t="shared" si="7"/>
        <v>0.23117117984332339</v>
      </c>
      <c r="BA8" s="66">
        <f t="shared" si="7"/>
        <v>0.22874327098852668</v>
      </c>
      <c r="BB8" s="66">
        <f t="shared" si="7"/>
        <v>0.22987910585142077</v>
      </c>
      <c r="BC8" s="66">
        <f t="shared" si="7"/>
        <v>0.23524689844201591</v>
      </c>
      <c r="BD8" s="66">
        <f t="shared" si="7"/>
        <v>0.23317929178096425</v>
      </c>
      <c r="BE8" s="66">
        <f t="shared" si="7"/>
        <v>0.22950779948131572</v>
      </c>
      <c r="BF8" s="66">
        <f t="shared" si="7"/>
        <v>0.22626842027040117</v>
      </c>
      <c r="BG8" s="66">
        <f t="shared" si="7"/>
        <v>0.23567124549702068</v>
      </c>
      <c r="BH8" s="66">
        <f t="shared" si="7"/>
        <v>0.23789694396636918</v>
      </c>
      <c r="BI8" s="66">
        <f t="shared" si="7"/>
        <v>0.22984264041035279</v>
      </c>
      <c r="BJ8" s="66">
        <f t="shared" si="7"/>
        <v>0.1833867605458632</v>
      </c>
      <c r="BK8" s="66">
        <f t="shared" si="7"/>
        <v>0.18156339760802748</v>
      </c>
      <c r="BL8" s="66">
        <f t="shared" si="7"/>
        <v>0.17443162504483264</v>
      </c>
      <c r="BM8" s="66">
        <f t="shared" si="7"/>
        <v>0.17905796207513219</v>
      </c>
      <c r="BN8" s="66">
        <f t="shared" si="7"/>
        <v>0.14667974497440389</v>
      </c>
      <c r="BO8" s="66">
        <f t="shared" si="7"/>
        <v>0.15562851765712929</v>
      </c>
      <c r="BP8" s="66">
        <f t="shared" si="7"/>
        <v>0.15891801191873783</v>
      </c>
      <c r="BQ8" s="66">
        <f t="shared" si="7"/>
        <v>0.15772778537364432</v>
      </c>
      <c r="BR8" s="66">
        <f t="shared" ref="BR8:CJ8" si="8">BR7/BR2</f>
        <v>0.15811314304356952</v>
      </c>
      <c r="BS8" s="66">
        <f t="shared" si="8"/>
        <v>0.17468824629938801</v>
      </c>
      <c r="BT8" s="66">
        <f t="shared" si="8"/>
        <v>0.16515601029831362</v>
      </c>
      <c r="BU8" s="66">
        <f t="shared" si="8"/>
        <v>0.17658744696690115</v>
      </c>
      <c r="BV8" s="66">
        <f t="shared" si="8"/>
        <v>0.1841468080611488</v>
      </c>
      <c r="BW8" s="66">
        <f t="shared" si="8"/>
        <v>0.18950721872886092</v>
      </c>
      <c r="BX8" s="66">
        <f t="shared" si="8"/>
        <v>0.1932685559996688</v>
      </c>
      <c r="BY8" s="66">
        <f t="shared" si="8"/>
        <v>0.19361447747907906</v>
      </c>
      <c r="BZ8" s="66">
        <f t="shared" si="8"/>
        <v>0.19476201874031562</v>
      </c>
      <c r="CA8" s="66">
        <f t="shared" si="8"/>
        <v>0.21267292523248948</v>
      </c>
      <c r="CB8" s="66">
        <f t="shared" si="8"/>
        <v>0.19413435832737561</v>
      </c>
      <c r="CC8" s="66">
        <f t="shared" si="8"/>
        <v>0.18499892135688706</v>
      </c>
      <c r="CD8" s="66">
        <f t="shared" si="8"/>
        <v>0.18730214181375654</v>
      </c>
      <c r="CE8" s="66" t="e">
        <f t="shared" si="8"/>
        <v>#DIV/0!</v>
      </c>
      <c r="CF8" s="66" t="e">
        <f t="shared" si="8"/>
        <v>#DIV/0!</v>
      </c>
      <c r="CG8" s="66" t="e">
        <f t="shared" si="8"/>
        <v>#DIV/0!</v>
      </c>
      <c r="CH8" s="66" t="e">
        <f t="shared" si="8"/>
        <v>#DIV/0!</v>
      </c>
      <c r="CI8" s="66" t="e">
        <f t="shared" si="8"/>
        <v>#DIV/0!</v>
      </c>
      <c r="CJ8" s="66" t="e">
        <f t="shared" si="8"/>
        <v>#DIV/0!</v>
      </c>
    </row>
    <row r="9" spans="1:89" s="66" customFormat="1">
      <c r="A9" s="46" t="s">
        <v>357</v>
      </c>
      <c r="E9" s="66">
        <f>(E7-I7)/I7</f>
        <v>1.6031594498081527</v>
      </c>
      <c r="F9" s="66">
        <f t="shared" ref="F9:BQ9" si="9">(F7-J7)/J7</f>
        <v>0.8354106700712286</v>
      </c>
      <c r="G9" s="66">
        <f t="shared" si="9"/>
        <v>0.79089249107107773</v>
      </c>
      <c r="H9" s="66">
        <f t="shared" si="9"/>
        <v>0.80006030501685843</v>
      </c>
      <c r="I9" s="66">
        <f t="shared" si="9"/>
        <v>-0.14726883337808647</v>
      </c>
      <c r="J9" s="66">
        <f t="shared" si="9"/>
        <v>-8.1200336637267445E-2</v>
      </c>
      <c r="K9" s="66">
        <f t="shared" si="9"/>
        <v>-0.14700825574434725</v>
      </c>
      <c r="L9" s="66">
        <f t="shared" si="9"/>
        <v>-0.15167659411230938</v>
      </c>
      <c r="M9" s="66">
        <f t="shared" si="9"/>
        <v>-0.16285986596433102</v>
      </c>
      <c r="N9" s="66">
        <f t="shared" si="9"/>
        <v>-3.1588221517742425E-2</v>
      </c>
      <c r="O9" s="66">
        <f t="shared" si="9"/>
        <v>-3.3071810825088373E-2</v>
      </c>
      <c r="P9" s="66">
        <f t="shared" si="9"/>
        <v>-2.688169280236943E-2</v>
      </c>
      <c r="Q9" s="66">
        <f t="shared" si="9"/>
        <v>-3.0816644312276167E-2</v>
      </c>
      <c r="R9" s="66">
        <f t="shared" si="9"/>
        <v>-7.4116310058946255E-2</v>
      </c>
      <c r="S9" s="66">
        <f t="shared" si="9"/>
        <v>-6.9261529802148405E-2</v>
      </c>
      <c r="T9" s="66">
        <f t="shared" si="9"/>
        <v>-8.0546458681781341E-2</v>
      </c>
      <c r="U9" s="66">
        <f t="shared" si="9"/>
        <v>-7.4862850731444525E-2</v>
      </c>
      <c r="V9" s="66">
        <f t="shared" si="9"/>
        <v>0.22994862041429132</v>
      </c>
      <c r="W9" s="66">
        <f t="shared" si="9"/>
        <v>0.2435297503489349</v>
      </c>
      <c r="X9" s="66">
        <f t="shared" si="9"/>
        <v>0.2439188200790133</v>
      </c>
      <c r="Y9" s="66">
        <f t="shared" si="9"/>
        <v>0.28292975681060956</v>
      </c>
      <c r="Z9" s="66">
        <f t="shared" si="9"/>
        <v>0.10034316766948863</v>
      </c>
      <c r="AA9" s="66">
        <f t="shared" si="9"/>
        <v>0.11954263461335127</v>
      </c>
      <c r="AB9" s="66">
        <f t="shared" si="9"/>
        <v>0.13416304756466924</v>
      </c>
      <c r="AC9" s="66">
        <f t="shared" si="9"/>
        <v>4.6514591683478136E-2</v>
      </c>
      <c r="AD9" s="66">
        <f t="shared" si="9"/>
        <v>0.19627046910610907</v>
      </c>
      <c r="AE9" s="66">
        <f t="shared" si="9"/>
        <v>0.26312757837863976</v>
      </c>
      <c r="AF9" s="66">
        <f t="shared" si="9"/>
        <v>0.31234792833307656</v>
      </c>
      <c r="AG9" s="66">
        <f t="shared" si="9"/>
        <v>0.26699313617175707</v>
      </c>
      <c r="AH9" s="66">
        <f t="shared" si="9"/>
        <v>0.20001917368070041</v>
      </c>
      <c r="AI9" s="66">
        <f t="shared" si="9"/>
        <v>0.19719895914009941</v>
      </c>
      <c r="AJ9" s="66">
        <f t="shared" si="9"/>
        <v>0.15754629103131512</v>
      </c>
      <c r="AK9" s="66">
        <f t="shared" si="9"/>
        <v>0.21471900732914323</v>
      </c>
      <c r="AL9" s="66">
        <f t="shared" si="9"/>
        <v>5.9426310743825851E-2</v>
      </c>
      <c r="AM9" s="66">
        <f t="shared" si="9"/>
        <v>5.7041219341352534E-2</v>
      </c>
      <c r="AN9" s="66">
        <f t="shared" si="9"/>
        <v>5.1875042643158169E-2</v>
      </c>
      <c r="AO9" s="66">
        <f t="shared" si="9"/>
        <v>2.9186978473919909E-2</v>
      </c>
      <c r="AP9" s="66">
        <f t="shared" si="9"/>
        <v>0.10305278033718626</v>
      </c>
      <c r="AQ9" s="66">
        <f t="shared" si="9"/>
        <v>8.2931231231568314E-2</v>
      </c>
      <c r="AR9" s="66">
        <f t="shared" si="9"/>
        <v>0.10604598454053725</v>
      </c>
      <c r="AS9" s="66">
        <f t="shared" si="9"/>
        <v>0.17091885656734335</v>
      </c>
      <c r="AT9" s="66">
        <f t="shared" si="9"/>
        <v>0.30878386572067062</v>
      </c>
      <c r="AU9" s="66">
        <f t="shared" si="9"/>
        <v>0.36363006982161539</v>
      </c>
      <c r="AV9" s="66">
        <f t="shared" si="9"/>
        <v>0.33974001716584257</v>
      </c>
      <c r="AW9" s="66">
        <f t="shared" si="9"/>
        <v>0.27595525656885228</v>
      </c>
      <c r="AX9" s="66">
        <f t="shared" si="9"/>
        <v>2.7148781829158794E-2</v>
      </c>
      <c r="AY9" s="66">
        <f t="shared" si="9"/>
        <v>5.9342768922573995E-3</v>
      </c>
      <c r="AZ9" s="66">
        <f t="shared" si="9"/>
        <v>-2.115411136805596E-2</v>
      </c>
      <c r="BA9" s="66">
        <f t="shared" si="9"/>
        <v>-2.1309762629481498E-2</v>
      </c>
      <c r="BB9" s="66">
        <f t="shared" si="9"/>
        <v>0.10593563470264021</v>
      </c>
      <c r="BC9" s="66">
        <f t="shared" si="9"/>
        <v>7.4300061540160889E-2</v>
      </c>
      <c r="BD9" s="66">
        <f t="shared" si="9"/>
        <v>6.2384235364787641E-2</v>
      </c>
      <c r="BE9" s="66">
        <f t="shared" si="9"/>
        <v>7.0314372186417229E-2</v>
      </c>
      <c r="BF9" s="66">
        <f t="shared" si="9"/>
        <v>3.8746619927773805E-2</v>
      </c>
      <c r="BG9" s="66">
        <f t="shared" si="9"/>
        <v>6.6957898593465515E-2</v>
      </c>
      <c r="BH9" s="66">
        <f t="shared" si="9"/>
        <v>0.11158766234041999</v>
      </c>
      <c r="BI9" s="66">
        <f t="shared" si="9"/>
        <v>6.2665634271671322E-2</v>
      </c>
      <c r="BJ9" s="66">
        <f t="shared" si="9"/>
        <v>0.18199805653899745</v>
      </c>
      <c r="BK9" s="66">
        <f t="shared" si="9"/>
        <v>4.8512548593503388E-2</v>
      </c>
      <c r="BL9" s="66">
        <f t="shared" si="9"/>
        <v>-3.3832353237713539E-2</v>
      </c>
      <c r="BM9" s="66">
        <f t="shared" si="9"/>
        <v>-2.4034720204960492E-2</v>
      </c>
      <c r="BN9" s="66">
        <f t="shared" si="9"/>
        <v>-0.27564873363316311</v>
      </c>
      <c r="BO9" s="66">
        <f t="shared" si="9"/>
        <v>5.7195340648114032E-2</v>
      </c>
      <c r="BP9" s="66">
        <f t="shared" si="9"/>
        <v>-0.56728194094836126</v>
      </c>
      <c r="BQ9" s="66">
        <f t="shared" si="9"/>
        <v>-0.50263647072624285</v>
      </c>
      <c r="BR9" s="66">
        <f t="shared" ref="BR9:CK9" si="10">(BR7-BV7)/BV7</f>
        <v>-4.9697420293100467E-2</v>
      </c>
      <c r="BS9" s="66">
        <f t="shared" si="10"/>
        <v>-1.0203554448570445E-2</v>
      </c>
      <c r="BT9" s="66">
        <f t="shared" si="10"/>
        <v>-8.5757663551186455E-2</v>
      </c>
      <c r="BU9" s="66">
        <f t="shared" si="10"/>
        <v>-8.7331476362582733E-2</v>
      </c>
      <c r="BV9" s="66">
        <f t="shared" si="10"/>
        <v>-7.8970914778878035E-2</v>
      </c>
      <c r="BW9" s="66">
        <f t="shared" si="10"/>
        <v>-0.17833577478995735</v>
      </c>
      <c r="BX9" s="66">
        <f t="shared" si="10"/>
        <v>-1.2975118907285125E-2</v>
      </c>
      <c r="BY9" s="66">
        <f t="shared" si="10"/>
        <v>-2.1926445660373384E-2</v>
      </c>
      <c r="BZ9" s="66">
        <f t="shared" si="10"/>
        <v>0.13429566634966347</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c r="A10" s="128" t="s">
        <v>358</v>
      </c>
      <c r="E10" s="27">
        <f>股权价值增加表!E8</f>
        <v>12800345.52</v>
      </c>
      <c r="F10" s="27">
        <f>股权价值增加表!F8</f>
        <v>42430471.789999999</v>
      </c>
      <c r="G10" s="27">
        <f>股权价值增加表!G8</f>
        <v>31065916.550000001</v>
      </c>
      <c r="H10" s="27">
        <f>股权价值增加表!H8</f>
        <v>21073570</v>
      </c>
      <c r="I10" s="27">
        <f>股权价值增加表!I8</f>
        <v>5359330.1900000004</v>
      </c>
      <c r="J10" s="27">
        <f>股权价值增加表!J8</f>
        <v>23274484.359999999</v>
      </c>
      <c r="K10" s="27">
        <f>股权价值增加表!K8</f>
        <v>13966510.32</v>
      </c>
      <c r="L10" s="27">
        <f>股权价值增加表!L8</f>
        <v>9757861.6799999997</v>
      </c>
      <c r="M10" s="27">
        <f>股权价值增加表!M8</f>
        <v>6003046.9699999997</v>
      </c>
      <c r="N10" s="27">
        <f>股权价值增加表!N8</f>
        <v>23690317.800000001</v>
      </c>
      <c r="O10" s="27">
        <f>股权价值增加表!O8</f>
        <v>15130726.34</v>
      </c>
      <c r="P10" s="27">
        <f>股权价值增加表!P8</f>
        <v>9867909.3200000003</v>
      </c>
      <c r="Q10" s="27">
        <f>股权价值增加表!Q8</f>
        <v>5982304.5700000003</v>
      </c>
      <c r="R10" s="27">
        <f>股权价值增加表!R8</f>
        <v>24030468.309999999</v>
      </c>
      <c r="S10" s="27">
        <f>股权价值增加表!S8</f>
        <v>15172450.869999999</v>
      </c>
      <c r="T10" s="27">
        <f>股权价值增加表!T8</f>
        <v>9890700.2300000004</v>
      </c>
      <c r="U10" s="27">
        <f>股权价值增加表!U8</f>
        <v>5825629.3600000003</v>
      </c>
      <c r="V10" s="27">
        <f>股权价值增加表!V8</f>
        <v>28780411.329999998</v>
      </c>
      <c r="W10" s="27">
        <f>股权价值增加表!W8</f>
        <v>19101053.68</v>
      </c>
      <c r="X10" s="27">
        <f>股权价值增加表!X8</f>
        <v>13461726.199999999</v>
      </c>
      <c r="Y10" s="27">
        <f>股权价值增加表!Y8</f>
        <v>7730018.8200000003</v>
      </c>
      <c r="Z10" s="27">
        <f>股权价值增加表!Z8</f>
        <v>17209678.609999999</v>
      </c>
      <c r="AA10" s="27">
        <f>股权价值增加表!AA8</f>
        <v>13728246.52</v>
      </c>
      <c r="AB10" s="27">
        <f>股权价值增加表!AB8</f>
        <v>9422596.2799999993</v>
      </c>
      <c r="AC10" s="27">
        <f>股权价值增加表!AC8</f>
        <v>5781182.8799999999</v>
      </c>
      <c r="AD10" s="27">
        <f>股权价值增加表!AD8</f>
        <v>15628811.550000001</v>
      </c>
      <c r="AE10" s="27">
        <f>股权价值增加表!AE8</f>
        <v>11267320.65</v>
      </c>
      <c r="AF10" s="27">
        <f>股权价值增加表!AF8</f>
        <v>7668773.9199999999</v>
      </c>
      <c r="AG10" s="27">
        <f>股权价值增加表!AG8</f>
        <v>4902673.45</v>
      </c>
      <c r="AH10" s="27">
        <f>股权价值增加表!AH8</f>
        <v>11789509.08</v>
      </c>
      <c r="AI10" s="27">
        <f>股权价值增加表!AI8</f>
        <v>8842980.1199999992</v>
      </c>
      <c r="AJ10" s="27">
        <f>股权价值增加表!AJ8</f>
        <v>5332103.5599999996</v>
      </c>
      <c r="AK10" s="27">
        <f>股权价值增加表!AK8</f>
        <v>3323646.91</v>
      </c>
      <c r="AL10" s="27">
        <f>股权价值增加表!AL8</f>
        <v>9568690.1500000004</v>
      </c>
      <c r="AM10" s="27">
        <f>股权价值增加表!AM8</f>
        <v>6292057.3399999999</v>
      </c>
      <c r="AN10" s="27">
        <f>股权价值增加表!AN8</f>
        <v>4123443.17</v>
      </c>
      <c r="AO10" s="27">
        <f>股权价值增加表!AO8</f>
        <v>3372966.09</v>
      </c>
      <c r="AP10" s="27">
        <f>股权价值增加表!AP8</f>
        <v>7321368.1900000004</v>
      </c>
      <c r="AQ10" s="27">
        <f>股权价值增加表!AQ8</f>
        <v>5341172.1500000004</v>
      </c>
      <c r="AR10" s="27">
        <f>股权价值增加表!AR8</f>
        <v>3476962.36</v>
      </c>
      <c r="AS10" s="27">
        <f>股权价值增加表!AS8</f>
        <v>2331810.17</v>
      </c>
      <c r="AT10" s="27">
        <f>股权价值增加表!AT8</f>
        <v>7195618.7400000002</v>
      </c>
      <c r="AU10" s="27">
        <f>股权价值增加表!AU8</f>
        <v>5182119.78</v>
      </c>
      <c r="AV10" s="27">
        <f>股权价值增加表!AV8</f>
        <v>2935967.03</v>
      </c>
      <c r="AW10" s="27">
        <f>股权价值增加表!AW8</f>
        <v>2246471.7200000002</v>
      </c>
      <c r="AX10" s="27">
        <f>股权价值增加表!AX8</f>
        <v>5199647.32</v>
      </c>
      <c r="AY10" s="27">
        <f>股权价值增加表!AY8</f>
        <v>3416238.4</v>
      </c>
      <c r="AZ10" s="27">
        <f>股权价值增加表!AZ8</f>
        <v>2411258.54</v>
      </c>
      <c r="BA10" s="27">
        <f>股权价值增加表!BA8</f>
        <v>1654427.2</v>
      </c>
      <c r="BB10" s="27">
        <f>股权价值增加表!BB8</f>
        <v>5017851.07</v>
      </c>
      <c r="BC10" s="27">
        <f>股权价值增加表!BC8</f>
        <v>3680631.68</v>
      </c>
      <c r="BD10" s="27">
        <f>股权价值增加表!BD8</f>
        <v>2635277.88</v>
      </c>
      <c r="BE10" s="27">
        <f>股权价值增加表!BE8</f>
        <v>1780795.38</v>
      </c>
      <c r="BF10" s="27">
        <f>股权价值增加表!BF8</f>
        <v>5122455.41</v>
      </c>
      <c r="BG10" s="27">
        <f>股权价值增加表!BG8</f>
        <v>3715857.07</v>
      </c>
      <c r="BH10" s="27">
        <f>股权价值增加表!BH8</f>
        <v>2641771.5299999998</v>
      </c>
      <c r="BI10" s="27">
        <f>股权价值增加表!BI8</f>
        <v>1657253.28</v>
      </c>
      <c r="BJ10" s="27">
        <f>股权价值增加表!BJ8</f>
        <v>3676415.45</v>
      </c>
      <c r="BK10" s="27">
        <f>股权价值增加表!BK8</f>
        <v>3630970.25</v>
      </c>
      <c r="BL10" s="27">
        <f>股权价值增加表!BL8</f>
        <v>2559888.2799999998</v>
      </c>
      <c r="BM10" s="27">
        <f>股权价值增加表!BM8</f>
        <v>1780762.08</v>
      </c>
      <c r="BN10" s="27">
        <f>股权价值增加表!BN8</f>
        <v>2056684.82</v>
      </c>
      <c r="BO10" s="27">
        <f>股权价值增加表!BO8</f>
        <v>1689950.79</v>
      </c>
      <c r="BP10" s="27">
        <f>股权价值增加表!BP8</f>
        <v>1203923.1000000001</v>
      </c>
      <c r="BQ10" s="27">
        <f>股权价值增加表!BQ8</f>
        <v>976227.38</v>
      </c>
      <c r="BR10" s="27">
        <f>股权价值增加表!BR8</f>
        <v>2853226.08</v>
      </c>
      <c r="BS10" s="27">
        <f>股权价值增加表!BS8</f>
        <v>1737263.51</v>
      </c>
      <c r="BT10" s="27">
        <f>股权价值增加表!BT8</f>
        <v>3145794.63</v>
      </c>
      <c r="BU10" s="27">
        <f>股权价值增加表!BU8</f>
        <v>2023049.19</v>
      </c>
      <c r="BV10" s="27">
        <f>股权价值增加表!BV8</f>
        <v>3525065.01</v>
      </c>
      <c r="BW10" s="27">
        <f>股权价值增加表!BW8</f>
        <v>1539293.9</v>
      </c>
      <c r="BX10" s="27">
        <f>股权价值增加表!BX8</f>
        <v>3927924.23</v>
      </c>
      <c r="BY10" s="27">
        <f>股权价值增加表!BY8</f>
        <v>2068186.48</v>
      </c>
      <c r="BZ10" s="27">
        <f>股权价值增加表!BZ8</f>
        <v>3867464.78</v>
      </c>
      <c r="CA10" s="27">
        <f>股权价值增加表!CA8</f>
        <v>3369202.75</v>
      </c>
      <c r="CB10" s="27">
        <f>股权价值增加表!CB8</f>
        <v>3675214.17</v>
      </c>
      <c r="CC10" s="27">
        <f>股权价值增加表!CC8</f>
        <v>1800905.27</v>
      </c>
      <c r="CD10" s="27">
        <f>股权价值增加表!CD8</f>
        <v>3852709.11</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c r="A11" s="20" t="s">
        <v>359</v>
      </c>
      <c r="E11" s="57">
        <f>E10/E2</f>
        <v>3.0370413183482856E-2</v>
      </c>
      <c r="F11" s="57">
        <f t="shared" ref="F11:BQ11" si="11">F10/F2</f>
        <v>3.1053572707955567E-2</v>
      </c>
      <c r="G11" s="57">
        <f t="shared" si="11"/>
        <v>3.027756025604211E-2</v>
      </c>
      <c r="H11" s="57">
        <f t="shared" si="11"/>
        <v>3.0174952520478474E-2</v>
      </c>
      <c r="I11" s="57">
        <f t="shared" si="11"/>
        <v>1.8854641071920055E-2</v>
      </c>
      <c r="J11" s="57">
        <f t="shared" si="11"/>
        <v>2.2672841048397414E-2</v>
      </c>
      <c r="K11" s="57">
        <f t="shared" si="11"/>
        <v>1.822942914177398E-2</v>
      </c>
      <c r="L11" s="57">
        <f t="shared" si="11"/>
        <v>1.8555223714590594E-2</v>
      </c>
      <c r="M11" s="57">
        <f t="shared" si="11"/>
        <v>2.0332104860200949E-2</v>
      </c>
      <c r="N11" s="57">
        <f t="shared" si="11"/>
        <v>2.1139514463541398E-2</v>
      </c>
      <c r="O11" s="57">
        <f t="shared" si="11"/>
        <v>1.7644524520292304E-2</v>
      </c>
      <c r="P11" s="57">
        <f t="shared" si="11"/>
        <v>1.6633117232529311E-2</v>
      </c>
      <c r="Q11" s="57">
        <f t="shared" si="11"/>
        <v>1.7828217824496881E-2</v>
      </c>
      <c r="R11" s="57">
        <f t="shared" si="11"/>
        <v>1.9780563653650746E-2</v>
      </c>
      <c r="S11" s="57">
        <f t="shared" si="11"/>
        <v>1.6356303791444021E-2</v>
      </c>
      <c r="T11" s="57">
        <f t="shared" si="11"/>
        <v>1.5676614016041219E-2</v>
      </c>
      <c r="U11" s="57">
        <f t="shared" si="11"/>
        <v>1.6208821816390429E-2</v>
      </c>
      <c r="V11" s="57">
        <f t="shared" si="11"/>
        <v>2.0154271935926171E-2</v>
      </c>
      <c r="W11" s="57">
        <f t="shared" si="11"/>
        <v>1.7519975990995428E-2</v>
      </c>
      <c r="X11" s="57">
        <f t="shared" si="11"/>
        <v>1.7863444755053467E-2</v>
      </c>
      <c r="Y11" s="57">
        <f t="shared" si="11"/>
        <v>1.8986416828071083E-2</v>
      </c>
      <c r="Z11" s="57">
        <f t="shared" si="11"/>
        <v>1.3037067123121996E-2</v>
      </c>
      <c r="AA11" s="57">
        <f t="shared" si="11"/>
        <v>1.3732392908239358E-2</v>
      </c>
      <c r="AB11" s="57">
        <f t="shared" si="11"/>
        <v>1.3533859920962808E-2</v>
      </c>
      <c r="AC11" s="57">
        <f t="shared" si="11"/>
        <v>1.4556045072997946E-2</v>
      </c>
      <c r="AD11" s="57">
        <f t="shared" si="11"/>
        <v>1.3153560996613384E-2</v>
      </c>
      <c r="AE11" s="57">
        <f t="shared" si="11"/>
        <v>1.2781641455605989E-2</v>
      </c>
      <c r="AF11" s="57">
        <f t="shared" si="11"/>
        <v>1.2370251984589879E-2</v>
      </c>
      <c r="AG11" s="57">
        <f t="shared" si="11"/>
        <v>1.3591811676475118E-2</v>
      </c>
      <c r="AH11" s="57">
        <f t="shared" si="11"/>
        <v>1.280216760638163E-2</v>
      </c>
      <c r="AI11" s="57">
        <f t="shared" si="11"/>
        <v>1.3559039320235793E-2</v>
      </c>
      <c r="AJ11" s="57">
        <f t="shared" si="11"/>
        <v>1.2189249375624668E-2</v>
      </c>
      <c r="AK11" s="57">
        <f t="shared" si="11"/>
        <v>1.3257442754468119E-2</v>
      </c>
      <c r="AL11" s="57">
        <f t="shared" si="11"/>
        <v>1.3123635971097083E-2</v>
      </c>
      <c r="AM11" s="57">
        <f t="shared" si="11"/>
        <v>1.1828191293770647E-2</v>
      </c>
      <c r="AN11" s="57">
        <f t="shared" si="11"/>
        <v>1.1312907216829994E-2</v>
      </c>
      <c r="AO11" s="57">
        <f t="shared" si="11"/>
        <v>1.6158330374947075E-2</v>
      </c>
      <c r="AP11" s="57">
        <f t="shared" si="11"/>
        <v>1.1753738237382429E-2</v>
      </c>
      <c r="AQ11" s="57">
        <f t="shared" si="11"/>
        <v>1.1655024030982113E-2</v>
      </c>
      <c r="AR11" s="57">
        <f t="shared" si="11"/>
        <v>1.1131583353224285E-2</v>
      </c>
      <c r="AS11" s="57">
        <f t="shared" si="11"/>
        <v>1.2452429700463718E-2</v>
      </c>
      <c r="AT11" s="57">
        <f t="shared" si="11"/>
        <v>1.314480452738679E-2</v>
      </c>
      <c r="AU11" s="57">
        <f t="shared" si="11"/>
        <v>1.2993111464419284E-2</v>
      </c>
      <c r="AV11" s="57">
        <f t="shared" si="11"/>
        <v>1.0820629928545112E-2</v>
      </c>
      <c r="AW11" s="57">
        <f t="shared" si="11"/>
        <v>1.4753712172575003E-2</v>
      </c>
      <c r="AX11" s="57">
        <f t="shared" si="11"/>
        <v>1.1545949065552272E-2</v>
      </c>
      <c r="AY11" s="57">
        <f t="shared" si="11"/>
        <v>1.0316457847827299E-2</v>
      </c>
      <c r="AZ11" s="57">
        <f t="shared" si="11"/>
        <v>1.0746296000681705E-2</v>
      </c>
      <c r="BA11" s="57">
        <f t="shared" si="11"/>
        <v>1.2697117301687511E-2</v>
      </c>
      <c r="BB11" s="57">
        <f t="shared" si="11"/>
        <v>1.141678331890356E-2</v>
      </c>
      <c r="BC11" s="57">
        <f t="shared" si="11"/>
        <v>1.1401782712501292E-2</v>
      </c>
      <c r="BD11" s="57">
        <f t="shared" si="11"/>
        <v>1.159610254130887E-2</v>
      </c>
      <c r="BE11" s="57">
        <f t="shared" si="11"/>
        <v>1.3420412612875592E-2</v>
      </c>
      <c r="BF11" s="57">
        <f t="shared" si="11"/>
        <v>1.2686986428911671E-2</v>
      </c>
      <c r="BG11" s="57">
        <f t="shared" si="11"/>
        <v>1.2388470536571251E-2</v>
      </c>
      <c r="BH11" s="57">
        <f t="shared" si="11"/>
        <v>1.2599734323597338E-2</v>
      </c>
      <c r="BI11" s="57">
        <f t="shared" si="11"/>
        <v>1.3387061107246589E-2</v>
      </c>
      <c r="BJ11" s="57">
        <f t="shared" si="11"/>
        <v>7.6658184388302842E-3</v>
      </c>
      <c r="BK11" s="57">
        <f t="shared" si="11"/>
        <v>9.950625218495603E-3</v>
      </c>
      <c r="BL11" s="57">
        <f t="shared" si="11"/>
        <v>9.9510114451074345E-3</v>
      </c>
      <c r="BM11" s="57">
        <f t="shared" si="11"/>
        <v>1.1908633480864605E-2</v>
      </c>
      <c r="BN11" s="57">
        <f t="shared" si="11"/>
        <v>4.0543442258409203E-3</v>
      </c>
      <c r="BO11" s="57">
        <f t="shared" si="11"/>
        <v>4.1623275095880319E-3</v>
      </c>
      <c r="BP11" s="57">
        <f t="shared" si="11"/>
        <v>4.1195079781124258E-3</v>
      </c>
      <c r="BQ11" s="57">
        <f t="shared" si="11"/>
        <v>5.6124947769617666E-3</v>
      </c>
      <c r="BR11" s="57">
        <f t="shared" ref="BR11:CJ11" si="12">BR10/BR2</f>
        <v>4.3917348379104507E-3</v>
      </c>
      <c r="BS11" s="57">
        <f t="shared" si="12"/>
        <v>5.077590035769932E-3</v>
      </c>
      <c r="BT11" s="57">
        <f t="shared" si="12"/>
        <v>4.8406451540895182E-3</v>
      </c>
      <c r="BU11" s="57">
        <f t="shared" si="12"/>
        <v>6.4764492518032514E-3</v>
      </c>
      <c r="BV11" s="57">
        <f t="shared" si="12"/>
        <v>6.0051683638918411E-3</v>
      </c>
      <c r="BW11" s="57">
        <f t="shared" si="12"/>
        <v>4.8308265714635109E-3</v>
      </c>
      <c r="BX11" s="57">
        <f t="shared" si="12"/>
        <v>6.4664232894514253E-3</v>
      </c>
      <c r="BY11" s="57">
        <f t="shared" si="12"/>
        <v>6.6253876274930809E-3</v>
      </c>
      <c r="BZ11" s="57">
        <f t="shared" si="12"/>
        <v>6.4179723502103478E-3</v>
      </c>
      <c r="CA11" s="57">
        <f t="shared" si="12"/>
        <v>9.7500730577135455E-3</v>
      </c>
      <c r="CB11" s="57">
        <f t="shared" si="12"/>
        <v>5.9986425526087185E-3</v>
      </c>
      <c r="CC11" s="57">
        <f t="shared" si="12"/>
        <v>5.3915712735575303E-3</v>
      </c>
      <c r="CD11" s="57">
        <f t="shared" si="12"/>
        <v>6.9743292039791717E-3</v>
      </c>
      <c r="CE11" s="57" t="e">
        <f t="shared" si="12"/>
        <v>#DIV/0!</v>
      </c>
      <c r="CF11" s="57" t="e">
        <f t="shared" si="12"/>
        <v>#DIV/0!</v>
      </c>
      <c r="CG11" s="57" t="e">
        <f t="shared" si="12"/>
        <v>#DIV/0!</v>
      </c>
      <c r="CH11" s="57" t="e">
        <f t="shared" si="12"/>
        <v>#DIV/0!</v>
      </c>
      <c r="CI11" s="57" t="e">
        <f t="shared" si="12"/>
        <v>#DIV/0!</v>
      </c>
      <c r="CJ11" s="57" t="e">
        <f t="shared" si="12"/>
        <v>#DIV/0!</v>
      </c>
    </row>
    <row r="12" spans="1:89" s="27" customFormat="1">
      <c r="A12" s="128" t="s">
        <v>360</v>
      </c>
      <c r="E12" s="27">
        <f>股权价值增加表!E9</f>
        <v>20712567.129999999</v>
      </c>
      <c r="F12" s="27">
        <f>股权价值增加表!F9</f>
        <v>66215540.450000003</v>
      </c>
      <c r="G12" s="27">
        <f>股权价值增加表!G9</f>
        <v>46876708.009999998</v>
      </c>
      <c r="H12" s="27">
        <f>股权价值增加表!H9</f>
        <v>28011745.489999998</v>
      </c>
      <c r="I12" s="27">
        <f>股权价值增加表!I9</f>
        <v>13466612.890000001</v>
      </c>
      <c r="J12" s="27">
        <f>股权价值增加表!J9</f>
        <v>62280920.460000001</v>
      </c>
      <c r="K12" s="27">
        <f>股权价值增加表!K9</f>
        <v>46214565.479999997</v>
      </c>
      <c r="L12" s="27">
        <f>股权价值增加表!L9</f>
        <v>27667130.350000001</v>
      </c>
      <c r="M12" s="27">
        <f>股权价值增加表!M9</f>
        <v>15152146.310000001</v>
      </c>
      <c r="N12" s="27">
        <f>股权价值增加表!N9</f>
        <v>69624252.760000005</v>
      </c>
      <c r="O12" s="27">
        <f>股权价值增加表!O9</f>
        <v>45203222.68</v>
      </c>
      <c r="P12" s="27">
        <f>股权价值增加表!P9</f>
        <v>28914261.550000001</v>
      </c>
      <c r="Q12" s="27">
        <f>股权价值增加表!Q9</f>
        <v>15950931.119999999</v>
      </c>
      <c r="R12" s="27">
        <f>股权价值增加表!R9</f>
        <v>64788190.049999997</v>
      </c>
      <c r="S12" s="27">
        <f>股权价值增加表!S9</f>
        <v>46098673.969999999</v>
      </c>
      <c r="T12" s="27">
        <f>股权价值增加表!T9</f>
        <v>30855687.890000001</v>
      </c>
      <c r="U12" s="27">
        <f>股权价值增加表!U9</f>
        <v>15652670.6</v>
      </c>
      <c r="V12" s="27">
        <f>股权价值增加表!V9</f>
        <v>63818107.130000003</v>
      </c>
      <c r="W12" s="27">
        <f>股权价值增加表!W9</f>
        <v>43853462.670000002</v>
      </c>
      <c r="X12" s="27">
        <f>股权价值增加表!X9</f>
        <v>31471773.140000001</v>
      </c>
      <c r="Y12" s="27">
        <f>股权价值增加表!Y9</f>
        <v>15300488.310000001</v>
      </c>
      <c r="Z12" s="27">
        <f>股权价值增加表!Z9</f>
        <v>63764480.609999999</v>
      </c>
      <c r="AA12" s="27">
        <f>股权价值增加表!AA9</f>
        <v>59262646.899999999</v>
      </c>
      <c r="AB12" s="27">
        <f>股权价值增加表!AB9</f>
        <v>38271496.469999999</v>
      </c>
      <c r="AC12" s="27">
        <f>股权价值增加表!AC9</f>
        <v>14157406.01</v>
      </c>
      <c r="AD12" s="27">
        <f>股权价值增加表!AD9</f>
        <v>60436077.719999999</v>
      </c>
      <c r="AE12" s="27">
        <f>股权价值增加表!AE9</f>
        <v>50918055.979999997</v>
      </c>
      <c r="AF12" s="27">
        <f>股权价值增加表!AF9</f>
        <v>31253539.079999998</v>
      </c>
      <c r="AG12" s="27">
        <f>股权价值增加表!AG9</f>
        <v>14454602.42</v>
      </c>
      <c r="AH12" s="27">
        <f>股权价值增加表!AH9</f>
        <v>47649311.75</v>
      </c>
      <c r="AI12" s="27">
        <f>股权价值增加表!AI9</f>
        <v>34910986.399999999</v>
      </c>
      <c r="AJ12" s="27">
        <f>股权价值增加表!AJ9</f>
        <v>18536523.66</v>
      </c>
      <c r="AK12" s="27">
        <f>股权价值增加表!AK9</f>
        <v>8911029.1199999992</v>
      </c>
      <c r="AL12" s="27">
        <f>股权价值增加表!AL9</f>
        <v>37549245.609999999</v>
      </c>
      <c r="AM12" s="27">
        <f>股权价值增加表!AM9</f>
        <v>26464347.43</v>
      </c>
      <c r="AN12" s="27">
        <f>股权价值增加表!AN9</f>
        <v>16838749.199999999</v>
      </c>
      <c r="AO12" s="27">
        <f>股权价值增加表!AO9</f>
        <v>8177405.1900000004</v>
      </c>
      <c r="AP12" s="27">
        <f>股权价值增加表!AP9</f>
        <v>35359246.619999997</v>
      </c>
      <c r="AQ12" s="27">
        <f>股权价值增加表!AQ9</f>
        <v>29546380.510000002</v>
      </c>
      <c r="AR12" s="27">
        <f>股权价值增加表!AR9</f>
        <v>20797279.23</v>
      </c>
      <c r="AS12" s="27">
        <f>股权价值增加表!AS9</f>
        <v>11939247.130000001</v>
      </c>
      <c r="AT12" s="27">
        <f>股权价值增加表!AT9</f>
        <v>31073852.68</v>
      </c>
      <c r="AU12" s="27">
        <f>股权价值增加表!AU9</f>
        <v>25053798.379999999</v>
      </c>
      <c r="AV12" s="27">
        <f>股权价值增加表!AV9</f>
        <v>18005819.629999999</v>
      </c>
      <c r="AW12" s="27">
        <f>股权价值增加表!AW9</f>
        <v>10251461.49</v>
      </c>
      <c r="AX12" s="27">
        <f>股权价值增加表!AX9</f>
        <v>29916910.109999999</v>
      </c>
      <c r="AY12" s="27">
        <f>股权价值增加表!AY9</f>
        <v>21485750.23</v>
      </c>
      <c r="AZ12" s="27">
        <f>股权价值增加表!AZ9</f>
        <v>13240157.880000001</v>
      </c>
      <c r="BA12" s="27">
        <f>股权价值增加表!BA9</f>
        <v>10697604.560000001</v>
      </c>
      <c r="BB12" s="27">
        <f>股权价值增加表!BB9</f>
        <v>26039247.969999999</v>
      </c>
      <c r="BC12" s="27">
        <f>股权价值增加表!BC9</f>
        <v>22378085.789999999</v>
      </c>
      <c r="BD12" s="27">
        <f>股权价值增加表!BD9</f>
        <v>14863945.189999999</v>
      </c>
      <c r="BE12" s="27">
        <f>股权价值增加表!BE9</f>
        <v>9278538.8300000001</v>
      </c>
      <c r="BF12" s="27">
        <f>股权价值增加表!BF9</f>
        <v>29938251.079999998</v>
      </c>
      <c r="BG12" s="27">
        <f>股权价值增加表!BG9</f>
        <v>22679586.149999999</v>
      </c>
      <c r="BH12" s="27">
        <f>股权价值增加表!BH9</f>
        <v>16181960.119999999</v>
      </c>
      <c r="BI12" s="27">
        <f>股权价值增加表!BI9</f>
        <v>9634115.9900000002</v>
      </c>
      <c r="BJ12" s="27">
        <f>股权价值增加表!BJ9</f>
        <v>47001736.799999997</v>
      </c>
      <c r="BK12" s="27">
        <f>股权价值增加表!BK9</f>
        <v>37266133.659999996</v>
      </c>
      <c r="BL12" s="27">
        <f>股权价值增加表!BL9</f>
        <v>24428900.989999998</v>
      </c>
      <c r="BM12" s="27">
        <f>股权价值增加表!BM9</f>
        <v>13408942.65</v>
      </c>
      <c r="BN12" s="27">
        <f>股权价值增加表!BN9</f>
        <v>47084408.280000001</v>
      </c>
      <c r="BO12" s="27">
        <f>股权价值增加表!BO9</f>
        <v>32276098.66</v>
      </c>
      <c r="BP12" s="27">
        <f>股权价值增加表!BP9</f>
        <v>20281494.329999998</v>
      </c>
      <c r="BQ12" s="27">
        <f>股权价值增加表!BQ9</f>
        <v>10327723.1</v>
      </c>
      <c r="BR12" s="27">
        <f>股权价值增加表!BR9</f>
        <v>60853687.799999997</v>
      </c>
      <c r="BS12" s="27">
        <f>股权价值增加表!BS9</f>
        <v>26685880.23</v>
      </c>
      <c r="BT12" s="27">
        <f>股权价值增加表!BT9</f>
        <v>45546451.329999998</v>
      </c>
      <c r="BU12" s="27">
        <f>股权价值增加表!BU9</f>
        <v>20960763.789999999</v>
      </c>
      <c r="BV12" s="27">
        <f>股权价值增加表!BV9</f>
        <v>39169565.539999999</v>
      </c>
      <c r="BW12" s="27">
        <f>股权价值增加表!BW9</f>
        <v>19546535.52</v>
      </c>
      <c r="BX12" s="27">
        <f>股权价值增加表!BX9</f>
        <v>45565882.829999998</v>
      </c>
      <c r="BY12" s="27">
        <f>股权价值增加表!BY9</f>
        <v>24806518.280000001</v>
      </c>
      <c r="BZ12" s="27">
        <f>股权价值增加表!BZ9</f>
        <v>40087400.369999997</v>
      </c>
      <c r="CA12" s="27">
        <f>股权价值增加表!CA9</f>
        <v>26490963.030000001</v>
      </c>
      <c r="CB12" s="27">
        <f>股权价值增加表!CB9</f>
        <v>44131970.909999996</v>
      </c>
      <c r="CC12" s="27">
        <f>股权价值增加表!CC9</f>
        <v>23165179.219999999</v>
      </c>
      <c r="CD12" s="27">
        <f>股权价值增加表!CD9</f>
        <v>37884747.57</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c r="A13" s="20" t="s">
        <v>361</v>
      </c>
      <c r="E13" s="57">
        <f>E12/E2</f>
        <v>4.9143143897628604E-2</v>
      </c>
      <c r="F13" s="57">
        <f t="shared" ref="F13:BQ13" si="13">F12/F2</f>
        <v>4.8461141557357354E-2</v>
      </c>
      <c r="G13" s="57">
        <f t="shared" si="13"/>
        <v>4.5687123027363788E-2</v>
      </c>
      <c r="H13" s="57">
        <f t="shared" si="13"/>
        <v>4.0109629748375668E-2</v>
      </c>
      <c r="I13" s="57">
        <f t="shared" si="13"/>
        <v>4.7376844399177061E-2</v>
      </c>
      <c r="J13" s="57">
        <f t="shared" si="13"/>
        <v>6.0670964309924774E-2</v>
      </c>
      <c r="K13" s="57">
        <f t="shared" si="13"/>
        <v>6.0320375486289241E-2</v>
      </c>
      <c r="L13" s="57">
        <f t="shared" si="13"/>
        <v>5.2610890584481942E-2</v>
      </c>
      <c r="M13" s="57">
        <f t="shared" si="13"/>
        <v>5.1319776302204557E-2</v>
      </c>
      <c r="N13" s="57">
        <f t="shared" si="13"/>
        <v>6.2127613088976047E-2</v>
      </c>
      <c r="O13" s="57">
        <f t="shared" si="13"/>
        <v>5.2713224272979163E-2</v>
      </c>
      <c r="P13" s="57">
        <f t="shared" si="13"/>
        <v>4.8737203237003868E-2</v>
      </c>
      <c r="Q13" s="57">
        <f t="shared" si="13"/>
        <v>4.7536308321210398E-2</v>
      </c>
      <c r="R13" s="57">
        <f t="shared" si="13"/>
        <v>5.3330084988628623E-2</v>
      </c>
      <c r="S13" s="57">
        <f t="shared" si="13"/>
        <v>4.9695591193306847E-2</v>
      </c>
      <c r="T13" s="57">
        <f t="shared" si="13"/>
        <v>4.8905810306917701E-2</v>
      </c>
      <c r="U13" s="57">
        <f t="shared" si="13"/>
        <v>4.3550890904266698E-2</v>
      </c>
      <c r="V13" s="57">
        <f t="shared" si="13"/>
        <v>4.469037884088118E-2</v>
      </c>
      <c r="W13" s="57">
        <f t="shared" si="13"/>
        <v>4.0223519915285333E-2</v>
      </c>
      <c r="X13" s="57">
        <f t="shared" si="13"/>
        <v>4.1762421288138042E-2</v>
      </c>
      <c r="Y13" s="57">
        <f t="shared" si="13"/>
        <v>3.7580949735215377E-2</v>
      </c>
      <c r="Z13" s="57">
        <f t="shared" si="13"/>
        <v>4.8304319483371286E-2</v>
      </c>
      <c r="AA13" s="57">
        <f t="shared" si="13"/>
        <v>5.9280546195571465E-2</v>
      </c>
      <c r="AB13" s="57">
        <f t="shared" si="13"/>
        <v>5.4970101318041677E-2</v>
      </c>
      <c r="AC13" s="57">
        <f t="shared" si="13"/>
        <v>3.5645964550128889E-2</v>
      </c>
      <c r="AD13" s="57">
        <f t="shared" si="13"/>
        <v>5.0864368806474422E-2</v>
      </c>
      <c r="AE13" s="57">
        <f t="shared" si="13"/>
        <v>5.7761410664463012E-2</v>
      </c>
      <c r="AF13" s="57">
        <f t="shared" si="13"/>
        <v>5.041407633905412E-2</v>
      </c>
      <c r="AG13" s="57">
        <f t="shared" si="13"/>
        <v>4.0072877778747733E-2</v>
      </c>
      <c r="AH13" s="57">
        <f t="shared" si="13"/>
        <v>5.1742143902079221E-2</v>
      </c>
      <c r="AI13" s="57">
        <f t="shared" si="13"/>
        <v>5.3529401952994216E-2</v>
      </c>
      <c r="AJ13" s="57">
        <f t="shared" si="13"/>
        <v>4.2374703886829027E-2</v>
      </c>
      <c r="AK13" s="57">
        <f t="shared" si="13"/>
        <v>3.5544527334222274E-2</v>
      </c>
      <c r="AL13" s="57">
        <f t="shared" si="13"/>
        <v>5.1499486622519096E-2</v>
      </c>
      <c r="AM13" s="57">
        <f t="shared" si="13"/>
        <v>4.9749286592936162E-2</v>
      </c>
      <c r="AN13" s="57">
        <f t="shared" si="13"/>
        <v>4.6198092102496535E-2</v>
      </c>
      <c r="AO13" s="57">
        <f t="shared" si="13"/>
        <v>3.9174190058289871E-2</v>
      </c>
      <c r="AP13" s="57">
        <f t="shared" si="13"/>
        <v>5.6765800907293176E-2</v>
      </c>
      <c r="AQ13" s="57">
        <f t="shared" si="13"/>
        <v>6.4473446127848832E-2</v>
      </c>
      <c r="AR13" s="57">
        <f t="shared" si="13"/>
        <v>6.6583017961984833E-2</v>
      </c>
      <c r="AS13" s="57">
        <f t="shared" si="13"/>
        <v>6.375846433622348E-2</v>
      </c>
      <c r="AT13" s="57">
        <f t="shared" si="13"/>
        <v>5.6765058593337053E-2</v>
      </c>
      <c r="AU13" s="57">
        <f t="shared" si="13"/>
        <v>6.281730426509502E-2</v>
      </c>
      <c r="AV13" s="57">
        <f t="shared" si="13"/>
        <v>6.6361205281097138E-2</v>
      </c>
      <c r="AW13" s="57">
        <f t="shared" si="13"/>
        <v>6.732651509705935E-2</v>
      </c>
      <c r="AX13" s="57">
        <f t="shared" si="13"/>
        <v>6.6431259481799967E-2</v>
      </c>
      <c r="AY13" s="57">
        <f t="shared" si="13"/>
        <v>6.4883304565846664E-2</v>
      </c>
      <c r="AZ13" s="57">
        <f t="shared" si="13"/>
        <v>5.900763162221434E-2</v>
      </c>
      <c r="BA13" s="57">
        <f t="shared" si="13"/>
        <v>8.210016127961825E-2</v>
      </c>
      <c r="BB13" s="57">
        <f t="shared" si="13"/>
        <v>5.9245371716600062E-2</v>
      </c>
      <c r="BC13" s="57">
        <f t="shared" si="13"/>
        <v>6.9322359280267018E-2</v>
      </c>
      <c r="BD13" s="57">
        <f t="shared" si="13"/>
        <v>6.5406321625419914E-2</v>
      </c>
      <c r="BE13" s="57">
        <f t="shared" si="13"/>
        <v>6.9924832994112979E-2</v>
      </c>
      <c r="BF13" s="57">
        <f t="shared" si="13"/>
        <v>7.4149241868619833E-2</v>
      </c>
      <c r="BG13" s="57">
        <f t="shared" si="13"/>
        <v>7.5612538240310848E-2</v>
      </c>
      <c r="BH13" s="57">
        <f t="shared" si="13"/>
        <v>7.7178664404429886E-2</v>
      </c>
      <c r="BI13" s="57">
        <f t="shared" si="13"/>
        <v>7.7823046741794022E-2</v>
      </c>
      <c r="BJ13" s="57">
        <f t="shared" si="13"/>
        <v>9.8004914166729407E-2</v>
      </c>
      <c r="BK13" s="57">
        <f t="shared" si="13"/>
        <v>0.10212733893730576</v>
      </c>
      <c r="BL13" s="57">
        <f t="shared" si="13"/>
        <v>9.4962063478366471E-2</v>
      </c>
      <c r="BM13" s="57">
        <f t="shared" si="13"/>
        <v>8.9670700638899134E-2</v>
      </c>
      <c r="BN13" s="57">
        <f t="shared" si="13"/>
        <v>9.2817527012794512E-2</v>
      </c>
      <c r="BO13" s="57">
        <f t="shared" si="13"/>
        <v>7.9495624458210068E-2</v>
      </c>
      <c r="BP13" s="57">
        <f t="shared" si="13"/>
        <v>6.93979355496019E-2</v>
      </c>
      <c r="BQ13" s="57">
        <f t="shared" si="13"/>
        <v>5.9375810537763633E-2</v>
      </c>
      <c r="BR13" s="57">
        <f t="shared" ref="BR13:CJ13" si="14">BR12/BR2</f>
        <v>9.3667046786066854E-2</v>
      </c>
      <c r="BS13" s="57">
        <f t="shared" si="14"/>
        <v>7.799620424399395E-2</v>
      </c>
      <c r="BT13" s="57">
        <f t="shared" si="14"/>
        <v>7.0085379005348031E-2</v>
      </c>
      <c r="BU13" s="57">
        <f t="shared" si="14"/>
        <v>6.7102334256622889E-2</v>
      </c>
      <c r="BV13" s="57">
        <f t="shared" si="14"/>
        <v>6.6727800803933562E-2</v>
      </c>
      <c r="BW13" s="57">
        <f t="shared" si="14"/>
        <v>6.1343660992921066E-2</v>
      </c>
      <c r="BX13" s="57">
        <f t="shared" si="14"/>
        <v>7.5013739747298233E-2</v>
      </c>
      <c r="BY13" s="57">
        <f t="shared" si="14"/>
        <v>7.9467108446378082E-2</v>
      </c>
      <c r="BZ13" s="57">
        <f t="shared" si="14"/>
        <v>6.6524155177043923E-2</v>
      </c>
      <c r="CA13" s="57">
        <f t="shared" si="14"/>
        <v>7.6661704289446103E-2</v>
      </c>
      <c r="CB13" s="57">
        <f t="shared" si="14"/>
        <v>7.2031698395202931E-2</v>
      </c>
      <c r="CC13" s="57">
        <f t="shared" si="14"/>
        <v>6.9352184653978952E-2</v>
      </c>
      <c r="CD13" s="57">
        <f t="shared" si="14"/>
        <v>6.8580495910533446E-2</v>
      </c>
      <c r="CE13" s="57" t="e">
        <f t="shared" si="14"/>
        <v>#DIV/0!</v>
      </c>
      <c r="CF13" s="57" t="e">
        <f t="shared" si="14"/>
        <v>#DIV/0!</v>
      </c>
      <c r="CG13" s="57" t="e">
        <f t="shared" si="14"/>
        <v>#DIV/0!</v>
      </c>
      <c r="CH13" s="57" t="e">
        <f t="shared" si="14"/>
        <v>#DIV/0!</v>
      </c>
      <c r="CI13" s="57" t="e">
        <f t="shared" si="14"/>
        <v>#DIV/0!</v>
      </c>
      <c r="CJ13" s="57" t="e">
        <f t="shared" si="14"/>
        <v>#DIV/0!</v>
      </c>
    </row>
    <row r="14" spans="1:89" s="26" customFormat="1">
      <c r="A14" s="128" t="s">
        <v>362</v>
      </c>
      <c r="E14" s="26">
        <f>股权价值增加表!E10</f>
        <v>25612670.98</v>
      </c>
      <c r="F14" s="26">
        <f>股权价值增加表!F10</f>
        <v>84384128.180000007</v>
      </c>
      <c r="G14" s="26">
        <f>股权价值增加表!G10</f>
        <v>57346847.810000002</v>
      </c>
      <c r="H14" s="26">
        <f>股权价值增加表!H10</f>
        <v>37277852.420000002</v>
      </c>
      <c r="I14" s="26">
        <f>股权价值增加表!I10</f>
        <v>14555447.640000001</v>
      </c>
      <c r="J14" s="26">
        <f>股权价值增加表!J10</f>
        <v>64452068.909999996</v>
      </c>
      <c r="K14" s="26">
        <f>股权价值增加表!K10</f>
        <v>46223440.880000003</v>
      </c>
      <c r="L14" s="26">
        <f>股权价值增加表!L10</f>
        <v>31444374.699999999</v>
      </c>
      <c r="M14" s="26">
        <f>股权价值增加表!M10</f>
        <v>14148555.98</v>
      </c>
      <c r="N14" s="26">
        <f>股权价值增加表!N10</f>
        <v>61449303.18</v>
      </c>
      <c r="O14" s="26">
        <f>股权价值增加表!O10</f>
        <v>59754809.289999999</v>
      </c>
      <c r="P14" s="26">
        <f>股权价值增加表!P10</f>
        <v>41067936.109999999</v>
      </c>
      <c r="Q14" s="26">
        <f>股权价值增加表!Q10</f>
        <v>20156981.18</v>
      </c>
      <c r="R14" s="26">
        <f>股权价值增加表!R10</f>
        <v>63743704.719999999</v>
      </c>
      <c r="S14" s="26">
        <f>股权价值增加表!S10</f>
        <v>65540424.539999999</v>
      </c>
      <c r="T14" s="26">
        <f>股权价值增加表!T10</f>
        <v>43172891.350000001</v>
      </c>
      <c r="U14" s="26">
        <f>股权价值增加表!U10</f>
        <v>21104175.649999999</v>
      </c>
      <c r="V14" s="26">
        <f>股权价值增加表!V10</f>
        <v>82951078.810000002</v>
      </c>
      <c r="W14" s="26">
        <f>股权价值增加表!W10</f>
        <v>78426694.709999993</v>
      </c>
      <c r="X14" s="26">
        <f>股权价值增加表!X10</f>
        <v>48526845.359999999</v>
      </c>
      <c r="Y14" s="26">
        <f>股权价值增加表!Y10</f>
        <v>22526207.489999998</v>
      </c>
      <c r="Z14" s="26">
        <f>股权价值增加表!Z10</f>
        <v>82963341.980000004</v>
      </c>
      <c r="AA14" s="26">
        <f>股权价值增加表!AA10</f>
        <v>60323355.079999998</v>
      </c>
      <c r="AB14" s="26">
        <f>股权价值增加表!AB10</f>
        <v>36991693.810000002</v>
      </c>
      <c r="AC14" s="26">
        <f>股权价值增加表!AC10</f>
        <v>15188285.460000001</v>
      </c>
      <c r="AD14" s="26">
        <f>股权价值增加表!AD10</f>
        <v>77159996.150000006</v>
      </c>
      <c r="AE14" s="26">
        <f>股权价值增加表!AE10</f>
        <v>55905589.409999996</v>
      </c>
      <c r="AF14" s="26">
        <f>股权价值增加表!AF10</f>
        <v>38209677.479999997</v>
      </c>
      <c r="AG14" s="26">
        <f>股权价值增加表!AG10</f>
        <v>19261025.420000002</v>
      </c>
      <c r="AH14" s="26">
        <f>股权价值增加表!AH10</f>
        <v>66374311.030000001</v>
      </c>
      <c r="AI14" s="26">
        <f>股权价值增加表!AI10</f>
        <v>49817196.240000002</v>
      </c>
      <c r="AJ14" s="26">
        <f>股权价值增加表!AJ10</f>
        <v>31361864.68</v>
      </c>
      <c r="AK14" s="26">
        <f>股权价值增加表!AK10</f>
        <v>13987802.75</v>
      </c>
      <c r="AL14" s="26">
        <f>股权价值增加表!AL10</f>
        <v>58817686.049999997</v>
      </c>
      <c r="AM14" s="26">
        <f>股权价值增加表!AM10</f>
        <v>45282549.439999998</v>
      </c>
      <c r="AN14" s="26">
        <f>股权价值增加表!AN10</f>
        <v>31130407.079999998</v>
      </c>
      <c r="AO14" s="26">
        <f>股权价值增加表!AO10</f>
        <v>15497103.26</v>
      </c>
      <c r="AP14" s="26">
        <f>股权价值增加表!AP10</f>
        <v>59092367.289999999</v>
      </c>
      <c r="AQ14" s="26">
        <f>股权价值增加表!AQ10</f>
        <v>47169075.32</v>
      </c>
      <c r="AR14" s="26">
        <f>股权价值增加表!AR10</f>
        <v>32011562</v>
      </c>
      <c r="AS14" s="26">
        <f>股权价值增加表!AS10</f>
        <v>17011146.690000001</v>
      </c>
      <c r="AT14" s="26">
        <f>股权价值增加表!AT10</f>
        <v>45952383.909999996</v>
      </c>
      <c r="AU14" s="26">
        <f>股权价值增加表!AU10</f>
        <v>39037662.549999997</v>
      </c>
      <c r="AV14" s="26">
        <f>股权价值增加表!AV10</f>
        <v>28468155.370000001</v>
      </c>
      <c r="AW14" s="26">
        <f>股权价值增加表!AW10</f>
        <v>14850206.6</v>
      </c>
      <c r="AX14" s="26">
        <f>股权价值增加表!AX10</f>
        <v>42803164.68</v>
      </c>
      <c r="AY14" s="26">
        <f>股权价值增加表!AY10</f>
        <v>33142935.989999998</v>
      </c>
      <c r="AZ14" s="26">
        <f>股权价值增加表!AZ10</f>
        <v>23610816.350000001</v>
      </c>
      <c r="BA14" s="26">
        <f>股权价值增加表!BA10</f>
        <v>12232547.9</v>
      </c>
      <c r="BB14" s="26">
        <f>股权价值增加表!BB10</f>
        <v>60972431.299999997</v>
      </c>
      <c r="BC14" s="26">
        <f>股权价值增加表!BC10</f>
        <v>42313573.93</v>
      </c>
      <c r="BD14" s="26">
        <f>股权价值增加表!BD10</f>
        <v>27500901.300000001</v>
      </c>
      <c r="BE14" s="26">
        <f>股权价值增加表!BE10</f>
        <v>13542487.130000001</v>
      </c>
      <c r="BF14" s="26">
        <f>股权价值增加表!BF10</f>
        <v>48811133.219999999</v>
      </c>
      <c r="BG14" s="26">
        <f>股权价值增加表!BG10</f>
        <v>39534278.719999999</v>
      </c>
      <c r="BH14" s="26">
        <f>股权价值增加表!BH10</f>
        <v>27499425.07</v>
      </c>
      <c r="BI14" s="26">
        <f>股权价值增加表!BI10</f>
        <v>14230238.140000001</v>
      </c>
      <c r="BJ14" s="26">
        <f>股权价值增加表!BJ10</f>
        <v>70523342.989999995</v>
      </c>
      <c r="BK14" s="26">
        <f>股权价值增加表!BK10</f>
        <v>50737604.200000003</v>
      </c>
      <c r="BL14" s="26">
        <f>股权价值增加表!BL10</f>
        <v>31771093.350000001</v>
      </c>
      <c r="BM14" s="26">
        <f>股权价值增加表!BM10</f>
        <v>15123876.210000001</v>
      </c>
      <c r="BN14" s="26">
        <f>股权价值增加表!BN10</f>
        <v>73257484.609999999</v>
      </c>
      <c r="BO14" s="26">
        <f>股权价值增加表!BO10</f>
        <v>39435887.899999999</v>
      </c>
      <c r="BP14" s="26">
        <f>股权价值增加表!BP10</f>
        <v>26357771.5</v>
      </c>
      <c r="BQ14" s="26">
        <f>股权价值增加表!BQ10</f>
        <v>12689598.439999999</v>
      </c>
      <c r="BR14" s="26">
        <f>股权价值增加表!BR10</f>
        <v>55394007.729999997</v>
      </c>
      <c r="BS14" s="26">
        <f>股权价值增加表!BS10</f>
        <v>22345575.27</v>
      </c>
      <c r="BT14" s="26">
        <f>股权价值增加表!BT10</f>
        <v>51040446.840000004</v>
      </c>
      <c r="BU14" s="26">
        <f>股权价值增加表!BU10</f>
        <v>22970148.93</v>
      </c>
      <c r="BV14" s="26">
        <f>股权价值增加表!BV10</f>
        <v>43363937.810000002</v>
      </c>
      <c r="BW14" s="26">
        <f>股权价值增加表!BW10</f>
        <v>21568347.190000001</v>
      </c>
      <c r="BX14" s="26">
        <f>股权价值增加表!BX10</f>
        <v>35930573.810000002</v>
      </c>
      <c r="BY14" s="26">
        <f>股权价值增加表!BY10</f>
        <v>16553940.880000001</v>
      </c>
      <c r="BZ14" s="26">
        <f>股权价值增加表!BZ10</f>
        <v>34373576.189999998</v>
      </c>
      <c r="CA14" s="26">
        <f>股权价值增加表!CA10</f>
        <v>20225424.899999999</v>
      </c>
      <c r="CB14" s="26">
        <f>股权价值增加表!CB10</f>
        <v>36344082.829999998</v>
      </c>
      <c r="CC14" s="26">
        <f>股权价值增加表!CC10</f>
        <v>17172787.5</v>
      </c>
      <c r="CD14" s="26">
        <f>股权价值增加表!CD10</f>
        <v>27213721.469999999</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c r="A15" s="20" t="s">
        <v>363</v>
      </c>
      <c r="E15" s="57">
        <f>E14/E2</f>
        <v>6.0769250265925695E-2</v>
      </c>
      <c r="F15" s="57">
        <f t="shared" ref="F15:BQ15" si="15">F14/F2</f>
        <v>6.1758178716566949E-2</v>
      </c>
      <c r="G15" s="57">
        <f t="shared" si="15"/>
        <v>5.5891563259264324E-2</v>
      </c>
      <c r="H15" s="57">
        <f t="shared" si="15"/>
        <v>5.3377639708834509E-2</v>
      </c>
      <c r="I15" s="57">
        <f t="shared" si="15"/>
        <v>5.1207470180770077E-2</v>
      </c>
      <c r="J15" s="57">
        <f t="shared" si="15"/>
        <v>6.278598876923891E-2</v>
      </c>
      <c r="K15" s="57">
        <f t="shared" si="15"/>
        <v>6.0331959874350256E-2</v>
      </c>
      <c r="L15" s="57">
        <f t="shared" si="15"/>
        <v>5.9793572224925456E-2</v>
      </c>
      <c r="M15" s="57">
        <f t="shared" si="15"/>
        <v>4.7920651836209638E-2</v>
      </c>
      <c r="N15" s="57">
        <f t="shared" si="15"/>
        <v>5.4832883387834944E-2</v>
      </c>
      <c r="O15" s="57">
        <f t="shared" si="15"/>
        <v>6.9682391580601105E-2</v>
      </c>
      <c r="P15" s="57">
        <f t="shared" si="15"/>
        <v>6.9223152915601951E-2</v>
      </c>
      <c r="Q15" s="57">
        <f t="shared" si="15"/>
        <v>6.0071005572577219E-2</v>
      </c>
      <c r="R15" s="57">
        <f t="shared" si="15"/>
        <v>5.2470321945776409E-2</v>
      </c>
      <c r="S15" s="57">
        <f t="shared" si="15"/>
        <v>7.0654313108772834E-2</v>
      </c>
      <c r="T15" s="57">
        <f t="shared" si="15"/>
        <v>6.8428396161232627E-2</v>
      </c>
      <c r="U15" s="57">
        <f t="shared" si="15"/>
        <v>5.8718775526882407E-2</v>
      </c>
      <c r="V15" s="57">
        <f t="shared" si="15"/>
        <v>5.8088766715176175E-2</v>
      </c>
      <c r="W15" s="57">
        <f t="shared" si="15"/>
        <v>7.1934974446515879E-2</v>
      </c>
      <c r="X15" s="57">
        <f t="shared" si="15"/>
        <v>6.4394165231601783E-2</v>
      </c>
      <c r="Y15" s="57">
        <f t="shared" si="15"/>
        <v>5.5328709401610082E-2</v>
      </c>
      <c r="Z15" s="57">
        <f t="shared" si="15"/>
        <v>6.2848277568838637E-2</v>
      </c>
      <c r="AA15" s="57">
        <f t="shared" si="15"/>
        <v>6.0341574744812831E-2</v>
      </c>
      <c r="AB15" s="57">
        <f t="shared" si="15"/>
        <v>5.3131895646036008E-2</v>
      </c>
      <c r="AC15" s="57">
        <f t="shared" si="15"/>
        <v>3.824154542873056E-2</v>
      </c>
      <c r="AD15" s="57">
        <f t="shared" si="15"/>
        <v>6.4939596501659716E-2</v>
      </c>
      <c r="AE15" s="57">
        <f t="shared" si="15"/>
        <v>6.3419265449141463E-2</v>
      </c>
      <c r="AF15" s="57">
        <f t="shared" si="15"/>
        <v>6.1634798940259958E-2</v>
      </c>
      <c r="AG15" s="57">
        <f t="shared" si="15"/>
        <v>5.3397851779102293E-2</v>
      </c>
      <c r="AH15" s="57">
        <f t="shared" si="15"/>
        <v>7.207552484146057E-2</v>
      </c>
      <c r="AI15" s="57">
        <f t="shared" si="15"/>
        <v>7.6385258530024008E-2</v>
      </c>
      <c r="AJ15" s="57">
        <f t="shared" si="15"/>
        <v>7.169357931021042E-2</v>
      </c>
      <c r="AK15" s="57">
        <f t="shared" si="15"/>
        <v>5.5794884125918397E-2</v>
      </c>
      <c r="AL15" s="57">
        <f t="shared" si="15"/>
        <v>8.0669547062559563E-2</v>
      </c>
      <c r="AM15" s="57">
        <f t="shared" si="15"/>
        <v>8.5124884930871725E-2</v>
      </c>
      <c r="AN15" s="57">
        <f t="shared" si="15"/>
        <v>8.5408090374672854E-2</v>
      </c>
      <c r="AO15" s="57">
        <f t="shared" si="15"/>
        <v>7.4239499493381905E-2</v>
      </c>
      <c r="AP15" s="57">
        <f t="shared" si="15"/>
        <v>9.4866997387536081E-2</v>
      </c>
      <c r="AQ15" s="57">
        <f t="shared" si="15"/>
        <v>0.10292810097382937</v>
      </c>
      <c r="AR15" s="57">
        <f t="shared" si="15"/>
        <v>0.10248582923109559</v>
      </c>
      <c r="AS15" s="57">
        <f t="shared" si="15"/>
        <v>9.0843633416995126E-2</v>
      </c>
      <c r="AT15" s="57">
        <f t="shared" si="15"/>
        <v>8.3944845591469433E-2</v>
      </c>
      <c r="AU15" s="57">
        <f t="shared" si="15"/>
        <v>9.7878999783084189E-2</v>
      </c>
      <c r="AV15" s="57">
        <f t="shared" si="15"/>
        <v>0.10492058352817889</v>
      </c>
      <c r="AW15" s="57">
        <f t="shared" si="15"/>
        <v>9.7528792340939696E-2</v>
      </c>
      <c r="AX15" s="57">
        <f t="shared" si="15"/>
        <v>9.5045515363862396E-2</v>
      </c>
      <c r="AY15" s="57">
        <f t="shared" si="15"/>
        <v>0.10008601919996958</v>
      </c>
      <c r="AZ15" s="57">
        <f t="shared" si="15"/>
        <v>0.10522671754428924</v>
      </c>
      <c r="BA15" s="57">
        <f t="shared" si="15"/>
        <v>9.3880284115741841E-2</v>
      </c>
      <c r="BB15" s="57">
        <f t="shared" si="15"/>
        <v>0.13872652393783247</v>
      </c>
      <c r="BC15" s="57">
        <f t="shared" si="15"/>
        <v>0.13107809139414331</v>
      </c>
      <c r="BD15" s="57">
        <f t="shared" si="15"/>
        <v>0.12101314774941853</v>
      </c>
      <c r="BE15" s="57">
        <f t="shared" si="15"/>
        <v>0.10205875819891076</v>
      </c>
      <c r="BF15" s="57">
        <f t="shared" si="15"/>
        <v>0.12089245004124684</v>
      </c>
      <c r="BG15" s="57">
        <f t="shared" si="15"/>
        <v>0.13180518999545798</v>
      </c>
      <c r="BH15" s="57">
        <f t="shared" si="15"/>
        <v>0.13115647814316181</v>
      </c>
      <c r="BI15" s="57">
        <f t="shared" si="15"/>
        <v>0.11494988113757182</v>
      </c>
      <c r="BJ15" s="57">
        <f t="shared" si="15"/>
        <v>0.1470506123187722</v>
      </c>
      <c r="BK15" s="57">
        <f t="shared" si="15"/>
        <v>0.1390457230759653</v>
      </c>
      <c r="BL15" s="57">
        <f t="shared" si="15"/>
        <v>0.12350324661411659</v>
      </c>
      <c r="BM15" s="57">
        <f t="shared" si="15"/>
        <v>0.10113911376350607</v>
      </c>
      <c r="BN15" s="57">
        <f t="shared" si="15"/>
        <v>0.14441253070958318</v>
      </c>
      <c r="BO15" s="57">
        <f t="shared" si="15"/>
        <v>9.7130095173481229E-2</v>
      </c>
      <c r="BP15" s="57">
        <f t="shared" si="15"/>
        <v>9.0189356761668851E-2</v>
      </c>
      <c r="BQ15" s="57">
        <f t="shared" si="15"/>
        <v>7.2954627605550437E-2</v>
      </c>
      <c r="BR15" s="57">
        <f t="shared" ref="BR15:CK15" si="16">BR14/BR2</f>
        <v>8.5263412971229316E-2</v>
      </c>
      <c r="BS15" s="57">
        <f t="shared" si="16"/>
        <v>6.5310570147472338E-2</v>
      </c>
      <c r="BT15" s="57">
        <f t="shared" si="16"/>
        <v>7.8539358323785335E-2</v>
      </c>
      <c r="BU15" s="57">
        <f t="shared" si="16"/>
        <v>7.3535040367213103E-2</v>
      </c>
      <c r="BV15" s="57">
        <f t="shared" si="16"/>
        <v>7.387317587949542E-2</v>
      </c>
      <c r="BW15" s="57">
        <f t="shared" si="16"/>
        <v>6.7688792054592287E-2</v>
      </c>
      <c r="BX15" s="57">
        <f t="shared" si="16"/>
        <v>5.9151420873599043E-2</v>
      </c>
      <c r="BY15" s="57">
        <f t="shared" si="16"/>
        <v>5.3030167324468691E-2</v>
      </c>
      <c r="BZ15" s="57">
        <f t="shared" si="16"/>
        <v>5.704219019811442E-2</v>
      </c>
      <c r="CA15" s="57">
        <f t="shared" si="16"/>
        <v>5.852998024482161E-2</v>
      </c>
      <c r="CB15" s="57">
        <f t="shared" si="16"/>
        <v>5.9320396503470679E-2</v>
      </c>
      <c r="CC15" s="57">
        <f t="shared" si="16"/>
        <v>5.1412092192893541E-2</v>
      </c>
      <c r="CD15" s="57">
        <f t="shared" si="16"/>
        <v>4.9263374674340776E-2</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c r="A16" s="128" t="s">
        <v>364</v>
      </c>
      <c r="E16" s="26">
        <f>股权价值增加表!E11</f>
        <v>0</v>
      </c>
      <c r="F16" s="26">
        <f>股权价值增加表!F11</f>
        <v>752451.15</v>
      </c>
      <c r="G16" s="26">
        <f>股权价值增加表!G11</f>
        <v>-1322249.77</v>
      </c>
      <c r="H16" s="26">
        <f>股权价值增加表!H11</f>
        <v>219017.68</v>
      </c>
      <c r="I16" s="26">
        <f>股权价值增加表!I11</f>
        <v>208927.68</v>
      </c>
      <c r="J16" s="26">
        <f>股权价值增加表!J11</f>
        <v>1790832.56</v>
      </c>
      <c r="K16" s="26">
        <f>股权价值增加表!K11</f>
        <v>236073.48</v>
      </c>
      <c r="L16" s="26">
        <f>股权价值增加表!L11</f>
        <v>236073.48</v>
      </c>
      <c r="M16" s="26">
        <f>股权价值增加表!M11</f>
        <v>0</v>
      </c>
      <c r="N16" s="26">
        <f>股权价值增加表!N11</f>
        <v>1653478.01</v>
      </c>
      <c r="O16" s="26">
        <f>股权价值增加表!O11</f>
        <v>0</v>
      </c>
      <c r="P16" s="26">
        <f>股权价值增加表!P11</f>
        <v>0</v>
      </c>
      <c r="Q16" s="26">
        <f>股权价值增加表!Q11</f>
        <v>0</v>
      </c>
      <c r="R16" s="26">
        <f>股权价值增加表!R11</f>
        <v>790872.63</v>
      </c>
      <c r="S16" s="26">
        <f>股权价值增加表!S11</f>
        <v>502698</v>
      </c>
      <c r="T16" s="26">
        <f>股权价值增加表!T11</f>
        <v>0</v>
      </c>
      <c r="U16" s="26">
        <f>股权价值增加表!U11</f>
        <v>0</v>
      </c>
      <c r="V16" s="26">
        <f>股权价值增加表!V11</f>
        <v>-1832.17</v>
      </c>
      <c r="W16" s="26">
        <f>股权价值增加表!W11</f>
        <v>0</v>
      </c>
      <c r="X16" s="26">
        <f>股权价值增加表!X11</f>
        <v>0</v>
      </c>
      <c r="Y16" s="26">
        <f>股权价值增加表!Y11</f>
        <v>0</v>
      </c>
      <c r="Z16" s="26">
        <f>股权价值增加表!Z11</f>
        <v>5940057.7800000003</v>
      </c>
      <c r="AA16" s="26">
        <f>股权价值增加表!AA11</f>
        <v>3622479.11</v>
      </c>
      <c r="AB16" s="26">
        <f>股权价值增加表!AB11</f>
        <v>0</v>
      </c>
      <c r="AC16" s="26">
        <f>股权价值增加表!AC11</f>
        <v>121169.97</v>
      </c>
      <c r="AD16" s="26">
        <f>股权价值增加表!AD11</f>
        <v>482450.6</v>
      </c>
      <c r="AE16" s="26">
        <f>股权价值增加表!AE11</f>
        <v>0</v>
      </c>
      <c r="AF16" s="26">
        <f>股权价值增加表!AF11</f>
        <v>0</v>
      </c>
      <c r="AG16" s="26">
        <f>股权价值增加表!AG11</f>
        <v>0</v>
      </c>
      <c r="AH16" s="26">
        <f>股权价值增加表!AH11</f>
        <v>193452.97</v>
      </c>
      <c r="AI16" s="26">
        <f>股权价值增加表!AI11</f>
        <v>22500</v>
      </c>
      <c r="AJ16" s="26">
        <f>股权价值增加表!AJ11</f>
        <v>0</v>
      </c>
      <c r="AK16" s="26">
        <f>股权价值增加表!AK11</f>
        <v>0</v>
      </c>
      <c r="AL16" s="26">
        <f>股权价值增加表!AL11</f>
        <v>199262.07999999999</v>
      </c>
      <c r="AM16" s="26">
        <f>股权价值增加表!AM11</f>
        <v>0</v>
      </c>
      <c r="AN16" s="26">
        <f>股权价值增加表!AN11</f>
        <v>0</v>
      </c>
      <c r="AO16" s="26">
        <f>股权价值增加表!AO11</f>
        <v>0</v>
      </c>
      <c r="AP16" s="26">
        <f>股权价值增加表!AP11</f>
        <v>461945.9</v>
      </c>
      <c r="AQ16" s="26">
        <f>股权价值增加表!AQ11</f>
        <v>0</v>
      </c>
      <c r="AR16" s="26">
        <f>股权价值增加表!AR11</f>
        <v>0</v>
      </c>
      <c r="AS16" s="26">
        <f>股权价值增加表!AS11</f>
        <v>0</v>
      </c>
      <c r="AT16" s="26">
        <f>股权价值增加表!AT11</f>
        <v>79777.259999999995</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-94528.57</v>
      </c>
      <c r="BU16" s="26">
        <f>股权价值增加表!BU11</f>
        <v>0</v>
      </c>
      <c r="BV16" s="26">
        <f>股权价值增加表!BV11</f>
        <v>-1940226.06</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c r="A17" s="20" t="s">
        <v>668</v>
      </c>
      <c r="E17" s="57">
        <f>E16/E2</f>
        <v>0</v>
      </c>
      <c r="F17" s="57">
        <f t="shared" ref="F17:BQ17" si="17">F16/F2</f>
        <v>5.5069612733405296E-4</v>
      </c>
      <c r="G17" s="57">
        <f t="shared" si="17"/>
        <v>-1.2886951852934408E-3</v>
      </c>
      <c r="H17" s="57">
        <f t="shared" si="17"/>
        <v>3.1360837746738439E-4</v>
      </c>
      <c r="I17" s="57">
        <f t="shared" si="17"/>
        <v>7.3502775099381777E-4</v>
      </c>
      <c r="J17" s="57">
        <f t="shared" si="17"/>
        <v>1.7445397006069106E-3</v>
      </c>
      <c r="K17" s="57">
        <f t="shared" si="17"/>
        <v>3.0812885089480222E-4</v>
      </c>
      <c r="L17" s="57">
        <f t="shared" si="17"/>
        <v>4.4890944124163155E-4</v>
      </c>
      <c r="M17" s="57">
        <f t="shared" si="17"/>
        <v>0</v>
      </c>
      <c r="N17" s="57">
        <f t="shared" si="17"/>
        <v>1.4754433690012656E-3</v>
      </c>
      <c r="O17" s="57">
        <f t="shared" si="17"/>
        <v>0</v>
      </c>
      <c r="P17" s="57">
        <f t="shared" si="17"/>
        <v>0</v>
      </c>
      <c r="Q17" s="57">
        <f t="shared" si="17"/>
        <v>0</v>
      </c>
      <c r="R17" s="57">
        <f t="shared" si="17"/>
        <v>6.5100297663092752E-4</v>
      </c>
      <c r="S17" s="57">
        <f t="shared" si="17"/>
        <v>5.4192175501513592E-4</v>
      </c>
      <c r="T17" s="57">
        <f t="shared" si="17"/>
        <v>0</v>
      </c>
      <c r="U17" s="57">
        <f t="shared" si="17"/>
        <v>0</v>
      </c>
      <c r="V17" s="57">
        <f t="shared" si="17"/>
        <v>-1.2830272642543867E-6</v>
      </c>
      <c r="W17" s="57">
        <f t="shared" si="17"/>
        <v>0</v>
      </c>
      <c r="X17" s="57">
        <f t="shared" si="17"/>
        <v>0</v>
      </c>
      <c r="Y17" s="57">
        <f t="shared" si="17"/>
        <v>0</v>
      </c>
      <c r="Z17" s="57">
        <f t="shared" si="17"/>
        <v>4.4998476582871543E-3</v>
      </c>
      <c r="AA17" s="57">
        <f t="shared" si="17"/>
        <v>3.6235732194885746E-3</v>
      </c>
      <c r="AB17" s="57">
        <f t="shared" si="17"/>
        <v>0</v>
      </c>
      <c r="AC17" s="57">
        <f t="shared" si="17"/>
        <v>3.0508558221112856E-4</v>
      </c>
      <c r="AD17" s="57">
        <f t="shared" si="17"/>
        <v>4.0604132788028434E-4</v>
      </c>
      <c r="AE17" s="57">
        <f t="shared" si="17"/>
        <v>0</v>
      </c>
      <c r="AF17" s="57">
        <f t="shared" si="17"/>
        <v>0</v>
      </c>
      <c r="AG17" s="57">
        <f t="shared" si="17"/>
        <v>0</v>
      </c>
      <c r="AH17" s="57">
        <f t="shared" si="17"/>
        <v>2.1006959060693284E-4</v>
      </c>
      <c r="AI17" s="57">
        <f t="shared" si="17"/>
        <v>3.4499499101588545E-5</v>
      </c>
      <c r="AJ17" s="57">
        <f t="shared" si="17"/>
        <v>0</v>
      </c>
      <c r="AK17" s="57">
        <f t="shared" si="17"/>
        <v>0</v>
      </c>
      <c r="AL17" s="57">
        <f t="shared" si="17"/>
        <v>2.7329163759823744E-4</v>
      </c>
      <c r="AM17" s="57">
        <f t="shared" si="17"/>
        <v>0</v>
      </c>
      <c r="AN17" s="57">
        <f t="shared" si="17"/>
        <v>0</v>
      </c>
      <c r="AO17" s="57">
        <f t="shared" si="17"/>
        <v>0</v>
      </c>
      <c r="AP17" s="57">
        <f t="shared" si="17"/>
        <v>7.4160881511848133E-4</v>
      </c>
      <c r="AQ17" s="57">
        <f t="shared" si="17"/>
        <v>0</v>
      </c>
      <c r="AR17" s="57">
        <f t="shared" si="17"/>
        <v>0</v>
      </c>
      <c r="AS17" s="57">
        <f t="shared" si="17"/>
        <v>0</v>
      </c>
      <c r="AT17" s="57">
        <f t="shared" si="17"/>
        <v>1.4573541571916482E-4</v>
      </c>
      <c r="AU17" s="57">
        <f t="shared" si="17"/>
        <v>0</v>
      </c>
      <c r="AV17" s="57">
        <f t="shared" si="17"/>
        <v>0</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-1.4545744974251923E-4</v>
      </c>
      <c r="BU17" s="57">
        <f t="shared" si="18"/>
        <v>0</v>
      </c>
      <c r="BV17" s="57">
        <f t="shared" si="18"/>
        <v>-3.3052962487947176E-3</v>
      </c>
      <c r="BW17" s="57">
        <f t="shared" si="18"/>
        <v>0</v>
      </c>
      <c r="BX17" s="57">
        <f t="shared" si="18"/>
        <v>0</v>
      </c>
      <c r="BY17" s="57">
        <f t="shared" si="18"/>
        <v>0</v>
      </c>
      <c r="BZ17" s="57">
        <f t="shared" si="18"/>
        <v>0</v>
      </c>
      <c r="CA17" s="57">
        <f t="shared" si="18"/>
        <v>0</v>
      </c>
      <c r="CB17" s="57">
        <f t="shared" si="18"/>
        <v>0</v>
      </c>
      <c r="CC17" s="57">
        <f t="shared" si="18"/>
        <v>0</v>
      </c>
      <c r="CD17" s="57">
        <f t="shared" si="18"/>
        <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c r="A18" s="128" t="s">
        <v>365</v>
      </c>
      <c r="E18" s="26">
        <f>股权价值增加表!E12</f>
        <v>9421295.0099999998</v>
      </c>
      <c r="F18" s="26">
        <f>股权价值增加表!F12</f>
        <v>1204</v>
      </c>
      <c r="G18" s="26">
        <f>股权价值增加表!G12</f>
        <v>868</v>
      </c>
      <c r="H18" s="26">
        <f>股权价值增加表!H12</f>
        <v>644</v>
      </c>
      <c r="I18" s="26">
        <f>股权价值增加表!I12</f>
        <v>12088525.34</v>
      </c>
      <c r="J18" s="26">
        <f>股权价值增加表!J12</f>
        <v>0</v>
      </c>
      <c r="K18" s="26">
        <f>股权价值增加表!K12</f>
        <v>0</v>
      </c>
      <c r="L18" s="26">
        <f>股权价值增加表!L12</f>
        <v>0</v>
      </c>
      <c r="M18" s="26">
        <f>股权价值增加表!M12</f>
        <v>4520659.01</v>
      </c>
      <c r="N18" s="26">
        <f>股权价值增加表!N12</f>
        <v>0</v>
      </c>
      <c r="O18" s="26">
        <f>股权价值增加表!O12</f>
        <v>0</v>
      </c>
      <c r="P18" s="26">
        <f>股权价值增加表!P12</f>
        <v>0</v>
      </c>
      <c r="Q18" s="26">
        <f>股权价值增加表!Q12</f>
        <v>2839681.06</v>
      </c>
      <c r="R18" s="26">
        <f>股权价值增加表!R12</f>
        <v>0</v>
      </c>
      <c r="S18" s="26">
        <f>股权价值增加表!S12</f>
        <v>0</v>
      </c>
      <c r="T18" s="26">
        <f>股权价值增加表!T12</f>
        <v>0</v>
      </c>
      <c r="U18" s="26">
        <f>股权价值增加表!U12</f>
        <v>2536036.96</v>
      </c>
      <c r="V18" s="26">
        <f>股权价值增加表!V12</f>
        <v>0</v>
      </c>
      <c r="W18" s="26">
        <f>股权价值增加表!W12</f>
        <v>0</v>
      </c>
      <c r="X18" s="26">
        <f>股权价值增加表!X12</f>
        <v>0</v>
      </c>
      <c r="Y18" s="26">
        <f>股权价值增加表!Y12</f>
        <v>3043476.19</v>
      </c>
      <c r="Z18" s="26">
        <f>股权价值增加表!Z12</f>
        <v>0</v>
      </c>
      <c r="AA18" s="26">
        <f>股权价值增加表!AA12</f>
        <v>0</v>
      </c>
      <c r="AB18" s="26">
        <f>股权价值增加表!AB12</f>
        <v>0</v>
      </c>
      <c r="AC18" s="26">
        <f>股权价值增加表!AC12</f>
        <v>3905552.17</v>
      </c>
      <c r="AD18" s="26">
        <f>股权价值增加表!AD12</f>
        <v>0</v>
      </c>
      <c r="AE18" s="26">
        <f>股权价值增加表!AE12</f>
        <v>0</v>
      </c>
      <c r="AF18" s="26">
        <f>股权价值增加表!AF12</f>
        <v>0</v>
      </c>
      <c r="AG18" s="26">
        <f>股权价值增加表!AG12</f>
        <v>7506552.2400000002</v>
      </c>
      <c r="AH18" s="26">
        <f>股权价值增加表!AH12</f>
        <v>0</v>
      </c>
      <c r="AI18" s="26">
        <f>股权价值增加表!AI12</f>
        <v>0</v>
      </c>
      <c r="AJ18" s="26">
        <f>股权价值增加表!AJ12</f>
        <v>0</v>
      </c>
      <c r="AK18" s="26">
        <f>股权价值增加表!AK12</f>
        <v>1838614.23</v>
      </c>
      <c r="AL18" s="26">
        <f>股权价值增加表!AL12</f>
        <v>0</v>
      </c>
      <c r="AM18" s="26">
        <f>股权价值增加表!AM12</f>
        <v>0</v>
      </c>
      <c r="AN18" s="26">
        <f>股权价值增加表!AN12</f>
        <v>0</v>
      </c>
      <c r="AO18" s="26">
        <f>股权价值增加表!AO12</f>
        <v>1438804.71</v>
      </c>
      <c r="AP18" s="26">
        <f>股权价值增加表!AP12</f>
        <v>0</v>
      </c>
      <c r="AQ18" s="26">
        <f>股权价值增加表!AQ12</f>
        <v>0</v>
      </c>
      <c r="AR18" s="26">
        <f>股权价值增加表!AR12</f>
        <v>0</v>
      </c>
      <c r="AS18" s="26">
        <f>股权价值增加表!AS12</f>
        <v>1510959.01</v>
      </c>
      <c r="AT18" s="26">
        <f>股权价值增加表!AT12</f>
        <v>0</v>
      </c>
      <c r="AU18" s="26">
        <f>股权价值增加表!AU12</f>
        <v>0</v>
      </c>
      <c r="AV18" s="26">
        <f>股权价值增加表!AV12</f>
        <v>0</v>
      </c>
      <c r="AW18" s="26">
        <f>股权价值增加表!AW12</f>
        <v>2731701.54</v>
      </c>
      <c r="AX18" s="26">
        <f>股权价值增加表!AX12</f>
        <v>0</v>
      </c>
      <c r="AY18" s="26">
        <f>股权价值增加表!AY12</f>
        <v>0</v>
      </c>
      <c r="AZ18" s="26">
        <f>股权价值增加表!AZ12</f>
        <v>0</v>
      </c>
      <c r="BA18" s="26">
        <f>股权价值增加表!BA12</f>
        <v>-257469.06</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c r="A19" s="20" t="s">
        <v>366</v>
      </c>
      <c r="E19" s="57">
        <f>E18/E2</f>
        <v>2.235319521102937E-2</v>
      </c>
      <c r="F19" s="57">
        <f t="shared" ref="F19:BQ19" si="19">F18/F2</f>
        <v>8.8117100666295701E-7</v>
      </c>
      <c r="G19" s="57">
        <f t="shared" si="19"/>
        <v>8.4597286096310425E-7</v>
      </c>
      <c r="H19" s="57">
        <f t="shared" si="19"/>
        <v>9.2213466551648056E-7</v>
      </c>
      <c r="I19" s="57">
        <f t="shared" si="19"/>
        <v>4.252859933873758E-2</v>
      </c>
      <c r="J19" s="57">
        <f t="shared" si="19"/>
        <v>0</v>
      </c>
      <c r="K19" s="57">
        <f t="shared" si="19"/>
        <v>0</v>
      </c>
      <c r="L19" s="57">
        <f t="shared" si="19"/>
        <v>0</v>
      </c>
      <c r="M19" s="57">
        <f t="shared" si="19"/>
        <v>1.5311309987723152E-2</v>
      </c>
      <c r="N19" s="57">
        <f t="shared" si="19"/>
        <v>0</v>
      </c>
      <c r="O19" s="57">
        <f t="shared" si="19"/>
        <v>0</v>
      </c>
      <c r="P19" s="57">
        <f t="shared" si="19"/>
        <v>0</v>
      </c>
      <c r="Q19" s="57">
        <f t="shared" si="19"/>
        <v>8.4627006026505597E-3</v>
      </c>
      <c r="R19" s="57">
        <f t="shared" si="19"/>
        <v>0</v>
      </c>
      <c r="S19" s="57">
        <f t="shared" si="19"/>
        <v>0</v>
      </c>
      <c r="T19" s="57">
        <f t="shared" si="19"/>
        <v>0</v>
      </c>
      <c r="U19" s="57">
        <f t="shared" si="19"/>
        <v>7.0560910528678841E-3</v>
      </c>
      <c r="V19" s="57">
        <f t="shared" si="19"/>
        <v>0</v>
      </c>
      <c r="W19" s="57">
        <f t="shared" si="19"/>
        <v>0</v>
      </c>
      <c r="X19" s="57">
        <f t="shared" si="19"/>
        <v>0</v>
      </c>
      <c r="Y19" s="57">
        <f t="shared" si="19"/>
        <v>7.4753644066353859E-3</v>
      </c>
      <c r="Z19" s="57">
        <f t="shared" si="19"/>
        <v>0</v>
      </c>
      <c r="AA19" s="57">
        <f t="shared" si="19"/>
        <v>0</v>
      </c>
      <c r="AB19" s="57">
        <f t="shared" si="19"/>
        <v>0</v>
      </c>
      <c r="AC19" s="57">
        <f t="shared" si="19"/>
        <v>9.8335227584886477E-3</v>
      </c>
      <c r="AD19" s="57">
        <f t="shared" si="19"/>
        <v>0</v>
      </c>
      <c r="AE19" s="57">
        <f t="shared" si="19"/>
        <v>0</v>
      </c>
      <c r="AF19" s="57">
        <f t="shared" si="19"/>
        <v>0</v>
      </c>
      <c r="AG19" s="57">
        <f t="shared" si="19"/>
        <v>2.0810613928550034E-2</v>
      </c>
      <c r="AH19" s="57">
        <f t="shared" si="19"/>
        <v>0</v>
      </c>
      <c r="AI19" s="57">
        <f t="shared" si="19"/>
        <v>0</v>
      </c>
      <c r="AJ19" s="57">
        <f t="shared" si="19"/>
        <v>0</v>
      </c>
      <c r="AK19" s="57">
        <f t="shared" si="19"/>
        <v>7.3339086737632666E-3</v>
      </c>
      <c r="AL19" s="57">
        <f t="shared" si="19"/>
        <v>0</v>
      </c>
      <c r="AM19" s="57">
        <f t="shared" si="19"/>
        <v>0</v>
      </c>
      <c r="AN19" s="57">
        <f t="shared" si="19"/>
        <v>0</v>
      </c>
      <c r="AO19" s="57">
        <f t="shared" si="19"/>
        <v>6.8926521135615438E-3</v>
      </c>
      <c r="AP19" s="57">
        <f t="shared" si="19"/>
        <v>0</v>
      </c>
      <c r="AQ19" s="57">
        <f t="shared" si="19"/>
        <v>0</v>
      </c>
      <c r="AR19" s="57">
        <f t="shared" si="19"/>
        <v>0</v>
      </c>
      <c r="AS19" s="57">
        <f t="shared" si="19"/>
        <v>8.068886178803851E-3</v>
      </c>
      <c r="AT19" s="57">
        <f t="shared" si="19"/>
        <v>0</v>
      </c>
      <c r="AU19" s="57">
        <f t="shared" si="19"/>
        <v>0</v>
      </c>
      <c r="AV19" s="57">
        <f t="shared" si="19"/>
        <v>0</v>
      </c>
      <c r="AW19" s="57">
        <f t="shared" si="19"/>
        <v>1.7940460992110722E-2</v>
      </c>
      <c r="AX19" s="57">
        <f t="shared" si="19"/>
        <v>0</v>
      </c>
      <c r="AY19" s="57">
        <f t="shared" si="19"/>
        <v>0</v>
      </c>
      <c r="AZ19" s="57">
        <f t="shared" si="19"/>
        <v>0</v>
      </c>
      <c r="BA19" s="57">
        <f t="shared" si="19"/>
        <v>-1.9759798777336472E-3</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f t="shared" si="20"/>
        <v>0</v>
      </c>
      <c r="BZ19" s="57">
        <f t="shared" si="20"/>
        <v>0</v>
      </c>
      <c r="CA19" s="57">
        <f t="shared" si="20"/>
        <v>0</v>
      </c>
      <c r="CB19" s="57">
        <f t="shared" si="20"/>
        <v>0</v>
      </c>
      <c r="CC19" s="57">
        <f t="shared" si="20"/>
        <v>0</v>
      </c>
      <c r="CD19" s="57">
        <f t="shared" si="20"/>
        <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c r="A20" s="128" t="s">
        <v>367</v>
      </c>
      <c r="E20" s="26">
        <f>股权价值增加表!E13-股权价值增加表!E14</f>
        <v>16603.29</v>
      </c>
      <c r="F20" s="26">
        <f>股权价值增加表!F13-股权价值增加表!F14</f>
        <v>-4533546.09</v>
      </c>
      <c r="G20" s="26">
        <f>股权价值增加表!G13-股权价值增加表!G14</f>
        <v>-765567.30999999982</v>
      </c>
      <c r="H20" s="26">
        <f>股权价值增加表!H13-股权价值增加表!H14</f>
        <v>939447.41999999993</v>
      </c>
      <c r="I20" s="26">
        <f>股权价值增加表!I13-股权价值增加表!I14</f>
        <v>-112057.38</v>
      </c>
      <c r="J20" s="26">
        <f>股权价值增加表!J13-股权价值增加表!J14</f>
        <v>-630911.11999999965</v>
      </c>
      <c r="K20" s="26">
        <f>股权价值增加表!K13-股权价值增加表!K14</f>
        <v>756200.82</v>
      </c>
      <c r="L20" s="26">
        <f>股权价值增加表!L13-股权价值增加表!L14</f>
        <v>655659.37</v>
      </c>
      <c r="M20" s="26">
        <f>股权价值增加表!M13-股权价值增加表!M14</f>
        <v>862518.59</v>
      </c>
      <c r="N20" s="26">
        <f>股权价值增加表!N13-股权价值增加表!N14</f>
        <v>-1234122.1300000001</v>
      </c>
      <c r="O20" s="26">
        <f>股权价值增加表!O13-股权价值增加表!O14</f>
        <v>1673818.6</v>
      </c>
      <c r="P20" s="26">
        <f>股权价值增加表!P13-股权价值增加表!P14</f>
        <v>553875.20000000007</v>
      </c>
      <c r="Q20" s="26">
        <f>股权价值增加表!Q13-股权价值增加表!Q14</f>
        <v>439327.21</v>
      </c>
      <c r="R20" s="26">
        <f>股权价值增加表!R13-股权价值增加表!R14</f>
        <v>-1026074.55</v>
      </c>
      <c r="S20" s="26">
        <f>股权价值增加表!S13-股权价值增加表!S14</f>
        <v>1692973.58</v>
      </c>
      <c r="T20" s="26">
        <f>股权价值增加表!T13-股权价值增加表!T14</f>
        <v>163219.97</v>
      </c>
      <c r="U20" s="26">
        <f>股权价值增加表!U13-股权价值增加表!U14</f>
        <v>125311.29</v>
      </c>
      <c r="V20" s="26">
        <f>股权价值增加表!V13-股权价值增加表!V14</f>
        <v>-484490.34000000032</v>
      </c>
      <c r="W20" s="26">
        <f>股权价值增加表!W13-股权价值增加表!W14</f>
        <v>160949.91000000003</v>
      </c>
      <c r="X20" s="26">
        <f>股权价值增加表!X13-股权价值增加表!X14</f>
        <v>-300281.06</v>
      </c>
      <c r="Y20" s="26">
        <f>股权价值增加表!Y13-股权价值增加表!Y14</f>
        <v>261742.77999999997</v>
      </c>
      <c r="Z20" s="26">
        <f>股权价值增加表!Z13-股权价值增加表!Z14</f>
        <v>-1002286.1699999999</v>
      </c>
      <c r="AA20" s="26">
        <f>股权价值增加表!AA13-股权价值增加表!AA14</f>
        <v>-1197852.6599999997</v>
      </c>
      <c r="AB20" s="26">
        <f>股权价值增加表!AB13-股权价值增加表!AB14</f>
        <v>-1434967.7799999998</v>
      </c>
      <c r="AC20" s="26">
        <f>股权价值增加表!AC13-股权价值增加表!AC14</f>
        <v>-83069.17</v>
      </c>
      <c r="AD20" s="26">
        <f>股权价值增加表!AD13-股权价值增加表!AD14</f>
        <v>-3893962.13</v>
      </c>
      <c r="AE20" s="26">
        <f>股权价值增加表!AE13-股权价值增加表!AE14</f>
        <v>-3324892.5900000003</v>
      </c>
      <c r="AF20" s="26">
        <f>股权价值增加表!AF13-股权价值增加表!AF14</f>
        <v>-3446388.19</v>
      </c>
      <c r="AG20" s="26">
        <f>股权价值增加表!AG13-股权价值增加表!AG14</f>
        <v>6534.95</v>
      </c>
      <c r="AH20" s="26">
        <f>股权价值增加表!AH13-股权价值增加表!AH14</f>
        <v>-11805483.99</v>
      </c>
      <c r="AI20" s="26">
        <f>股权价值增加表!AI13-股权价值增加表!AI14</f>
        <v>-11433275.539999999</v>
      </c>
      <c r="AJ20" s="26">
        <f>股权价值增加表!AJ13-股权价值增加表!AJ14</f>
        <v>-11241236.959999999</v>
      </c>
      <c r="AK20" s="26">
        <f>股权价值增加表!AK13-股权价值增加表!AK14</f>
        <v>-211484.89</v>
      </c>
      <c r="AL20" s="26">
        <f>股权价值增加表!AL13-股权价值增加表!AL14</f>
        <v>-2808432.5500000003</v>
      </c>
      <c r="AM20" s="26">
        <f>股权价值增加表!AM13-股权价值增加表!AM14</f>
        <v>-311211.42000000004</v>
      </c>
      <c r="AN20" s="26">
        <f>股权价值增加表!AN13-股权价值增加表!AN14</f>
        <v>194527.69</v>
      </c>
      <c r="AO20" s="26">
        <f>股权价值增加表!AO13-股权价值增加表!AO14</f>
        <v>73551.08</v>
      </c>
      <c r="AP20" s="26">
        <f>股权价值增加表!AP13-股权价值增加表!AP14</f>
        <v>-2292832.2800000003</v>
      </c>
      <c r="AQ20" s="26">
        <f>股权价值增加表!AQ13-股权价值增加表!AQ14</f>
        <v>-1897778.5899999999</v>
      </c>
      <c r="AR20" s="26">
        <f>股权价值增加表!AR13-股权价值增加表!AR14</f>
        <v>-1512177.15</v>
      </c>
      <c r="AS20" s="26">
        <f>股权价值增加表!AS13-股权价值增加表!AS14</f>
        <v>140718.88</v>
      </c>
      <c r="AT20" s="26">
        <f>股权价值增加表!AT13-股权价值增加表!AT14</f>
        <v>-12865580.02</v>
      </c>
      <c r="AU20" s="26">
        <f>股权价值增加表!AU13-股权价值增加表!AU14</f>
        <v>-13627134.07</v>
      </c>
      <c r="AV20" s="26">
        <f>股权价值增加表!AV13-股权价值增加表!AV14</f>
        <v>-13729580.100000001</v>
      </c>
      <c r="AW20" s="26">
        <f>股权价值增加表!AW13-股权价值增加表!AW14</f>
        <v>41845.58</v>
      </c>
      <c r="AX20" s="26">
        <f>股权价值增加表!AX13-股权价值增加表!AX14</f>
        <v>502891.93000000063</v>
      </c>
      <c r="AY20" s="26">
        <f>股权价值增加表!AY13-股权价值增加表!AY14</f>
        <v>6873171.0099999998</v>
      </c>
      <c r="AZ20" s="26">
        <f>股权价值增加表!AZ13-股权价值增加表!AZ14</f>
        <v>6774334.71</v>
      </c>
      <c r="BA20" s="26">
        <f>股权价值增加表!BA13-股权价值增加表!BA14</f>
        <v>32009.82</v>
      </c>
      <c r="BB20" s="26">
        <f>股权价值增加表!BB13-股权价值增加表!BB14</f>
        <v>-8094261.2800000003</v>
      </c>
      <c r="BC20" s="26">
        <f>股权价值增加表!BC13-股权价值增加表!BC14</f>
        <v>-1659279.5</v>
      </c>
      <c r="BD20" s="26">
        <f>股权价值增加表!BD13-股权价值增加表!BD14</f>
        <v>-387221.08999999997</v>
      </c>
      <c r="BE20" s="26">
        <f>股权价值增加表!BE13-股权价值增加表!BE14</f>
        <v>-488408.50000000006</v>
      </c>
      <c r="BF20" s="26">
        <f>股权价值增加表!BF13-股权价值增加表!BF14</f>
        <v>-5442105.0800000001</v>
      </c>
      <c r="BG20" s="26">
        <f>股权价值增加表!BG13-股权价值增加表!BG14</f>
        <v>-215145.01999999996</v>
      </c>
      <c r="BH20" s="26">
        <f>股权价值增加表!BH13-股权价值增加表!BH14</f>
        <v>-70447.820000000007</v>
      </c>
      <c r="BI20" s="26">
        <f>股权价值增加表!BI13-股权价值增加表!BI14</f>
        <v>193175.05000000002</v>
      </c>
      <c r="BJ20" s="26">
        <f>股权价值增加表!BJ13-股权价值增加表!BJ14</f>
        <v>-1088403.54</v>
      </c>
      <c r="BK20" s="26">
        <f>股权价值增加表!BK13-股权价值增加表!BK14</f>
        <v>1075279.3599999999</v>
      </c>
      <c r="BL20" s="26">
        <f>股权价值增加表!BL13-股权价值增加表!BL14</f>
        <v>1309589.6399999999</v>
      </c>
      <c r="BM20" s="26">
        <f>股权价值增加表!BM13-股权价值增加表!BM14</f>
        <v>1162169.5999999999</v>
      </c>
      <c r="BN20" s="26">
        <f>股权价值增加表!BN13-股权价值增加表!BN14</f>
        <v>-234432.51</v>
      </c>
      <c r="BO20" s="26">
        <f>股权价值增加表!BO13-股权价值增加表!BO14</f>
        <v>302905.49</v>
      </c>
      <c r="BP20" s="26">
        <f>股权价值增加表!BP13-股权价值增加表!BP14</f>
        <v>447116.62</v>
      </c>
      <c r="BQ20" s="26">
        <f>股权价值增加表!BQ13-股权价值增加表!BQ14</f>
        <v>138468.53999999998</v>
      </c>
      <c r="BR20" s="26">
        <f>股权价值增加表!BR13-股权价值增加表!BR14</f>
        <v>-1393101.8699999999</v>
      </c>
      <c r="BS20" s="26">
        <f>股权价值增加表!BS13-股权价值增加表!BS14</f>
        <v>528601.15999999992</v>
      </c>
      <c r="BT20" s="26">
        <f>股权价值增加表!BT13-股权价值增加表!BT14</f>
        <v>17040251.07</v>
      </c>
      <c r="BU20" s="26">
        <f>股权价值增加表!BU13-股权价值增加表!BU14</f>
        <v>946999.00000000012</v>
      </c>
      <c r="BV20" s="26">
        <f>股权价值增加表!BV13-股权价值增加表!BV14</f>
        <v>1470676.8599999999</v>
      </c>
      <c r="BW20" s="26">
        <f>股权价值增加表!BW13-股权价值增加表!BW14</f>
        <v>198605.97</v>
      </c>
      <c r="BX20" s="26">
        <f>股权价值增加表!BX13-股权价值增加表!BX14</f>
        <v>624355.65</v>
      </c>
      <c r="BY20" s="26">
        <f>股权价值增加表!BY13-股权价值增加表!BY14</f>
        <v>310650.07999999996</v>
      </c>
      <c r="BZ20" s="26">
        <f>股权价值增加表!BZ13-股权价值增加表!BZ14</f>
        <v>1881657.26</v>
      </c>
      <c r="CA20" s="26">
        <f>股权价值增加表!CA13-股权价值增加表!CA14</f>
        <v>47537.789999999979</v>
      </c>
      <c r="CB20" s="26">
        <f>股权价值增加表!CB13-股权价值增加表!CB14</f>
        <v>-115647.21999999997</v>
      </c>
      <c r="CC20" s="26">
        <f>股权价值增加表!CC13-股权价值增加表!CC14</f>
        <v>2709676.55</v>
      </c>
      <c r="CD20" s="26">
        <f>股权价值增加表!CD13-股权价值增加表!CD14</f>
        <v>464693.51</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c r="A21" s="20" t="s">
        <v>368</v>
      </c>
      <c r="E21" s="57">
        <f>E20/E2</f>
        <v>3.9393372367747545E-5</v>
      </c>
      <c r="F21" s="57">
        <f t="shared" ref="F21:BQ21" si="21">F20/F2</f>
        <v>-3.3179645945832334E-3</v>
      </c>
      <c r="G21" s="57">
        <f t="shared" si="21"/>
        <v>-7.4613959389461702E-4</v>
      </c>
      <c r="H21" s="57">
        <f t="shared" si="21"/>
        <v>1.3451817273478579E-3</v>
      </c>
      <c r="I21" s="57">
        <f t="shared" si="21"/>
        <v>-3.9422868240177473E-4</v>
      </c>
      <c r="J21" s="57">
        <f t="shared" si="21"/>
        <v>-6.1460212472034246E-4</v>
      </c>
      <c r="K21" s="57">
        <f t="shared" si="21"/>
        <v>9.8701171225292731E-4</v>
      </c>
      <c r="L21" s="57">
        <f t="shared" si="21"/>
        <v>1.2467799493256937E-3</v>
      </c>
      <c r="M21" s="57">
        <f t="shared" si="21"/>
        <v>2.9213195404587462E-3</v>
      </c>
      <c r="N21" s="57">
        <f t="shared" si="21"/>
        <v>-1.101240719401051E-3</v>
      </c>
      <c r="O21" s="57">
        <f t="shared" si="21"/>
        <v>1.9519045329730903E-3</v>
      </c>
      <c r="P21" s="57">
        <f t="shared" si="21"/>
        <v>9.3359908720671333E-4</v>
      </c>
      <c r="Q21" s="57">
        <f t="shared" si="21"/>
        <v>1.309264866818455E-3</v>
      </c>
      <c r="R21" s="57">
        <f t="shared" si="21"/>
        <v>-8.4460829842504417E-4</v>
      </c>
      <c r="S21" s="57">
        <f t="shared" si="21"/>
        <v>1.8250703477393142E-3</v>
      </c>
      <c r="T21" s="57">
        <f t="shared" si="21"/>
        <v>2.5870124560430915E-4</v>
      </c>
      <c r="U21" s="57">
        <f t="shared" si="21"/>
        <v>3.4865732879237402E-4</v>
      </c>
      <c r="V21" s="57">
        <f t="shared" si="21"/>
        <v>-3.3927764098739643E-4</v>
      </c>
      <c r="W21" s="57">
        <f t="shared" si="21"/>
        <v>1.4762738256190669E-4</v>
      </c>
      <c r="X21" s="57">
        <f t="shared" si="21"/>
        <v>-3.9846703510422726E-4</v>
      </c>
      <c r="Y21" s="57">
        <f t="shared" si="21"/>
        <v>6.4289074044170396E-4</v>
      </c>
      <c r="Z21" s="57">
        <f t="shared" si="21"/>
        <v>-7.5927461348837262E-4</v>
      </c>
      <c r="AA21" s="57">
        <f t="shared" si="21"/>
        <v>-1.1982144514476308E-3</v>
      </c>
      <c r="AB21" s="57">
        <f t="shared" si="21"/>
        <v>-2.0610723784098041E-3</v>
      </c>
      <c r="AC21" s="57">
        <f t="shared" si="21"/>
        <v>-2.091541831135653E-4</v>
      </c>
      <c r="AD21" s="57">
        <f t="shared" si="21"/>
        <v>-3.2772465284129407E-3</v>
      </c>
      <c r="AE21" s="57">
        <f t="shared" si="21"/>
        <v>-3.7717560619685716E-3</v>
      </c>
      <c r="AF21" s="57">
        <f t="shared" si="21"/>
        <v>-5.5592576847036095E-3</v>
      </c>
      <c r="AG21" s="57">
        <f t="shared" si="21"/>
        <v>1.8117015261373579E-5</v>
      </c>
      <c r="AH21" s="57">
        <f t="shared" si="21"/>
        <v>-1.2819514679438626E-2</v>
      </c>
      <c r="AI21" s="57">
        <f t="shared" si="21"/>
        <v>-1.7530767965353078E-2</v>
      </c>
      <c r="AJ21" s="57">
        <f t="shared" si="21"/>
        <v>-2.5697595527557408E-2</v>
      </c>
      <c r="AK21" s="57">
        <f t="shared" si="21"/>
        <v>-8.4357601710766182E-4</v>
      </c>
      <c r="AL21" s="57">
        <f t="shared" si="21"/>
        <v>-3.8518173185469813E-3</v>
      </c>
      <c r="AM21" s="57">
        <f t="shared" si="21"/>
        <v>-5.8503411676887236E-4</v>
      </c>
      <c r="AN21" s="57">
        <f t="shared" si="21"/>
        <v>5.3369808127470028E-4</v>
      </c>
      <c r="AO21" s="57">
        <f t="shared" si="21"/>
        <v>3.5234942135874315E-4</v>
      </c>
      <c r="AP21" s="57">
        <f t="shared" si="21"/>
        <v>-3.6809172468815206E-3</v>
      </c>
      <c r="AQ21" s="57">
        <f t="shared" si="21"/>
        <v>-4.1411612377881043E-3</v>
      </c>
      <c r="AR21" s="57">
        <f t="shared" si="21"/>
        <v>-4.8412735736564436E-3</v>
      </c>
      <c r="AS21" s="57">
        <f t="shared" si="21"/>
        <v>7.5147281853050248E-4</v>
      </c>
      <c r="AT21" s="57">
        <f t="shared" si="21"/>
        <v>-2.3502570189586368E-2</v>
      </c>
      <c r="AU21" s="57">
        <f t="shared" si="21"/>
        <v>-3.4167267340180163E-2</v>
      </c>
      <c r="AV21" s="57">
        <f t="shared" si="21"/>
        <v>-5.0600944703530076E-2</v>
      </c>
      <c r="AW21" s="57">
        <f t="shared" si="21"/>
        <v>2.7482101711677058E-4</v>
      </c>
      <c r="AX21" s="57">
        <f t="shared" si="21"/>
        <v>1.1166843156695644E-3</v>
      </c>
      <c r="AY21" s="57">
        <f t="shared" si="21"/>
        <v>2.075580527564282E-2</v>
      </c>
      <c r="AZ21" s="57">
        <f t="shared" si="21"/>
        <v>3.0191290064379518E-2</v>
      </c>
      <c r="BA21" s="57">
        <f t="shared" si="21"/>
        <v>2.4566353801841684E-4</v>
      </c>
      <c r="BB21" s="57">
        <f t="shared" si="21"/>
        <v>-1.8416335174401853E-2</v>
      </c>
      <c r="BC21" s="57">
        <f t="shared" si="21"/>
        <v>-5.1400808239274254E-3</v>
      </c>
      <c r="BD21" s="57">
        <f t="shared" si="21"/>
        <v>-1.703902081778712E-3</v>
      </c>
      <c r="BE21" s="57">
        <f t="shared" si="21"/>
        <v>-3.6807393298805896E-3</v>
      </c>
      <c r="BF21" s="57">
        <f t="shared" si="21"/>
        <v>-1.347867531650632E-2</v>
      </c>
      <c r="BG21" s="57">
        <f t="shared" si="21"/>
        <v>-7.1728209431909937E-4</v>
      </c>
      <c r="BH21" s="57">
        <f t="shared" si="21"/>
        <v>-3.3599567774757839E-4</v>
      </c>
      <c r="BI21" s="57">
        <f t="shared" si="21"/>
        <v>1.5604411407442894E-3</v>
      </c>
      <c r="BJ21" s="57">
        <f t="shared" si="21"/>
        <v>-2.2694671043829266E-3</v>
      </c>
      <c r="BK21" s="57">
        <f t="shared" si="21"/>
        <v>2.946788648721044E-3</v>
      </c>
      <c r="BL21" s="57">
        <f t="shared" si="21"/>
        <v>5.09074618523357E-3</v>
      </c>
      <c r="BM21" s="57">
        <f t="shared" si="21"/>
        <v>7.7718702371531983E-3</v>
      </c>
      <c r="BN21" s="57">
        <f t="shared" si="21"/>
        <v>-4.6213697112224217E-4</v>
      </c>
      <c r="BO21" s="57">
        <f t="shared" si="21"/>
        <v>7.4605240655098751E-4</v>
      </c>
      <c r="BP21" s="57">
        <f t="shared" si="21"/>
        <v>1.5299153934638034E-3</v>
      </c>
      <c r="BQ21" s="57">
        <f t="shared" si="21"/>
        <v>7.9607883721057005E-4</v>
      </c>
      <c r="BR21" s="57">
        <f t="shared" ref="BR21:CK21" si="22">BR20/BR2</f>
        <v>-2.1442864475839903E-3</v>
      </c>
      <c r="BS21" s="57">
        <f t="shared" si="22"/>
        <v>1.5449699872602672E-3</v>
      </c>
      <c r="BT21" s="57">
        <f t="shared" si="22"/>
        <v>2.6220977040215823E-2</v>
      </c>
      <c r="BU21" s="57">
        <f t="shared" si="22"/>
        <v>3.0316568649566195E-3</v>
      </c>
      <c r="BV21" s="57">
        <f t="shared" si="22"/>
        <v>2.5053898660381841E-3</v>
      </c>
      <c r="BW21" s="57">
        <f t="shared" si="22"/>
        <v>6.2329292484514167E-4</v>
      </c>
      <c r="BX21" s="57">
        <f t="shared" si="22"/>
        <v>1.0278578912558563E-3</v>
      </c>
      <c r="BY21" s="57">
        <f t="shared" si="22"/>
        <v>9.9516035735410825E-4</v>
      </c>
      <c r="BZ21" s="57">
        <f t="shared" si="22"/>
        <v>3.1225686474777837E-3</v>
      </c>
      <c r="CA21" s="57">
        <f t="shared" si="22"/>
        <v>1.3756872467893011E-4</v>
      </c>
      <c r="CB21" s="57">
        <f t="shared" si="22"/>
        <v>-1.8875807038556936E-4</v>
      </c>
      <c r="CC21" s="57">
        <f t="shared" si="22"/>
        <v>8.1122613670914917E-3</v>
      </c>
      <c r="CD21" s="57">
        <f t="shared" si="22"/>
        <v>8.412069079600426E-4</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c r="A22" s="46" t="s">
        <v>369</v>
      </c>
      <c r="E22" s="66">
        <f>E11+E13+E15+E17+E19+E21</f>
        <v>0.16267539593043429</v>
      </c>
      <c r="F22" s="66">
        <f t="shared" ref="F22:BQ22" si="23">F11+F13+F15+F17+F19+F21</f>
        <v>0.13850650568563735</v>
      </c>
      <c r="G22" s="66">
        <f t="shared" si="23"/>
        <v>0.12982225773634312</v>
      </c>
      <c r="H22" s="66">
        <f t="shared" si="23"/>
        <v>0.12532193421716942</v>
      </c>
      <c r="I22" s="66">
        <f t="shared" si="23"/>
        <v>0.16030835405919683</v>
      </c>
      <c r="J22" s="66">
        <f t="shared" si="23"/>
        <v>0.14725973170344769</v>
      </c>
      <c r="K22" s="66">
        <f t="shared" si="23"/>
        <v>0.14017690506556119</v>
      </c>
      <c r="L22" s="66">
        <f t="shared" si="23"/>
        <v>0.1326553759145653</v>
      </c>
      <c r="M22" s="66">
        <f t="shared" si="23"/>
        <v>0.13780516252679703</v>
      </c>
      <c r="N22" s="66">
        <f t="shared" si="23"/>
        <v>0.13847421358995263</v>
      </c>
      <c r="O22" s="66">
        <f t="shared" si="23"/>
        <v>0.14199204490684567</v>
      </c>
      <c r="P22" s="66">
        <f t="shared" si="23"/>
        <v>0.13552707247234183</v>
      </c>
      <c r="Q22" s="66">
        <f t="shared" si="23"/>
        <v>0.13520749718775352</v>
      </c>
      <c r="R22" s="66">
        <f t="shared" si="23"/>
        <v>0.12538736526626168</v>
      </c>
      <c r="S22" s="66">
        <f t="shared" si="23"/>
        <v>0.13907320019627814</v>
      </c>
      <c r="T22" s="66">
        <f t="shared" si="23"/>
        <v>0.13326952172979586</v>
      </c>
      <c r="U22" s="66">
        <f t="shared" si="23"/>
        <v>0.12588323662919981</v>
      </c>
      <c r="V22" s="66">
        <f t="shared" si="23"/>
        <v>0.12259285682373187</v>
      </c>
      <c r="W22" s="66">
        <f t="shared" si="23"/>
        <v>0.12982609773535855</v>
      </c>
      <c r="X22" s="66">
        <f t="shared" si="23"/>
        <v>0.12362156423968906</v>
      </c>
      <c r="Y22" s="66">
        <f t="shared" si="23"/>
        <v>0.12001433111197363</v>
      </c>
      <c r="Z22" s="66">
        <f t="shared" si="23"/>
        <v>0.12793023722013069</v>
      </c>
      <c r="AA22" s="66">
        <f t="shared" si="23"/>
        <v>0.1357798726166646</v>
      </c>
      <c r="AB22" s="66">
        <f t="shared" si="23"/>
        <v>0.1195747845066307</v>
      </c>
      <c r="AC22" s="66">
        <f t="shared" si="23"/>
        <v>9.8373009209443585E-2</v>
      </c>
      <c r="AD22" s="66">
        <f t="shared" si="23"/>
        <v>0.12608632110421486</v>
      </c>
      <c r="AE22" s="66">
        <f t="shared" si="23"/>
        <v>0.13019056150724187</v>
      </c>
      <c r="AF22" s="66">
        <f t="shared" si="23"/>
        <v>0.11885986957920035</v>
      </c>
      <c r="AG22" s="66">
        <f t="shared" si="23"/>
        <v>0.12789127217813656</v>
      </c>
      <c r="AH22" s="66">
        <f t="shared" si="23"/>
        <v>0.12401039126108973</v>
      </c>
      <c r="AI22" s="66">
        <f t="shared" si="23"/>
        <v>0.12597743133700254</v>
      </c>
      <c r="AJ22" s="66">
        <f t="shared" si="23"/>
        <v>0.10055993704510671</v>
      </c>
      <c r="AK22" s="66">
        <f t="shared" si="23"/>
        <v>0.1110871868712644</v>
      </c>
      <c r="AL22" s="66">
        <f t="shared" si="23"/>
        <v>0.141714143975227</v>
      </c>
      <c r="AM22" s="66">
        <f t="shared" si="23"/>
        <v>0.14611732870080965</v>
      </c>
      <c r="AN22" s="66">
        <f t="shared" si="23"/>
        <v>0.14345278777527409</v>
      </c>
      <c r="AO22" s="66">
        <f t="shared" si="23"/>
        <v>0.13681702146153915</v>
      </c>
      <c r="AP22" s="66">
        <f t="shared" si="23"/>
        <v>0.16044722810044865</v>
      </c>
      <c r="AQ22" s="66">
        <f t="shared" si="23"/>
        <v>0.17491540989487223</v>
      </c>
      <c r="AR22" s="66">
        <f t="shared" si="23"/>
        <v>0.17535915697264826</v>
      </c>
      <c r="AS22" s="66">
        <f t="shared" si="23"/>
        <v>0.17587488645101668</v>
      </c>
      <c r="AT22" s="66">
        <f t="shared" si="23"/>
        <v>0.13049787393832604</v>
      </c>
      <c r="AU22" s="66">
        <f t="shared" si="23"/>
        <v>0.13952214817241831</v>
      </c>
      <c r="AV22" s="66">
        <f t="shared" si="23"/>
        <v>0.13150147403429105</v>
      </c>
      <c r="AW22" s="66">
        <f t="shared" si="23"/>
        <v>0.19782430161980152</v>
      </c>
      <c r="AX22" s="66">
        <f t="shared" si="23"/>
        <v>0.1741394082268842</v>
      </c>
      <c r="AY22" s="66">
        <f t="shared" si="23"/>
        <v>0.19604158688928638</v>
      </c>
      <c r="AZ22" s="66">
        <f t="shared" si="23"/>
        <v>0.20517193523156479</v>
      </c>
      <c r="BA22" s="66">
        <f t="shared" si="23"/>
        <v>0.18694724635733237</v>
      </c>
      <c r="BB22" s="66">
        <f t="shared" si="23"/>
        <v>0.19097234379893421</v>
      </c>
      <c r="BC22" s="66">
        <f t="shared" si="23"/>
        <v>0.2066621525629842</v>
      </c>
      <c r="BD22" s="66">
        <f t="shared" si="23"/>
        <v>0.19631166983436862</v>
      </c>
      <c r="BE22" s="66">
        <f t="shared" si="23"/>
        <v>0.18172326447601875</v>
      </c>
      <c r="BF22" s="66">
        <f t="shared" si="23"/>
        <v>0.19425000302227202</v>
      </c>
      <c r="BG22" s="66">
        <f t="shared" si="23"/>
        <v>0.219088916678021</v>
      </c>
      <c r="BH22" s="66">
        <f t="shared" si="23"/>
        <v>0.22059888119344145</v>
      </c>
      <c r="BI22" s="66">
        <f t="shared" si="23"/>
        <v>0.20772043012735672</v>
      </c>
      <c r="BJ22" s="66">
        <f t="shared" si="23"/>
        <v>0.25045187781994899</v>
      </c>
      <c r="BK22" s="66">
        <f t="shared" si="23"/>
        <v>0.2540704758804877</v>
      </c>
      <c r="BL22" s="66">
        <f t="shared" si="23"/>
        <v>0.23350706772282406</v>
      </c>
      <c r="BM22" s="66">
        <f t="shared" si="23"/>
        <v>0.21049031812042301</v>
      </c>
      <c r="BN22" s="66">
        <f t="shared" si="23"/>
        <v>0.24082226497709636</v>
      </c>
      <c r="BO22" s="66">
        <f t="shared" si="23"/>
        <v>0.18153409954783031</v>
      </c>
      <c r="BP22" s="66">
        <f t="shared" si="23"/>
        <v>0.16523671568284698</v>
      </c>
      <c r="BQ22" s="66">
        <f t="shared" si="23"/>
        <v>0.13873901175748637</v>
      </c>
      <c r="BR22" s="66">
        <f t="shared" ref="BR22:CJ22" si="24">BR11+BR13+BR15+BR17+BR19+BR21</f>
        <v>0.18117790814762261</v>
      </c>
      <c r="BS22" s="66">
        <f t="shared" si="24"/>
        <v>0.14992933441449652</v>
      </c>
      <c r="BT22" s="66">
        <f t="shared" si="24"/>
        <v>0.17954090207369622</v>
      </c>
      <c r="BU22" s="66">
        <f t="shared" si="24"/>
        <v>0.15014548074059589</v>
      </c>
      <c r="BV22" s="66">
        <f t="shared" si="24"/>
        <v>0.1458062386645643</v>
      </c>
      <c r="BW22" s="66">
        <f t="shared" si="24"/>
        <v>0.13448657254382201</v>
      </c>
      <c r="BX22" s="66">
        <f t="shared" si="24"/>
        <v>0.14165944180160456</v>
      </c>
      <c r="BY22" s="66">
        <f t="shared" si="24"/>
        <v>0.14011782375569395</v>
      </c>
      <c r="BZ22" s="66">
        <f t="shared" si="24"/>
        <v>0.13310688637284646</v>
      </c>
      <c r="CA22" s="66">
        <f t="shared" si="24"/>
        <v>0.14507932631666018</v>
      </c>
      <c r="CB22" s="66">
        <f t="shared" si="24"/>
        <v>0.13716197938089678</v>
      </c>
      <c r="CC22" s="66">
        <f t="shared" si="24"/>
        <v>0.13426810948752149</v>
      </c>
      <c r="CD22" s="66">
        <f t="shared" si="24"/>
        <v>0.12565940669681344</v>
      </c>
      <c r="CE22" s="66" t="e">
        <f t="shared" si="24"/>
        <v>#DIV/0!</v>
      </c>
      <c r="CF22" s="66" t="e">
        <f t="shared" si="24"/>
        <v>#DIV/0!</v>
      </c>
      <c r="CG22" s="66" t="e">
        <f t="shared" si="24"/>
        <v>#DIV/0!</v>
      </c>
      <c r="CH22" s="66" t="e">
        <f t="shared" si="24"/>
        <v>#DIV/0!</v>
      </c>
      <c r="CI22" s="66" t="e">
        <f t="shared" si="24"/>
        <v>#DIV/0!</v>
      </c>
      <c r="CJ22" s="66" t="e">
        <f t="shared" si="24"/>
        <v>#DIV/0!</v>
      </c>
    </row>
    <row r="23" spans="1:89" s="27" customFormat="1">
      <c r="A23" s="128" t="s">
        <v>370</v>
      </c>
      <c r="E23" s="27">
        <f>股权价值增加表!E17</f>
        <v>-2836918081.1787314</v>
      </c>
      <c r="F23" s="27">
        <f>股权价值增加表!F17</f>
        <v>194299217.70028061</v>
      </c>
      <c r="G23" s="27">
        <f>股权价值增加表!G17</f>
        <v>148313266.62492341</v>
      </c>
      <c r="H23" s="27">
        <f>股权价值增加表!H17</f>
        <v>107103099.69842207</v>
      </c>
      <c r="I23" s="27">
        <f>股权价值增加表!I17</f>
        <v>13516869.187008601</v>
      </c>
      <c r="J23" s="27">
        <f>股权价值增加表!J17</f>
        <v>73482725.977686495</v>
      </c>
      <c r="K23" s="27">
        <f>股权价值增加表!K17</f>
        <v>63529517.786928788</v>
      </c>
      <c r="L23" s="27">
        <f>股权价值增加表!L17</f>
        <v>46575946.923508629</v>
      </c>
      <c r="M23" s="27">
        <f>股权价值增加表!M17</f>
        <v>28348500.4650052</v>
      </c>
      <c r="N23" s="27">
        <f>股权价值增加表!N17</f>
        <v>88827789.353709355</v>
      </c>
      <c r="O23" s="27">
        <f>股权价值增加表!O17</f>
        <v>80599898.870277062</v>
      </c>
      <c r="P23" s="27">
        <f>股权价值增加表!P17</f>
        <v>56593946.103152737</v>
      </c>
      <c r="Q23" s="27">
        <f>股权价值增加表!Q17</f>
        <v>29824899.237806797</v>
      </c>
      <c r="R23" s="27">
        <f>股权价值增加表!R17</f>
        <v>98204872.352279171</v>
      </c>
      <c r="S23" s="27">
        <f>股权价值增加表!S17</f>
        <v>81717273.089655757</v>
      </c>
      <c r="T23" s="27">
        <f>股权价值增加表!T17</f>
        <v>56285037.194829717</v>
      </c>
      <c r="U23" s="27">
        <f>股权价值增加表!U17</f>
        <v>-18413653.499927826</v>
      </c>
      <c r="V23" s="27">
        <f>股权价值增加表!V17</f>
        <v>104902113.34233481</v>
      </c>
      <c r="W23" s="27">
        <f>股权价值增加表!W17</f>
        <v>85852753.904070348</v>
      </c>
      <c r="X23" s="27">
        <f>股权价值增加表!X17</f>
        <v>63170807.690435342</v>
      </c>
      <c r="Y23" s="27">
        <f>股权价值增加表!Y17</f>
        <v>35637411.926685475</v>
      </c>
      <c r="Z23" s="27">
        <f>股权价值增加表!Z17</f>
        <v>59668644.208333224</v>
      </c>
      <c r="AA23" s="27">
        <f>股权价值增加表!AA17</f>
        <v>47634991.885566115</v>
      </c>
      <c r="AB23" s="27">
        <f>股权价值增加表!AB17</f>
        <v>39743980.476685144</v>
      </c>
      <c r="AC23" s="27">
        <f>股权价值增加表!AC17</f>
        <v>-84636974.250252753</v>
      </c>
      <c r="AD23" s="27">
        <f>股权价值增加表!AD17</f>
        <v>51024931.092133567</v>
      </c>
      <c r="AE23" s="27">
        <f>股权价值增加表!AE17</f>
        <v>44011116.499925546</v>
      </c>
      <c r="AF23" s="27">
        <f>股权价值增加表!AF17</f>
        <v>31572438.198712084</v>
      </c>
      <c r="AG23" s="27">
        <f>股权价值增加表!AG17</f>
        <v>-99768624.347708687</v>
      </c>
      <c r="AH23" s="27">
        <f>股权价值增加表!AH17</f>
        <v>-154454172.9149251</v>
      </c>
      <c r="AI23" s="27">
        <f>股权价值增加表!AI17</f>
        <v>29545097.188755713</v>
      </c>
      <c r="AJ23" s="27">
        <f>股权价值增加表!AJ17</f>
        <v>9977288.0111183599</v>
      </c>
      <c r="AK23" s="27">
        <f>股权价值增加表!AK17</f>
        <v>18927744.282591857</v>
      </c>
      <c r="AL23" s="27">
        <f>股权价值增加表!AL17</f>
        <v>42308315.378269032</v>
      </c>
      <c r="AM23" s="27">
        <f>股权价值增加表!AM17</f>
        <v>30587944.413164631</v>
      </c>
      <c r="AN23" s="27">
        <f>股权价值增加表!AN17</f>
        <v>21916739.763890926</v>
      </c>
      <c r="AO23" s="27">
        <f>股权价值增加表!AO17</f>
        <v>26186925.010509081</v>
      </c>
      <c r="AP23" s="27">
        <f>股权价值增加表!AP17</f>
        <v>38588776.84162423</v>
      </c>
      <c r="AQ23" s="27">
        <f>股权价值增加表!AQ17</f>
        <v>26196466.970362779</v>
      </c>
      <c r="AR23" s="27">
        <f>股权价值增加表!AR17</f>
        <v>17866527.852721944</v>
      </c>
      <c r="AS23" s="27">
        <f>股权价值增加表!AS17</f>
        <v>14241914.163086072</v>
      </c>
      <c r="AT23" s="27">
        <f>股权价值增加表!AT17</f>
        <v>27969254.020880803</v>
      </c>
      <c r="AU23" s="27">
        <f>股权价值增加表!AU17</f>
        <v>14189006.623987885</v>
      </c>
      <c r="AV23" s="27">
        <f>股权价值增加表!AV17</f>
        <v>4299651.9257128425</v>
      </c>
      <c r="AW23" s="27">
        <f>股权价值增加表!AW17</f>
        <v>8644707.8656850997</v>
      </c>
      <c r="AX23" s="27">
        <f>股权价值增加表!AX17</f>
        <v>18491923.683044471</v>
      </c>
      <c r="AY23" s="27">
        <f>股权价值增加表!AY17</f>
        <v>25085404.902331624</v>
      </c>
      <c r="AZ23" s="27">
        <f>股权价值增加表!AZ17</f>
        <v>19277447.002656948</v>
      </c>
      <c r="BA23" s="27">
        <f>股权价值增加表!BA17</f>
        <v>5510018</v>
      </c>
      <c r="BB23" s="27">
        <f>股权价值增加表!BB17</f>
        <v>913790.61104452086</v>
      </c>
      <c r="BC23" s="27">
        <f>股权价值增加表!BC17</f>
        <v>5908938.4800000191</v>
      </c>
      <c r="BD23" s="27">
        <f>股权价值增加表!BD17</f>
        <v>7603927.0399999954</v>
      </c>
      <c r="BE23" s="27">
        <f>股权价值增加表!BE17</f>
        <v>5363858.3299999982</v>
      </c>
      <c r="BF23" s="27">
        <f>股权价值增加表!BF17</f>
        <v>2043439.4100000542</v>
      </c>
      <c r="BG23" s="27">
        <f>股权价值增加表!BG17</f>
        <v>4543492.9299999876</v>
      </c>
      <c r="BH23" s="27">
        <f>股权价值增加表!BH17</f>
        <v>3485968.909999989</v>
      </c>
      <c r="BI23" s="27">
        <f>股权价值增加表!BI17</f>
        <v>3124972.5100000044</v>
      </c>
      <c r="BJ23" s="27">
        <f>股权价值增加表!BJ17</f>
        <v>-34343798.558610663</v>
      </c>
      <c r="BK23" s="27">
        <f>股权价值增加表!BK17</f>
        <v>-24310487.31311677</v>
      </c>
      <c r="BL23" s="27">
        <f>股权价值增加表!BL17</f>
        <v>-12580874.081055716</v>
      </c>
      <c r="BM23" s="27">
        <f>股权价值增加表!BM17</f>
        <v>-2377322.9405623847</v>
      </c>
      <c r="BN23" s="27">
        <f>股权价值增加表!BN17</f>
        <v>-48245066.557332382</v>
      </c>
      <c r="BO23" s="27">
        <f>股权价值增加表!BO17</f>
        <v>-9912140.4500000291</v>
      </c>
      <c r="BP23" s="27">
        <f>股权价值增加表!BP17</f>
        <v>-957568.19908499159</v>
      </c>
      <c r="BQ23" s="27">
        <f>股权价值增加表!BQ17</f>
        <v>3579810.6599999899</v>
      </c>
      <c r="BR23" s="27">
        <f>股权价值增加表!BR17</f>
        <v>-17774583.791090384</v>
      </c>
      <c r="BS23" s="27">
        <f>股权价值增加表!BS17</f>
        <v>15555719.427280743</v>
      </c>
      <c r="BT23" s="27">
        <f>股权价值增加表!BT17</f>
        <v>-75580368.549267828</v>
      </c>
      <c r="BU23" s="27">
        <f>股权价值增加表!BU17</f>
        <v>-69395801.417522654</v>
      </c>
      <c r="BV23" s="27">
        <f>股权价值增加表!BV17</f>
        <v>-196858551.7410543</v>
      </c>
      <c r="BW23" s="27">
        <f>股权价值增加表!BW17</f>
        <v>12155869.59447482</v>
      </c>
      <c r="BX23" s="27">
        <f>股权价值增加表!BX17</f>
        <v>-5078368.6340550184</v>
      </c>
      <c r="BY23" s="27">
        <f>股权价值增加表!BY17</f>
        <v>12991252.922389891</v>
      </c>
      <c r="BZ23" s="27">
        <f>股权价值增加表!BZ17</f>
        <v>23069476.793895841</v>
      </c>
      <c r="CA23" s="27">
        <f>股权价值增加表!CA17</f>
        <v>13601307.020666404</v>
      </c>
      <c r="CB23" s="27">
        <f>股权价值增加表!CB17</f>
        <v>20201488.703928288</v>
      </c>
      <c r="CC23" s="27">
        <f>股权价值增加表!CC17</f>
        <v>14965505.676993422</v>
      </c>
      <c r="CD23" s="27">
        <f>股权价值增加表!CD17</f>
        <v>23396156.632841647</v>
      </c>
      <c r="CE23" s="27" t="e">
        <f>股权价值增加表!CE17</f>
        <v>#DIV/0!</v>
      </c>
      <c r="CF23" s="27" t="e">
        <f>股权价值增加表!CF17</f>
        <v>#DIV/0!</v>
      </c>
      <c r="CG23" s="27" t="e">
        <f>股权价值增加表!CG17</f>
        <v>#DIV/0!</v>
      </c>
      <c r="CH23" s="27" t="e">
        <f>股权价值增加表!CH17</f>
        <v>#DIV/0!</v>
      </c>
      <c r="CI23" s="27" t="e">
        <f>股权价值增加表!CI17</f>
        <v>#DIV/0!</v>
      </c>
      <c r="CJ23" s="27" t="e">
        <f>股权价值增加表!CJ17</f>
        <v>#DIV/0!</v>
      </c>
    </row>
    <row r="24" spans="1:89" s="57" customFormat="1">
      <c r="A24" s="20" t="s">
        <v>371</v>
      </c>
      <c r="E24" s="57">
        <f>E23/E2</f>
        <v>-6.7309412983010972</v>
      </c>
      <c r="F24" s="57">
        <f t="shared" ref="F24:BQ24" si="25">F23/F2</f>
        <v>0.1422016920720775</v>
      </c>
      <c r="G24" s="57">
        <f t="shared" si="25"/>
        <v>0.14454953742565685</v>
      </c>
      <c r="H24" s="57">
        <f t="shared" si="25"/>
        <v>0.15335944257171227</v>
      </c>
      <c r="I24" s="57">
        <f t="shared" si="25"/>
        <v>4.7553650904487939E-2</v>
      </c>
      <c r="J24" s="57">
        <f t="shared" si="25"/>
        <v>7.1583204170072079E-2</v>
      </c>
      <c r="K24" s="57">
        <f t="shared" si="25"/>
        <v>8.2920272593038691E-2</v>
      </c>
      <c r="L24" s="57">
        <f t="shared" si="25"/>
        <v>8.856726434808411E-2</v>
      </c>
      <c r="M24" s="57">
        <f t="shared" si="25"/>
        <v>9.6015354696440278E-2</v>
      </c>
      <c r="N24" s="57">
        <f t="shared" si="25"/>
        <v>7.9263450733748603E-2</v>
      </c>
      <c r="O24" s="57">
        <f t="shared" si="25"/>
        <v>9.3990655834548881E-2</v>
      </c>
      <c r="P24" s="57">
        <f t="shared" si="25"/>
        <v>9.539343235322563E-2</v>
      </c>
      <c r="Q24" s="57">
        <f t="shared" si="25"/>
        <v>8.8882936999192363E-2</v>
      </c>
      <c r="R24" s="57">
        <f t="shared" si="25"/>
        <v>8.083686524971033E-2</v>
      </c>
      <c r="S24" s="57">
        <f t="shared" si="25"/>
        <v>8.8093384194481358E-2</v>
      </c>
      <c r="T24" s="57">
        <f t="shared" si="25"/>
        <v>8.9210953973262702E-2</v>
      </c>
      <c r="U24" s="57">
        <f t="shared" si="25"/>
        <v>-5.1232855735450375E-2</v>
      </c>
      <c r="V24" s="57">
        <f t="shared" si="25"/>
        <v>7.3460580347958659E-2</v>
      </c>
      <c r="W24" s="57">
        <f t="shared" si="25"/>
        <v>7.8746346267540124E-2</v>
      </c>
      <c r="X24" s="57">
        <f t="shared" si="25"/>
        <v>8.3826413978780712E-2</v>
      </c>
      <c r="Y24" s="57">
        <f t="shared" si="25"/>
        <v>8.7532355776815854E-2</v>
      </c>
      <c r="Z24" s="57">
        <f t="shared" si="25"/>
        <v>4.5201548344877822E-2</v>
      </c>
      <c r="AA24" s="57">
        <f t="shared" si="25"/>
        <v>4.7649379241580483E-2</v>
      </c>
      <c r="AB24" s="57">
        <f t="shared" si="25"/>
        <v>5.7085058988958125E-2</v>
      </c>
      <c r="AC24" s="57">
        <f t="shared" si="25"/>
        <v>-0.21310165023335945</v>
      </c>
      <c r="AD24" s="57">
        <f t="shared" si="25"/>
        <v>4.2943735121585343E-2</v>
      </c>
      <c r="AE24" s="57">
        <f t="shared" si="25"/>
        <v>4.9926182864331023E-2</v>
      </c>
      <c r="AF24" s="57">
        <f t="shared" si="25"/>
        <v>5.0928482226785934E-2</v>
      </c>
      <c r="AG24" s="57">
        <f t="shared" si="25"/>
        <v>-0.2765912042041157</v>
      </c>
      <c r="AH24" s="57">
        <f t="shared" si="25"/>
        <v>-0.16772099633192877</v>
      </c>
      <c r="AI24" s="57">
        <f t="shared" si="25"/>
        <v>4.5301824618658844E-2</v>
      </c>
      <c r="AJ24" s="57">
        <f t="shared" si="25"/>
        <v>2.2808193856600933E-2</v>
      </c>
      <c r="AK24" s="57">
        <f t="shared" si="25"/>
        <v>7.5499441755584318E-2</v>
      </c>
      <c r="AL24" s="57">
        <f t="shared" si="25"/>
        <v>5.8026639056210985E-2</v>
      </c>
      <c r="AM24" s="57">
        <f t="shared" si="25"/>
        <v>5.7501074489911493E-2</v>
      </c>
      <c r="AN24" s="57">
        <f t="shared" si="25"/>
        <v>6.0129855856436251E-2</v>
      </c>
      <c r="AO24" s="57">
        <f t="shared" si="25"/>
        <v>0.12544952262587677</v>
      </c>
      <c r="AP24" s="57">
        <f t="shared" si="25"/>
        <v>6.1950494788217486E-2</v>
      </c>
      <c r="AQ24" s="57">
        <f t="shared" si="25"/>
        <v>5.7163567002124688E-2</v>
      </c>
      <c r="AR24" s="57">
        <f t="shared" si="25"/>
        <v>5.720014295043379E-2</v>
      </c>
      <c r="AS24" s="57">
        <f t="shared" si="25"/>
        <v>7.6055262644243407E-2</v>
      </c>
      <c r="AT24" s="57">
        <f t="shared" si="25"/>
        <v>5.109364325232512E-2</v>
      </c>
      <c r="AU24" s="57">
        <f t="shared" si="25"/>
        <v>3.5576048501692131E-2</v>
      </c>
      <c r="AV24" s="57">
        <f t="shared" si="25"/>
        <v>1.5846547946314987E-2</v>
      </c>
      <c r="AW24" s="57">
        <f t="shared" si="25"/>
        <v>5.6774154123922435E-2</v>
      </c>
      <c r="AX24" s="57">
        <f t="shared" si="25"/>
        <v>4.1061786661429032E-2</v>
      </c>
      <c r="AY24" s="57">
        <f t="shared" si="25"/>
        <v>7.5753648302350471E-2</v>
      </c>
      <c r="AZ24" s="57">
        <f t="shared" si="25"/>
        <v>8.5914118370735093E-2</v>
      </c>
      <c r="BA24" s="57">
        <f t="shared" si="25"/>
        <v>4.2287351707231129E-2</v>
      </c>
      <c r="BB24" s="57">
        <f t="shared" si="25"/>
        <v>2.0790870951743444E-3</v>
      </c>
      <c r="BC24" s="57">
        <f t="shared" si="25"/>
        <v>1.8304584231176826E-2</v>
      </c>
      <c r="BD24" s="57">
        <f t="shared" si="25"/>
        <v>3.3459817783038193E-2</v>
      </c>
      <c r="BE24" s="57">
        <f t="shared" si="25"/>
        <v>4.0423056345535779E-2</v>
      </c>
      <c r="BF24" s="57">
        <f t="shared" si="25"/>
        <v>5.061066615116511E-3</v>
      </c>
      <c r="BG24" s="57">
        <f t="shared" si="25"/>
        <v>1.5147764630361479E-2</v>
      </c>
      <c r="BH24" s="57">
        <f t="shared" si="25"/>
        <v>1.6626071417432553E-2</v>
      </c>
      <c r="BI24" s="57">
        <f t="shared" si="25"/>
        <v>2.5243092564484655E-2</v>
      </c>
      <c r="BJ24" s="57">
        <f t="shared" si="25"/>
        <v>-7.1611418195424714E-2</v>
      </c>
      <c r="BK24" s="57">
        <f t="shared" si="25"/>
        <v>-6.6622564074111365E-2</v>
      </c>
      <c r="BL24" s="57">
        <f t="shared" si="25"/>
        <v>-4.8905424095320643E-2</v>
      </c>
      <c r="BM24" s="57">
        <f t="shared" si="25"/>
        <v>-1.5898062903949923E-2</v>
      </c>
      <c r="BN24" s="57">
        <f t="shared" si="25"/>
        <v>-9.5105533487640281E-2</v>
      </c>
      <c r="BO24" s="57">
        <f t="shared" si="25"/>
        <v>-2.4413477077599055E-2</v>
      </c>
      <c r="BP24" s="57">
        <f t="shared" si="25"/>
        <v>-3.2765463472852799E-3</v>
      </c>
      <c r="BQ24" s="57">
        <f t="shared" si="25"/>
        <v>2.0580931290579044E-2</v>
      </c>
      <c r="BR24" s="57">
        <f t="shared" ref="BR24:CJ24" si="26">BR23/BR2</f>
        <v>-2.7358946215958479E-2</v>
      </c>
      <c r="BS24" s="57">
        <f t="shared" si="26"/>
        <v>4.5465506820662721E-2</v>
      </c>
      <c r="BT24" s="57">
        <f t="shared" si="26"/>
        <v>-0.11630058150436641</v>
      </c>
      <c r="BU24" s="57">
        <f t="shared" si="26"/>
        <v>-0.22215890171647365</v>
      </c>
      <c r="BV24" s="57">
        <f t="shared" si="26"/>
        <v>-0.33536083553731239</v>
      </c>
      <c r="BW24" s="57">
        <f t="shared" si="26"/>
        <v>3.8149243517585786E-2</v>
      </c>
      <c r="BX24" s="57">
        <f t="shared" si="26"/>
        <v>-8.3603652425018899E-3</v>
      </c>
      <c r="BY24" s="57">
        <f t="shared" si="26"/>
        <v>4.1617178726376408E-2</v>
      </c>
      <c r="BZ24" s="57">
        <f t="shared" si="26"/>
        <v>3.8283287016008138E-2</v>
      </c>
      <c r="CA24" s="57">
        <f t="shared" si="26"/>
        <v>3.9360568945246643E-2</v>
      </c>
      <c r="CB24" s="57">
        <f t="shared" si="26"/>
        <v>3.2972638915742036E-2</v>
      </c>
      <c r="CC24" s="57">
        <f t="shared" si="26"/>
        <v>4.4803906039066602E-2</v>
      </c>
      <c r="CD24" s="57">
        <f t="shared" si="26"/>
        <v>4.2352665048542557E-2</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c r="A25" s="281" t="s">
        <v>669</v>
      </c>
      <c r="B25" s="282"/>
      <c r="C25" s="282"/>
      <c r="D25" s="282"/>
      <c r="E25" s="282"/>
      <c r="F25" s="282"/>
      <c r="G25" s="282"/>
      <c r="H25" s="282"/>
      <c r="I25" s="282"/>
      <c r="J25" s="282"/>
      <c r="K25" s="282"/>
      <c r="L25" s="282"/>
      <c r="M25" s="282"/>
      <c r="N25" s="282"/>
      <c r="O25" s="282"/>
      <c r="P25" s="282"/>
      <c r="Q25" s="282"/>
      <c r="R25" s="282"/>
      <c r="S25" s="282"/>
      <c r="T25" s="282"/>
      <c r="U25" s="282"/>
      <c r="V25" s="282"/>
      <c r="W25" s="282"/>
      <c r="X25" s="282"/>
      <c r="Y25" s="282"/>
      <c r="Z25" s="282"/>
      <c r="AA25" s="282"/>
      <c r="AB25" s="282"/>
      <c r="AC25" s="282"/>
      <c r="AD25" s="282"/>
      <c r="AE25" s="282"/>
      <c r="AF25" s="282"/>
      <c r="AG25" s="282"/>
    </row>
    <row r="26" spans="1:89" s="63" customFormat="1" ht="14.25" thickBot="1">
      <c r="A26" s="150" t="s">
        <v>599</v>
      </c>
      <c r="B26" s="151"/>
      <c r="C26" s="151"/>
      <c r="D26" s="151"/>
      <c r="E26" s="152">
        <f>POWER(E2/Y2,1/6)-1</f>
        <v>5.7859749330011478E-3</v>
      </c>
    </row>
    <row r="27" spans="1:89" s="26" customFormat="1">
      <c r="A27" s="20" t="s">
        <v>377</v>
      </c>
      <c r="B27" s="1">
        <v>43465</v>
      </c>
      <c r="C27" s="1">
        <v>43373</v>
      </c>
      <c r="D27" s="1">
        <v>43281</v>
      </c>
      <c r="E27" s="1">
        <v>43190</v>
      </c>
      <c r="F27" s="1">
        <v>43100</v>
      </c>
      <c r="G27" s="1">
        <v>43008</v>
      </c>
      <c r="H27" s="1">
        <v>42916</v>
      </c>
      <c r="I27" s="1">
        <v>42825</v>
      </c>
      <c r="J27" s="1">
        <v>42735</v>
      </c>
      <c r="K27" s="1">
        <v>42643</v>
      </c>
      <c r="L27" s="1">
        <v>42551</v>
      </c>
      <c r="M27" s="1">
        <v>42460</v>
      </c>
      <c r="N27" s="1">
        <v>42369</v>
      </c>
      <c r="O27" s="1">
        <v>42277</v>
      </c>
      <c r="P27" s="1">
        <v>42185</v>
      </c>
      <c r="Q27" s="1">
        <v>42094</v>
      </c>
      <c r="R27" s="1">
        <v>42004</v>
      </c>
      <c r="S27" s="1">
        <v>41912</v>
      </c>
      <c r="T27" s="1">
        <v>41820</v>
      </c>
      <c r="U27" s="1">
        <v>41729</v>
      </c>
      <c r="V27" s="1">
        <v>41639</v>
      </c>
      <c r="W27" s="1">
        <v>41547</v>
      </c>
      <c r="X27" s="1">
        <v>41455</v>
      </c>
      <c r="Y27" s="1">
        <v>41364</v>
      </c>
      <c r="Z27" s="1">
        <v>41274</v>
      </c>
      <c r="AA27" s="1">
        <v>41182</v>
      </c>
      <c r="AB27" s="1">
        <v>41090</v>
      </c>
      <c r="AC27" s="1">
        <v>40999</v>
      </c>
      <c r="AD27" s="1">
        <v>40908</v>
      </c>
      <c r="AE27" s="1">
        <v>40816</v>
      </c>
      <c r="AF27" s="1">
        <v>40724</v>
      </c>
      <c r="AG27" s="1">
        <v>40633</v>
      </c>
      <c r="AH27" s="1">
        <v>40543</v>
      </c>
      <c r="AI27" s="1">
        <v>40451</v>
      </c>
      <c r="AJ27" s="1">
        <v>40359</v>
      </c>
      <c r="AK27" s="1">
        <v>40268</v>
      </c>
      <c r="AL27" s="1">
        <v>40178</v>
      </c>
      <c r="AM27" s="1">
        <v>40086</v>
      </c>
      <c r="AN27" s="1">
        <v>39994</v>
      </c>
      <c r="AO27" s="1">
        <v>39903</v>
      </c>
      <c r="AP27" s="1">
        <v>39813</v>
      </c>
      <c r="AQ27" s="1">
        <v>39721</v>
      </c>
      <c r="AR27" s="1">
        <v>39629</v>
      </c>
      <c r="AS27" s="1">
        <v>39538</v>
      </c>
      <c r="AT27" s="1">
        <v>39447</v>
      </c>
      <c r="AU27" s="1">
        <v>39355</v>
      </c>
      <c r="AV27" s="1">
        <v>39263</v>
      </c>
      <c r="AW27" s="1">
        <v>39172</v>
      </c>
      <c r="AX27" s="1">
        <v>39082</v>
      </c>
      <c r="AY27" s="1">
        <v>38990</v>
      </c>
      <c r="AZ27" s="1">
        <v>38898</v>
      </c>
      <c r="BA27" s="1">
        <v>38807</v>
      </c>
      <c r="BB27" s="1">
        <v>38717</v>
      </c>
      <c r="BC27" s="1">
        <v>38625</v>
      </c>
      <c r="BD27" s="1">
        <v>38533</v>
      </c>
      <c r="BE27" s="1">
        <v>38442</v>
      </c>
      <c r="BF27" s="1">
        <v>38352</v>
      </c>
      <c r="BG27" s="1">
        <v>38260</v>
      </c>
      <c r="BH27" s="1">
        <v>38168</v>
      </c>
      <c r="BI27" s="1">
        <v>38077</v>
      </c>
      <c r="BJ27" s="1">
        <v>37986</v>
      </c>
      <c r="BK27" s="1">
        <v>37894</v>
      </c>
      <c r="BL27" s="1">
        <v>37802</v>
      </c>
      <c r="BM27" s="1">
        <v>37711</v>
      </c>
      <c r="BN27" s="1">
        <v>37621</v>
      </c>
      <c r="BO27" s="1">
        <v>37529</v>
      </c>
      <c r="BP27" s="1">
        <v>37437</v>
      </c>
      <c r="BQ27" s="1">
        <v>37346</v>
      </c>
      <c r="BR27" s="1">
        <v>37256</v>
      </c>
      <c r="BS27" s="1">
        <v>37072</v>
      </c>
      <c r="BT27" s="1">
        <v>36891</v>
      </c>
      <c r="BU27" s="1">
        <v>36707</v>
      </c>
      <c r="BV27" s="1">
        <v>36525</v>
      </c>
      <c r="BW27" s="1">
        <v>36341</v>
      </c>
      <c r="BX27" s="1">
        <v>36160</v>
      </c>
      <c r="BY27" s="1">
        <v>35976</v>
      </c>
      <c r="BZ27" s="1">
        <v>35795</v>
      </c>
      <c r="CA27" s="1">
        <v>35611</v>
      </c>
      <c r="CB27" s="1">
        <v>35430</v>
      </c>
      <c r="CC27" s="1">
        <v>35246</v>
      </c>
      <c r="CD27" s="1">
        <v>35064</v>
      </c>
      <c r="CE27" s="1">
        <v>25569</v>
      </c>
      <c r="CF27" s="1"/>
      <c r="CG27" s="1"/>
      <c r="CH27" s="1"/>
      <c r="CI27" s="1"/>
      <c r="CJ27" s="1"/>
      <c r="CK27" s="1"/>
    </row>
    <row r="28" spans="1:89" s="26" customFormat="1">
      <c r="A28" s="17" t="s">
        <v>373</v>
      </c>
      <c r="E28" s="26">
        <f>股权价值增加表!E15</f>
        <v>89255838.12000002</v>
      </c>
      <c r="F28" s="26">
        <f>股权价值增加表!F15</f>
        <v>267960855.00999978</v>
      </c>
      <c r="G28" s="26">
        <f>股权价值增加表!G15</f>
        <v>210393455.15999991</v>
      </c>
      <c r="H28" s="26">
        <f>股权价值增加表!H15</f>
        <v>151098644.25</v>
      </c>
      <c r="I28" s="26">
        <f>股权价值增加表!I15</f>
        <v>14822409.939999992</v>
      </c>
      <c r="J28" s="26">
        <f>股权价值增加表!J15</f>
        <v>101616487.05999991</v>
      </c>
      <c r="K28" s="26">
        <f>股权价值增加表!K15</f>
        <v>86827967.650000006</v>
      </c>
      <c r="L28" s="26">
        <f>股权价值增加表!L15</f>
        <v>63069160.919999979</v>
      </c>
      <c r="M28" s="26">
        <f>股权价值增加表!M15</f>
        <v>32119493.799999986</v>
      </c>
      <c r="N28" s="26">
        <f>股权价值增加表!N15</f>
        <v>118845911.35000013</v>
      </c>
      <c r="O28" s="26">
        <f>股权价值增加表!O15</f>
        <v>107510291.43999997</v>
      </c>
      <c r="P28" s="26">
        <f>股权价值增加表!P15</f>
        <v>75737733.859999985</v>
      </c>
      <c r="Q28" s="26">
        <f>股权价值增加表!Q15</f>
        <v>40419207.930000007</v>
      </c>
      <c r="R28" s="26">
        <f>股权价值增加表!R15</f>
        <v>131137028.31999995</v>
      </c>
      <c r="S28" s="26">
        <f>股权价值增加表!S15</f>
        <v>108031270.08</v>
      </c>
      <c r="T28" s="26">
        <f>股权价值增加表!T15</f>
        <v>75560607.849999964</v>
      </c>
      <c r="U28" s="26">
        <f>股权价值增加表!U15</f>
        <v>42616411.650000006</v>
      </c>
      <c r="V28" s="26">
        <f>股权价值增加表!V15</f>
        <v>132339456.55999999</v>
      </c>
      <c r="W28" s="26">
        <f>股权价值增加表!W15</f>
        <v>109819694.07000004</v>
      </c>
      <c r="X28" s="26">
        <f>股权价值增加表!X15</f>
        <v>79512585.110000014</v>
      </c>
      <c r="Y28" s="26">
        <f>股权价值增加表!Y15</f>
        <v>46360606.050000042</v>
      </c>
      <c r="Z28" s="26">
        <f>股权价值增加表!Z15</f>
        <v>79839336.839999899</v>
      </c>
      <c r="AA28" s="26">
        <f>股权价值增加表!AA15</f>
        <v>63742339.160000049</v>
      </c>
      <c r="AB28" s="26">
        <f>股权价值增加表!AB15</f>
        <v>53175482.73999992</v>
      </c>
      <c r="AC28" s="26">
        <f>股权价值增加表!AC15</f>
        <v>34578017.93999996</v>
      </c>
      <c r="AD28" s="26">
        <f>股权价值增加表!AD15</f>
        <v>70254146.730000108</v>
      </c>
      <c r="AE28" s="26">
        <f>股权价值增加表!AE15</f>
        <v>58905027.049999952</v>
      </c>
      <c r="AF28" s="26">
        <f>股权价值增加表!AF15</f>
        <v>42240150.270000011</v>
      </c>
      <c r="AG28" s="26">
        <f>股权价值增加表!AG15</f>
        <v>24415512.66</v>
      </c>
      <c r="AH28" s="26">
        <f>股权价值增加表!AH15</f>
        <v>52659443.069999993</v>
      </c>
      <c r="AI28" s="26">
        <f>股权价值增加表!AI15</f>
        <v>37730522.44000002</v>
      </c>
      <c r="AJ28" s="26">
        <f>股权价值增加表!AJ15</f>
        <v>27115136.550000027</v>
      </c>
      <c r="AK28" s="26">
        <f>股权价值增加表!AK15</f>
        <v>27397677.310000006</v>
      </c>
      <c r="AL28" s="26">
        <f>股权价值增加表!AL15</f>
        <v>49780407.370000064</v>
      </c>
      <c r="AM28" s="26">
        <f>股权价值增加表!AM15</f>
        <v>40892721.82</v>
      </c>
      <c r="AN28" s="26">
        <f>股权价值增加表!AN15</f>
        <v>28951278.399999969</v>
      </c>
      <c r="AO28" s="26">
        <f>股权价值增加表!AO15</f>
        <v>17417010.950000007</v>
      </c>
      <c r="AP28" s="26">
        <f>股权价值增加表!AP15</f>
        <v>45292687.069999963</v>
      </c>
      <c r="AQ28" s="26">
        <f>股权价值增加表!AQ15</f>
        <v>28853765.210000031</v>
      </c>
      <c r="AR28" s="26">
        <f>股权价值增加表!AR15</f>
        <v>19064143.449999992</v>
      </c>
      <c r="AS28" s="26">
        <f>股权价值增加表!AS15</f>
        <v>11877597.629999995</v>
      </c>
      <c r="AT28" s="26">
        <f>股权价值增加表!AT15</f>
        <v>38656249.349999912</v>
      </c>
      <c r="AU28" s="26">
        <f>股权价值增加表!AU15</f>
        <v>21268569.960000016</v>
      </c>
      <c r="AV28" s="26">
        <f>股权价值增加表!AV15</f>
        <v>6353180.0400000159</v>
      </c>
      <c r="AW28" s="26">
        <f>股权价值增加表!AW15</f>
        <v>7992002.2100000177</v>
      </c>
      <c r="AX28" s="26">
        <f>股权价值增加表!AX15</f>
        <v>26361544.170000024</v>
      </c>
      <c r="AY28" s="26">
        <f>股权价值增加表!AY15</f>
        <v>25219407.780000016</v>
      </c>
      <c r="AZ28" s="26">
        <f>股权价值增加表!AZ15</f>
        <v>19382391.159999996</v>
      </c>
      <c r="BA28" s="26">
        <f>股权价值增加表!BA15</f>
        <v>5510018</v>
      </c>
      <c r="BB28" s="26">
        <f>股权价值增加表!BB15</f>
        <v>911595.06000000425</v>
      </c>
      <c r="BC28" s="26">
        <f>股权价值增加表!BC15</f>
        <v>5908938.4800000191</v>
      </c>
      <c r="BD28" s="26">
        <f>股权价值增加表!BD15</f>
        <v>7603927.0399999954</v>
      </c>
      <c r="BE28" s="26">
        <f>股权价值增加表!BE15</f>
        <v>5363858.3299999982</v>
      </c>
      <c r="BF28" s="26">
        <f>股权价值增加表!BF15</f>
        <v>2043439.4100000542</v>
      </c>
      <c r="BG28" s="26">
        <f>股权价值增加表!BG15</f>
        <v>4543492.9299999876</v>
      </c>
      <c r="BH28" s="26">
        <f>股权价值增加表!BH15</f>
        <v>3485968.909999989</v>
      </c>
      <c r="BI28" s="26">
        <f>股权价值增加表!BI15</f>
        <v>3124972.5100000044</v>
      </c>
      <c r="BJ28" s="26">
        <f>股权价值增加表!BJ15</f>
        <v>-34340265.589999996</v>
      </c>
      <c r="BK28" s="26">
        <f>股权价值增加表!BK15</f>
        <v>-24307180.199999984</v>
      </c>
      <c r="BL28" s="26">
        <f>股权价值增加表!BL15</f>
        <v>-12577922.459999993</v>
      </c>
      <c r="BM28" s="26">
        <f>股权价值增加表!BM15</f>
        <v>-2375910.2299999869</v>
      </c>
      <c r="BN28" s="26">
        <f>股权价值增加表!BN15</f>
        <v>-48225414.789999999</v>
      </c>
      <c r="BO28" s="26">
        <f>股权价值增加表!BO15</f>
        <v>-9912140.4500000291</v>
      </c>
      <c r="BP28" s="26">
        <f>股权价值增加表!BP15</f>
        <v>-952403.17000001413</v>
      </c>
      <c r="BQ28" s="26">
        <f>股权价值增加表!BQ15</f>
        <v>3579810.6599999899</v>
      </c>
      <c r="BR28" s="26">
        <f>股权价值增加表!BR15</f>
        <v>-17770940.239999976</v>
      </c>
      <c r="BS28" s="26">
        <f>股权价值增加表!BS15</f>
        <v>9528298.6199999619</v>
      </c>
      <c r="BT28" s="26">
        <f>股权价值增加表!BT15</f>
        <v>24732178.959999986</v>
      </c>
      <c r="BU28" s="26">
        <f>股权价值增加表!BU15</f>
        <v>10153678.000000002</v>
      </c>
      <c r="BV28" s="26">
        <f>股权价值增加表!BV15</f>
        <v>25447467.029999971</v>
      </c>
      <c r="BW28" s="26">
        <f>股权价值增加表!BW15</f>
        <v>17928982.910000011</v>
      </c>
      <c r="BX28" s="26">
        <f>股权价值增加表!BX15</f>
        <v>32597832.920000039</v>
      </c>
      <c r="BY28" s="26">
        <f>股权价值增加表!BY15</f>
        <v>17320859.820000023</v>
      </c>
      <c r="BZ28" s="26">
        <f>股权价值增加表!BZ15</f>
        <v>40916645.80999998</v>
      </c>
      <c r="CA28" s="26">
        <f>股权价值增加表!CA15</f>
        <v>23452494.340000022</v>
      </c>
      <c r="CB28" s="26">
        <f>股权价值增加表!CB15</f>
        <v>34674218.360000074</v>
      </c>
      <c r="CC28" s="26">
        <f>股权价值增加表!CC15</f>
        <v>22364577.750000004</v>
      </c>
      <c r="CD28" s="26">
        <f>股权价值增加表!CD15</f>
        <v>34981626.339999951</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c r="A29" s="145" t="s">
        <v>378</v>
      </c>
      <c r="E29" s="59">
        <f t="shared" ref="E29:AJ29" si="27">E28/E34</f>
        <v>0.41716500432722831</v>
      </c>
      <c r="F29" s="59">
        <f t="shared" si="27"/>
        <v>0.99988160120176905</v>
      </c>
      <c r="G29" s="59">
        <f t="shared" si="27"/>
        <v>0.9998874331251274</v>
      </c>
      <c r="H29" s="59">
        <f t="shared" si="27"/>
        <v>0.99989540378187625</v>
      </c>
      <c r="I29" s="59">
        <f t="shared" si="27"/>
        <v>7.5817754646347921E-2</v>
      </c>
      <c r="J29" s="59">
        <f t="shared" si="27"/>
        <v>1</v>
      </c>
      <c r="K29" s="59">
        <f t="shared" si="27"/>
        <v>1</v>
      </c>
      <c r="L29" s="59">
        <f t="shared" si="27"/>
        <v>1</v>
      </c>
      <c r="M29" s="59">
        <f t="shared" si="27"/>
        <v>0.20551222321471568</v>
      </c>
      <c r="N29" s="59">
        <f t="shared" si="27"/>
        <v>0.99202223083361274</v>
      </c>
      <c r="O29" s="59">
        <f t="shared" si="27"/>
        <v>0.99118848639342394</v>
      </c>
      <c r="P29" s="59">
        <f t="shared" si="27"/>
        <v>1</v>
      </c>
      <c r="Q29" s="59">
        <f t="shared" si="27"/>
        <v>0.56501365631219647</v>
      </c>
      <c r="R29" s="59">
        <f t="shared" si="27"/>
        <v>0.96448235668761551</v>
      </c>
      <c r="S29" s="59">
        <f t="shared" si="27"/>
        <v>0.95721088175003288</v>
      </c>
      <c r="T29" s="59">
        <f t="shared" si="27"/>
        <v>1</v>
      </c>
      <c r="U29" s="59">
        <f t="shared" si="27"/>
        <v>1.6574242407928537</v>
      </c>
      <c r="V29" s="59">
        <f t="shared" si="27"/>
        <v>0.99529949569855181</v>
      </c>
      <c r="W29" s="59">
        <f t="shared" si="27"/>
        <v>0.99434105906795422</v>
      </c>
      <c r="X29" s="59">
        <f t="shared" si="27"/>
        <v>1</v>
      </c>
      <c r="Y29" s="59">
        <f t="shared" si="27"/>
        <v>0.7570313587543499</v>
      </c>
      <c r="Z29" s="59">
        <f t="shared" si="27"/>
        <v>0.95513781850933988</v>
      </c>
      <c r="AA29" s="59">
        <f t="shared" si="27"/>
        <v>0.94443813851065217</v>
      </c>
      <c r="AB29" s="59">
        <f t="shared" si="27"/>
        <v>1</v>
      </c>
      <c r="AC29" s="59">
        <f t="shared" si="27"/>
        <v>0.68485443592491546</v>
      </c>
      <c r="AD29" s="59">
        <f t="shared" si="27"/>
        <v>1</v>
      </c>
      <c r="AE29" s="59">
        <f t="shared" si="27"/>
        <v>1</v>
      </c>
      <c r="AF29" s="59">
        <f t="shared" si="27"/>
        <v>1</v>
      </c>
      <c r="AG29" s="59">
        <f t="shared" si="27"/>
        <v>0.94095984314983938</v>
      </c>
      <c r="AH29" s="59">
        <f t="shared" si="27"/>
        <v>4.4093653275799483</v>
      </c>
      <c r="AI29" s="59">
        <f t="shared" si="27"/>
        <v>0.87546170797561162</v>
      </c>
      <c r="AJ29" s="59">
        <f t="shared" si="27"/>
        <v>2.0769325340346514</v>
      </c>
      <c r="AK29" s="59">
        <f t="shared" ref="AK29:BP29" si="28">AK28/AK34</f>
        <v>0.83157711140807722</v>
      </c>
      <c r="AL29" s="59">
        <f t="shared" si="28"/>
        <v>0.65006570296626087</v>
      </c>
      <c r="AM29" s="59">
        <f t="shared" si="28"/>
        <v>0.96605642696606475</v>
      </c>
      <c r="AN29" s="59">
        <f t="shared" si="28"/>
        <v>0.97956694068202865</v>
      </c>
      <c r="AO29" s="59">
        <f t="shared" si="28"/>
        <v>0.59173669051907063</v>
      </c>
      <c r="AP29" s="59">
        <f t="shared" si="28"/>
        <v>0.7608420482258198</v>
      </c>
      <c r="AQ29" s="59">
        <f t="shared" si="28"/>
        <v>0.65762562218521925</v>
      </c>
      <c r="AR29" s="59">
        <f t="shared" si="28"/>
        <v>0.55000210736868604</v>
      </c>
      <c r="AS29" s="59">
        <f t="shared" si="28"/>
        <v>0.72753330553483719</v>
      </c>
      <c r="AT29" s="59">
        <f t="shared" si="28"/>
        <v>0.86412236746288495</v>
      </c>
      <c r="AU29" s="59">
        <f t="shared" si="28"/>
        <v>0.91453679976714974</v>
      </c>
      <c r="AV29" s="59">
        <f t="shared" si="28"/>
        <v>0.85437700299283459</v>
      </c>
      <c r="AW29" s="59">
        <f t="shared" si="28"/>
        <v>0.79652173823431816</v>
      </c>
      <c r="AX29" s="59">
        <f t="shared" si="28"/>
        <v>0.91420609343233816</v>
      </c>
      <c r="AY29" s="59">
        <f t="shared" si="28"/>
        <v>0.9975705596050215</v>
      </c>
      <c r="AZ29" s="59">
        <f t="shared" si="28"/>
        <v>0.98076957297837319</v>
      </c>
      <c r="BA29" s="59">
        <f t="shared" si="28"/>
        <v>0.413233543973207</v>
      </c>
      <c r="BB29" s="59">
        <f t="shared" si="28"/>
        <v>9.0750610972139398</v>
      </c>
      <c r="BC29" s="59">
        <f t="shared" si="28"/>
        <v>1.1357970779536997</v>
      </c>
      <c r="BD29" s="59">
        <f t="shared" si="28"/>
        <v>1.0614824475820623</v>
      </c>
      <c r="BE29" s="59">
        <f t="shared" si="28"/>
        <v>1.3030857623474854</v>
      </c>
      <c r="BF29" s="59">
        <f t="shared" si="28"/>
        <v>-1.9793325498555348</v>
      </c>
      <c r="BG29" s="59">
        <f t="shared" si="28"/>
        <v>1.0610233433929062</v>
      </c>
      <c r="BH29" s="59">
        <f t="shared" si="28"/>
        <v>0.9524842465665333</v>
      </c>
      <c r="BI29" s="59">
        <f t="shared" si="28"/>
        <v>0.95832870162608563</v>
      </c>
      <c r="BJ29" s="59">
        <f t="shared" si="28"/>
        <v>1.0339194122919455</v>
      </c>
      <c r="BK29" s="59">
        <f t="shared" si="28"/>
        <v>1.0378128494799097</v>
      </c>
      <c r="BL29" s="59">
        <f t="shared" si="28"/>
        <v>1.0743642085806013</v>
      </c>
      <c r="BM29" s="59">
        <f t="shared" si="28"/>
        <v>1.2955898146826517</v>
      </c>
      <c r="BN29" s="59">
        <f t="shared" si="28"/>
        <v>0.73692865084629011</v>
      </c>
      <c r="BO29" s="59">
        <f t="shared" si="28"/>
        <v>0.5232536704369517</v>
      </c>
      <c r="BP29" s="59">
        <f t="shared" si="28"/>
        <v>0.29307135676351742</v>
      </c>
      <c r="BQ29" s="59">
        <f t="shared" ref="BQ29:CK29" si="29">BQ28/BQ34</f>
        <v>1.1428876448853127</v>
      </c>
      <c r="BR29" s="59">
        <f t="shared" si="29"/>
        <v>0.71015064338669776</v>
      </c>
      <c r="BS29" s="59">
        <f t="shared" si="29"/>
        <v>1</v>
      </c>
      <c r="BT29" s="59">
        <f t="shared" si="29"/>
        <v>0.86320202502127852</v>
      </c>
      <c r="BU29" s="59">
        <f t="shared" si="29"/>
        <v>0.77192690896036842</v>
      </c>
      <c r="BV29" s="59">
        <f t="shared" si="29"/>
        <v>1.146439492544745</v>
      </c>
      <c r="BW29" s="59">
        <f t="shared" si="29"/>
        <v>1</v>
      </c>
      <c r="BX29" s="59">
        <f t="shared" si="29"/>
        <v>1.091973549518209</v>
      </c>
      <c r="BY29" s="59">
        <f t="shared" si="29"/>
        <v>1</v>
      </c>
      <c r="BZ29" s="59">
        <f t="shared" si="29"/>
        <v>0.97438069293863905</v>
      </c>
      <c r="CA29" s="59">
        <f t="shared" si="29"/>
        <v>0.99829732852454522</v>
      </c>
      <c r="CB29" s="59">
        <f t="shared" si="29"/>
        <v>1.0007794205416913</v>
      </c>
      <c r="CC29" s="59">
        <f t="shared" si="29"/>
        <v>1.0050812162750462</v>
      </c>
      <c r="CD29" s="59">
        <f t="shared" si="29"/>
        <v>1.0180856601517778</v>
      </c>
      <c r="CE29" s="59" t="e">
        <f t="shared" si="29"/>
        <v>#DIV/0!</v>
      </c>
      <c r="CF29" s="59" t="e">
        <f t="shared" si="29"/>
        <v>#DIV/0!</v>
      </c>
      <c r="CG29" s="59" t="e">
        <f t="shared" si="29"/>
        <v>#DIV/0!</v>
      </c>
      <c r="CH29" s="59" t="e">
        <f t="shared" si="29"/>
        <v>#DIV/0!</v>
      </c>
      <c r="CI29" s="59" t="e">
        <f t="shared" si="29"/>
        <v>#DIV/0!</v>
      </c>
      <c r="CJ29" s="59" t="e">
        <f t="shared" si="29"/>
        <v>#DIV/0!</v>
      </c>
      <c r="CK29" s="59" t="e">
        <f t="shared" si="29"/>
        <v>#DIV/0!</v>
      </c>
    </row>
    <row r="30" spans="1:89" s="26" customFormat="1">
      <c r="A30" s="17" t="s">
        <v>374</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5367333.3499999996</v>
      </c>
      <c r="AI30" s="26">
        <f>股权价值增加表!AI20</f>
        <v>5367333.3499999996</v>
      </c>
      <c r="AJ30" s="26">
        <f>股权价值增加表!AJ20</f>
        <v>0</v>
      </c>
      <c r="AK30" s="26">
        <f>股权价值增加表!AK20</f>
        <v>1364388.6</v>
      </c>
      <c r="AL30" s="26">
        <f>股权价值增加表!AL20</f>
        <v>-257351.65</v>
      </c>
      <c r="AM30" s="26">
        <f>股权价值增加表!AM20</f>
        <v>1436815.75</v>
      </c>
      <c r="AN30" s="26">
        <f>股权价值增加表!AN20</f>
        <v>603902.77</v>
      </c>
      <c r="AO30" s="26">
        <f>股权价值增加表!AO20</f>
        <v>0</v>
      </c>
      <c r="AP30" s="26">
        <f>股权价值增加表!AP20</f>
        <v>14236997.41</v>
      </c>
      <c r="AQ30" s="26">
        <f>股权价值增加表!AQ20</f>
        <v>0</v>
      </c>
      <c r="AR30" s="26">
        <f>股权价值增加表!AR20</f>
        <v>0</v>
      </c>
      <c r="AS30" s="26">
        <f>股权价值增加表!AS20</f>
        <v>14129967.779999999</v>
      </c>
      <c r="AT30" s="26">
        <f>股权价值增加表!AT20</f>
        <v>5037313.24</v>
      </c>
      <c r="AU30" s="26">
        <f>股权价值增加表!AU20</f>
        <v>0</v>
      </c>
      <c r="AV30" s="26">
        <f>股权价值增加表!AV20</f>
        <v>0</v>
      </c>
      <c r="AW30" s="26">
        <f>股权价值增加表!AW20</f>
        <v>-1383627.67</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c r="A31" s="145" t="s">
        <v>379</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0.44942620345592521</v>
      </c>
      <c r="AI31" s="59">
        <f t="shared" si="30"/>
        <v>0.12453829202438836</v>
      </c>
      <c r="AJ31" s="59">
        <f t="shared" si="30"/>
        <v>0</v>
      </c>
      <c r="AK31" s="59">
        <f t="shared" si="30"/>
        <v>4.141206270839571E-2</v>
      </c>
      <c r="AL31" s="59">
        <f t="shared" si="30"/>
        <v>-3.3606691890512123E-3</v>
      </c>
      <c r="AM31" s="59">
        <f t="shared" si="30"/>
        <v>3.3943573033935227E-2</v>
      </c>
      <c r="AN31" s="59">
        <f t="shared" si="30"/>
        <v>2.0433059317971375E-2</v>
      </c>
      <c r="AO31" s="59">
        <f t="shared" si="30"/>
        <v>0</v>
      </c>
      <c r="AP31" s="59">
        <f t="shared" si="30"/>
        <v>0.23915795177418031</v>
      </c>
      <c r="AQ31" s="59">
        <f t="shared" si="30"/>
        <v>0</v>
      </c>
      <c r="AR31" s="59">
        <f t="shared" si="30"/>
        <v>0</v>
      </c>
      <c r="AS31" s="59">
        <f t="shared" si="30"/>
        <v>0.86549675164270989</v>
      </c>
      <c r="AT31" s="59">
        <f t="shared" si="30"/>
        <v>0.11260417437784728</v>
      </c>
      <c r="AU31" s="59">
        <f t="shared" si="30"/>
        <v>0</v>
      </c>
      <c r="AV31" s="59">
        <f t="shared" si="30"/>
        <v>0</v>
      </c>
      <c r="AW31" s="59">
        <f t="shared" si="30"/>
        <v>-0.13789905055312754</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t="e">
        <f t="shared" si="31"/>
        <v>#DIV/0!</v>
      </c>
      <c r="CF31" s="59" t="e">
        <f t="shared" si="31"/>
        <v>#DIV/0!</v>
      </c>
      <c r="CG31" s="59" t="e">
        <f t="shared" si="31"/>
        <v>#DIV/0!</v>
      </c>
      <c r="CH31" s="59" t="e">
        <f t="shared" si="31"/>
        <v>#DIV/0!</v>
      </c>
      <c r="CI31" s="59" t="e">
        <f t="shared" si="31"/>
        <v>#DIV/0!</v>
      </c>
      <c r="CJ31" s="59" t="e">
        <f t="shared" si="31"/>
        <v>#DIV/0!</v>
      </c>
      <c r="CK31" s="59" t="e">
        <f t="shared" si="31"/>
        <v>#DIV/0!</v>
      </c>
    </row>
    <row r="32" spans="1:89" s="26" customFormat="1">
      <c r="A32" s="17" t="s">
        <v>375</v>
      </c>
      <c r="E32" s="26">
        <f>股权价值增加表!E27</f>
        <v>124702277.23999999</v>
      </c>
      <c r="F32" s="26">
        <f>股权价值增加表!F27</f>
        <v>31730</v>
      </c>
      <c r="G32" s="26">
        <f>股权价值增加表!G27</f>
        <v>23686</v>
      </c>
      <c r="H32" s="26">
        <f>股权价值增加表!H27</f>
        <v>15806</v>
      </c>
      <c r="I32" s="26">
        <f>股权价值增加表!I27</f>
        <v>180678103.22</v>
      </c>
      <c r="J32" s="26">
        <f>股权价值增加表!J27</f>
        <v>0</v>
      </c>
      <c r="K32" s="26">
        <f>股权价值增加表!K27</f>
        <v>0</v>
      </c>
      <c r="L32" s="26">
        <f>股权价值增加表!L27</f>
        <v>0</v>
      </c>
      <c r="M32" s="26">
        <f>股权价值增加表!M27</f>
        <v>124170449.91999999</v>
      </c>
      <c r="N32" s="26">
        <f>股权价值增加表!N27</f>
        <v>955750</v>
      </c>
      <c r="O32" s="26">
        <f>股权价值增加表!O27</f>
        <v>955750</v>
      </c>
      <c r="P32" s="26">
        <f>股权价值增加表!P27</f>
        <v>0</v>
      </c>
      <c r="Q32" s="26">
        <f>股权价值增加表!Q27</f>
        <v>31117484.109999999</v>
      </c>
      <c r="R32" s="26">
        <f>股权价值增加表!R27</f>
        <v>4829200</v>
      </c>
      <c r="S32" s="26">
        <f>股权价值增加表!S27</f>
        <v>4829200</v>
      </c>
      <c r="T32" s="26">
        <f>股权价值增加表!T27</f>
        <v>0</v>
      </c>
      <c r="U32" s="26">
        <f>股权价值增加表!U27</f>
        <v>-16903977.5</v>
      </c>
      <c r="V32" s="26">
        <f>股权价值增加表!V27</f>
        <v>625000</v>
      </c>
      <c r="W32" s="26">
        <f>股权价值增加表!W27</f>
        <v>625000</v>
      </c>
      <c r="X32" s="26">
        <f>股权价值增加表!X27</f>
        <v>0</v>
      </c>
      <c r="Y32" s="26">
        <f>股权价值增加表!Y27</f>
        <v>14879401.399999999</v>
      </c>
      <c r="Z32" s="26">
        <f>股权价值增加表!Z27</f>
        <v>3750000</v>
      </c>
      <c r="AA32" s="26">
        <f>股权价值增加表!AA27</f>
        <v>3750000</v>
      </c>
      <c r="AB32" s="26">
        <f>股权价值增加表!AB27</f>
        <v>0</v>
      </c>
      <c r="AC32" s="26">
        <f>股权价值增加表!AC27</f>
        <v>15911569.520000003</v>
      </c>
      <c r="AD32" s="26">
        <f>股权价值增加表!AD27</f>
        <v>0</v>
      </c>
      <c r="AE32" s="26">
        <f>股权价值增加表!AE27</f>
        <v>0</v>
      </c>
      <c r="AF32" s="26">
        <f>股权价值增加表!AF27</f>
        <v>0</v>
      </c>
      <c r="AG32" s="26">
        <f>股权价值增加表!AG27</f>
        <v>1531941.7799999975</v>
      </c>
      <c r="AH32" s="26">
        <f>股权价值增加表!AH27</f>
        <v>-46084140.880000003</v>
      </c>
      <c r="AI32" s="26">
        <f>股权价值增加表!AI27</f>
        <v>0</v>
      </c>
      <c r="AJ32" s="26">
        <f>股权价值增加表!AJ27</f>
        <v>-14059759.879999999</v>
      </c>
      <c r="AK32" s="26">
        <f>股权价值增加表!AK27</f>
        <v>4184580.8099999996</v>
      </c>
      <c r="AL32" s="26">
        <f>股权价值增加表!AL27</f>
        <v>27054445.82</v>
      </c>
      <c r="AM32" s="26">
        <f>股权价值增加表!AM27</f>
        <v>0</v>
      </c>
      <c r="AN32" s="26">
        <f>股权价值增加表!AN27</f>
        <v>0</v>
      </c>
      <c r="AO32" s="26">
        <f>股权价值增加表!AO27</f>
        <v>12016707.170000002</v>
      </c>
      <c r="AP32" s="26">
        <f>股权价值增加表!AP27</f>
        <v>0</v>
      </c>
      <c r="AQ32" s="26">
        <f>股权价值增加表!AQ27</f>
        <v>15021905.439999999</v>
      </c>
      <c r="AR32" s="26">
        <f>股权价值增加表!AR27</f>
        <v>15597802.74</v>
      </c>
      <c r="AS32" s="26">
        <f>股权价值增加表!AS27</f>
        <v>-9681718.1400000006</v>
      </c>
      <c r="AT32" s="26">
        <f>股权价值增加表!AT27</f>
        <v>1041131.0199999996</v>
      </c>
      <c r="AU32" s="26">
        <f>股权价值增加表!AU27</f>
        <v>1987541.73</v>
      </c>
      <c r="AV32" s="26">
        <f>股权价值增加表!AV27</f>
        <v>1082858.17</v>
      </c>
      <c r="AW32" s="26">
        <f>股权价值增加表!AW27</f>
        <v>3425252.6999999993</v>
      </c>
      <c r="AX32" s="26">
        <f>股权价值增加表!AX27</f>
        <v>2473905.91</v>
      </c>
      <c r="AY32" s="26">
        <f>股权价值增加表!AY27</f>
        <v>61418.26</v>
      </c>
      <c r="AZ32" s="26">
        <f>股权价值增加表!AZ27</f>
        <v>380039.99</v>
      </c>
      <c r="BA32" s="26">
        <f>股权价值增加表!BA27</f>
        <v>7823889.8599999994</v>
      </c>
      <c r="BB32" s="26">
        <f>股权价值增加表!BB27</f>
        <v>-811144.49</v>
      </c>
      <c r="BC32" s="26">
        <f>股权价值增加表!BC27</f>
        <v>-706478.82</v>
      </c>
      <c r="BD32" s="26">
        <f>股权价值增加表!BD27</f>
        <v>-440429.37</v>
      </c>
      <c r="BE32" s="26">
        <f>股权价值增加表!BE27</f>
        <v>-1247584.1100000001</v>
      </c>
      <c r="BF32" s="26">
        <f>股权价值增加表!BF27</f>
        <v>-3075827.53</v>
      </c>
      <c r="BG32" s="26">
        <f>股权价值增加表!BG27</f>
        <v>-261312.94</v>
      </c>
      <c r="BH32" s="26">
        <f>股权价值增加表!BH27</f>
        <v>173901.5</v>
      </c>
      <c r="BI32" s="26">
        <f>股权价值增加表!BI27</f>
        <v>135884.13</v>
      </c>
      <c r="BJ32" s="26">
        <f>股权价值增加表!BJ27</f>
        <v>1126588.4099999999</v>
      </c>
      <c r="BK32" s="26">
        <f>股权价值增加表!BK27</f>
        <v>885635.35</v>
      </c>
      <c r="BL32" s="26">
        <f>股权价值增加表!BL27</f>
        <v>870605.37</v>
      </c>
      <c r="BM32" s="26">
        <f>股权价值增加表!BM27</f>
        <v>542065.75</v>
      </c>
      <c r="BN32" s="26">
        <f>股权价值增加表!BN27</f>
        <v>-17215676.059999999</v>
      </c>
      <c r="BO32" s="26">
        <f>股权价值增加表!BO27</f>
        <v>-9031138.9000000004</v>
      </c>
      <c r="BP32" s="26">
        <f>股权价值增加表!BP27</f>
        <v>-2297328.16</v>
      </c>
      <c r="BQ32" s="26">
        <f>股权价值增加表!BQ27</f>
        <v>-447559.93</v>
      </c>
      <c r="BR32" s="26">
        <f>股权价值增加表!BR27</f>
        <v>-7253243.5800000001</v>
      </c>
      <c r="BS32" s="26">
        <f>股权价值增加表!BS27</f>
        <v>0</v>
      </c>
      <c r="BT32" s="26">
        <f>股权价值增加表!BT27</f>
        <v>3919490.34</v>
      </c>
      <c r="BU32" s="26">
        <f>股权价值增加表!BU27</f>
        <v>3000000</v>
      </c>
      <c r="BV32" s="26">
        <f>股权价值增加表!BV27</f>
        <v>-3250510.98</v>
      </c>
      <c r="BW32" s="26">
        <f>股权价值增加表!BW27</f>
        <v>0</v>
      </c>
      <c r="BX32" s="26">
        <f>股权价值增加表!BX27</f>
        <v>-2745614.49</v>
      </c>
      <c r="BY32" s="26">
        <f>股权价值增加表!BY27</f>
        <v>0</v>
      </c>
      <c r="BZ32" s="26">
        <f>股权价值增加表!BZ27</f>
        <v>1075817.82</v>
      </c>
      <c r="CA32" s="26">
        <f>股权价值增加表!CA27</f>
        <v>40000</v>
      </c>
      <c r="CB32" s="26">
        <f>股权价值增加表!CB27</f>
        <v>-27004.75</v>
      </c>
      <c r="CC32" s="26">
        <f>股权价值增加表!CC27</f>
        <v>-113064.75</v>
      </c>
      <c r="CD32" s="26">
        <f>股权价值增加表!CD27</f>
        <v>-621426.89</v>
      </c>
      <c r="CE32" s="26">
        <f>股权价值增加表!CE27</f>
        <v>0</v>
      </c>
      <c r="CF32" s="26">
        <f>股权价值增加表!CF27</f>
        <v>0</v>
      </c>
      <c r="CG32" s="26">
        <f>股权价值增加表!CG27</f>
        <v>0</v>
      </c>
      <c r="CH32" s="26">
        <f>股权价值增加表!CH27</f>
        <v>0</v>
      </c>
      <c r="CI32" s="26">
        <f>股权价值增加表!CI27</f>
        <v>0</v>
      </c>
      <c r="CJ32" s="26">
        <f>股权价值增加表!CJ27</f>
        <v>0</v>
      </c>
      <c r="CK32" s="26">
        <f>股权价值增加表!CK27</f>
        <v>0</v>
      </c>
    </row>
    <row r="33" spans="1:89" s="59" customFormat="1">
      <c r="A33" s="145" t="s">
        <v>380</v>
      </c>
      <c r="E33" s="59">
        <f>E32/E34</f>
        <v>0.58283499567277164</v>
      </c>
      <c r="F33" s="59">
        <f t="shared" ref="F33:BQ33" si="32">F32/F34</f>
        <v>1.1839879823098851E-4</v>
      </c>
      <c r="G33" s="59">
        <f t="shared" si="32"/>
        <v>1.1256687487256235E-4</v>
      </c>
      <c r="H33" s="59">
        <f t="shared" si="32"/>
        <v>1.0459621812375286E-4</v>
      </c>
      <c r="I33" s="59">
        <f t="shared" si="32"/>
        <v>0.92418224535365201</v>
      </c>
      <c r="J33" s="59">
        <f t="shared" si="32"/>
        <v>0</v>
      </c>
      <c r="K33" s="59">
        <f t="shared" si="32"/>
        <v>0</v>
      </c>
      <c r="L33" s="59">
        <f t="shared" si="32"/>
        <v>0</v>
      </c>
      <c r="M33" s="59">
        <f t="shared" si="32"/>
        <v>0.79448777678528437</v>
      </c>
      <c r="N33" s="59">
        <f t="shared" si="32"/>
        <v>7.977769166387266E-3</v>
      </c>
      <c r="O33" s="59">
        <f t="shared" si="32"/>
        <v>8.8115136065760376E-3</v>
      </c>
      <c r="P33" s="59">
        <f t="shared" si="32"/>
        <v>0</v>
      </c>
      <c r="Q33" s="59">
        <f t="shared" si="32"/>
        <v>0.43498634368780348</v>
      </c>
      <c r="R33" s="59">
        <f t="shared" si="32"/>
        <v>3.5517643312384578E-2</v>
      </c>
      <c r="S33" s="59">
        <f t="shared" si="32"/>
        <v>4.2789118249967152E-2</v>
      </c>
      <c r="T33" s="59">
        <f t="shared" si="32"/>
        <v>0</v>
      </c>
      <c r="U33" s="59">
        <f t="shared" si="32"/>
        <v>-0.65742424079285378</v>
      </c>
      <c r="V33" s="59">
        <f t="shared" si="32"/>
        <v>4.7005043014481827E-3</v>
      </c>
      <c r="W33" s="59">
        <f t="shared" si="32"/>
        <v>5.6589409320458072E-3</v>
      </c>
      <c r="X33" s="59">
        <f t="shared" si="32"/>
        <v>0</v>
      </c>
      <c r="Y33" s="59">
        <f t="shared" si="32"/>
        <v>0.2429686412456501</v>
      </c>
      <c r="Z33" s="59">
        <f t="shared" si="32"/>
        <v>4.4862181490660152E-2</v>
      </c>
      <c r="AA33" s="59">
        <f t="shared" si="32"/>
        <v>5.5561861489347691E-2</v>
      </c>
      <c r="AB33" s="59">
        <f t="shared" si="32"/>
        <v>0</v>
      </c>
      <c r="AC33" s="59">
        <f t="shared" si="32"/>
        <v>0.31514556407508454</v>
      </c>
      <c r="AD33" s="59">
        <f t="shared" si="32"/>
        <v>0</v>
      </c>
      <c r="AE33" s="59">
        <f t="shared" si="32"/>
        <v>0</v>
      </c>
      <c r="AF33" s="59">
        <f t="shared" si="32"/>
        <v>0</v>
      </c>
      <c r="AG33" s="59">
        <f t="shared" si="32"/>
        <v>5.9040156850160661E-2</v>
      </c>
      <c r="AH33" s="59">
        <f t="shared" si="32"/>
        <v>-3.8587915310358736</v>
      </c>
      <c r="AI33" s="59">
        <f t="shared" si="32"/>
        <v>0</v>
      </c>
      <c r="AJ33" s="59">
        <f t="shared" si="32"/>
        <v>-1.0769325340346514</v>
      </c>
      <c r="AK33" s="59">
        <f t="shared" si="32"/>
        <v>0.12701082588352708</v>
      </c>
      <c r="AL33" s="59">
        <f t="shared" si="32"/>
        <v>0.35329496622279039</v>
      </c>
      <c r="AM33" s="59">
        <f t="shared" si="32"/>
        <v>0</v>
      </c>
      <c r="AN33" s="59">
        <f t="shared" si="32"/>
        <v>0</v>
      </c>
      <c r="AO33" s="59">
        <f t="shared" si="32"/>
        <v>0.40826330948092937</v>
      </c>
      <c r="AP33" s="59">
        <f t="shared" si="32"/>
        <v>0</v>
      </c>
      <c r="AQ33" s="59">
        <f t="shared" si="32"/>
        <v>0.34237437781478081</v>
      </c>
      <c r="AR33" s="59">
        <f t="shared" si="32"/>
        <v>0.44999789263131401</v>
      </c>
      <c r="AS33" s="59">
        <f t="shared" si="32"/>
        <v>-0.5930300571775472</v>
      </c>
      <c r="AT33" s="59">
        <f t="shared" si="32"/>
        <v>2.3273458159267846E-2</v>
      </c>
      <c r="AU33" s="59">
        <f t="shared" si="32"/>
        <v>8.5463200232850214E-2</v>
      </c>
      <c r="AV33" s="59">
        <f t="shared" si="32"/>
        <v>0.14562299700716541</v>
      </c>
      <c r="AW33" s="59">
        <f t="shared" si="32"/>
        <v>0.34137731231880941</v>
      </c>
      <c r="AX33" s="59">
        <f t="shared" si="32"/>
        <v>8.5793906567661879E-2</v>
      </c>
      <c r="AY33" s="59">
        <f t="shared" si="32"/>
        <v>2.4294403949784845E-3</v>
      </c>
      <c r="AZ33" s="59">
        <f t="shared" si="32"/>
        <v>1.9230427021626844E-2</v>
      </c>
      <c r="BA33" s="59">
        <f t="shared" si="32"/>
        <v>0.586766456026793</v>
      </c>
      <c r="BB33" s="59">
        <f t="shared" si="32"/>
        <v>-8.0750610972139398</v>
      </c>
      <c r="BC33" s="59">
        <f t="shared" si="32"/>
        <v>-0.13579707795369958</v>
      </c>
      <c r="BD33" s="59">
        <f t="shared" si="32"/>
        <v>-6.1482447582062283E-2</v>
      </c>
      <c r="BE33" s="59">
        <f t="shared" si="32"/>
        <v>-0.30308576234748535</v>
      </c>
      <c r="BF33" s="59">
        <f t="shared" si="32"/>
        <v>2.9793325498555348</v>
      </c>
      <c r="BG33" s="59">
        <f t="shared" si="32"/>
        <v>-6.1023343392906E-2</v>
      </c>
      <c r="BH33" s="59">
        <f t="shared" si="32"/>
        <v>4.7515753433466659E-2</v>
      </c>
      <c r="BI33" s="59">
        <f t="shared" si="32"/>
        <v>4.1671298373914353E-2</v>
      </c>
      <c r="BJ33" s="59">
        <f t="shared" si="32"/>
        <v>-3.391941229194545E-2</v>
      </c>
      <c r="BK33" s="59">
        <f t="shared" si="32"/>
        <v>-3.7812849479909545E-2</v>
      </c>
      <c r="BL33" s="59">
        <f t="shared" si="32"/>
        <v>-7.4364208580601485E-2</v>
      </c>
      <c r="BM33" s="59">
        <f t="shared" si="32"/>
        <v>-0.29558981468265177</v>
      </c>
      <c r="BN33" s="59">
        <f t="shared" si="32"/>
        <v>0.26307134915370989</v>
      </c>
      <c r="BO33" s="59">
        <f t="shared" si="32"/>
        <v>0.47674632956304819</v>
      </c>
      <c r="BP33" s="59">
        <f t="shared" si="32"/>
        <v>0.70692864323648263</v>
      </c>
      <c r="BQ33" s="59">
        <f t="shared" si="32"/>
        <v>-0.14288764488531269</v>
      </c>
      <c r="BR33" s="59">
        <f t="shared" ref="BR33:CJ33" si="33">BR32/BR34</f>
        <v>0.28984935661330219</v>
      </c>
      <c r="BS33" s="59">
        <f t="shared" si="33"/>
        <v>0</v>
      </c>
      <c r="BT33" s="59">
        <f t="shared" si="33"/>
        <v>0.13679797497872145</v>
      </c>
      <c r="BU33" s="59">
        <f t="shared" si="33"/>
        <v>0.22807309103963161</v>
      </c>
      <c r="BV33" s="59">
        <f t="shared" si="33"/>
        <v>-0.14643949254474486</v>
      </c>
      <c r="BW33" s="59">
        <f t="shared" si="33"/>
        <v>0</v>
      </c>
      <c r="BX33" s="59">
        <f t="shared" si="33"/>
        <v>-9.1973549518209019E-2</v>
      </c>
      <c r="BY33" s="59">
        <f t="shared" si="33"/>
        <v>0</v>
      </c>
      <c r="BZ33" s="59">
        <f t="shared" si="33"/>
        <v>2.5619307061360921E-2</v>
      </c>
      <c r="CA33" s="59">
        <f t="shared" si="33"/>
        <v>1.7026714754547413E-3</v>
      </c>
      <c r="CB33" s="59">
        <f t="shared" si="33"/>
        <v>-7.7942054169128727E-4</v>
      </c>
      <c r="CC33" s="59">
        <f t="shared" si="33"/>
        <v>-5.0812162750461052E-3</v>
      </c>
      <c r="CD33" s="59">
        <f t="shared" si="33"/>
        <v>-1.8085660151777753E-2</v>
      </c>
      <c r="CE33" s="59" t="e">
        <f t="shared" si="33"/>
        <v>#DIV/0!</v>
      </c>
      <c r="CF33" s="59" t="e">
        <f t="shared" si="33"/>
        <v>#DIV/0!</v>
      </c>
      <c r="CG33" s="59" t="e">
        <f t="shared" si="33"/>
        <v>#DIV/0!</v>
      </c>
      <c r="CH33" s="59" t="e">
        <f t="shared" si="33"/>
        <v>#DIV/0!</v>
      </c>
      <c r="CI33" s="59" t="e">
        <f t="shared" si="33"/>
        <v>#DIV/0!</v>
      </c>
      <c r="CJ33" s="59" t="e">
        <f t="shared" si="33"/>
        <v>#DIV/0!</v>
      </c>
    </row>
    <row r="34" spans="1:89" s="58" customFormat="1">
      <c r="A34" s="145" t="s">
        <v>376</v>
      </c>
      <c r="E34" s="58">
        <f>股权价值增加表!E31</f>
        <v>213958115.36000001</v>
      </c>
      <c r="F34" s="58">
        <f>股权价值增加表!F31</f>
        <v>267992585.00999978</v>
      </c>
      <c r="G34" s="58">
        <f>股权价值增加表!G31</f>
        <v>210417141.15999991</v>
      </c>
      <c r="H34" s="58">
        <f>股权价值增加表!H31</f>
        <v>151114450.25</v>
      </c>
      <c r="I34" s="58">
        <f>股权价值增加表!I31</f>
        <v>195500513.16</v>
      </c>
      <c r="J34" s="58">
        <f>股权价值增加表!J31</f>
        <v>101616487.05999991</v>
      </c>
      <c r="K34" s="58">
        <f>股权价值增加表!K31</f>
        <v>86827967.650000006</v>
      </c>
      <c r="L34" s="58">
        <f>股权价值增加表!L31</f>
        <v>63069160.919999979</v>
      </c>
      <c r="M34" s="58">
        <f>股权价值增加表!M31</f>
        <v>156289943.71999997</v>
      </c>
      <c r="N34" s="58">
        <f>股权价值增加表!N31</f>
        <v>119801661.35000013</v>
      </c>
      <c r="O34" s="58">
        <f>股权价值增加表!O31</f>
        <v>108466041.43999997</v>
      </c>
      <c r="P34" s="58">
        <f>股权价值增加表!P31</f>
        <v>75737733.859999985</v>
      </c>
      <c r="Q34" s="58">
        <f>股权价值增加表!Q31</f>
        <v>71536692.040000007</v>
      </c>
      <c r="R34" s="58">
        <f>股权价值增加表!R31</f>
        <v>135966228.31999993</v>
      </c>
      <c r="S34" s="58">
        <f>股权价值增加表!S31</f>
        <v>112860470.08</v>
      </c>
      <c r="T34" s="58">
        <f>股权价值增加表!T31</f>
        <v>75560607.849999964</v>
      </c>
      <c r="U34" s="58">
        <f>股权价值增加表!U31</f>
        <v>25712434.150000006</v>
      </c>
      <c r="V34" s="58">
        <f>股权价值增加表!V31</f>
        <v>132964456.55999999</v>
      </c>
      <c r="W34" s="58">
        <f>股权价值增加表!W31</f>
        <v>110444694.07000004</v>
      </c>
      <c r="X34" s="58">
        <f>股权价值增加表!X31</f>
        <v>79512585.110000014</v>
      </c>
      <c r="Y34" s="58">
        <f>股权价值增加表!Y31</f>
        <v>61240007.45000004</v>
      </c>
      <c r="Z34" s="58">
        <f>股权价值增加表!Z31</f>
        <v>83589336.839999899</v>
      </c>
      <c r="AA34" s="58">
        <f>股权价值增加表!AA31</f>
        <v>67492339.160000056</v>
      </c>
      <c r="AB34" s="58">
        <f>股权价值增加表!AB31</f>
        <v>53175482.73999992</v>
      </c>
      <c r="AC34" s="58">
        <f>股权价值增加表!AC31</f>
        <v>50489587.459999964</v>
      </c>
      <c r="AD34" s="58">
        <f>股权价值增加表!AD31</f>
        <v>70254146.730000108</v>
      </c>
      <c r="AE34" s="58">
        <f>股权价值增加表!AE31</f>
        <v>58905027.049999952</v>
      </c>
      <c r="AF34" s="58">
        <f>股权价值增加表!AF31</f>
        <v>42240150.270000011</v>
      </c>
      <c r="AG34" s="58">
        <f>股权价值增加表!AG31</f>
        <v>25947454.439999998</v>
      </c>
      <c r="AH34" s="58">
        <f>股权价值增加表!AH31</f>
        <v>11942635.539999992</v>
      </c>
      <c r="AI34" s="58">
        <f>股权价值增加表!AI31</f>
        <v>43097855.790000021</v>
      </c>
      <c r="AJ34" s="58">
        <f>股权价值增加表!AJ31</f>
        <v>13055376.670000028</v>
      </c>
      <c r="AK34" s="58">
        <f>股权价值增加表!AK31</f>
        <v>32946646.720000006</v>
      </c>
      <c r="AL34" s="58">
        <f>股权价值增加表!AL31</f>
        <v>76577501.540000066</v>
      </c>
      <c r="AM34" s="58">
        <f>股权价值增加表!AM31</f>
        <v>42329537.57</v>
      </c>
      <c r="AN34" s="58">
        <f>股权价值增加表!AN31</f>
        <v>29555181.169999968</v>
      </c>
      <c r="AO34" s="58">
        <f>股权价值增加表!AO31</f>
        <v>29433718.120000008</v>
      </c>
      <c r="AP34" s="58">
        <f>股权价值增加表!AP31</f>
        <v>59529684.479999959</v>
      </c>
      <c r="AQ34" s="58">
        <f>股权价值增加表!AQ31</f>
        <v>43875670.650000028</v>
      </c>
      <c r="AR34" s="58">
        <f>股权价值增加表!AR31</f>
        <v>34661946.18999999</v>
      </c>
      <c r="AS34" s="58">
        <f>股权价值增加表!AS31</f>
        <v>16325847.269999996</v>
      </c>
      <c r="AT34" s="58">
        <f>股权价值增加表!AT31</f>
        <v>44734693.60999991</v>
      </c>
      <c r="AU34" s="58">
        <f>股权价值增加表!AU31</f>
        <v>23256111.690000016</v>
      </c>
      <c r="AV34" s="58">
        <f>股权价值增加表!AV31</f>
        <v>7436038.2100000158</v>
      </c>
      <c r="AW34" s="58">
        <f>股权价值增加表!AW31</f>
        <v>10033627.240000017</v>
      </c>
      <c r="AX34" s="58">
        <f>股权价值增加表!AX31</f>
        <v>28835450.080000024</v>
      </c>
      <c r="AY34" s="58">
        <f>股权价值增加表!AY31</f>
        <v>25280826.040000018</v>
      </c>
      <c r="AZ34" s="58">
        <f>股权价值增加表!AZ31</f>
        <v>19762431.149999995</v>
      </c>
      <c r="BA34" s="58">
        <f>股权价值增加表!BA31</f>
        <v>13333907.859999999</v>
      </c>
      <c r="BB34" s="58">
        <f>股权价值增加表!BB31</f>
        <v>100450.57000000426</v>
      </c>
      <c r="BC34" s="58">
        <f>股权价值增加表!BC31</f>
        <v>5202459.6600000188</v>
      </c>
      <c r="BD34" s="58">
        <f>股权价值增加表!BD31</f>
        <v>7163497.6699999953</v>
      </c>
      <c r="BE34" s="58">
        <f>股权价值增加表!BE31</f>
        <v>4116274.2199999979</v>
      </c>
      <c r="BF34" s="58">
        <f>股权价值增加表!BF31</f>
        <v>-1032388.1199999456</v>
      </c>
      <c r="BG34" s="58">
        <f>股权价值增加表!BG31</f>
        <v>4282179.9899999872</v>
      </c>
      <c r="BH34" s="58">
        <f>股权价值增加表!BH31</f>
        <v>3659870.409999989</v>
      </c>
      <c r="BI34" s="58">
        <f>股权价值增加表!BI31</f>
        <v>3260856.6400000043</v>
      </c>
      <c r="BJ34" s="58">
        <f>股权价值增加表!BJ31</f>
        <v>-33213677.179999996</v>
      </c>
      <c r="BK34" s="58">
        <f>股权价值增加表!BK31</f>
        <v>-23421544.849999983</v>
      </c>
      <c r="BL34" s="58">
        <f>股权价值增加表!BL31</f>
        <v>-11707317.089999994</v>
      </c>
      <c r="BM34" s="58">
        <f>股权价值增加表!BM31</f>
        <v>-1833844.4799999869</v>
      </c>
      <c r="BN34" s="58">
        <f>股权价值增加表!BN31</f>
        <v>-65441090.849999994</v>
      </c>
      <c r="BO34" s="58">
        <f>股权价值增加表!BO31</f>
        <v>-18943279.350000031</v>
      </c>
      <c r="BP34" s="58">
        <f>股权价值增加表!BP31</f>
        <v>-3249731.330000014</v>
      </c>
      <c r="BQ34" s="58">
        <f>股权价值增加表!BQ31</f>
        <v>3132250.7299999897</v>
      </c>
      <c r="BR34" s="58">
        <f>股权价值增加表!BR31</f>
        <v>-25024183.819999978</v>
      </c>
      <c r="BS34" s="58">
        <f>股权价值增加表!BS31</f>
        <v>9528298.6199999619</v>
      </c>
      <c r="BT34" s="58">
        <f>股权价值增加表!BT31</f>
        <v>28651669.299999986</v>
      </c>
      <c r="BU34" s="58">
        <f>股权价值增加表!BU31</f>
        <v>13153678.000000002</v>
      </c>
      <c r="BV34" s="58">
        <f>股权价值增加表!BV31</f>
        <v>22196956.049999971</v>
      </c>
      <c r="BW34" s="58">
        <f>股权价值增加表!BW31</f>
        <v>17928982.910000011</v>
      </c>
      <c r="BX34" s="58">
        <f>股权价值增加表!BX31</f>
        <v>29852218.430000037</v>
      </c>
      <c r="BY34" s="58">
        <f>股权价值增加表!BY31</f>
        <v>17320859.820000023</v>
      </c>
      <c r="BZ34" s="58">
        <f>股权价值增加表!BZ31</f>
        <v>41992463.62999998</v>
      </c>
      <c r="CA34" s="58">
        <f>股权价值增加表!CA31</f>
        <v>23492494.340000022</v>
      </c>
      <c r="CB34" s="58">
        <f>股权价值增加表!CB31</f>
        <v>34647213.610000074</v>
      </c>
      <c r="CC34" s="58">
        <f>股权价值增加表!CC31</f>
        <v>22251513.000000004</v>
      </c>
      <c r="CD34" s="58">
        <f>股权价值增加表!CD31</f>
        <v>34360199.449999951</v>
      </c>
      <c r="CE34" s="58">
        <f>股权价值增加表!CE31</f>
        <v>0</v>
      </c>
      <c r="CF34" s="58">
        <f>股权价值增加表!CF31</f>
        <v>0</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c r="A35" s="281" t="s">
        <v>676</v>
      </c>
      <c r="B35" s="282"/>
      <c r="C35" s="282"/>
      <c r="D35" s="282"/>
      <c r="E35" s="282"/>
      <c r="F35" s="282"/>
      <c r="G35" s="282"/>
      <c r="H35" s="282"/>
      <c r="I35" s="282"/>
      <c r="J35" s="282"/>
      <c r="K35" s="282"/>
      <c r="L35" s="282"/>
      <c r="M35" s="282"/>
      <c r="N35" s="282"/>
      <c r="O35" s="282"/>
      <c r="P35" s="282"/>
      <c r="Q35" s="282"/>
      <c r="R35" s="282"/>
      <c r="S35" s="282"/>
      <c r="T35" s="282"/>
      <c r="U35" s="282"/>
      <c r="V35" s="282"/>
      <c r="W35" s="282"/>
      <c r="X35" s="282"/>
      <c r="Y35" s="282"/>
      <c r="Z35" s="282"/>
      <c r="AA35" s="282"/>
      <c r="AB35" s="282"/>
      <c r="AC35" s="282"/>
      <c r="AD35" s="282"/>
      <c r="AE35" s="282"/>
      <c r="AF35" s="282"/>
      <c r="AG35" s="282"/>
    </row>
    <row r="38" spans="1:89">
      <c r="A38" s="20" t="s">
        <v>381</v>
      </c>
      <c r="B38" s="1">
        <v>43465</v>
      </c>
      <c r="C38" s="1">
        <v>43373</v>
      </c>
      <c r="D38" s="1">
        <v>43281</v>
      </c>
      <c r="E38" s="1">
        <v>43190</v>
      </c>
      <c r="F38" s="1">
        <v>43100</v>
      </c>
      <c r="G38" s="1">
        <v>43008</v>
      </c>
      <c r="H38" s="1">
        <v>42916</v>
      </c>
      <c r="I38" s="1">
        <v>42825</v>
      </c>
      <c r="J38" s="1">
        <v>42735</v>
      </c>
      <c r="K38" s="1">
        <v>42643</v>
      </c>
      <c r="L38" s="1">
        <v>42551</v>
      </c>
      <c r="M38" s="1">
        <v>42460</v>
      </c>
      <c r="N38" s="1">
        <v>42369</v>
      </c>
      <c r="O38" s="1">
        <v>42277</v>
      </c>
      <c r="P38" s="1">
        <v>42185</v>
      </c>
      <c r="Q38" s="1">
        <v>42094</v>
      </c>
      <c r="R38" s="1">
        <v>42004</v>
      </c>
      <c r="S38" s="1">
        <v>41912</v>
      </c>
      <c r="T38" s="1">
        <v>41820</v>
      </c>
      <c r="U38" s="1">
        <v>41729</v>
      </c>
      <c r="V38" s="1">
        <v>41639</v>
      </c>
      <c r="W38" s="1">
        <v>41547</v>
      </c>
      <c r="X38" s="1">
        <v>41455</v>
      </c>
      <c r="Y38" s="1">
        <v>41364</v>
      </c>
      <c r="Z38" s="1">
        <v>41274</v>
      </c>
      <c r="AA38" s="1">
        <v>41182</v>
      </c>
      <c r="AB38" s="1">
        <v>41090</v>
      </c>
      <c r="AC38" s="1">
        <v>40999</v>
      </c>
      <c r="AD38" s="1">
        <v>40908</v>
      </c>
      <c r="AE38" s="1">
        <v>40816</v>
      </c>
      <c r="AF38" s="1">
        <v>40724</v>
      </c>
      <c r="AG38" s="1">
        <v>40633</v>
      </c>
      <c r="AH38" s="1">
        <v>40543</v>
      </c>
      <c r="AI38" s="1">
        <v>40451</v>
      </c>
      <c r="AJ38" s="1">
        <v>40359</v>
      </c>
      <c r="AK38" s="1">
        <v>40268</v>
      </c>
      <c r="AL38" s="1">
        <v>40178</v>
      </c>
      <c r="AM38" s="1">
        <v>40086</v>
      </c>
      <c r="AN38" s="1">
        <v>39994</v>
      </c>
      <c r="AO38" s="1">
        <v>39903</v>
      </c>
      <c r="AP38" s="1">
        <v>39813</v>
      </c>
      <c r="AQ38" s="1">
        <v>39721</v>
      </c>
      <c r="AR38" s="1">
        <v>39629</v>
      </c>
      <c r="AS38" s="1">
        <v>39538</v>
      </c>
      <c r="AT38" s="1">
        <v>39447</v>
      </c>
      <c r="AU38" s="1">
        <v>39355</v>
      </c>
      <c r="AV38" s="1">
        <v>39263</v>
      </c>
      <c r="AW38" s="1">
        <v>39172</v>
      </c>
      <c r="AX38" s="1">
        <v>39082</v>
      </c>
      <c r="AY38" s="1">
        <v>38990</v>
      </c>
      <c r="AZ38" s="1">
        <v>38898</v>
      </c>
      <c r="BA38" s="1">
        <v>38807</v>
      </c>
      <c r="BB38" s="1">
        <v>38717</v>
      </c>
      <c r="BC38" s="1">
        <v>38625</v>
      </c>
      <c r="BD38" s="1">
        <v>38533</v>
      </c>
      <c r="BE38" s="1">
        <v>38442</v>
      </c>
      <c r="BF38" s="1">
        <v>38352</v>
      </c>
      <c r="BG38" s="1">
        <v>38260</v>
      </c>
      <c r="BH38" s="1">
        <v>38168</v>
      </c>
      <c r="BI38" s="1">
        <v>38077</v>
      </c>
      <c r="BJ38" s="1">
        <v>37986</v>
      </c>
      <c r="BK38" s="1">
        <v>37894</v>
      </c>
      <c r="BL38" s="1">
        <v>37802</v>
      </c>
      <c r="BM38" s="1">
        <v>37711</v>
      </c>
      <c r="BN38" s="1">
        <v>37621</v>
      </c>
      <c r="BO38" s="1">
        <v>37529</v>
      </c>
      <c r="BP38" s="1">
        <v>37437</v>
      </c>
      <c r="BQ38" s="1">
        <v>37346</v>
      </c>
      <c r="BR38" s="1">
        <v>37256</v>
      </c>
      <c r="BS38" s="1">
        <v>37072</v>
      </c>
      <c r="BT38" s="1">
        <v>36891</v>
      </c>
      <c r="BU38" s="1">
        <v>36707</v>
      </c>
      <c r="BV38" s="1">
        <v>36525</v>
      </c>
      <c r="BW38" s="1">
        <v>36341</v>
      </c>
      <c r="BX38" s="1">
        <v>36160</v>
      </c>
      <c r="BY38" s="1">
        <v>35976</v>
      </c>
      <c r="BZ38" s="1">
        <v>35795</v>
      </c>
      <c r="CA38" s="1">
        <v>35611</v>
      </c>
      <c r="CB38" s="1">
        <v>35430</v>
      </c>
      <c r="CC38" s="1">
        <v>35246</v>
      </c>
      <c r="CD38" s="1">
        <v>35064</v>
      </c>
      <c r="CE38" s="1">
        <v>25569</v>
      </c>
      <c r="CF38" s="1"/>
      <c r="CG38" s="1"/>
      <c r="CH38" s="1"/>
      <c r="CI38" s="1"/>
      <c r="CJ38" s="1"/>
      <c r="CK38" s="1"/>
    </row>
    <row r="39" spans="1:89">
      <c r="A39" s="17" t="s">
        <v>376</v>
      </c>
      <c r="E39" s="26">
        <f>股权价值增加表!E31</f>
        <v>213958115.36000001</v>
      </c>
      <c r="F39" s="26">
        <f>股权价值增加表!F31</f>
        <v>267992585.00999978</v>
      </c>
      <c r="G39" s="26">
        <f>股权价值增加表!G31</f>
        <v>210417141.15999991</v>
      </c>
      <c r="H39" s="26">
        <f>股权价值增加表!H31</f>
        <v>151114450.25</v>
      </c>
      <c r="I39" s="26">
        <f>股权价值增加表!I31</f>
        <v>195500513.16</v>
      </c>
      <c r="J39" s="26">
        <f>股权价值增加表!J31</f>
        <v>101616487.05999991</v>
      </c>
      <c r="K39" s="26">
        <f>股权价值增加表!K31</f>
        <v>86827967.650000006</v>
      </c>
      <c r="L39" s="26">
        <f>股权价值增加表!L31</f>
        <v>63069160.919999979</v>
      </c>
      <c r="M39" s="26">
        <f>股权价值增加表!M31</f>
        <v>156289943.71999997</v>
      </c>
      <c r="N39" s="26">
        <f>股权价值增加表!N31</f>
        <v>119801661.35000013</v>
      </c>
      <c r="O39" s="26">
        <f>股权价值增加表!O31</f>
        <v>108466041.43999997</v>
      </c>
      <c r="P39" s="26">
        <f>股权价值增加表!P31</f>
        <v>75737733.859999985</v>
      </c>
      <c r="Q39" s="26">
        <f>股权价值增加表!Q31</f>
        <v>71536692.040000007</v>
      </c>
      <c r="R39" s="26">
        <f>股权价值增加表!R31</f>
        <v>135966228.31999993</v>
      </c>
      <c r="S39" s="26">
        <f>股权价值增加表!S31</f>
        <v>112860470.08</v>
      </c>
      <c r="T39" s="26">
        <f>股权价值增加表!T31</f>
        <v>75560607.849999964</v>
      </c>
      <c r="U39" s="26">
        <f>股权价值增加表!U31</f>
        <v>25712434.150000006</v>
      </c>
      <c r="V39" s="26">
        <f>股权价值增加表!V31</f>
        <v>132964456.55999999</v>
      </c>
      <c r="W39" s="26">
        <f>股权价值增加表!W31</f>
        <v>110444694.07000004</v>
      </c>
      <c r="X39" s="26">
        <f>股权价值增加表!X31</f>
        <v>79512585.110000014</v>
      </c>
      <c r="Y39" s="26">
        <f>股权价值增加表!Y31</f>
        <v>61240007.45000004</v>
      </c>
      <c r="Z39" s="26">
        <f>股权价值增加表!Z31</f>
        <v>83589336.839999899</v>
      </c>
      <c r="AA39" s="26">
        <f>股权价值增加表!AA31</f>
        <v>67492339.160000056</v>
      </c>
      <c r="AB39" s="26">
        <f>股权价值增加表!AB31</f>
        <v>53175482.73999992</v>
      </c>
      <c r="AC39" s="26">
        <f>股权价值增加表!AC31</f>
        <v>50489587.459999964</v>
      </c>
      <c r="AD39" s="26">
        <f>股权价值增加表!AD31</f>
        <v>70254146.730000108</v>
      </c>
      <c r="AE39" s="26">
        <f>股权价值增加表!AE31</f>
        <v>58905027.049999952</v>
      </c>
      <c r="AF39" s="26">
        <f>股权价值增加表!AF31</f>
        <v>42240150.270000011</v>
      </c>
      <c r="AG39" s="26">
        <f>股权价值增加表!AG31</f>
        <v>25947454.439999998</v>
      </c>
      <c r="AH39" s="26">
        <f>股权价值增加表!AH31</f>
        <v>11942635.539999992</v>
      </c>
      <c r="AI39" s="26">
        <f>股权价值增加表!AI31</f>
        <v>43097855.790000021</v>
      </c>
      <c r="AJ39" s="26">
        <f>股权价值增加表!AJ31</f>
        <v>13055376.670000028</v>
      </c>
      <c r="AK39" s="26">
        <f>股权价值增加表!AK31</f>
        <v>32946646.720000006</v>
      </c>
      <c r="AL39" s="26">
        <f>股权价值增加表!AL31</f>
        <v>76577501.540000066</v>
      </c>
      <c r="AM39" s="26">
        <f>股权价值增加表!AM31</f>
        <v>42329537.57</v>
      </c>
      <c r="AN39" s="26">
        <f>股权价值增加表!AN31</f>
        <v>29555181.169999968</v>
      </c>
      <c r="AO39" s="26">
        <f>股权价值增加表!AO31</f>
        <v>29433718.120000008</v>
      </c>
      <c r="AP39" s="26">
        <f>股权价值增加表!AP31</f>
        <v>59529684.479999959</v>
      </c>
      <c r="AQ39" s="26">
        <f>股权价值增加表!AQ31</f>
        <v>43875670.650000028</v>
      </c>
      <c r="AR39" s="26">
        <f>股权价值增加表!AR31</f>
        <v>34661946.18999999</v>
      </c>
      <c r="AS39" s="26">
        <f>股权价值增加表!AS31</f>
        <v>16325847.269999996</v>
      </c>
      <c r="AT39" s="26">
        <f>股权价值增加表!AT31</f>
        <v>44734693.60999991</v>
      </c>
      <c r="AU39" s="26">
        <f>股权价值增加表!AU31</f>
        <v>23256111.690000016</v>
      </c>
      <c r="AV39" s="26">
        <f>股权价值增加表!AV31</f>
        <v>7436038.2100000158</v>
      </c>
      <c r="AW39" s="26">
        <f>股权价值增加表!AW31</f>
        <v>10033627.240000017</v>
      </c>
      <c r="AX39" s="26">
        <f>股权价值增加表!AX31</f>
        <v>28835450.080000024</v>
      </c>
      <c r="AY39" s="26">
        <f>股权价值增加表!AY31</f>
        <v>25280826.040000018</v>
      </c>
      <c r="AZ39" s="26">
        <f>股权价值增加表!AZ31</f>
        <v>19762431.149999995</v>
      </c>
      <c r="BA39" s="26">
        <f>股权价值增加表!BA31</f>
        <v>13333907.859999999</v>
      </c>
      <c r="BB39" s="26">
        <f>股权价值增加表!BB31</f>
        <v>100450.57000000426</v>
      </c>
      <c r="BC39" s="26">
        <f>股权价值增加表!BC31</f>
        <v>5202459.6600000188</v>
      </c>
      <c r="BD39" s="26">
        <f>股权价值增加表!BD31</f>
        <v>7163497.6699999953</v>
      </c>
      <c r="BE39" s="26">
        <f>股权价值增加表!BE31</f>
        <v>4116274.2199999979</v>
      </c>
      <c r="BF39" s="26">
        <f>股权价值增加表!BF31</f>
        <v>-1032388.1199999456</v>
      </c>
      <c r="BG39" s="26">
        <f>股权价值增加表!BG31</f>
        <v>4282179.9899999872</v>
      </c>
      <c r="BH39" s="26">
        <f>股权价值增加表!BH31</f>
        <v>3659870.409999989</v>
      </c>
      <c r="BI39" s="26">
        <f>股权价值增加表!BI31</f>
        <v>3260856.6400000043</v>
      </c>
      <c r="BJ39" s="26">
        <f>股权价值增加表!BJ31</f>
        <v>-33213677.179999996</v>
      </c>
      <c r="BK39" s="26">
        <f>股权价值增加表!BK31</f>
        <v>-23421544.849999983</v>
      </c>
      <c r="BL39" s="26">
        <f>股权价值增加表!BL31</f>
        <v>-11707317.089999994</v>
      </c>
      <c r="BM39" s="26">
        <f>股权价值增加表!BM31</f>
        <v>-1833844.4799999869</v>
      </c>
      <c r="BN39" s="26">
        <f>股权价值增加表!BN31</f>
        <v>-65441090.849999994</v>
      </c>
      <c r="BO39" s="26">
        <f>股权价值增加表!BO31</f>
        <v>-18943279.350000031</v>
      </c>
      <c r="BP39" s="26">
        <f>股权价值增加表!BP31</f>
        <v>-3249731.330000014</v>
      </c>
      <c r="BQ39" s="26">
        <f>股权价值增加表!BQ31</f>
        <v>3132250.7299999897</v>
      </c>
      <c r="BR39" s="26">
        <f>股权价值增加表!BR31</f>
        <v>-25024183.819999978</v>
      </c>
      <c r="BS39" s="26">
        <f>股权价值增加表!BS31</f>
        <v>9528298.6199999619</v>
      </c>
      <c r="BT39" s="26">
        <f>股权价值增加表!BT31</f>
        <v>28651669.299999986</v>
      </c>
      <c r="BU39" s="26">
        <f>股权价值增加表!BU31</f>
        <v>13153678.000000002</v>
      </c>
      <c r="BV39" s="26">
        <f>股权价值增加表!BV31</f>
        <v>22196956.049999971</v>
      </c>
      <c r="BW39" s="26">
        <f>股权价值增加表!BW31</f>
        <v>17928982.910000011</v>
      </c>
      <c r="BX39" s="26">
        <f>股权价值增加表!BX31</f>
        <v>29852218.430000037</v>
      </c>
      <c r="BY39" s="26">
        <f>股权价值增加表!BY31</f>
        <v>17320859.820000023</v>
      </c>
      <c r="BZ39" s="26">
        <f>股权价值增加表!BZ31</f>
        <v>41992463.62999998</v>
      </c>
      <c r="CA39" s="26">
        <f>股权价值增加表!CA31</f>
        <v>23492494.340000022</v>
      </c>
      <c r="CB39" s="26">
        <f>股权价值增加表!CB31</f>
        <v>34647213.610000074</v>
      </c>
      <c r="CC39" s="26">
        <f>股权价值增加表!CC31</f>
        <v>22251513.000000004</v>
      </c>
      <c r="CD39" s="26">
        <f>股权价值增加表!CD31</f>
        <v>34360199.449999951</v>
      </c>
      <c r="CE39" s="26">
        <f>股权价值增加表!CE31</f>
        <v>0</v>
      </c>
      <c r="CF39" s="26">
        <f>股权价值增加表!CF31</f>
        <v>0</v>
      </c>
      <c r="CG39" s="26">
        <f>股权价值增加表!CG31</f>
        <v>0</v>
      </c>
      <c r="CH39" s="26">
        <f>股权价值增加表!CH31</f>
        <v>0</v>
      </c>
      <c r="CI39" s="26">
        <f>股权价值增加表!CI31</f>
        <v>0</v>
      </c>
      <c r="CJ39" s="26">
        <f>股权价值增加表!CJ31</f>
        <v>0</v>
      </c>
      <c r="CK39" s="26"/>
    </row>
    <row r="40" spans="1:89">
      <c r="A40" s="17" t="s">
        <v>382</v>
      </c>
      <c r="E40" s="26">
        <f>股权价值增加表!E38</f>
        <v>731215.06000003219</v>
      </c>
      <c r="F40" s="26">
        <f>股权价值增加表!F38</f>
        <v>196552762.8999998</v>
      </c>
      <c r="G40" s="26">
        <f>股权价值增加表!G38</f>
        <v>155401164.08999991</v>
      </c>
      <c r="H40" s="26">
        <f>股权价值增加表!H38</f>
        <v>114469757.86</v>
      </c>
      <c r="I40" s="26">
        <f>股权价值增加表!I38</f>
        <v>68745199.089999989</v>
      </c>
      <c r="J40" s="26">
        <f>股权价值增加表!J38</f>
        <v>86344319.369999915</v>
      </c>
      <c r="K40" s="26">
        <f>股权价值增加表!K38</f>
        <v>74581555.160000011</v>
      </c>
      <c r="L40" s="26">
        <f>股权价值增加表!L38</f>
        <v>54226431.939999983</v>
      </c>
      <c r="M40" s="26">
        <f>股权价值增加表!M38</f>
        <v>67471025.339999974</v>
      </c>
      <c r="N40" s="26">
        <f>股权价值增加表!N38</f>
        <v>113035469.49000013</v>
      </c>
      <c r="O40" s="26">
        <f>股权价值增加表!O38</f>
        <v>101770643.17999996</v>
      </c>
      <c r="P40" s="26">
        <f>股权价值增加表!P38</f>
        <v>73460083.75999999</v>
      </c>
      <c r="Q40" s="26">
        <f>股权价值增加表!Q38</f>
        <v>39114174.050000004</v>
      </c>
      <c r="R40" s="26">
        <f>股权价值增加表!R38</f>
        <v>138764372.81999993</v>
      </c>
      <c r="S40" s="26">
        <f>股权价值增加表!S38</f>
        <v>115331405</v>
      </c>
      <c r="T40" s="26">
        <f>股权价值增加表!T38</f>
        <v>79096559.539999962</v>
      </c>
      <c r="U40" s="26">
        <f>股权价值增加表!U38</f>
        <v>7894151.3500000052</v>
      </c>
      <c r="V40" s="26">
        <f>股权价值增加表!V38</f>
        <v>139281266.86999997</v>
      </c>
      <c r="W40" s="26">
        <f>股权价值增加表!W38</f>
        <v>112724652.42000003</v>
      </c>
      <c r="X40" s="26">
        <f>股权价值增加表!X38</f>
        <v>82153198.900000021</v>
      </c>
      <c r="Y40" s="26">
        <f>股权价值增加表!Y38</f>
        <v>38015715.590000041</v>
      </c>
      <c r="Z40" s="26">
        <f>股权价值增加表!Z38</f>
        <v>79868406.259999901</v>
      </c>
      <c r="AA40" s="26">
        <f>股权价值增加表!AA38</f>
        <v>64475676.470000058</v>
      </c>
      <c r="AB40" s="26">
        <f>股权价值增加表!AB38</f>
        <v>51183051.269999921</v>
      </c>
      <c r="AC40" s="26">
        <f>股权价值增加表!AC38</f>
        <v>2756202.6699999645</v>
      </c>
      <c r="AD40" s="26">
        <f>股权价值增加表!AD38</f>
        <v>64733135.840000108</v>
      </c>
      <c r="AE40" s="26">
        <f>股权价值增加表!AE38</f>
        <v>53840163.799999952</v>
      </c>
      <c r="AF40" s="26">
        <f>股权价值增加表!AF38</f>
        <v>38709045.230000012</v>
      </c>
      <c r="AG40" s="26">
        <f>股权价值增加表!AG38</f>
        <v>1465379.2699999996</v>
      </c>
      <c r="AH40" s="26">
        <f>股权价值增加表!AH38</f>
        <v>2756686.5499999914</v>
      </c>
      <c r="AI40" s="26">
        <f>股权价值增加表!AI38</f>
        <v>35948890.900000021</v>
      </c>
      <c r="AJ40" s="26">
        <f>股权价值增加表!AJ38</f>
        <v>9250567.080000028</v>
      </c>
      <c r="AK40" s="26">
        <f>股权价值增加表!AK38</f>
        <v>22958284.480000004</v>
      </c>
      <c r="AL40" s="26">
        <f>股权价值增加表!AL38</f>
        <v>60860506.810000062</v>
      </c>
      <c r="AM40" s="26">
        <f>股权价值增加表!AM38</f>
        <v>29491360.310000002</v>
      </c>
      <c r="AN40" s="26">
        <f>股权价值增加表!AN38</f>
        <v>19671241.49999997</v>
      </c>
      <c r="AO40" s="26">
        <f>股权价值增加表!AO38</f>
        <v>-7011162.1399999969</v>
      </c>
      <c r="AP40" s="26">
        <f>股权价值增加表!AP38</f>
        <v>32656171.589999959</v>
      </c>
      <c r="AQ40" s="26">
        <f>股权价值增加表!AQ38</f>
        <v>23537275.91000003</v>
      </c>
      <c r="AR40" s="26">
        <f>股权价值增加表!AR38</f>
        <v>20765010.179999992</v>
      </c>
      <c r="AS40" s="26">
        <f>股权价值增加表!AS38</f>
        <v>-9273635.0300000012</v>
      </c>
      <c r="AT40" s="26">
        <f>股权价值增加表!AT38</f>
        <v>21536417.12999991</v>
      </c>
      <c r="AU40" s="26">
        <f>股权价值增加表!AU38</f>
        <v>5971395.5100000165</v>
      </c>
      <c r="AV40" s="26">
        <f>股权价值增加表!AV38</f>
        <v>-3848598.6799999848</v>
      </c>
      <c r="AW40" s="26">
        <f>股权价值增加表!AW38</f>
        <v>-15370974.289999984</v>
      </c>
      <c r="AX40" s="26">
        <f>股权价值增加表!AX38</f>
        <v>8247283.9300000258</v>
      </c>
      <c r="AY40" s="26">
        <f>股权价值增加表!AY38</f>
        <v>9789438.780000018</v>
      </c>
      <c r="AZ40" s="26">
        <f>股权价值增加表!AZ38</f>
        <v>9606963.1499999948</v>
      </c>
      <c r="BA40" s="26">
        <f>股权价值增加表!BA38</f>
        <v>-1319036.8599999994</v>
      </c>
      <c r="BB40" s="26">
        <f>股权价值增加表!BB38</f>
        <v>-20210769.709999997</v>
      </c>
      <c r="BC40" s="26">
        <f>股权价值增加表!BC38</f>
        <v>-9589210.4199999813</v>
      </c>
      <c r="BD40" s="26">
        <f>股权价值增加表!BD38</f>
        <v>-3785434.4600000056</v>
      </c>
      <c r="BE40" s="26">
        <f>股权价值增加表!BE38</f>
        <v>-987516.25000000186</v>
      </c>
      <c r="BF40" s="26">
        <f>股权价值增加表!BF38</f>
        <v>-24989391.479999945</v>
      </c>
      <c r="BG40" s="26">
        <f>股权价值增加表!BG38</f>
        <v>-13903622.110000014</v>
      </c>
      <c r="BH40" s="26">
        <f>股权价值增加表!BH38</f>
        <v>-8478634.8500000108</v>
      </c>
      <c r="BI40" s="26">
        <f>股权价值增加表!BI38</f>
        <v>-3071670.5799999954</v>
      </c>
      <c r="BJ40" s="26">
        <f>股权价值增加表!BJ38</f>
        <v>-61349871.799999997</v>
      </c>
      <c r="BK40" s="26">
        <f>股权价值增加表!BK38</f>
        <v>-46391169.339999981</v>
      </c>
      <c r="BL40" s="26">
        <f>股权价值增加表!BL38</f>
        <v>-26896644.449999996</v>
      </c>
      <c r="BM40" s="26">
        <f>股权价值增加表!BM38</f>
        <v>-10615161.939999988</v>
      </c>
      <c r="BN40" s="26">
        <f>股权价值增加表!BN38</f>
        <v>-93703149.219999999</v>
      </c>
      <c r="BO40" s="26">
        <f>股权价值增加表!BO38</f>
        <v>-39768103.490000032</v>
      </c>
      <c r="BP40" s="26">
        <f>股权价值增加表!BP38</f>
        <v>-17052289.050000016</v>
      </c>
      <c r="BQ40" s="26">
        <f>股权价值增加表!BQ38</f>
        <v>-3946337.5600000103</v>
      </c>
      <c r="BR40" s="26">
        <f>股权价值增加表!BR38</f>
        <v>-53686947.679999977</v>
      </c>
      <c r="BS40" s="26">
        <f>股权价值增加表!BS38</f>
        <v>-3749277.7300000377</v>
      </c>
      <c r="BT40" s="26">
        <f>股权价值增加表!BT38</f>
        <v>2132713.7899999842</v>
      </c>
      <c r="BU40" s="26">
        <f>股权价值增加表!BU38</f>
        <v>394643.51000000164</v>
      </c>
      <c r="BV40" s="26">
        <f>股权价值增加表!BV38</f>
        <v>524531.34999997169</v>
      </c>
      <c r="BW40" s="26">
        <f>股权价值增加表!BW38</f>
        <v>5691176.5800000113</v>
      </c>
      <c r="BX40" s="26">
        <f>股权价值增加表!BX38</f>
        <v>5471313.9200000353</v>
      </c>
      <c r="BY40" s="26">
        <f>股权价值增加表!BY38</f>
        <v>6039866.0900000222</v>
      </c>
      <c r="BZ40" s="26">
        <f>股权价值增加表!BZ38</f>
        <v>27325072.78999998</v>
      </c>
      <c r="CA40" s="26">
        <f>股权价值增加表!CA38</f>
        <v>14516395.290000021</v>
      </c>
      <c r="CB40" s="26">
        <f>股权价值增加表!CB38</f>
        <v>24531608.160000075</v>
      </c>
      <c r="CC40" s="26">
        <f>股权价值增加表!CC38</f>
        <v>16467899.810000002</v>
      </c>
      <c r="CD40" s="26">
        <f>股权价值增加表!CD38</f>
        <v>29908602.14999995</v>
      </c>
      <c r="CE40" s="26">
        <f>股权价值增加表!CE38</f>
        <v>0</v>
      </c>
      <c r="CF40" s="26">
        <f>股权价值增加表!CF38</f>
        <v>0</v>
      </c>
      <c r="CG40" s="26">
        <f>股权价值增加表!CG38</f>
        <v>0</v>
      </c>
      <c r="CH40" s="26">
        <f>股权价值增加表!CH38</f>
        <v>0</v>
      </c>
      <c r="CI40" s="26">
        <f>股权价值增加表!CI38</f>
        <v>0</v>
      </c>
      <c r="CJ40" s="26">
        <f>股权价值增加表!CJ38</f>
        <v>0</v>
      </c>
      <c r="CK40" s="26"/>
    </row>
    <row r="41" spans="1:89" s="59" customFormat="1">
      <c r="A41" s="59" t="s">
        <v>383</v>
      </c>
      <c r="E41" s="59">
        <f>1-E40/E39</f>
        <v>0.99658243830214288</v>
      </c>
      <c r="F41" s="59">
        <f t="shared" ref="F41:BQ41" si="34">1-F40/F39</f>
        <v>0.26657387594262838</v>
      </c>
      <c r="G41" s="59">
        <f t="shared" si="34"/>
        <v>0.26146147964326816</v>
      </c>
      <c r="H41" s="59">
        <f t="shared" si="34"/>
        <v>0.24249628231698506</v>
      </c>
      <c r="I41" s="59">
        <f t="shared" si="34"/>
        <v>0.64836307598978993</v>
      </c>
      <c r="J41" s="59">
        <f t="shared" si="34"/>
        <v>0.1502922225699701</v>
      </c>
      <c r="K41" s="59">
        <f t="shared" si="34"/>
        <v>0.1410422565614432</v>
      </c>
      <c r="L41" s="59">
        <f t="shared" si="34"/>
        <v>0.14020685943826883</v>
      </c>
      <c r="M41" s="59">
        <f t="shared" si="34"/>
        <v>0.56829579860315804</v>
      </c>
      <c r="N41" s="59">
        <f t="shared" si="34"/>
        <v>5.6478280716263152E-2</v>
      </c>
      <c r="O41" s="59">
        <f t="shared" si="34"/>
        <v>6.1728059502417554E-2</v>
      </c>
      <c r="P41" s="59">
        <f t="shared" si="34"/>
        <v>3.007285779384683E-2</v>
      </c>
      <c r="Q41" s="59">
        <f t="shared" si="34"/>
        <v>0.45322920399884903</v>
      </c>
      <c r="R41" s="59">
        <f t="shared" si="34"/>
        <v>-2.0579702287648161E-2</v>
      </c>
      <c r="S41" s="59">
        <f t="shared" si="34"/>
        <v>-2.1893714586236568E-2</v>
      </c>
      <c r="T41" s="59">
        <f t="shared" si="34"/>
        <v>-4.6796231404324207E-2</v>
      </c>
      <c r="U41" s="59">
        <f t="shared" si="34"/>
        <v>0.69298311844193861</v>
      </c>
      <c r="V41" s="59">
        <f t="shared" si="34"/>
        <v>-4.7507510453739465E-2</v>
      </c>
      <c r="W41" s="59">
        <f t="shared" si="34"/>
        <v>-2.0643439408279285E-2</v>
      </c>
      <c r="X41" s="59">
        <f t="shared" si="34"/>
        <v>-3.3210010545461577E-2</v>
      </c>
      <c r="Y41" s="59">
        <f t="shared" si="34"/>
        <v>0.37923398162486643</v>
      </c>
      <c r="Z41" s="59">
        <f t="shared" si="34"/>
        <v>4.4514416798428602E-2</v>
      </c>
      <c r="AA41" s="59">
        <f t="shared" si="34"/>
        <v>4.4696371877830043E-2</v>
      </c>
      <c r="AB41" s="59">
        <f t="shared" si="34"/>
        <v>3.7468986971720408E-2</v>
      </c>
      <c r="AC41" s="59">
        <f t="shared" si="34"/>
        <v>0.94541047355192698</v>
      </c>
      <c r="AD41" s="59">
        <f t="shared" si="34"/>
        <v>7.8586263544247137E-2</v>
      </c>
      <c r="AE41" s="59">
        <f t="shared" si="34"/>
        <v>8.598354849579859E-2</v>
      </c>
      <c r="AF41" s="59">
        <f t="shared" si="34"/>
        <v>8.3595939347495096E-2</v>
      </c>
      <c r="AG41" s="59">
        <f t="shared" si="34"/>
        <v>0.94352512407764344</v>
      </c>
      <c r="AH41" s="59">
        <f t="shared" si="34"/>
        <v>0.7691726804550888</v>
      </c>
      <c r="AI41" s="59">
        <f t="shared" si="34"/>
        <v>0.16587750733665896</v>
      </c>
      <c r="AJ41" s="59">
        <f t="shared" si="34"/>
        <v>0.29143621713673562</v>
      </c>
      <c r="AK41" s="59">
        <f t="shared" si="34"/>
        <v>0.30316779503804991</v>
      </c>
      <c r="AL41" s="59">
        <f t="shared" si="34"/>
        <v>0.20524298147531328</v>
      </c>
      <c r="AM41" s="59">
        <f t="shared" si="34"/>
        <v>0.30329122397733765</v>
      </c>
      <c r="AN41" s="59">
        <f t="shared" si="34"/>
        <v>0.33442324759060205</v>
      </c>
      <c r="AO41" s="59">
        <f t="shared" si="34"/>
        <v>1.2382017151695137</v>
      </c>
      <c r="AP41" s="59">
        <f t="shared" si="34"/>
        <v>0.45143046069778225</v>
      </c>
      <c r="AQ41" s="59">
        <f t="shared" si="34"/>
        <v>0.46354607094763545</v>
      </c>
      <c r="AR41" s="59">
        <f t="shared" si="34"/>
        <v>0.40092774750222415</v>
      </c>
      <c r="AS41" s="59">
        <f t="shared" si="34"/>
        <v>1.5680339204839324</v>
      </c>
      <c r="AT41" s="59">
        <f t="shared" si="34"/>
        <v>0.51857461419640305</v>
      </c>
      <c r="AU41" s="59">
        <f t="shared" si="34"/>
        <v>0.74323328036957781</v>
      </c>
      <c r="AV41" s="59">
        <f t="shared" si="34"/>
        <v>1.5175603690180575</v>
      </c>
      <c r="AW41" s="59">
        <f t="shared" si="34"/>
        <v>2.5319459176958579</v>
      </c>
      <c r="AX41" s="59">
        <f t="shared" si="34"/>
        <v>0.71398802837760256</v>
      </c>
      <c r="AY41" s="59">
        <f t="shared" si="34"/>
        <v>0.6127721948439937</v>
      </c>
      <c r="AZ41" s="59">
        <f t="shared" si="34"/>
        <v>0.51387746390706601</v>
      </c>
      <c r="BA41" s="59">
        <f t="shared" si="34"/>
        <v>1.0989235019357633</v>
      </c>
      <c r="BB41" s="59">
        <f t="shared" si="34"/>
        <v>202.20114510051204</v>
      </c>
      <c r="BC41" s="59">
        <f t="shared" si="34"/>
        <v>2.8432070687117923</v>
      </c>
      <c r="BD41" s="59">
        <f t="shared" si="34"/>
        <v>1.5284338230265675</v>
      </c>
      <c r="BE41" s="59">
        <f t="shared" si="34"/>
        <v>1.2399053603382144</v>
      </c>
      <c r="BF41" s="59">
        <f t="shared" si="34"/>
        <v>-23.205423324709763</v>
      </c>
      <c r="BG41" s="59">
        <f t="shared" si="34"/>
        <v>4.246856073884941</v>
      </c>
      <c r="BH41" s="59">
        <f t="shared" si="34"/>
        <v>3.3166489247361182</v>
      </c>
      <c r="BI41" s="59">
        <f t="shared" si="34"/>
        <v>1.9419827116349375</v>
      </c>
      <c r="BJ41" s="59">
        <f t="shared" si="34"/>
        <v>-0.84712675647195557</v>
      </c>
      <c r="BK41" s="59">
        <f t="shared" si="34"/>
        <v>-0.98070492946155996</v>
      </c>
      <c r="BL41" s="59">
        <f t="shared" si="34"/>
        <v>-1.297421710134957</v>
      </c>
      <c r="BM41" s="59">
        <f t="shared" si="34"/>
        <v>-4.788474462131088</v>
      </c>
      <c r="BN41" s="59">
        <f t="shared" si="34"/>
        <v>-0.43187022103253958</v>
      </c>
      <c r="BO41" s="59">
        <f t="shared" si="34"/>
        <v>-1.0993251883813859</v>
      </c>
      <c r="BP41" s="59">
        <f t="shared" si="34"/>
        <v>-4.2472919507471847</v>
      </c>
      <c r="BQ41" s="59">
        <f t="shared" si="34"/>
        <v>2.2599047458758266</v>
      </c>
      <c r="BR41" s="59">
        <f t="shared" ref="BR41:CK41" si="35">1-BR40/BR39</f>
        <v>-1.1454025460399619</v>
      </c>
      <c r="BS41" s="59">
        <f t="shared" si="35"/>
        <v>1.3934886887497711</v>
      </c>
      <c r="BT41" s="59">
        <f t="shared" si="35"/>
        <v>0.92556406512761247</v>
      </c>
      <c r="BU41" s="59">
        <f t="shared" si="35"/>
        <v>0.96999747827185656</v>
      </c>
      <c r="BV41" s="59">
        <f t="shared" si="35"/>
        <v>0.97636922158072337</v>
      </c>
      <c r="BW41" s="59">
        <f t="shared" si="35"/>
        <v>0.68257114145467113</v>
      </c>
      <c r="BX41" s="59">
        <f t="shared" si="35"/>
        <v>0.81672002257287424</v>
      </c>
      <c r="BY41" s="59">
        <f t="shared" si="35"/>
        <v>0.65129525019156853</v>
      </c>
      <c r="BZ41" s="59">
        <f t="shared" si="35"/>
        <v>0.34928626644142446</v>
      </c>
      <c r="CA41" s="59">
        <f t="shared" si="35"/>
        <v>0.38208369533228514</v>
      </c>
      <c r="CB41" s="59">
        <f t="shared" si="35"/>
        <v>0.29196014328495312</v>
      </c>
      <c r="CC41" s="59">
        <f t="shared" si="35"/>
        <v>0.25991999690088496</v>
      </c>
      <c r="CD41" s="59">
        <f t="shared" si="35"/>
        <v>0.1295567945255337</v>
      </c>
      <c r="CE41" s="59" t="e">
        <f t="shared" si="35"/>
        <v>#DIV/0!</v>
      </c>
      <c r="CF41" s="59" t="e">
        <f t="shared" si="35"/>
        <v>#DIV/0!</v>
      </c>
      <c r="CG41" s="59" t="e">
        <f t="shared" si="35"/>
        <v>#DIV/0!</v>
      </c>
      <c r="CH41" s="59" t="e">
        <f t="shared" si="35"/>
        <v>#DIV/0!</v>
      </c>
      <c r="CI41" s="59" t="e">
        <f t="shared" si="35"/>
        <v>#DIV/0!</v>
      </c>
      <c r="CJ41" s="59" t="e">
        <f t="shared" si="35"/>
        <v>#DIV/0!</v>
      </c>
      <c r="CK41" s="59" t="e">
        <f t="shared" si="35"/>
        <v>#DIV/0!</v>
      </c>
    </row>
    <row r="42" spans="1:89" s="60" customFormat="1">
      <c r="A42" s="21" t="s">
        <v>428</v>
      </c>
      <c r="E42" s="149">
        <f>E39/(E39-E40)</f>
        <v>1.0034292814788905</v>
      </c>
      <c r="F42" s="29">
        <f t="shared" ref="F42:BQ42" si="36">F39/(F39-F40)</f>
        <v>3.7513053237640523</v>
      </c>
      <c r="G42" s="29">
        <f t="shared" si="36"/>
        <v>3.8246551704839136</v>
      </c>
      <c r="H42" s="29">
        <f t="shared" si="36"/>
        <v>4.1237745603572797</v>
      </c>
      <c r="I42" s="29">
        <f t="shared" si="36"/>
        <v>1.5423456964655209</v>
      </c>
      <c r="J42" s="29">
        <f t="shared" si="36"/>
        <v>6.6537042496290146</v>
      </c>
      <c r="K42" s="29">
        <f t="shared" si="36"/>
        <v>7.0900737437107217</v>
      </c>
      <c r="L42" s="29">
        <f t="shared" si="36"/>
        <v>7.1323186612013529</v>
      </c>
      <c r="M42" s="29">
        <f t="shared" si="36"/>
        <v>1.7596470050595991</v>
      </c>
      <c r="N42" s="29">
        <f t="shared" si="36"/>
        <v>17.70592141470847</v>
      </c>
      <c r="O42" s="29">
        <f t="shared" si="36"/>
        <v>16.200088064664264</v>
      </c>
      <c r="P42" s="29">
        <f t="shared" si="36"/>
        <v>33.252576354902004</v>
      </c>
      <c r="Q42" s="29">
        <f t="shared" si="36"/>
        <v>2.2063891540460827</v>
      </c>
      <c r="R42" s="29">
        <f t="shared" si="36"/>
        <v>-48.591567847907761</v>
      </c>
      <c r="S42" s="29">
        <f t="shared" si="36"/>
        <v>-45.675209479009638</v>
      </c>
      <c r="T42" s="29">
        <f t="shared" si="36"/>
        <v>-21.369242137468234</v>
      </c>
      <c r="U42" s="29">
        <f t="shared" si="36"/>
        <v>1.4430365955354578</v>
      </c>
      <c r="V42" s="29">
        <f t="shared" si="36"/>
        <v>-21.049303372226838</v>
      </c>
      <c r="W42" s="29">
        <f t="shared" si="36"/>
        <v>-48.441540201820061</v>
      </c>
      <c r="X42" s="29">
        <f t="shared" si="36"/>
        <v>-30.111402663696541</v>
      </c>
      <c r="Y42" s="29">
        <f t="shared" si="36"/>
        <v>2.6368944990514791</v>
      </c>
      <c r="Z42" s="29">
        <f t="shared" si="36"/>
        <v>22.464632178114954</v>
      </c>
      <c r="AA42" s="29">
        <f t="shared" si="36"/>
        <v>22.373180595806058</v>
      </c>
      <c r="AB42" s="29">
        <f t="shared" si="36"/>
        <v>26.688738629489702</v>
      </c>
      <c r="AC42" s="29">
        <f t="shared" si="36"/>
        <v>1.0577416138018643</v>
      </c>
      <c r="AD42" s="29">
        <f t="shared" si="36"/>
        <v>12.724870160507889</v>
      </c>
      <c r="AE42" s="29">
        <f t="shared" si="36"/>
        <v>11.630131780951826</v>
      </c>
      <c r="AF42" s="29">
        <f t="shared" si="36"/>
        <v>11.962303525810725</v>
      </c>
      <c r="AG42" s="29">
        <f t="shared" si="36"/>
        <v>1.0598551903719198</v>
      </c>
      <c r="AH42" s="29">
        <f t="shared" si="36"/>
        <v>1.3000981774448097</v>
      </c>
      <c r="AI42" s="29">
        <f t="shared" si="36"/>
        <v>6.0285448947001354</v>
      </c>
      <c r="AJ42" s="29">
        <f t="shared" si="36"/>
        <v>3.4312825283853505</v>
      </c>
      <c r="AK42" s="29">
        <f t="shared" si="36"/>
        <v>3.2985033910824604</v>
      </c>
      <c r="AL42" s="29">
        <f t="shared" si="36"/>
        <v>4.8722737937827159</v>
      </c>
      <c r="AM42" s="29">
        <f t="shared" si="36"/>
        <v>3.297161015363641</v>
      </c>
      <c r="AN42" s="29">
        <f t="shared" si="36"/>
        <v>2.9902227408071558</v>
      </c>
      <c r="AO42" s="29">
        <f t="shared" si="36"/>
        <v>0.80762285155056246</v>
      </c>
      <c r="AP42" s="29">
        <f t="shared" si="36"/>
        <v>2.2151806026874796</v>
      </c>
      <c r="AQ42" s="29">
        <f t="shared" si="36"/>
        <v>2.1572828736433518</v>
      </c>
      <c r="AR42" s="29">
        <f t="shared" si="36"/>
        <v>2.494214995669394</v>
      </c>
      <c r="AS42" s="29">
        <f t="shared" si="36"/>
        <v>0.63774130580757871</v>
      </c>
      <c r="AT42" s="29">
        <f t="shared" si="36"/>
        <v>1.9283628095633383</v>
      </c>
      <c r="AU42" s="29">
        <f t="shared" si="36"/>
        <v>1.3454725809677726</v>
      </c>
      <c r="AV42" s="29">
        <f t="shared" si="36"/>
        <v>0.65895236882540187</v>
      </c>
      <c r="AW42" s="29">
        <f t="shared" si="36"/>
        <v>0.39495314375041163</v>
      </c>
      <c r="AX42" s="29">
        <f t="shared" si="36"/>
        <v>1.4005837076460561</v>
      </c>
      <c r="AY42" s="29">
        <f t="shared" si="36"/>
        <v>1.631927832911203</v>
      </c>
      <c r="AZ42" s="29">
        <f t="shared" si="36"/>
        <v>1.9459892099507374</v>
      </c>
      <c r="BA42" s="29">
        <f t="shared" si="36"/>
        <v>0.9099814484252009</v>
      </c>
      <c r="BB42" s="29">
        <f t="shared" si="36"/>
        <v>4.9455704096181587E-3</v>
      </c>
      <c r="BC42" s="29">
        <f t="shared" si="36"/>
        <v>0.35171550148582131</v>
      </c>
      <c r="BD42" s="29">
        <f t="shared" si="36"/>
        <v>0.65426450588473917</v>
      </c>
      <c r="BE42" s="29">
        <f t="shared" si="36"/>
        <v>0.80651316784954108</v>
      </c>
      <c r="BF42" s="29">
        <f t="shared" si="36"/>
        <v>-4.3093374596410529E-2</v>
      </c>
      <c r="BG42" s="29">
        <f t="shared" si="36"/>
        <v>0.23546830469468194</v>
      </c>
      <c r="BH42" s="29">
        <f t="shared" si="36"/>
        <v>0.30150915055911826</v>
      </c>
      <c r="BI42" s="29">
        <f t="shared" si="36"/>
        <v>0.51493764285785482</v>
      </c>
      <c r="BJ42" s="29">
        <f t="shared" si="36"/>
        <v>-1.180460884230264</v>
      </c>
      <c r="BK42" s="29">
        <f t="shared" si="36"/>
        <v>-1.019674695169559</v>
      </c>
      <c r="BL42" s="29">
        <f t="shared" si="36"/>
        <v>-0.77075941630110434</v>
      </c>
      <c r="BM42" s="29">
        <f t="shared" si="36"/>
        <v>-0.20883477773732448</v>
      </c>
      <c r="BN42" s="29">
        <f t="shared" si="36"/>
        <v>-2.3155104272045981</v>
      </c>
      <c r="BO42" s="29">
        <f t="shared" si="36"/>
        <v>-0.90964894698025678</v>
      </c>
      <c r="BP42" s="29">
        <f t="shared" si="36"/>
        <v>-0.23544413984164186</v>
      </c>
      <c r="BQ42" s="29">
        <f t="shared" si="36"/>
        <v>0.44249652638011944</v>
      </c>
      <c r="BR42" s="29">
        <f t="shared" ref="BR42:CK42" si="37">BR39/(BR39-BR40)</f>
        <v>-0.87305550651806463</v>
      </c>
      <c r="BS42" s="29">
        <f t="shared" si="37"/>
        <v>0.71762333492437136</v>
      </c>
      <c r="BT42" s="29">
        <f t="shared" si="37"/>
        <v>1.0804222394504097</v>
      </c>
      <c r="BU42" s="29">
        <f t="shared" si="37"/>
        <v>1.0309305151819526</v>
      </c>
      <c r="BV42" s="29">
        <f t="shared" si="37"/>
        <v>1.0242027072309989</v>
      </c>
      <c r="BW42" s="29">
        <f t="shared" si="37"/>
        <v>1.4650487535538579</v>
      </c>
      <c r="BX42" s="29">
        <f t="shared" si="37"/>
        <v>1.2244098006190023</v>
      </c>
      <c r="BY42" s="29">
        <f t="shared" si="37"/>
        <v>1.5354019543453838</v>
      </c>
      <c r="BZ42" s="29">
        <f t="shared" si="37"/>
        <v>2.8629811592311794</v>
      </c>
      <c r="CA42" s="29">
        <f t="shared" si="37"/>
        <v>2.6172276184942525</v>
      </c>
      <c r="CB42" s="29">
        <f t="shared" si="37"/>
        <v>3.4251250487433826</v>
      </c>
      <c r="CC42" s="29">
        <f t="shared" si="37"/>
        <v>3.8473376882246164</v>
      </c>
      <c r="CD42" s="29">
        <f t="shared" si="37"/>
        <v>7.7186225829546498</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15" customHeight="1">
      <c r="A43" s="281" t="s">
        <v>698</v>
      </c>
      <c r="B43" s="282"/>
      <c r="C43" s="282"/>
      <c r="D43" s="282"/>
      <c r="E43" s="282"/>
      <c r="F43" s="282"/>
      <c r="G43" s="282"/>
      <c r="H43" s="282"/>
      <c r="I43" s="282"/>
      <c r="J43" s="282"/>
      <c r="K43" s="282"/>
      <c r="L43" s="282"/>
      <c r="M43" s="282"/>
      <c r="N43" s="282"/>
      <c r="O43" s="282"/>
      <c r="P43" s="282"/>
      <c r="Q43" s="282"/>
      <c r="R43" s="282"/>
      <c r="S43" s="282"/>
      <c r="T43" s="282"/>
      <c r="U43" s="282"/>
      <c r="V43" s="282"/>
      <c r="W43" s="282"/>
      <c r="X43" s="282"/>
      <c r="Y43" s="282"/>
      <c r="Z43" s="282"/>
      <c r="AA43" s="282"/>
      <c r="AB43" s="282"/>
      <c r="AC43" s="282"/>
      <c r="AD43" s="282"/>
      <c r="AE43" s="282"/>
      <c r="AF43" s="282"/>
      <c r="AG43" s="282"/>
    </row>
    <row r="45" spans="1:89">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c r="A46" s="20" t="s">
        <v>423</v>
      </c>
      <c r="B46" s="1">
        <v>43465</v>
      </c>
      <c r="C46" s="1">
        <v>43373</v>
      </c>
      <c r="D46" s="1">
        <v>43281</v>
      </c>
      <c r="E46" s="1">
        <v>43190</v>
      </c>
      <c r="F46" s="1">
        <v>43100</v>
      </c>
      <c r="G46" s="1">
        <v>43008</v>
      </c>
      <c r="H46" s="1">
        <v>42916</v>
      </c>
      <c r="I46" s="1">
        <v>42825</v>
      </c>
      <c r="J46" s="1">
        <v>42735</v>
      </c>
      <c r="K46" s="1">
        <v>42643</v>
      </c>
      <c r="L46" s="1">
        <v>42551</v>
      </c>
      <c r="M46" s="1">
        <v>42460</v>
      </c>
      <c r="N46" s="1">
        <v>42369</v>
      </c>
      <c r="O46" s="1">
        <v>42277</v>
      </c>
      <c r="P46" s="1">
        <v>42185</v>
      </c>
      <c r="Q46" s="1">
        <v>42094</v>
      </c>
      <c r="R46" s="1">
        <v>42004</v>
      </c>
      <c r="S46" s="1">
        <v>41912</v>
      </c>
      <c r="T46" s="1">
        <v>41820</v>
      </c>
      <c r="U46" s="1">
        <v>41729</v>
      </c>
      <c r="V46" s="1">
        <v>41639</v>
      </c>
      <c r="W46" s="1">
        <v>41547</v>
      </c>
      <c r="X46" s="1">
        <v>41455</v>
      </c>
      <c r="Y46" s="1">
        <v>41364</v>
      </c>
      <c r="Z46" s="1">
        <v>41274</v>
      </c>
      <c r="AA46" s="1">
        <v>41182</v>
      </c>
      <c r="AB46" s="1">
        <v>41090</v>
      </c>
      <c r="AC46" s="1">
        <v>40999</v>
      </c>
      <c r="AD46" s="1">
        <v>40908</v>
      </c>
      <c r="AE46" s="1">
        <v>40816</v>
      </c>
      <c r="AF46" s="1">
        <v>40724</v>
      </c>
      <c r="AG46" s="1">
        <v>40633</v>
      </c>
      <c r="AH46" s="1">
        <v>40543</v>
      </c>
      <c r="AI46" s="1">
        <v>40451</v>
      </c>
      <c r="AJ46" s="1">
        <v>40359</v>
      </c>
      <c r="AK46" s="1">
        <v>40268</v>
      </c>
      <c r="AL46" s="1">
        <v>40178</v>
      </c>
      <c r="AM46" s="1">
        <v>40086</v>
      </c>
      <c r="AN46" s="1">
        <v>39994</v>
      </c>
      <c r="AO46" s="1">
        <v>39903</v>
      </c>
      <c r="AP46" s="1">
        <v>39813</v>
      </c>
      <c r="AQ46" s="1">
        <v>39721</v>
      </c>
      <c r="AR46" s="1">
        <v>39629</v>
      </c>
      <c r="AS46" s="1">
        <v>39538</v>
      </c>
      <c r="AT46" s="1">
        <v>39447</v>
      </c>
      <c r="AU46" s="1">
        <v>39355</v>
      </c>
      <c r="AV46" s="1">
        <v>39263</v>
      </c>
      <c r="AW46" s="1">
        <v>39172</v>
      </c>
      <c r="AX46" s="1">
        <v>39082</v>
      </c>
      <c r="AY46" s="1">
        <v>38990</v>
      </c>
      <c r="AZ46" s="1">
        <v>38898</v>
      </c>
      <c r="BA46" s="1">
        <v>38807</v>
      </c>
      <c r="BB46" s="1">
        <v>38717</v>
      </c>
      <c r="BC46" s="1">
        <v>38625</v>
      </c>
      <c r="BD46" s="1">
        <v>38533</v>
      </c>
      <c r="BE46" s="1">
        <v>38442</v>
      </c>
      <c r="BF46" s="1">
        <v>38352</v>
      </c>
      <c r="BG46" s="1">
        <v>38260</v>
      </c>
      <c r="BH46" s="1">
        <v>38168</v>
      </c>
      <c r="BI46" s="1">
        <v>38077</v>
      </c>
      <c r="BJ46" s="1">
        <v>37986</v>
      </c>
      <c r="BK46" s="1">
        <v>37894</v>
      </c>
      <c r="BL46" s="1">
        <v>37802</v>
      </c>
      <c r="BM46" s="1">
        <v>37711</v>
      </c>
      <c r="BN46" s="1">
        <v>37621</v>
      </c>
      <c r="BO46" s="1">
        <v>37529</v>
      </c>
      <c r="BP46" s="1">
        <v>37437</v>
      </c>
      <c r="BQ46" s="1">
        <v>37346</v>
      </c>
      <c r="BR46" s="1">
        <v>37256</v>
      </c>
      <c r="BS46" s="1">
        <v>37072</v>
      </c>
      <c r="BT46" s="1">
        <v>36891</v>
      </c>
      <c r="BU46" s="1">
        <v>36707</v>
      </c>
      <c r="BV46" s="1">
        <v>36525</v>
      </c>
      <c r="BW46" s="1">
        <v>36341</v>
      </c>
      <c r="BX46" s="1">
        <v>36160</v>
      </c>
      <c r="BY46" s="1">
        <v>35976</v>
      </c>
      <c r="BZ46" s="1">
        <v>35795</v>
      </c>
      <c r="CA46" s="1">
        <v>35611</v>
      </c>
      <c r="CB46" s="1">
        <v>35430</v>
      </c>
      <c r="CC46" s="1">
        <v>35246</v>
      </c>
      <c r="CD46" s="1">
        <v>35064</v>
      </c>
      <c r="CE46" s="1">
        <v>25569</v>
      </c>
      <c r="CF46" s="1"/>
      <c r="CG46" s="1"/>
      <c r="CH46" s="1"/>
      <c r="CI46" s="1"/>
      <c r="CJ46" s="1"/>
      <c r="CK46" s="1"/>
    </row>
    <row r="47" spans="1:89" s="26" customFormat="1">
      <c r="A47" s="17" t="s">
        <v>424</v>
      </c>
      <c r="E47" s="26">
        <f>股权价值增加表!E42</f>
        <v>-23241025.669999968</v>
      </c>
      <c r="F47" s="26">
        <f>股权价值增加表!F42</f>
        <v>142520996.4599998</v>
      </c>
      <c r="G47" s="26">
        <f>股权价值增加表!G42</f>
        <v>109547391.88999991</v>
      </c>
      <c r="H47" s="26">
        <f>股权价值增加表!H42</f>
        <v>81139483.079999998</v>
      </c>
      <c r="I47" s="26">
        <f>股权价值增加表!I42</f>
        <v>62690201.329999991</v>
      </c>
      <c r="J47" s="26">
        <f>股权价值增加表!J42</f>
        <v>62438843.769999914</v>
      </c>
      <c r="K47" s="26">
        <f>股权价值增加表!K42</f>
        <v>54569171.24000001</v>
      </c>
      <c r="L47" s="26">
        <f>股权价值增加表!L42</f>
        <v>40045679.679999985</v>
      </c>
      <c r="M47" s="26">
        <f>股权价值增加表!M42</f>
        <v>59549580.85999997</v>
      </c>
      <c r="N47" s="26">
        <f>股权价值增加表!N42</f>
        <v>84484949.960000128</v>
      </c>
      <c r="O47" s="26">
        <f>股权价值增加表!O42</f>
        <v>76296914.819999963</v>
      </c>
      <c r="P47" s="26">
        <f>股权价值增加表!P42</f>
        <v>54892004.409999989</v>
      </c>
      <c r="Q47" s="26">
        <f>股权价值增加表!Q42</f>
        <v>28861928.760000005</v>
      </c>
      <c r="R47" s="26">
        <f>股权价值增加表!R42</f>
        <v>103916778.45999993</v>
      </c>
      <c r="S47" s="26">
        <f>股权价值增加表!S42</f>
        <v>87239258.700000003</v>
      </c>
      <c r="T47" s="26">
        <f>股权价值增加表!T42</f>
        <v>58918964.819999963</v>
      </c>
      <c r="U47" s="26">
        <f>股权价值增加表!U42</f>
        <v>-3410896.4599999953</v>
      </c>
      <c r="V47" s="26">
        <f>股权价值增加表!V42</f>
        <v>110404709.39999998</v>
      </c>
      <c r="W47" s="26">
        <f>股权价值增加表!W42</f>
        <v>88123737.050000027</v>
      </c>
      <c r="X47" s="26">
        <f>股权价值增加表!X42</f>
        <v>65268710.880000025</v>
      </c>
      <c r="Y47" s="26">
        <f>股权价值增加表!Y42</f>
        <v>29222692.100000039</v>
      </c>
      <c r="Z47" s="26">
        <f>股权价值增加表!Z42</f>
        <v>59690369.499999896</v>
      </c>
      <c r="AA47" s="26">
        <f>股权价值增加表!AA42</f>
        <v>48183018.790000059</v>
      </c>
      <c r="AB47" s="26">
        <f>股权价值增加表!AB42</f>
        <v>38254813.789999917</v>
      </c>
      <c r="AC47" s="26">
        <f>股权价值增加表!AC42</f>
        <v>-6746385.9500000346</v>
      </c>
      <c r="AD47" s="26">
        <f>股权价值增加表!AD42</f>
        <v>47015072.410000108</v>
      </c>
      <c r="AE47" s="26">
        <f>股权价值增加表!AE42</f>
        <v>40226884.529999956</v>
      </c>
      <c r="AF47" s="26">
        <f>股权价值增加表!AF42</f>
        <v>28933110.570000011</v>
      </c>
      <c r="AG47" s="26">
        <f>股权价值增加表!AG42</f>
        <v>-5987950.2000000002</v>
      </c>
      <c r="AH47" s="26">
        <f>股权价值增加表!AH42</f>
        <v>-8085572.430000009</v>
      </c>
      <c r="AI47" s="26">
        <f>股权价值增加表!AI42</f>
        <v>28149980.62000002</v>
      </c>
      <c r="AJ47" s="26">
        <f>股权价值增加表!AJ42</f>
        <v>3403839.4700000277</v>
      </c>
      <c r="AK47" s="26">
        <f>股权价值增加表!AK42</f>
        <v>15860780.200000003</v>
      </c>
      <c r="AL47" s="26">
        <f>股权价值增加表!AL42</f>
        <v>51725280.130000062</v>
      </c>
      <c r="AM47" s="26">
        <f>股权价值增加表!AM42</f>
        <v>22059673.450000003</v>
      </c>
      <c r="AN47" s="26">
        <f>股权价值增加表!AN42</f>
        <v>14891552.449999969</v>
      </c>
      <c r="AO47" s="26">
        <f>股权价值增加表!AO42</f>
        <v>-10541463.039999997</v>
      </c>
      <c r="AP47" s="26">
        <f>股权价值增加表!AP42</f>
        <v>27822630.969999958</v>
      </c>
      <c r="AQ47" s="26">
        <f>股权价值增加表!AQ42</f>
        <v>21369601.73000003</v>
      </c>
      <c r="AR47" s="26">
        <f>股权价值增加表!AR42</f>
        <v>19460545.589999992</v>
      </c>
      <c r="AS47" s="26">
        <f>股权价值增加表!AS42</f>
        <v>-11119615.110000001</v>
      </c>
      <c r="AT47" s="26">
        <f>股权价值增加表!AT42</f>
        <v>15582409.86999991</v>
      </c>
      <c r="AU47" s="26">
        <f>股权价值增加表!AU42</f>
        <v>3983726.7200000165</v>
      </c>
      <c r="AV47" s="26">
        <f>股权价值增加表!AV42</f>
        <v>-2604622.3499999847</v>
      </c>
      <c r="AW47" s="26">
        <f>股权价值增加表!AW42</f>
        <v>-16626319.519999985</v>
      </c>
      <c r="AX47" s="26">
        <f>股权价值增加表!AX42</f>
        <v>5785250.8200000264</v>
      </c>
      <c r="AY47" s="26">
        <f>股权价值增加表!AY42</f>
        <v>9737422.7700000182</v>
      </c>
      <c r="AZ47" s="26">
        <f>股权价值增加表!AZ42</f>
        <v>9554947.139999995</v>
      </c>
      <c r="BA47" s="26">
        <f>股权价值增加表!BA42</f>
        <v>-1319036.8599999994</v>
      </c>
      <c r="BB47" s="26">
        <f>股权价值增加表!BB42</f>
        <v>-20259446.779999997</v>
      </c>
      <c r="BC47" s="26">
        <f>股权价值增加表!BC42</f>
        <v>-9589210.4199999813</v>
      </c>
      <c r="BD47" s="26">
        <f>股权价值增加表!BD42</f>
        <v>-3785434.4600000056</v>
      </c>
      <c r="BE47" s="26">
        <f>股权价值增加表!BE42</f>
        <v>-987516.25000000186</v>
      </c>
      <c r="BF47" s="26">
        <f>股权价值增加表!BF42</f>
        <v>-24989391.479999945</v>
      </c>
      <c r="BG47" s="26">
        <f>股权价值增加表!BG42</f>
        <v>-13903622.110000014</v>
      </c>
      <c r="BH47" s="26">
        <f>股权价值增加表!BH42</f>
        <v>-8478634.8500000108</v>
      </c>
      <c r="BI47" s="26">
        <f>股权价值增加表!BI42</f>
        <v>-3071670.5799999954</v>
      </c>
      <c r="BJ47" s="26">
        <f>股权价值增加表!BJ42</f>
        <v>-61356183.549999997</v>
      </c>
      <c r="BK47" s="26">
        <f>股权价值增加表!BK42</f>
        <v>-46397481.089999981</v>
      </c>
      <c r="BL47" s="26">
        <f>股权价值增加表!BL42</f>
        <v>-26902956.199999996</v>
      </c>
      <c r="BM47" s="26">
        <f>股权价值增加表!BM42</f>
        <v>-10621473.689999988</v>
      </c>
      <c r="BN47" s="26">
        <f>股权价值增加表!BN42</f>
        <v>-93741333.079999998</v>
      </c>
      <c r="BO47" s="26">
        <f>股权价值增加表!BO42</f>
        <v>-39768103.490000032</v>
      </c>
      <c r="BP47" s="26">
        <f>股权价值增加表!BP42</f>
        <v>-17144766.240000017</v>
      </c>
      <c r="BQ47" s="26">
        <f>股权价值增加表!BQ42</f>
        <v>-3946337.5600000103</v>
      </c>
      <c r="BR47" s="26">
        <f>股权价值增加表!BR42</f>
        <v>-53697955.039999977</v>
      </c>
      <c r="BS47" s="26">
        <f>股权价值增加表!BS42</f>
        <v>-6120999.6400000378</v>
      </c>
      <c r="BT47" s="26">
        <f>股权价值增加表!BT42</f>
        <v>-6517472.4200000167</v>
      </c>
      <c r="BU47" s="26">
        <f>股权价值增加表!BU42</f>
        <v>-2697210.0799999982</v>
      </c>
      <c r="BV47" s="26">
        <f>股权价值增加表!BV42</f>
        <v>-4057711.5900000287</v>
      </c>
      <c r="BW47" s="26">
        <f>股权价值增加表!BW42</f>
        <v>3858623.8100000112</v>
      </c>
      <c r="BX47" s="26">
        <f>股权价值增加表!BX42</f>
        <v>-852367.97999996506</v>
      </c>
      <c r="BY47" s="26">
        <f>股权价值增加表!BY42</f>
        <v>4530111.600000022</v>
      </c>
      <c r="BZ47" s="26">
        <f>股权价值增加表!BZ42</f>
        <v>15406324.73999998</v>
      </c>
      <c r="CA47" s="26">
        <f>股权价值增加表!CA42</f>
        <v>8418803.8300000206</v>
      </c>
      <c r="CB47" s="26">
        <f>股权价值增加表!CB42</f>
        <v>14292319.440000074</v>
      </c>
      <c r="CC47" s="26">
        <f>股权价值增加表!CC42</f>
        <v>11019678.120000001</v>
      </c>
      <c r="CD47" s="26">
        <f>股权价值增加表!CD42</f>
        <v>20003253.529999949</v>
      </c>
      <c r="CE47" s="26">
        <f>股权价值增加表!CE42</f>
        <v>0</v>
      </c>
      <c r="CF47" s="26">
        <f>股权价值增加表!CF42</f>
        <v>0</v>
      </c>
      <c r="CG47" s="26">
        <f>股权价值增加表!CG42</f>
        <v>-4330000</v>
      </c>
      <c r="CH47" s="26">
        <f>股权价值增加表!CH42</f>
        <v>-4220000</v>
      </c>
      <c r="CI47" s="26">
        <f>股权价值增加表!CI42</f>
        <v>-12510000</v>
      </c>
      <c r="CJ47" s="26">
        <f>股权价值增加表!CJ42</f>
        <v>-3630000</v>
      </c>
    </row>
    <row r="48" spans="1:89" s="63" customFormat="1">
      <c r="A48" s="63" t="s">
        <v>427</v>
      </c>
      <c r="E48" s="63">
        <f>股权价值增加表!E43</f>
        <v>-5.5142226536227947E-2</v>
      </c>
      <c r="F48" s="63">
        <f>股权价值增加表!F43</f>
        <v>0.10430678564889183</v>
      </c>
      <c r="G48" s="63">
        <f>股权价值增加表!G43</f>
        <v>0.10676741996339816</v>
      </c>
      <c r="H48" s="63">
        <f>股权价值增加表!H43</f>
        <v>0.11618250013999368</v>
      </c>
      <c r="I48" s="63">
        <f>股权价值增加表!I43</f>
        <v>0.22055018125381728</v>
      </c>
      <c r="J48" s="63">
        <f>股权价值增加表!J43</f>
        <v>6.0824805316671997E-2</v>
      </c>
      <c r="K48" s="63">
        <f>股权价值增加表!K43</f>
        <v>7.1225010231826522E-2</v>
      </c>
      <c r="L48" s="63">
        <f>股权价值增加表!L43</f>
        <v>7.6149526364800282E-2</v>
      </c>
      <c r="M48" s="63">
        <f>股权价值增加表!M43</f>
        <v>0.20169229534223265</v>
      </c>
      <c r="N48" s="63">
        <f>股权价值增加表!N43</f>
        <v>7.5388217106610284E-2</v>
      </c>
      <c r="O48" s="63">
        <f>股权价值增加表!O43</f>
        <v>8.8972779899219465E-2</v>
      </c>
      <c r="P48" s="63">
        <f>股权价值增加表!P43</f>
        <v>9.2524679227600118E-2</v>
      </c>
      <c r="Q48" s="63">
        <f>股权价值增加表!Q43</f>
        <v>8.6013132020857849E-2</v>
      </c>
      <c r="R48" s="63">
        <f>股权价值增加表!R43</f>
        <v>8.5538593109938083E-2</v>
      </c>
      <c r="S48" s="63">
        <f>股权价值增加表!S43</f>
        <v>9.4046230899911015E-2</v>
      </c>
      <c r="T48" s="63">
        <f>股权价值增加表!T43</f>
        <v>9.3385690419196019E-2</v>
      </c>
      <c r="U48" s="63">
        <f>股权价值增加表!U43</f>
        <v>-9.4902386571151173E-3</v>
      </c>
      <c r="V48" s="63">
        <f>股权价值增加表!V43</f>
        <v>7.7313924069427262E-2</v>
      </c>
      <c r="W48" s="63">
        <f>股权价值增加表!W43</f>
        <v>8.0829350213772855E-2</v>
      </c>
      <c r="X48" s="63">
        <f>股权价值增加表!X43</f>
        <v>8.6610290071004251E-2</v>
      </c>
      <c r="Y48" s="63">
        <f>股权价值增加表!Y43</f>
        <v>7.1776566909960079E-2</v>
      </c>
      <c r="Z48" s="63">
        <f>股权价值增加表!Z43</f>
        <v>4.5218006181897696E-2</v>
      </c>
      <c r="AA48" s="63">
        <f>股权价值增加表!AA43</f>
        <v>4.8197571668414395E-2</v>
      </c>
      <c r="AB48" s="63">
        <f>股权价值增加表!AB43</f>
        <v>5.4946139657420963E-2</v>
      </c>
      <c r="AC48" s="63">
        <f>股权价值增加表!AC43</f>
        <v>-1.6986263885158497E-2</v>
      </c>
      <c r="AD48" s="63">
        <f>股权价值增加表!AD43</f>
        <v>3.9568947435746092E-2</v>
      </c>
      <c r="AE48" s="63">
        <f>股权价值增加表!AE43</f>
        <v>4.5633352498805707E-2</v>
      </c>
      <c r="AF48" s="63">
        <f>股权价值增加表!AF43</f>
        <v>4.6671067915495551E-2</v>
      </c>
      <c r="AG48" s="63">
        <f>股权价值增加表!AG43</f>
        <v>-1.660055320358151E-2</v>
      </c>
      <c r="AH48" s="63">
        <f>股权价值增加表!AH43</f>
        <v>-8.7800817438615959E-3</v>
      </c>
      <c r="AI48" s="63">
        <f>股权价值增加表!AI43</f>
        <v>4.3162676938196691E-2</v>
      </c>
      <c r="AJ48" s="63">
        <f>股权价值增加表!AJ43</f>
        <v>7.7812157373823472E-3</v>
      </c>
      <c r="AK48" s="63">
        <f>股权价值增加表!AK43</f>
        <v>6.3265861638323498E-2</v>
      </c>
      <c r="AL48" s="63">
        <f>股权价值增加表!AL43</f>
        <v>7.0942180830167442E-2</v>
      </c>
      <c r="AM48" s="63">
        <f>股权价值增加表!AM43</f>
        <v>4.1469113096911717E-2</v>
      </c>
      <c r="AN48" s="63">
        <f>股权价值增加表!AN43</f>
        <v>4.0855844069122224E-2</v>
      </c>
      <c r="AO48" s="63">
        <f>股权价值增加表!AO43</f>
        <v>-5.0499304733779248E-2</v>
      </c>
      <c r="AP48" s="63">
        <f>股权价值增加表!AP43</f>
        <v>4.4666503993520519E-2</v>
      </c>
      <c r="AQ48" s="63">
        <f>股权价值增加表!AQ43</f>
        <v>4.6630817112994064E-2</v>
      </c>
      <c r="AR48" s="63">
        <f>股权价值增加表!AR43</f>
        <v>6.2303431244020192E-2</v>
      </c>
      <c r="AS48" s="63">
        <f>股权价值增加表!AS43</f>
        <v>-5.9381431316722133E-2</v>
      </c>
      <c r="AT48" s="63">
        <f>股权价值增加表!AT43</f>
        <v>2.8465617649827208E-2</v>
      </c>
      <c r="AU48" s="63">
        <f>股权价值增加表!AU43</f>
        <v>9.9883845827943487E-3</v>
      </c>
      <c r="AV48" s="63">
        <f>股权价值增加表!AV43</f>
        <v>-9.5994451793851854E-3</v>
      </c>
      <c r="AW48" s="63">
        <f>股权价值增加表!AW43</f>
        <v>-0.10919342117840911</v>
      </c>
      <c r="AX48" s="63">
        <f>股权价值增加表!AX43</f>
        <v>1.2846296525196792E-2</v>
      </c>
      <c r="AY48" s="63">
        <f>股权价值增加表!AY43</f>
        <v>2.940535752808672E-2</v>
      </c>
      <c r="AZ48" s="63">
        <f>股权价值增加表!AZ43</f>
        <v>4.2583691683807177E-2</v>
      </c>
      <c r="BA48" s="63">
        <f>股权价值增加表!BA43</f>
        <v>-1.0123120398812085E-2</v>
      </c>
      <c r="BB48" s="63">
        <f>股权价值增加表!BB43</f>
        <v>-4.6094973888517264E-2</v>
      </c>
      <c r="BC48" s="63">
        <f>股权价值增加表!BC43</f>
        <v>-2.9705252548739954E-2</v>
      </c>
      <c r="BD48" s="63">
        <f>股权价值增加表!BD43</f>
        <v>-1.6657175508779452E-2</v>
      </c>
      <c r="BE48" s="63">
        <f>股权价值增加表!BE43</f>
        <v>-7.4421102422893935E-3</v>
      </c>
      <c r="BF48" s="63">
        <f>股权价值增加表!BF43</f>
        <v>-6.1892206997956133E-2</v>
      </c>
      <c r="BG48" s="63">
        <f>股权价值增加表!BG43</f>
        <v>-4.6353939243781464E-2</v>
      </c>
      <c r="BH48" s="63">
        <f>股权价值增加表!BH43</f>
        <v>-4.0438223110381429E-2</v>
      </c>
      <c r="BI48" s="63">
        <f>股权价值增加表!BI43</f>
        <v>-2.4812526999971607E-2</v>
      </c>
      <c r="BJ48" s="63">
        <f>股权价值增加表!BJ43</f>
        <v>-0.12793585751954267</v>
      </c>
      <c r="BK48" s="63">
        <f>股权价值增加表!BK43</f>
        <v>-0.12715167396616006</v>
      </c>
      <c r="BL48" s="63">
        <f>股权价值增加表!BL43</f>
        <v>-0.1045794174476333</v>
      </c>
      <c r="BM48" s="63">
        <f>股权价值增加表!BM43</f>
        <v>-7.1029835271905817E-2</v>
      </c>
      <c r="BN48" s="63">
        <f>股权价值增加表!BN43</f>
        <v>-0.18479235554212359</v>
      </c>
      <c r="BO48" s="63">
        <f>股权价值增加表!BO43</f>
        <v>-9.7948337987149886E-2</v>
      </c>
      <c r="BP48" s="63">
        <f>股权价值增加表!BP43</f>
        <v>-5.866487760601375E-2</v>
      </c>
      <c r="BQ48" s="63">
        <f>股权价值增加表!BQ43</f>
        <v>-2.2688155851178955E-2</v>
      </c>
      <c r="BR48" s="63">
        <f>股权价值增加表!BR43</f>
        <v>-8.265281939162597E-2</v>
      </c>
      <c r="BS48" s="63">
        <f>股权价值增加表!BS43</f>
        <v>-1.7890162662206343E-2</v>
      </c>
      <c r="BT48" s="63">
        <f>股权价值增加表!BT43</f>
        <v>-1.0028871874190073E-2</v>
      </c>
      <c r="BU48" s="63">
        <f>股权价值增加表!BU43</f>
        <v>-8.6346611298028682E-3</v>
      </c>
      <c r="BV48" s="63">
        <f>股权价值增加表!BV43</f>
        <v>-6.9125650735347528E-3</v>
      </c>
      <c r="BW48" s="63">
        <f>股权价值增加表!BW43</f>
        <v>1.2109670824155041E-2</v>
      </c>
      <c r="BX48" s="63">
        <f>股权价值增加表!BX43</f>
        <v>-1.4032277188438639E-3</v>
      </c>
      <c r="BY48" s="63">
        <f>股权价值增加表!BY43</f>
        <v>1.4512107895513866E-2</v>
      </c>
      <c r="BZ48" s="63">
        <f>股权价值增加表!BZ43</f>
        <v>2.5566455501032773E-2</v>
      </c>
      <c r="CA48" s="63">
        <f>股权价值增加表!CA43</f>
        <v>2.436301953067645E-2</v>
      </c>
      <c r="CB48" s="63">
        <f>股权价值增加表!CB43</f>
        <v>2.3327760397773296E-2</v>
      </c>
      <c r="CC48" s="63">
        <f>股权价值增加表!CC43</f>
        <v>3.2990841320400185E-2</v>
      </c>
      <c r="CD48" s="63">
        <f>股权价值增加表!CD43</f>
        <v>3.6210695198028615E-2</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c r="A49" s="59" t="s">
        <v>425</v>
      </c>
      <c r="E49" s="59">
        <f>(E47-I47)/I47</f>
        <v>-1.3707282027642511</v>
      </c>
      <c r="F49" s="59">
        <f t="shared" ref="F49:BQ49" si="38">(F47-J47)/J47</f>
        <v>1.2825694368235094</v>
      </c>
      <c r="G49" s="59">
        <f t="shared" si="38"/>
        <v>1.0074959798858014</v>
      </c>
      <c r="H49" s="59">
        <f t="shared" si="38"/>
        <v>1.0261732034110909</v>
      </c>
      <c r="I49" s="59">
        <f t="shared" si="38"/>
        <v>5.2739589845032922E-2</v>
      </c>
      <c r="J49" s="59">
        <f t="shared" si="38"/>
        <v>-0.26094714147831144</v>
      </c>
      <c r="K49" s="59">
        <f t="shared" si="38"/>
        <v>-0.2847787965117613</v>
      </c>
      <c r="L49" s="59">
        <f t="shared" si="38"/>
        <v>-0.27046424865650132</v>
      </c>
      <c r="M49" s="59">
        <f t="shared" si="38"/>
        <v>1.0632571494158161</v>
      </c>
      <c r="N49" s="59">
        <f t="shared" si="38"/>
        <v>-0.18699413884813207</v>
      </c>
      <c r="O49" s="59">
        <f t="shared" si="38"/>
        <v>-0.12542912494968322</v>
      </c>
      <c r="P49" s="59">
        <f t="shared" si="38"/>
        <v>-6.8347439950829342E-2</v>
      </c>
      <c r="Q49" s="59">
        <f t="shared" si="38"/>
        <v>-9.4616842224521953</v>
      </c>
      <c r="R49" s="59">
        <f t="shared" si="38"/>
        <v>-5.8764983624874645E-2</v>
      </c>
      <c r="S49" s="59">
        <f t="shared" si="38"/>
        <v>-1.0036777599413252E-2</v>
      </c>
      <c r="T49" s="59">
        <f t="shared" si="38"/>
        <v>-9.7286218379192532E-2</v>
      </c>
      <c r="U49" s="59">
        <f t="shared" si="38"/>
        <v>-1.1167208157389439</v>
      </c>
      <c r="V49" s="59">
        <f t="shared" si="38"/>
        <v>0.84962348742036464</v>
      </c>
      <c r="W49" s="59">
        <f t="shared" si="38"/>
        <v>0.82893764780651924</v>
      </c>
      <c r="X49" s="59">
        <f t="shared" si="38"/>
        <v>0.70615680521392932</v>
      </c>
      <c r="Y49" s="59">
        <f t="shared" si="38"/>
        <v>-5.3316069250381215</v>
      </c>
      <c r="Z49" s="59">
        <f t="shared" si="38"/>
        <v>0.26960071398940888</v>
      </c>
      <c r="AA49" s="59">
        <f t="shared" si="38"/>
        <v>0.19778151733492225</v>
      </c>
      <c r="AB49" s="59">
        <f t="shared" si="38"/>
        <v>0.32218116325402418</v>
      </c>
      <c r="AC49" s="59">
        <f t="shared" si="38"/>
        <v>0.12666033027462961</v>
      </c>
      <c r="AD49" s="59">
        <f t="shared" si="38"/>
        <v>-6.8146869398583885</v>
      </c>
      <c r="AE49" s="59">
        <f t="shared" si="38"/>
        <v>0.42901997244785062</v>
      </c>
      <c r="AF49" s="59">
        <f t="shared" si="38"/>
        <v>7.5001395703304938</v>
      </c>
      <c r="AG49" s="59">
        <f t="shared" si="38"/>
        <v>-1.3775318820697104</v>
      </c>
      <c r="AH49" s="59">
        <f t="shared" si="38"/>
        <v>-1.1563176150941803</v>
      </c>
      <c r="AI49" s="59">
        <f t="shared" si="38"/>
        <v>0.27608328762455076</v>
      </c>
      <c r="AJ49" s="59">
        <f t="shared" si="38"/>
        <v>-0.77142480735780938</v>
      </c>
      <c r="AK49" s="59">
        <f t="shared" si="38"/>
        <v>-2.5046090034955917</v>
      </c>
      <c r="AL49" s="59">
        <f t="shared" si="38"/>
        <v>0.8591081550042261</v>
      </c>
      <c r="AM49" s="59">
        <f t="shared" si="38"/>
        <v>3.2292212495060466E-2</v>
      </c>
      <c r="AN49" s="59">
        <f t="shared" si="38"/>
        <v>-0.23478237641743449</v>
      </c>
      <c r="AO49" s="59">
        <f t="shared" si="38"/>
        <v>-5.199389225981977E-2</v>
      </c>
      <c r="AP49" s="59">
        <f t="shared" si="38"/>
        <v>0.78551528307348517</v>
      </c>
      <c r="AQ49" s="59">
        <f t="shared" si="38"/>
        <v>4.3642238115168555</v>
      </c>
      <c r="AR49" s="59">
        <f t="shared" si="38"/>
        <v>-8.4715421181884984</v>
      </c>
      <c r="AS49" s="59">
        <f t="shared" si="38"/>
        <v>-0.33120405290996047</v>
      </c>
      <c r="AT49" s="59">
        <f t="shared" si="38"/>
        <v>1.6934717879699188</v>
      </c>
      <c r="AU49" s="59">
        <f t="shared" si="38"/>
        <v>-0.59088489694896862</v>
      </c>
      <c r="AV49" s="59">
        <f t="shared" si="38"/>
        <v>-1.2725941140057406</v>
      </c>
      <c r="AW49" s="59">
        <f t="shared" si="38"/>
        <v>11.604893785909812</v>
      </c>
      <c r="AX49" s="59">
        <f t="shared" si="38"/>
        <v>-1.285558183440191</v>
      </c>
      <c r="AY49" s="59">
        <f t="shared" si="38"/>
        <v>-2.0154561578595578</v>
      </c>
      <c r="AZ49" s="59">
        <f t="shared" si="38"/>
        <v>-3.5241348756570421</v>
      </c>
      <c r="BA49" s="59">
        <f t="shared" si="38"/>
        <v>0.33571154905045553</v>
      </c>
      <c r="BB49" s="59">
        <f t="shared" si="38"/>
        <v>-0.18927810642310036</v>
      </c>
      <c r="BC49" s="59">
        <f t="shared" si="38"/>
        <v>-0.31030846896341807</v>
      </c>
      <c r="BD49" s="59">
        <f t="shared" si="38"/>
        <v>-0.55353255247217059</v>
      </c>
      <c r="BE49" s="59">
        <f t="shared" si="38"/>
        <v>-0.67850841283898244</v>
      </c>
      <c r="BF49" s="59">
        <f t="shared" si="38"/>
        <v>-0.59271600620928866</v>
      </c>
      <c r="BG49" s="59">
        <f t="shared" si="38"/>
        <v>-0.70033670398980663</v>
      </c>
      <c r="BH49" s="59">
        <f t="shared" si="38"/>
        <v>-0.68484374776627666</v>
      </c>
      <c r="BI49" s="59">
        <f t="shared" si="38"/>
        <v>-0.71080561232365125</v>
      </c>
      <c r="BJ49" s="59">
        <f t="shared" si="38"/>
        <v>-0.3454735330290441</v>
      </c>
      <c r="BK49" s="59">
        <f t="shared" si="38"/>
        <v>0.16670087377103493</v>
      </c>
      <c r="BL49" s="59">
        <f t="shared" si="38"/>
        <v>0.56916436324651631</v>
      </c>
      <c r="BM49" s="59">
        <f t="shared" si="38"/>
        <v>1.6914762177617571</v>
      </c>
      <c r="BN49" s="59">
        <f t="shared" si="38"/>
        <v>0.74571513962070679</v>
      </c>
      <c r="BO49" s="59">
        <f t="shared" si="38"/>
        <v>5.4969949075180446</v>
      </c>
      <c r="BP49" s="59">
        <f t="shared" si="38"/>
        <v>1.6305851617243934</v>
      </c>
      <c r="BQ49" s="59">
        <f t="shared" si="38"/>
        <v>0.46311834931301049</v>
      </c>
      <c r="BR49" s="59">
        <f t="shared" ref="BR49:CJ49" si="39">(BR47-BV47)/BV47</f>
        <v>12.233556365202288</v>
      </c>
      <c r="BS49" s="59">
        <f t="shared" si="39"/>
        <v>-2.5863167650955901</v>
      </c>
      <c r="BT49" s="59">
        <f t="shared" si="39"/>
        <v>6.6463130630508713</v>
      </c>
      <c r="BU49" s="59">
        <f t="shared" si="39"/>
        <v>-1.5953959456539626</v>
      </c>
      <c r="BV49" s="59">
        <f t="shared" si="39"/>
        <v>-1.2633795962683334</v>
      </c>
      <c r="BW49" s="59">
        <f t="shared" si="39"/>
        <v>-0.541666026680657</v>
      </c>
      <c r="BX49" s="59">
        <f t="shared" si="39"/>
        <v>-1.0596381842414209</v>
      </c>
      <c r="BY49" s="59">
        <f t="shared" si="39"/>
        <v>-0.58890708506465694</v>
      </c>
      <c r="BZ49" s="59">
        <f t="shared" si="39"/>
        <v>-0.22980905496726867</v>
      </c>
      <c r="CA49" s="59" t="e">
        <f t="shared" si="39"/>
        <v>#DIV/0!</v>
      </c>
      <c r="CB49" s="59" t="e">
        <f t="shared" si="39"/>
        <v>#DIV/0!</v>
      </c>
      <c r="CC49" s="59">
        <f t="shared" si="39"/>
        <v>-3.5449603048498846</v>
      </c>
      <c r="CD49" s="59">
        <f t="shared" si="39"/>
        <v>-5.7401074715639693</v>
      </c>
      <c r="CE49" s="59">
        <f t="shared" si="39"/>
        <v>-1</v>
      </c>
      <c r="CF49" s="59">
        <f t="shared" si="39"/>
        <v>-1</v>
      </c>
      <c r="CG49" s="59" t="e">
        <f t="shared" si="39"/>
        <v>#DIV/0!</v>
      </c>
      <c r="CH49" s="59" t="e">
        <f t="shared" si="39"/>
        <v>#DIV/0!</v>
      </c>
      <c r="CI49" s="59" t="e">
        <f t="shared" si="39"/>
        <v>#DIV/0!</v>
      </c>
      <c r="CJ49" s="59" t="e">
        <f t="shared" si="39"/>
        <v>#DIV/0!</v>
      </c>
    </row>
    <row r="50" spans="1:88" s="26" customFormat="1">
      <c r="A50" s="17" t="s">
        <v>426</v>
      </c>
      <c r="E50" s="26">
        <f>股权价值增加表!E47</f>
        <v>-174660855.07479995</v>
      </c>
      <c r="F50" s="26">
        <f>股权价值增加表!F47</f>
        <v>-4086999.0120002031</v>
      </c>
      <c r="G50" s="26">
        <f>股权价值增加表!G47</f>
        <v>-34348747.256400093</v>
      </c>
      <c r="H50" s="26">
        <f>股权价值增加表!H47</f>
        <v>-60487620.329599991</v>
      </c>
      <c r="I50" s="26">
        <f>股权价值增加表!I47</f>
        <v>-38162033.341200016</v>
      </c>
      <c r="J50" s="26">
        <f>股权价值增加表!J47</f>
        <v>-37037867.870800085</v>
      </c>
      <c r="K50" s="26">
        <f>股权价值增加表!K47</f>
        <v>-44319338.665599987</v>
      </c>
      <c r="L50" s="26">
        <f>股权价值增加表!L47</f>
        <v>-57639578.833600022</v>
      </c>
      <c r="M50" s="26">
        <f>股权价值增加表!M47</f>
        <v>-36842540.368000031</v>
      </c>
      <c r="N50" s="26">
        <f>股权价值增加表!N47</f>
        <v>-9996654.1791998744</v>
      </c>
      <c r="O50" s="26">
        <f>股权价值增加表!O47</f>
        <v>-17529646.508000031</v>
      </c>
      <c r="P50" s="26">
        <f>股权价值增加表!P47</f>
        <v>-37222164.085200019</v>
      </c>
      <c r="Q50" s="26">
        <f>股权价值增加表!Q47</f>
        <v>-61298130.255999997</v>
      </c>
      <c r="R50" s="26">
        <f>股权价值增加表!R47</f>
        <v>16193970.317599937</v>
      </c>
      <c r="S50" s="26">
        <f>股权价值增加表!S47</f>
        <v>850652.13840000331</v>
      </c>
      <c r="T50" s="26">
        <f>股权价值增加表!T47</f>
        <v>-25204018.231200039</v>
      </c>
      <c r="U50" s="26">
        <f>股权价值增加表!U47</f>
        <v>-88465026.516000003</v>
      </c>
      <c r="V50" s="26">
        <f>股权价值增加表!V47</f>
        <v>28044302.518399969</v>
      </c>
      <c r="W50" s="26">
        <f>股权价值增加表!W47</f>
        <v>7571166.8828000277</v>
      </c>
      <c r="X50" s="26">
        <f>股权价值增加表!X47</f>
        <v>-13455457.193599969</v>
      </c>
      <c r="Y50" s="26">
        <f>股权价值增加表!Y47</f>
        <v>-51145791.276799962</v>
      </c>
      <c r="Z50" s="26">
        <f>股权价值增加表!Z47</f>
        <v>21649232.370399892</v>
      </c>
      <c r="AA50" s="26">
        <f>股权价值增加表!AA47</f>
        <v>11399586.685200058</v>
      </c>
      <c r="AB50" s="26">
        <f>股权价值增加表!AB47</f>
        <v>1928521.1171999127</v>
      </c>
      <c r="AC50" s="26">
        <f>股权价值增加表!AC47</f>
        <v>-42278796.014800034</v>
      </c>
      <c r="AD50" s="26">
        <f>股权价值增加表!AD47</f>
        <v>13749164.840400107</v>
      </c>
      <c r="AE50" s="26">
        <f>股权价值增加表!AE47</f>
        <v>7504031.990799956</v>
      </c>
      <c r="AF50" s="26">
        <f>股权价值增加表!AF47</f>
        <v>-2886240.0523999855</v>
      </c>
      <c r="AG50" s="26">
        <f>股权价值增加表!AG47</f>
        <v>-37272375.235200003</v>
      </c>
      <c r="AH50" s="26">
        <f>股权价值增加表!AH47</f>
        <v>-37590274.206800006</v>
      </c>
      <c r="AI50" s="26">
        <f>股权价值增加表!AI47</f>
        <v>-531018.39199997857</v>
      </c>
      <c r="AJ50" s="26">
        <f>股权价值增加表!AJ47</f>
        <v>-30797979.10519997</v>
      </c>
      <c r="AK50" s="26">
        <f>股权价值增加表!AK47</f>
        <v>-19610799.219999999</v>
      </c>
      <c r="AL50" s="26">
        <f>股权价值增加表!AL47</f>
        <v>17795768.712400056</v>
      </c>
      <c r="AM50" s="26">
        <f>股权价值增加表!AM47</f>
        <v>-9496589.433199998</v>
      </c>
      <c r="AN50" s="26">
        <f>股权价值增加表!AN47</f>
        <v>-16091260.753200032</v>
      </c>
      <c r="AO50" s="26">
        <f>股权价值增加表!AO47</f>
        <v>-41094391.995999999</v>
      </c>
      <c r="AP50" s="26">
        <f>股权价值增加表!AP47</f>
        <v>-1968858.0372000411</v>
      </c>
      <c r="AQ50" s="26">
        <f>股权价值增加表!AQ47</f>
        <v>-11569145.603599973</v>
      </c>
      <c r="AR50" s="26">
        <f>股权价值增加表!AR47</f>
        <v>-13325477.252400007</v>
      </c>
      <c r="AS50" s="26">
        <f>股权价值增加表!AS47</f>
        <v>-43775501.198800005</v>
      </c>
      <c r="AT50" s="26">
        <f>股权价值增加表!AT47</f>
        <v>-16631054.048400091</v>
      </c>
      <c r="AU50" s="26">
        <f>股权价值增加表!AU47</f>
        <v>-21099190.123999983</v>
      </c>
      <c r="AV50" s="26">
        <f>股权价值增加表!AV47</f>
        <v>-27160471.266799986</v>
      </c>
      <c r="AW50" s="26">
        <f>股权价值增加表!AW47</f>
        <v>-41594428.113599986</v>
      </c>
      <c r="AX50" s="26">
        <f>股权价值增加表!AX47</f>
        <v>-18811917.795999974</v>
      </c>
      <c r="AY50" s="26">
        <f>股权价值增加表!AY47</f>
        <v>-14691212.203599982</v>
      </c>
      <c r="AZ50" s="26">
        <f>股权价值增加表!AZ47</f>
        <v>-14310713.269600006</v>
      </c>
      <c r="BA50" s="26">
        <f>股权价值增加表!BA47</f>
        <v>-21437578.560799997</v>
      </c>
      <c r="BB50" s="26">
        <f>股权价值增加表!BB47</f>
        <v>-40089234.423199996</v>
      </c>
      <c r="BC50" s="26">
        <f>股权价值增加表!BC47</f>
        <v>-29900267.693599984</v>
      </c>
      <c r="BD50" s="26">
        <f>股权价值增加表!BD47</f>
        <v>-24078852.544800006</v>
      </c>
      <c r="BE50" s="26">
        <f>股权价值增加表!BE47</f>
        <v>-21010686.027600005</v>
      </c>
      <c r="BF50" s="26">
        <f>股权价值增加表!BF47</f>
        <v>-44493054.76639995</v>
      </c>
      <c r="BG50" s="26">
        <f>股权价值增加表!BG47</f>
        <v>-33558600.180400014</v>
      </c>
      <c r="BH50" s="26">
        <f>股权价值增加表!BH47</f>
        <v>-28090409.754800014</v>
      </c>
      <c r="BI50" s="26">
        <f>股权价值增加表!BI47</f>
        <v>-22499272.313599993</v>
      </c>
      <c r="BJ50" s="26">
        <f>股权价值增加表!BJ47</f>
        <v>-80517317.740400001</v>
      </c>
      <c r="BK50" s="26">
        <f>股权价值增加表!BK47</f>
        <v>-63221072.869199984</v>
      </c>
      <c r="BL50" s="26">
        <f>股权价值增加表!BL47</f>
        <v>-44771956.732799992</v>
      </c>
      <c r="BM50" s="26">
        <f>股权价值增加表!BM47</f>
        <v>-29196649.92679999</v>
      </c>
      <c r="BN50" s="26">
        <f>股权价值增加表!BN47</f>
        <v>-112757488.66240001</v>
      </c>
      <c r="BO50" s="26">
        <f>股权价值增加表!BO47</f>
        <v>-62682668.930000037</v>
      </c>
      <c r="BP50" s="26">
        <f>股权价值增加表!BP47</f>
        <v>-41963664.425600022</v>
      </c>
      <c r="BQ50" s="26">
        <f>股权价值增加表!BQ47</f>
        <v>-29093009.776000008</v>
      </c>
      <c r="BR50" s="26">
        <f>股权价值增加表!BR47</f>
        <v>-77542954.094399974</v>
      </c>
      <c r="BS50" s="26">
        <f>股权价值增加表!BS47</f>
        <v>-35125847.592800036</v>
      </c>
      <c r="BT50" s="26">
        <f>股权价值增加表!BT47</f>
        <v>-35476689.089600019</v>
      </c>
      <c r="BU50" s="26">
        <f>股权价值增加表!BU47</f>
        <v>-30157537.686399996</v>
      </c>
      <c r="BV50" s="26">
        <f>股权价值增加表!BV47</f>
        <v>-30775847.219600029</v>
      </c>
      <c r="BW50" s="26">
        <f>股权价值增加表!BW47</f>
        <v>-23806022.312399987</v>
      </c>
      <c r="BX50" s="26">
        <f>股权价值增加表!BX47</f>
        <v>-19418456.162399963</v>
      </c>
      <c r="BY50" s="26">
        <f>股权价值增加表!BY47</f>
        <v>-13400701.951999979</v>
      </c>
      <c r="BZ50" s="26">
        <f>股权价值增加表!BZ47</f>
        <v>-1520066.7792000212</v>
      </c>
      <c r="CA50" s="26">
        <f>股权价值增加表!CA47</f>
        <v>-8509966.9499999806</v>
      </c>
      <c r="CB50" s="26">
        <f>股权价值增加表!CB47</f>
        <v>-1524760.7743999269</v>
      </c>
      <c r="CC50" s="26">
        <f>股权价值增加表!CC47</f>
        <v>-3587216.6615999993</v>
      </c>
      <c r="CD50" s="26">
        <f>股权价值增加表!CD47</f>
        <v>20003253.529999949</v>
      </c>
      <c r="CE50" s="26">
        <f>股权价值增加表!CE47</f>
        <v>0</v>
      </c>
      <c r="CF50" s="26">
        <f>股权价值增加表!CF47</f>
        <v>0</v>
      </c>
      <c r="CG50" s="26">
        <f>股权价值增加表!CG47</f>
        <v>-43745192.029600002</v>
      </c>
      <c r="CH50" s="26">
        <f>股权价值增加表!CH47</f>
        <v>-4220000</v>
      </c>
      <c r="CI50" s="26">
        <f>股权价值增加表!CI47</f>
        <v>-12510000</v>
      </c>
      <c r="CJ50" s="26">
        <f>股权价值增加表!CJ47</f>
        <v>-3630000</v>
      </c>
    </row>
    <row r="51" spans="1:88" s="16" customFormat="1" ht="73.150000000000006" customHeight="1">
      <c r="A51" s="281" t="s">
        <v>683</v>
      </c>
      <c r="B51" s="282"/>
      <c r="C51" s="282"/>
      <c r="D51" s="282"/>
      <c r="E51" s="282"/>
      <c r="F51" s="282"/>
      <c r="G51" s="282"/>
      <c r="H51" s="282"/>
      <c r="I51" s="282"/>
      <c r="J51" s="282"/>
      <c r="K51" s="282"/>
      <c r="L51" s="282"/>
      <c r="M51" s="282"/>
      <c r="N51" s="282"/>
      <c r="O51" s="282"/>
      <c r="P51" s="282"/>
      <c r="Q51" s="282"/>
      <c r="R51" s="282"/>
      <c r="S51" s="282"/>
      <c r="T51" s="282"/>
      <c r="U51" s="282"/>
      <c r="V51" s="282"/>
      <c r="W51" s="282"/>
      <c r="X51" s="282"/>
      <c r="Y51" s="282"/>
      <c r="Z51" s="282"/>
      <c r="AA51" s="282"/>
      <c r="AB51" s="282"/>
      <c r="AC51" s="282"/>
      <c r="AD51" s="282"/>
      <c r="AE51" s="282"/>
      <c r="AF51" s="282"/>
      <c r="AG51" s="282"/>
    </row>
    <row r="53" spans="1:88">
      <c r="A53" s="20" t="s">
        <v>670</v>
      </c>
      <c r="E53" s="1">
        <f>E1</f>
        <v>43190</v>
      </c>
      <c r="F53" s="1">
        <f t="shared" ref="F53:AC53" si="40">F1</f>
        <v>43100</v>
      </c>
      <c r="G53" s="1">
        <f t="shared" si="40"/>
        <v>43008</v>
      </c>
      <c r="H53" s="1">
        <f t="shared" si="40"/>
        <v>42916</v>
      </c>
      <c r="I53" s="1">
        <f t="shared" si="40"/>
        <v>42825</v>
      </c>
      <c r="J53" s="1">
        <f t="shared" si="40"/>
        <v>42735</v>
      </c>
      <c r="K53" s="1">
        <f t="shared" si="40"/>
        <v>42643</v>
      </c>
      <c r="L53" s="1">
        <f t="shared" si="40"/>
        <v>42551</v>
      </c>
      <c r="M53" s="1">
        <f t="shared" si="40"/>
        <v>42460</v>
      </c>
      <c r="N53" s="1">
        <f t="shared" si="40"/>
        <v>42369</v>
      </c>
      <c r="O53" s="1">
        <f t="shared" si="40"/>
        <v>42277</v>
      </c>
      <c r="P53" s="1">
        <f t="shared" si="40"/>
        <v>42185</v>
      </c>
      <c r="Q53" s="1">
        <f t="shared" si="40"/>
        <v>42094</v>
      </c>
      <c r="R53" s="1">
        <f t="shared" si="40"/>
        <v>42004</v>
      </c>
      <c r="S53" s="1">
        <f t="shared" si="40"/>
        <v>41912</v>
      </c>
      <c r="T53" s="1">
        <f t="shared" si="40"/>
        <v>41820</v>
      </c>
      <c r="U53" s="1">
        <f t="shared" si="40"/>
        <v>41729</v>
      </c>
      <c r="V53" s="1">
        <f t="shared" si="40"/>
        <v>41639</v>
      </c>
      <c r="W53" s="1">
        <f t="shared" si="40"/>
        <v>41547</v>
      </c>
      <c r="X53" s="1">
        <f t="shared" si="40"/>
        <v>41455</v>
      </c>
      <c r="Y53" s="1">
        <f t="shared" si="40"/>
        <v>41364</v>
      </c>
      <c r="Z53" s="1">
        <f t="shared" si="40"/>
        <v>41274</v>
      </c>
      <c r="AA53" s="1">
        <f t="shared" si="40"/>
        <v>41182</v>
      </c>
      <c r="AB53" s="1">
        <f t="shared" si="40"/>
        <v>41090</v>
      </c>
      <c r="AC53" s="1">
        <f t="shared" si="40"/>
        <v>40999</v>
      </c>
    </row>
    <row r="54" spans="1:88">
      <c r="A54" s="17" t="s">
        <v>671</v>
      </c>
      <c r="E54" s="192">
        <f>E39</f>
        <v>213958115.36000001</v>
      </c>
      <c r="F54" s="192">
        <f t="shared" ref="F54:AC54" si="41">F39</f>
        <v>267992585.00999978</v>
      </c>
      <c r="G54" s="192">
        <f t="shared" si="41"/>
        <v>210417141.15999991</v>
      </c>
      <c r="H54" s="192">
        <f t="shared" si="41"/>
        <v>151114450.25</v>
      </c>
      <c r="I54" s="192">
        <f t="shared" si="41"/>
        <v>195500513.16</v>
      </c>
      <c r="J54" s="192">
        <f t="shared" si="41"/>
        <v>101616487.05999991</v>
      </c>
      <c r="K54" s="192">
        <f t="shared" si="41"/>
        <v>86827967.650000006</v>
      </c>
      <c r="L54" s="192">
        <f t="shared" si="41"/>
        <v>63069160.919999979</v>
      </c>
      <c r="M54" s="192">
        <f t="shared" si="41"/>
        <v>156289943.71999997</v>
      </c>
      <c r="N54" s="192">
        <f t="shared" si="41"/>
        <v>119801661.35000013</v>
      </c>
      <c r="O54" s="192">
        <f t="shared" si="41"/>
        <v>108466041.43999997</v>
      </c>
      <c r="P54" s="192">
        <f t="shared" si="41"/>
        <v>75737733.859999985</v>
      </c>
      <c r="Q54" s="192">
        <f t="shared" si="41"/>
        <v>71536692.040000007</v>
      </c>
      <c r="R54" s="192">
        <f t="shared" si="41"/>
        <v>135966228.31999993</v>
      </c>
      <c r="S54" s="192">
        <f t="shared" si="41"/>
        <v>112860470.08</v>
      </c>
      <c r="T54" s="192">
        <f t="shared" si="41"/>
        <v>75560607.849999964</v>
      </c>
      <c r="U54" s="192">
        <f t="shared" si="41"/>
        <v>25712434.150000006</v>
      </c>
      <c r="V54" s="192">
        <f t="shared" si="41"/>
        <v>132964456.55999999</v>
      </c>
      <c r="W54" s="192">
        <f t="shared" si="41"/>
        <v>110444694.07000004</v>
      </c>
      <c r="X54" s="192">
        <f t="shared" si="41"/>
        <v>79512585.110000014</v>
      </c>
      <c r="Y54" s="192">
        <f t="shared" si="41"/>
        <v>61240007.45000004</v>
      </c>
      <c r="Z54" s="192">
        <f t="shared" si="41"/>
        <v>83589336.839999899</v>
      </c>
      <c r="AA54" s="192">
        <f t="shared" si="41"/>
        <v>67492339.160000056</v>
      </c>
      <c r="AB54" s="192">
        <f t="shared" si="41"/>
        <v>53175482.73999992</v>
      </c>
      <c r="AC54" s="192">
        <f t="shared" si="41"/>
        <v>50489587.459999964</v>
      </c>
    </row>
    <row r="55" spans="1:88" s="63" customFormat="1">
      <c r="A55" s="63" t="s">
        <v>672</v>
      </c>
      <c r="E55" s="63">
        <f>E54/E2</f>
        <v>0.50764226303810667</v>
      </c>
      <c r="F55" s="63">
        <f t="shared" ref="F55:AC55" si="42">F54/F2</f>
        <v>0.19613562783344651</v>
      </c>
      <c r="G55" s="63">
        <f t="shared" si="42"/>
        <v>0.20507740887419643</v>
      </c>
      <c r="H55" s="63">
        <f t="shared" si="42"/>
        <v>0.21637868483849471</v>
      </c>
      <c r="I55" s="63">
        <f t="shared" si="42"/>
        <v>0.68778968160720533</v>
      </c>
      <c r="J55" s="63">
        <f t="shared" si="42"/>
        <v>9.8989710077852427E-2</v>
      </c>
      <c r="K55" s="63">
        <f t="shared" si="42"/>
        <v>0.11332997631722785</v>
      </c>
      <c r="L55" s="63">
        <f t="shared" si="42"/>
        <v>0.11993020896788464</v>
      </c>
      <c r="M55" s="63">
        <f t="shared" si="42"/>
        <v>0.52934843591769265</v>
      </c>
      <c r="N55" s="63">
        <f t="shared" si="42"/>
        <v>0.10690227856988124</v>
      </c>
      <c r="O55" s="63">
        <f t="shared" si="42"/>
        <v>0.12648644121912792</v>
      </c>
      <c r="P55" s="63">
        <f t="shared" si="42"/>
        <v>0.12766175340365657</v>
      </c>
      <c r="Q55" s="63">
        <f t="shared" si="42"/>
        <v>0.21319070488801145</v>
      </c>
      <c r="R55" s="63">
        <f t="shared" si="42"/>
        <v>0.11191994260517053</v>
      </c>
      <c r="S55" s="63">
        <f t="shared" si="42"/>
        <v>0.12166657519541919</v>
      </c>
      <c r="T55" s="63">
        <f t="shared" si="42"/>
        <v>0.11976244922366872</v>
      </c>
      <c r="U55" s="63">
        <f t="shared" si="42"/>
        <v>7.1540470196171616E-2</v>
      </c>
      <c r="V55" s="63">
        <f t="shared" si="42"/>
        <v>9.3112005405201495E-2</v>
      </c>
      <c r="W55" s="63">
        <f t="shared" si="42"/>
        <v>0.10130270407361296</v>
      </c>
      <c r="X55" s="63">
        <f t="shared" si="42"/>
        <v>0.10551162981193098</v>
      </c>
      <c r="Y55" s="63">
        <f t="shared" si="42"/>
        <v>0.15041726741874598</v>
      </c>
      <c r="Z55" s="63">
        <f t="shared" si="42"/>
        <v>6.3322495431559545E-2</v>
      </c>
      <c r="AA55" s="63">
        <f t="shared" si="42"/>
        <v>6.7512724097066282E-2</v>
      </c>
      <c r="AB55" s="63">
        <f t="shared" si="42"/>
        <v>7.6376989233877535E-2</v>
      </c>
      <c r="AC55" s="63">
        <f t="shared" si="42"/>
        <v>0.12712427993366496</v>
      </c>
    </row>
    <row r="56" spans="1:88">
      <c r="A56" s="17" t="s">
        <v>673</v>
      </c>
      <c r="E56" s="192">
        <f>E23</f>
        <v>-2836918081.1787314</v>
      </c>
      <c r="F56" s="192">
        <f t="shared" ref="F56:AC56" si="43">F23</f>
        <v>194299217.70028061</v>
      </c>
      <c r="G56" s="192">
        <f t="shared" si="43"/>
        <v>148313266.62492341</v>
      </c>
      <c r="H56" s="192">
        <f t="shared" si="43"/>
        <v>107103099.69842207</v>
      </c>
      <c r="I56" s="192">
        <f t="shared" si="43"/>
        <v>13516869.187008601</v>
      </c>
      <c r="J56" s="192">
        <f t="shared" si="43"/>
        <v>73482725.977686495</v>
      </c>
      <c r="K56" s="192">
        <f t="shared" si="43"/>
        <v>63529517.786928788</v>
      </c>
      <c r="L56" s="192">
        <f t="shared" si="43"/>
        <v>46575946.923508629</v>
      </c>
      <c r="M56" s="192">
        <f t="shared" si="43"/>
        <v>28348500.4650052</v>
      </c>
      <c r="N56" s="192">
        <f t="shared" si="43"/>
        <v>88827789.353709355</v>
      </c>
      <c r="O56" s="192">
        <f t="shared" si="43"/>
        <v>80599898.870277062</v>
      </c>
      <c r="P56" s="192">
        <f t="shared" si="43"/>
        <v>56593946.103152737</v>
      </c>
      <c r="Q56" s="192">
        <f t="shared" si="43"/>
        <v>29824899.237806797</v>
      </c>
      <c r="R56" s="192">
        <f t="shared" si="43"/>
        <v>98204872.352279171</v>
      </c>
      <c r="S56" s="192">
        <f t="shared" si="43"/>
        <v>81717273.089655757</v>
      </c>
      <c r="T56" s="192">
        <f t="shared" si="43"/>
        <v>56285037.194829717</v>
      </c>
      <c r="U56" s="192">
        <f t="shared" si="43"/>
        <v>-18413653.499927826</v>
      </c>
      <c r="V56" s="192">
        <f t="shared" si="43"/>
        <v>104902113.34233481</v>
      </c>
      <c r="W56" s="192">
        <f t="shared" si="43"/>
        <v>85852753.904070348</v>
      </c>
      <c r="X56" s="192">
        <f t="shared" si="43"/>
        <v>63170807.690435342</v>
      </c>
      <c r="Y56" s="192">
        <f t="shared" si="43"/>
        <v>35637411.926685475</v>
      </c>
      <c r="Z56" s="192">
        <f t="shared" si="43"/>
        <v>59668644.208333224</v>
      </c>
      <c r="AA56" s="192">
        <f t="shared" si="43"/>
        <v>47634991.885566115</v>
      </c>
      <c r="AB56" s="192">
        <f t="shared" si="43"/>
        <v>39743980.476685144</v>
      </c>
      <c r="AC56" s="192">
        <f t="shared" si="43"/>
        <v>-84636974.250252753</v>
      </c>
    </row>
    <row r="57" spans="1:88" s="63" customFormat="1">
      <c r="A57" s="63" t="s">
        <v>674</v>
      </c>
      <c r="E57" s="63">
        <f>E56/E2</f>
        <v>-6.7309412983010972</v>
      </c>
      <c r="F57" s="63">
        <f t="shared" ref="F57:AC57" si="44">F56/F2</f>
        <v>0.1422016920720775</v>
      </c>
      <c r="G57" s="63">
        <f t="shared" si="44"/>
        <v>0.14454953742565685</v>
      </c>
      <c r="H57" s="63">
        <f t="shared" si="44"/>
        <v>0.15335944257171227</v>
      </c>
      <c r="I57" s="63">
        <f t="shared" si="44"/>
        <v>4.7553650904487939E-2</v>
      </c>
      <c r="J57" s="63">
        <f t="shared" si="44"/>
        <v>7.1583204170072079E-2</v>
      </c>
      <c r="K57" s="63">
        <f t="shared" si="44"/>
        <v>8.2920272593038691E-2</v>
      </c>
      <c r="L57" s="63">
        <f t="shared" si="44"/>
        <v>8.856726434808411E-2</v>
      </c>
      <c r="M57" s="63">
        <f t="shared" si="44"/>
        <v>9.6015354696440278E-2</v>
      </c>
      <c r="N57" s="63">
        <f t="shared" si="44"/>
        <v>7.9263450733748603E-2</v>
      </c>
      <c r="O57" s="63">
        <f t="shared" si="44"/>
        <v>9.3990655834548881E-2</v>
      </c>
      <c r="P57" s="63">
        <f t="shared" si="44"/>
        <v>9.539343235322563E-2</v>
      </c>
      <c r="Q57" s="63">
        <f t="shared" si="44"/>
        <v>8.8882936999192363E-2</v>
      </c>
      <c r="R57" s="63">
        <f t="shared" si="44"/>
        <v>8.083686524971033E-2</v>
      </c>
      <c r="S57" s="63">
        <f t="shared" si="44"/>
        <v>8.8093384194481358E-2</v>
      </c>
      <c r="T57" s="63">
        <f t="shared" si="44"/>
        <v>8.9210953973262702E-2</v>
      </c>
      <c r="U57" s="63">
        <f t="shared" si="44"/>
        <v>-5.1232855735450375E-2</v>
      </c>
      <c r="V57" s="63">
        <f t="shared" si="44"/>
        <v>7.3460580347958659E-2</v>
      </c>
      <c r="W57" s="63">
        <f t="shared" si="44"/>
        <v>7.8746346267540124E-2</v>
      </c>
      <c r="X57" s="63">
        <f t="shared" si="44"/>
        <v>8.3826413978780712E-2</v>
      </c>
      <c r="Y57" s="63">
        <f t="shared" si="44"/>
        <v>8.7532355776815854E-2</v>
      </c>
      <c r="Z57" s="63">
        <f t="shared" si="44"/>
        <v>4.5201548344877822E-2</v>
      </c>
      <c r="AA57" s="63">
        <f t="shared" si="44"/>
        <v>4.7649379241580483E-2</v>
      </c>
      <c r="AB57" s="63">
        <f t="shared" si="44"/>
        <v>5.7085058988958125E-2</v>
      </c>
      <c r="AC57" s="63">
        <f t="shared" si="44"/>
        <v>-0.21310165023335945</v>
      </c>
    </row>
    <row r="58" spans="1:88" ht="93" customHeight="1">
      <c r="A58" s="277" t="s">
        <v>675</v>
      </c>
      <c r="B58" s="283"/>
      <c r="C58" s="283"/>
      <c r="D58" s="283"/>
      <c r="E58" s="283"/>
      <c r="F58" s="283"/>
      <c r="G58" s="283"/>
      <c r="H58" s="283"/>
      <c r="I58" s="283"/>
      <c r="J58" s="283"/>
      <c r="K58" s="283"/>
      <c r="L58" s="283"/>
      <c r="M58" s="283"/>
      <c r="N58" s="283"/>
      <c r="O58" s="283"/>
      <c r="P58" s="283"/>
      <c r="Q58" s="283"/>
      <c r="R58" s="283"/>
      <c r="S58" s="283"/>
      <c r="T58" s="283"/>
      <c r="U58" s="283"/>
      <c r="V58" s="283"/>
      <c r="W58" s="283"/>
      <c r="X58" s="283"/>
      <c r="Y58" s="283"/>
      <c r="Z58" s="283"/>
      <c r="AA58" s="283"/>
      <c r="AB58" s="283"/>
      <c r="AC58" s="283"/>
    </row>
    <row r="60" spans="1:88" s="224" customFormat="1">
      <c r="A60" s="226" t="s">
        <v>677</v>
      </c>
      <c r="B60" s="222"/>
      <c r="C60" s="222"/>
      <c r="D60" s="222"/>
      <c r="E60" s="227">
        <f>E53</f>
        <v>43190</v>
      </c>
      <c r="F60" s="227">
        <f t="shared" ref="F60:AC60" si="45">F53</f>
        <v>43100</v>
      </c>
      <c r="G60" s="227">
        <f t="shared" si="45"/>
        <v>43008</v>
      </c>
      <c r="H60" s="227">
        <f t="shared" si="45"/>
        <v>42916</v>
      </c>
      <c r="I60" s="227">
        <f t="shared" si="45"/>
        <v>42825</v>
      </c>
      <c r="J60" s="227">
        <f t="shared" si="45"/>
        <v>42735</v>
      </c>
      <c r="K60" s="227">
        <f t="shared" si="45"/>
        <v>42643</v>
      </c>
      <c r="L60" s="227">
        <f t="shared" si="45"/>
        <v>42551</v>
      </c>
      <c r="M60" s="227">
        <f t="shared" si="45"/>
        <v>42460</v>
      </c>
      <c r="N60" s="227">
        <f t="shared" si="45"/>
        <v>42369</v>
      </c>
      <c r="O60" s="227">
        <f t="shared" si="45"/>
        <v>42277</v>
      </c>
      <c r="P60" s="227">
        <f t="shared" si="45"/>
        <v>42185</v>
      </c>
      <c r="Q60" s="227">
        <f t="shared" si="45"/>
        <v>42094</v>
      </c>
      <c r="R60" s="227">
        <f t="shared" si="45"/>
        <v>42004</v>
      </c>
      <c r="S60" s="227">
        <f t="shared" si="45"/>
        <v>41912</v>
      </c>
      <c r="T60" s="227">
        <f t="shared" si="45"/>
        <v>41820</v>
      </c>
      <c r="U60" s="227">
        <f t="shared" si="45"/>
        <v>41729</v>
      </c>
      <c r="V60" s="227">
        <f t="shared" si="45"/>
        <v>41639</v>
      </c>
      <c r="W60" s="227">
        <f t="shared" si="45"/>
        <v>41547</v>
      </c>
      <c r="X60" s="227">
        <f t="shared" si="45"/>
        <v>41455</v>
      </c>
      <c r="Y60" s="227">
        <f t="shared" si="45"/>
        <v>41364</v>
      </c>
      <c r="Z60" s="227">
        <f t="shared" si="45"/>
        <v>41274</v>
      </c>
      <c r="AA60" s="227">
        <f t="shared" si="45"/>
        <v>41182</v>
      </c>
      <c r="AB60" s="227">
        <f t="shared" si="45"/>
        <v>41090</v>
      </c>
      <c r="AC60" s="227">
        <f t="shared" si="45"/>
        <v>40999</v>
      </c>
    </row>
    <row r="61" spans="1:88" s="192" customFormat="1">
      <c r="A61" s="89" t="s">
        <v>678</v>
      </c>
      <c r="B61" s="89"/>
      <c r="C61" s="89"/>
      <c r="D61" s="89"/>
      <c r="E61" s="89">
        <f>股权价值增加表!E38</f>
        <v>731215.06000003219</v>
      </c>
      <c r="F61" s="89">
        <f>股权价值增加表!F38</f>
        <v>196552762.8999998</v>
      </c>
      <c r="G61" s="89">
        <f>股权价值增加表!G38</f>
        <v>155401164.08999991</v>
      </c>
      <c r="H61" s="89">
        <f>股权价值增加表!H38</f>
        <v>114469757.86</v>
      </c>
      <c r="I61" s="89">
        <f>股权价值增加表!I38</f>
        <v>68745199.089999989</v>
      </c>
      <c r="J61" s="89">
        <f>股权价值增加表!J38</f>
        <v>86344319.369999915</v>
      </c>
      <c r="K61" s="89">
        <f>股权价值增加表!K38</f>
        <v>74581555.160000011</v>
      </c>
      <c r="L61" s="89">
        <f>股权价值增加表!L38</f>
        <v>54226431.939999983</v>
      </c>
      <c r="M61" s="89">
        <f>股权价值增加表!M38</f>
        <v>67471025.339999974</v>
      </c>
      <c r="N61" s="89">
        <f>股权价值增加表!N38</f>
        <v>113035469.49000013</v>
      </c>
      <c r="O61" s="89">
        <f>股权价值增加表!O38</f>
        <v>101770643.17999996</v>
      </c>
      <c r="P61" s="89">
        <f>股权价值增加表!P38</f>
        <v>73460083.75999999</v>
      </c>
      <c r="Q61" s="89">
        <f>股权价值增加表!Q38</f>
        <v>39114174.050000004</v>
      </c>
      <c r="R61" s="89">
        <f>股权价值增加表!R38</f>
        <v>138764372.81999993</v>
      </c>
      <c r="S61" s="89">
        <f>股权价值增加表!S38</f>
        <v>115331405</v>
      </c>
      <c r="T61" s="89">
        <f>股权价值增加表!T38</f>
        <v>79096559.539999962</v>
      </c>
      <c r="U61" s="89">
        <f>股权价值增加表!U38</f>
        <v>7894151.3500000052</v>
      </c>
      <c r="V61" s="89">
        <f>股权价值增加表!V38</f>
        <v>139281266.86999997</v>
      </c>
      <c r="W61" s="89">
        <f>股权价值增加表!W38</f>
        <v>112724652.42000003</v>
      </c>
      <c r="X61" s="89">
        <f>股权价值增加表!X38</f>
        <v>82153198.900000021</v>
      </c>
      <c r="Y61" s="89">
        <f>股权价值增加表!Y38</f>
        <v>38015715.590000041</v>
      </c>
      <c r="Z61" s="89">
        <f>股权价值增加表!Z38</f>
        <v>79868406.259999901</v>
      </c>
      <c r="AA61" s="89">
        <f>股权价值增加表!AA38</f>
        <v>64475676.470000058</v>
      </c>
      <c r="AB61" s="89">
        <f>股权价值增加表!AB38</f>
        <v>51183051.269999921</v>
      </c>
      <c r="AC61" s="89">
        <f>股权价值增加表!AC38</f>
        <v>2756202.6699999645</v>
      </c>
    </row>
    <row r="62" spans="1:88" s="192" customFormat="1">
      <c r="A62" s="89" t="s">
        <v>679</v>
      </c>
      <c r="B62" s="89"/>
      <c r="C62" s="89"/>
      <c r="D62" s="89"/>
      <c r="E62" s="89">
        <f>股权价值增加表!E40</f>
        <v>23972240.73</v>
      </c>
      <c r="F62" s="89">
        <f>股权价值增加表!F40</f>
        <v>54031766.439999998</v>
      </c>
      <c r="G62" s="89">
        <f>股权价值增加表!G40</f>
        <v>45853772.200000003</v>
      </c>
      <c r="H62" s="89">
        <f>股权价值增加表!H40</f>
        <v>33330274.780000001</v>
      </c>
      <c r="I62" s="89">
        <f>股权价值增加表!I40</f>
        <v>6054997.7599999998</v>
      </c>
      <c r="J62" s="89">
        <f>股权价值增加表!J40</f>
        <v>23905475.600000001</v>
      </c>
      <c r="K62" s="89">
        <f>股权价值增加表!K40</f>
        <v>20012383.920000002</v>
      </c>
      <c r="L62" s="89">
        <f>股权价值增加表!L40</f>
        <v>14180752.26</v>
      </c>
      <c r="M62" s="89">
        <f>股权价值增加表!M40</f>
        <v>7921444.4800000004</v>
      </c>
      <c r="N62" s="89">
        <f>股权价值增加表!N40</f>
        <v>28550519.530000001</v>
      </c>
      <c r="O62" s="89">
        <f>股权价值增加表!O40</f>
        <v>25473728.359999999</v>
      </c>
      <c r="P62" s="89">
        <f>股权价值增加表!P40</f>
        <v>18568079.350000001</v>
      </c>
      <c r="Q62" s="89">
        <f>股权价值增加表!Q40</f>
        <v>10252245.289999999</v>
      </c>
      <c r="R62" s="89">
        <f>股权价值增加表!R40</f>
        <v>34847594.359999999</v>
      </c>
      <c r="S62" s="89">
        <f>股权价值增加表!S40</f>
        <v>28092146.300000001</v>
      </c>
      <c r="T62" s="89">
        <f>股权价值增加表!T40</f>
        <v>20177594.719999999</v>
      </c>
      <c r="U62" s="89">
        <f>股权价值增加表!U40</f>
        <v>11305047.810000001</v>
      </c>
      <c r="V62" s="89">
        <f>股权价值增加表!V40</f>
        <v>28876557.469999999</v>
      </c>
      <c r="W62" s="89">
        <f>股权价值增加表!W40</f>
        <v>24600915.370000001</v>
      </c>
      <c r="X62" s="89">
        <f>股权价值增加表!X40</f>
        <v>16884488.02</v>
      </c>
      <c r="Y62" s="89">
        <f>股权价值增加表!Y40</f>
        <v>8793023.4900000002</v>
      </c>
      <c r="Z62" s="89">
        <f>股权价值增加表!Z40</f>
        <v>20178036.760000002</v>
      </c>
      <c r="AA62" s="89">
        <f>股权价值增加表!AA40</f>
        <v>16292657.68</v>
      </c>
      <c r="AB62" s="89">
        <f>股权价值增加表!AB40</f>
        <v>12928237.48</v>
      </c>
      <c r="AC62" s="89">
        <f>股权价值增加表!AC40</f>
        <v>9502588.6199999992</v>
      </c>
    </row>
    <row r="63" spans="1:88">
      <c r="A63" s="183" t="s">
        <v>680</v>
      </c>
      <c r="B63" s="64"/>
      <c r="C63" s="64"/>
      <c r="D63" s="64"/>
      <c r="E63" s="64">
        <f>股权价值增加表!E42</f>
        <v>-23241025.669999968</v>
      </c>
      <c r="F63" s="64">
        <f>股权价值增加表!F42</f>
        <v>142520996.4599998</v>
      </c>
      <c r="G63" s="64">
        <f>股权价值增加表!G42</f>
        <v>109547391.88999991</v>
      </c>
      <c r="H63" s="64">
        <f>股权价值增加表!H42</f>
        <v>81139483.079999998</v>
      </c>
      <c r="I63" s="64">
        <f>股权价值增加表!I42</f>
        <v>62690201.329999991</v>
      </c>
      <c r="J63" s="64">
        <f>股权价值增加表!J42</f>
        <v>62438843.769999914</v>
      </c>
      <c r="K63" s="64">
        <f>股权价值增加表!K42</f>
        <v>54569171.24000001</v>
      </c>
      <c r="L63" s="64">
        <f>股权价值增加表!L42</f>
        <v>40045679.679999985</v>
      </c>
      <c r="M63" s="64">
        <f>股权价值增加表!M42</f>
        <v>59549580.85999997</v>
      </c>
      <c r="N63" s="64">
        <f>股权价值增加表!N42</f>
        <v>84484949.960000128</v>
      </c>
      <c r="O63" s="64">
        <f>股权价值增加表!O42</f>
        <v>76296914.819999963</v>
      </c>
      <c r="P63" s="64">
        <f>股权价值增加表!P42</f>
        <v>54892004.409999989</v>
      </c>
      <c r="Q63" s="64">
        <f>股权价值增加表!Q42</f>
        <v>28861928.760000005</v>
      </c>
      <c r="R63" s="64">
        <f>股权价值增加表!R42</f>
        <v>103916778.45999993</v>
      </c>
      <c r="S63" s="64">
        <f>股权价值增加表!S42</f>
        <v>87239258.700000003</v>
      </c>
      <c r="T63" s="64">
        <f>股权价值增加表!T42</f>
        <v>58918964.819999963</v>
      </c>
      <c r="U63" s="64">
        <f>股权价值增加表!U42</f>
        <v>-3410896.4599999953</v>
      </c>
      <c r="V63" s="64">
        <f>股权价值增加表!V42</f>
        <v>110404709.39999998</v>
      </c>
      <c r="W63" s="64">
        <f>股权价值增加表!W42</f>
        <v>88123737.050000027</v>
      </c>
      <c r="X63" s="64">
        <f>股权价值增加表!X42</f>
        <v>65268710.880000025</v>
      </c>
      <c r="Y63" s="64">
        <f>股权价值增加表!Y42</f>
        <v>29222692.100000039</v>
      </c>
      <c r="Z63" s="64">
        <f>股权价值增加表!Z42</f>
        <v>59690369.499999896</v>
      </c>
      <c r="AA63" s="64">
        <f>股权价值增加表!AA42</f>
        <v>48183018.790000059</v>
      </c>
      <c r="AB63" s="64">
        <f>股权价值增加表!AB42</f>
        <v>38254813.789999917</v>
      </c>
      <c r="AC63" s="64">
        <f>股权价值增加表!AC42</f>
        <v>-6746385.9500000346</v>
      </c>
    </row>
    <row r="64" spans="1:88" s="63" customFormat="1">
      <c r="A64" s="213" t="s">
        <v>681</v>
      </c>
      <c r="B64" s="213"/>
      <c r="C64" s="213"/>
      <c r="D64" s="213"/>
      <c r="E64" s="213">
        <f>1-E63/E61</f>
        <v>32.784117890021228</v>
      </c>
      <c r="F64" s="213">
        <f t="shared" ref="F64:AC64" si="46">1-F63/F61</f>
        <v>0.27489700802369166</v>
      </c>
      <c r="G64" s="213">
        <f t="shared" si="46"/>
        <v>0.29506710885025278</v>
      </c>
      <c r="H64" s="213">
        <f t="shared" si="46"/>
        <v>0.29117100798591666</v>
      </c>
      <c r="I64" s="213">
        <f t="shared" si="46"/>
        <v>8.8078845361592495E-2</v>
      </c>
      <c r="J64" s="213">
        <f t="shared" si="46"/>
        <v>0.27686216967628208</v>
      </c>
      <c r="K64" s="213">
        <f t="shared" si="46"/>
        <v>0.26832886331033701</v>
      </c>
      <c r="L64" s="213">
        <f t="shared" si="46"/>
        <v>0.2615099639174232</v>
      </c>
      <c r="M64" s="213">
        <f t="shared" si="46"/>
        <v>0.11740512968466488</v>
      </c>
      <c r="N64" s="213">
        <f t="shared" si="46"/>
        <v>0.25258018265254134</v>
      </c>
      <c r="O64" s="213">
        <f t="shared" si="46"/>
        <v>0.25030527040047357</v>
      </c>
      <c r="P64" s="213">
        <f t="shared" si="46"/>
        <v>0.25276420063259675</v>
      </c>
      <c r="Q64" s="213">
        <f t="shared" si="46"/>
        <v>0.26211074473653617</v>
      </c>
      <c r="R64" s="213">
        <f t="shared" si="46"/>
        <v>0.25112781942381579</v>
      </c>
      <c r="S64" s="213">
        <f t="shared" si="46"/>
        <v>0.24357759536528667</v>
      </c>
      <c r="T64" s="213">
        <f t="shared" si="46"/>
        <v>0.25510078867331742</v>
      </c>
      <c r="U64" s="213">
        <f t="shared" si="46"/>
        <v>1.432078928914885</v>
      </c>
      <c r="V64" s="213">
        <f t="shared" si="46"/>
        <v>0.20732549408063838</v>
      </c>
      <c r="W64" s="213">
        <f t="shared" si="46"/>
        <v>0.21823899956097992</v>
      </c>
      <c r="X64" s="213">
        <f t="shared" si="46"/>
        <v>0.20552441348695905</v>
      </c>
      <c r="Y64" s="213">
        <f t="shared" si="46"/>
        <v>0.23129969681046825</v>
      </c>
      <c r="Z64" s="213">
        <f t="shared" si="46"/>
        <v>0.25264103423215134</v>
      </c>
      <c r="AA64" s="213">
        <f t="shared" si="46"/>
        <v>0.25269463729598596</v>
      </c>
      <c r="AB64" s="213">
        <f t="shared" si="46"/>
        <v>0.2525882525408889</v>
      </c>
      <c r="AC64" s="213">
        <f t="shared" si="46"/>
        <v>3.4477104036765631</v>
      </c>
    </row>
    <row r="65" spans="1:29" ht="42.6" customHeight="1">
      <c r="A65" s="279" t="s">
        <v>682</v>
      </c>
      <c r="B65" s="279"/>
      <c r="C65" s="279"/>
      <c r="D65" s="279"/>
      <c r="E65" s="279"/>
      <c r="F65" s="279"/>
      <c r="G65" s="279"/>
      <c r="H65" s="279"/>
      <c r="I65" s="279"/>
      <c r="J65" s="279"/>
      <c r="K65" s="279"/>
      <c r="L65" s="279"/>
      <c r="M65" s="279"/>
      <c r="N65" s="279"/>
      <c r="O65" s="279"/>
      <c r="P65" s="279"/>
      <c r="Q65" s="279"/>
      <c r="R65" s="279"/>
      <c r="S65" s="279"/>
      <c r="T65" s="279"/>
      <c r="U65" s="279"/>
      <c r="V65" s="279"/>
      <c r="W65" s="279"/>
      <c r="X65" s="279"/>
      <c r="Y65" s="279"/>
      <c r="Z65" s="279"/>
      <c r="AA65" s="279"/>
      <c r="AB65" s="279"/>
      <c r="AC65" s="279"/>
    </row>
    <row r="68" spans="1:29" ht="55.9" customHeight="1">
      <c r="A68" s="277" t="s">
        <v>734</v>
      </c>
      <c r="B68" s="276"/>
      <c r="C68" s="276"/>
      <c r="D68" s="276"/>
      <c r="E68" s="276"/>
      <c r="F68" s="276"/>
      <c r="G68" s="276"/>
      <c r="H68" s="276"/>
      <c r="I68" s="276"/>
      <c r="J68" s="276"/>
      <c r="K68" s="276"/>
      <c r="L68" s="276"/>
      <c r="M68" s="276"/>
      <c r="N68" s="276"/>
      <c r="O68" s="276"/>
      <c r="P68" s="276"/>
      <c r="Q68" s="276"/>
      <c r="R68" s="276"/>
      <c r="S68" s="276"/>
      <c r="T68" s="276"/>
      <c r="U68" s="276"/>
      <c r="V68" s="276"/>
      <c r="W68" s="276"/>
      <c r="X68" s="276"/>
      <c r="Y68" s="276"/>
      <c r="Z68" s="276"/>
      <c r="AA68" s="276"/>
      <c r="AB68" s="276"/>
      <c r="AC68" s="276"/>
    </row>
    <row r="69" spans="1:29">
      <c r="A69" s="284" t="s">
        <v>702</v>
      </c>
      <c r="B69" s="284"/>
      <c r="C69" s="284"/>
      <c r="D69" s="284"/>
      <c r="E69" s="284"/>
      <c r="F69" s="256"/>
      <c r="G69" s="256"/>
      <c r="H69" s="256"/>
      <c r="I69" s="256" t="s">
        <v>706</v>
      </c>
      <c r="J69" s="256"/>
      <c r="K69" s="256"/>
      <c r="L69" s="256"/>
      <c r="M69" s="256" t="s">
        <v>707</v>
      </c>
    </row>
    <row r="70" spans="1:29" ht="54">
      <c r="A70" s="285" t="s">
        <v>703</v>
      </c>
      <c r="B70" s="65"/>
      <c r="C70" s="65"/>
      <c r="D70" s="65"/>
      <c r="E70" s="65" t="s">
        <v>704</v>
      </c>
      <c r="F70" s="65"/>
      <c r="G70" s="65"/>
      <c r="H70" s="65"/>
      <c r="I70" s="257" t="s">
        <v>708</v>
      </c>
      <c r="J70" s="258"/>
      <c r="K70" s="258"/>
      <c r="L70" s="258"/>
      <c r="M70" s="257" t="s">
        <v>709</v>
      </c>
    </row>
    <row r="71" spans="1:29" ht="54.6" customHeight="1">
      <c r="A71" s="285"/>
      <c r="B71" s="65"/>
      <c r="C71" s="65"/>
      <c r="D71" s="65"/>
      <c r="E71" s="65" t="s">
        <v>705</v>
      </c>
      <c r="F71" s="65"/>
      <c r="G71" s="65"/>
      <c r="H71" s="65"/>
      <c r="I71" s="257" t="s">
        <v>710</v>
      </c>
      <c r="J71" s="258"/>
      <c r="K71" s="258"/>
      <c r="L71" s="258"/>
      <c r="M71" s="257" t="s">
        <v>711</v>
      </c>
    </row>
    <row r="72" spans="1:29" ht="54">
      <c r="A72" s="285" t="s">
        <v>719</v>
      </c>
      <c r="B72" s="65"/>
      <c r="C72" s="65"/>
      <c r="D72" s="65"/>
      <c r="E72" s="65" t="s">
        <v>712</v>
      </c>
      <c r="F72" s="65"/>
      <c r="G72" s="65"/>
      <c r="H72" s="65"/>
      <c r="I72" s="257" t="s">
        <v>720</v>
      </c>
      <c r="J72" s="258"/>
      <c r="K72" s="258"/>
      <c r="L72" s="258"/>
      <c r="M72" s="257" t="s">
        <v>721</v>
      </c>
    </row>
    <row r="73" spans="1:29" ht="40.5">
      <c r="A73" s="285"/>
      <c r="B73" s="65"/>
      <c r="C73" s="65"/>
      <c r="D73" s="65"/>
      <c r="E73" s="65" t="s">
        <v>713</v>
      </c>
      <c r="F73" s="65"/>
      <c r="G73" s="65"/>
      <c r="H73" s="65"/>
      <c r="I73" s="257" t="s">
        <v>722</v>
      </c>
      <c r="J73" s="258"/>
      <c r="K73" s="258"/>
      <c r="L73" s="258"/>
      <c r="M73" s="257" t="s">
        <v>723</v>
      </c>
    </row>
    <row r="74" spans="1:29" ht="54">
      <c r="A74" s="285"/>
      <c r="B74" s="65"/>
      <c r="C74" s="65"/>
      <c r="D74" s="65"/>
      <c r="E74" s="65" t="s">
        <v>714</v>
      </c>
      <c r="F74" s="65"/>
      <c r="G74" s="65"/>
      <c r="H74" s="65"/>
      <c r="I74" s="257" t="s">
        <v>724</v>
      </c>
      <c r="J74" s="258"/>
      <c r="K74" s="258"/>
      <c r="L74" s="258"/>
      <c r="M74" s="257" t="s">
        <v>725</v>
      </c>
    </row>
    <row r="75" spans="1:29" ht="67.5">
      <c r="A75" s="285"/>
      <c r="B75" s="65"/>
      <c r="C75" s="65"/>
      <c r="D75" s="65"/>
      <c r="E75" s="65" t="s">
        <v>715</v>
      </c>
      <c r="F75" s="65"/>
      <c r="G75" s="65"/>
      <c r="H75" s="65"/>
      <c r="I75" s="257" t="s">
        <v>726</v>
      </c>
      <c r="J75" s="258"/>
      <c r="K75" s="258"/>
      <c r="L75" s="258"/>
      <c r="M75" s="257" t="s">
        <v>727</v>
      </c>
    </row>
    <row r="76" spans="1:29">
      <c r="A76" s="285"/>
      <c r="B76" s="65"/>
      <c r="C76" s="65"/>
      <c r="D76" s="65"/>
      <c r="E76" s="65" t="s">
        <v>716</v>
      </c>
      <c r="F76" s="65"/>
      <c r="G76" s="65"/>
      <c r="H76" s="65"/>
      <c r="I76" s="257" t="s">
        <v>728</v>
      </c>
      <c r="J76" s="258"/>
      <c r="K76" s="258"/>
      <c r="L76" s="258"/>
      <c r="M76" s="257" t="s">
        <v>729</v>
      </c>
    </row>
    <row r="77" spans="1:29" ht="40.5">
      <c r="A77" s="285"/>
      <c r="B77" s="65"/>
      <c r="C77" s="65"/>
      <c r="D77" s="65"/>
      <c r="E77" s="65" t="s">
        <v>717</v>
      </c>
      <c r="F77" s="65"/>
      <c r="G77" s="65"/>
      <c r="H77" s="65"/>
      <c r="I77" s="257" t="s">
        <v>730</v>
      </c>
      <c r="J77" s="258"/>
      <c r="K77" s="258"/>
      <c r="L77" s="258"/>
      <c r="M77" s="257" t="s">
        <v>731</v>
      </c>
    </row>
    <row r="78" spans="1:29" ht="54">
      <c r="A78" s="285"/>
      <c r="B78" s="65"/>
      <c r="C78" s="65"/>
      <c r="D78" s="65"/>
      <c r="E78" s="65" t="s">
        <v>718</v>
      </c>
      <c r="F78" s="65"/>
      <c r="G78" s="65"/>
      <c r="H78" s="65"/>
      <c r="I78" s="257" t="s">
        <v>732</v>
      </c>
      <c r="J78" s="258"/>
      <c r="K78" s="258"/>
      <c r="L78" s="258"/>
      <c r="M78" s="257" t="s">
        <v>733</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2"/>
  <sheetViews>
    <sheetView workbookViewId="0">
      <selection activeCell="A15" sqref="A15:AG15"/>
    </sheetView>
  </sheetViews>
  <sheetFormatPr defaultRowHeight="13.5"/>
  <cols>
    <col min="1" max="1" width="48.875" style="17" bestFit="1" customWidth="1"/>
    <col min="2" max="2" width="11.625" bestFit="1" customWidth="1"/>
    <col min="3" max="4" width="11.625" hidden="1" customWidth="1"/>
    <col min="5" max="5" width="20.5" hidden="1" customWidth="1"/>
    <col min="6" max="6" width="19.375" bestFit="1" customWidth="1"/>
    <col min="7" max="9" width="19.375" hidden="1" customWidth="1"/>
    <col min="10" max="10" width="19.375" bestFit="1" customWidth="1"/>
    <col min="11" max="13" width="19.375" hidden="1" customWidth="1"/>
    <col min="14" max="14" width="19.375" bestFit="1" customWidth="1"/>
    <col min="15" max="17" width="19.375" hidden="1" customWidth="1"/>
    <col min="18" max="18" width="19.375" bestFit="1" customWidth="1"/>
    <col min="19" max="21" width="19.375" hidden="1" customWidth="1"/>
    <col min="22" max="22" width="19.375" bestFit="1" customWidth="1"/>
    <col min="23" max="23" width="19.375" hidden="1" customWidth="1"/>
    <col min="24" max="24" width="18.375" hidden="1" customWidth="1"/>
    <col min="25" max="25" width="19.375" hidden="1" customWidth="1"/>
    <col min="26" max="26" width="19.375" bestFit="1" customWidth="1"/>
    <col min="27" max="29" width="18.375" hidden="1" customWidth="1"/>
    <col min="30" max="30" width="19.375" bestFit="1" customWidth="1"/>
    <col min="31" max="33" width="18.375" hidden="1" customWidth="1"/>
    <col min="34" max="34" width="18.375" bestFit="1" customWidth="1"/>
    <col min="35" max="37" width="18.375" hidden="1" customWidth="1"/>
    <col min="38" max="38" width="18.375" bestFit="1" customWidth="1"/>
    <col min="39" max="41" width="18.375" hidden="1" customWidth="1"/>
    <col min="42" max="42" width="18.375" bestFit="1" customWidth="1"/>
    <col min="43" max="43" width="18.375" hidden="1" customWidth="1"/>
    <col min="44" max="44" width="17.25" hidden="1" customWidth="1"/>
    <col min="45" max="45" width="18.375" hidden="1" customWidth="1"/>
    <col min="46" max="46" width="18.375" bestFit="1" customWidth="1"/>
    <col min="47" max="47" width="18.375" hidden="1" customWidth="1"/>
    <col min="48" max="48" width="17.25" hidden="1" customWidth="1"/>
    <col min="49" max="49" width="18.375" hidden="1" customWidth="1"/>
    <col min="50" max="50" width="18.375" bestFit="1" customWidth="1"/>
    <col min="51" max="52" width="17.25" hidden="1" customWidth="1"/>
    <col min="53" max="53" width="18.375" hidden="1" customWidth="1"/>
    <col min="54" max="54" width="18.375" bestFit="1" customWidth="1"/>
    <col min="55" max="57" width="17.25" hidden="1" customWidth="1"/>
    <col min="58" max="58" width="18.375" bestFit="1" customWidth="1"/>
    <col min="59" max="61" width="17.25" hidden="1" customWidth="1"/>
    <col min="62" max="62" width="17.25" bestFit="1" customWidth="1"/>
    <col min="63" max="65" width="17.25" hidden="1" customWidth="1"/>
    <col min="66" max="66" width="18.375" bestFit="1" customWidth="1"/>
    <col min="67" max="67" width="18.375" hidden="1" customWidth="1"/>
    <col min="68" max="68" width="17.25" hidden="1" customWidth="1"/>
    <col min="69" max="69" width="18.375" hidden="1" customWidth="1"/>
    <col min="70" max="70" width="18.375" bestFit="1" customWidth="1"/>
    <col min="71" max="71" width="18.375" hidden="1" customWidth="1"/>
    <col min="72" max="72" width="18.375" bestFit="1" customWidth="1"/>
    <col min="73" max="73" width="17.25" hidden="1" customWidth="1"/>
    <col min="74" max="74" width="18.375" bestFit="1" customWidth="1"/>
    <col min="75" max="75" width="17.25" hidden="1" customWidth="1"/>
    <col min="76" max="76" width="17.25" bestFit="1" customWidth="1"/>
    <col min="77" max="77" width="17.25" hidden="1" customWidth="1"/>
    <col min="78" max="78" width="17.25" bestFit="1" customWidth="1"/>
    <col min="79" max="79" width="17.25" hidden="1" customWidth="1"/>
    <col min="80" max="80" width="17.25" bestFit="1" customWidth="1"/>
    <col min="81" max="81" width="17.25" hidden="1" customWidth="1"/>
    <col min="82" max="82" width="17.25" bestFit="1" customWidth="1"/>
    <col min="83" max="83" width="9.625" hidden="1" customWidth="1"/>
    <col min="84" max="84" width="9.625" bestFit="1" customWidth="1"/>
    <col min="85" max="87" width="17.25" bestFit="1" customWidth="1"/>
    <col min="88" max="89" width="16.125" bestFit="1" customWidth="1"/>
  </cols>
  <sheetData>
    <row r="1" spans="1:89" s="26" customFormat="1" ht="14.45">
      <c r="A1" s="17">
        <v>600738</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37529</v>
      </c>
      <c r="BP1" s="1">
        <v>37437</v>
      </c>
      <c r="BQ1" s="1">
        <v>37346</v>
      </c>
      <c r="BR1" s="1">
        <v>37256</v>
      </c>
      <c r="BS1" s="1">
        <v>37072</v>
      </c>
      <c r="BT1" s="1">
        <v>36891</v>
      </c>
      <c r="BU1" s="1">
        <v>36707</v>
      </c>
      <c r="BV1" s="1">
        <v>36525</v>
      </c>
      <c r="BW1" s="1">
        <v>36341</v>
      </c>
      <c r="BX1" s="1">
        <v>36160</v>
      </c>
      <c r="BY1" s="1">
        <v>35976</v>
      </c>
      <c r="BZ1" s="1">
        <v>35795</v>
      </c>
      <c r="CA1" s="1">
        <v>35611</v>
      </c>
      <c r="CB1" s="1">
        <v>35430</v>
      </c>
      <c r="CC1" s="1">
        <v>35246</v>
      </c>
      <c r="CD1" s="1">
        <v>35064</v>
      </c>
      <c r="CE1" s="1">
        <v>25569</v>
      </c>
      <c r="CF1" s="1"/>
      <c r="CG1" s="1"/>
      <c r="CH1" s="1"/>
      <c r="CI1" s="1"/>
      <c r="CJ1" s="1"/>
      <c r="CK1" s="1"/>
    </row>
    <row r="2" spans="1:89" s="26" customFormat="1">
      <c r="A2" s="17" t="s">
        <v>424</v>
      </c>
      <c r="E2" s="26">
        <f>股权价值增加表!E42</f>
        <v>-23241025.669999968</v>
      </c>
      <c r="F2" s="26">
        <f>股权价值增加表!F42</f>
        <v>142520996.4599998</v>
      </c>
      <c r="G2" s="26">
        <f>股权价值增加表!G42</f>
        <v>109547391.88999991</v>
      </c>
      <c r="H2" s="26">
        <f>股权价值增加表!H42</f>
        <v>81139483.079999998</v>
      </c>
      <c r="I2" s="26">
        <f>股权价值增加表!I42</f>
        <v>62690201.329999991</v>
      </c>
      <c r="J2" s="26">
        <f>股权价值增加表!J42</f>
        <v>62438843.769999914</v>
      </c>
      <c r="K2" s="26">
        <f>股权价值增加表!K42</f>
        <v>54569171.24000001</v>
      </c>
      <c r="L2" s="26">
        <f>股权价值增加表!L42</f>
        <v>40045679.679999985</v>
      </c>
      <c r="M2" s="26">
        <f>股权价值增加表!M42</f>
        <v>59549580.85999997</v>
      </c>
      <c r="N2" s="26">
        <f>股权价值增加表!N42</f>
        <v>84484949.960000128</v>
      </c>
      <c r="O2" s="26">
        <f>股权价值增加表!O42</f>
        <v>76296914.819999963</v>
      </c>
      <c r="P2" s="26">
        <f>股权价值增加表!P42</f>
        <v>54892004.409999989</v>
      </c>
      <c r="Q2" s="26">
        <f>股权价值增加表!Q42</f>
        <v>28861928.760000005</v>
      </c>
      <c r="R2" s="26">
        <f>股权价值增加表!R42</f>
        <v>103916778.45999993</v>
      </c>
      <c r="S2" s="26">
        <f>股权价值增加表!S42</f>
        <v>87239258.700000003</v>
      </c>
      <c r="T2" s="26">
        <f>股权价值增加表!T42</f>
        <v>58918964.819999963</v>
      </c>
      <c r="U2" s="26">
        <f>股权价值增加表!U42</f>
        <v>-3410896.4599999953</v>
      </c>
      <c r="V2" s="26">
        <f>股权价值增加表!V42</f>
        <v>110404709.39999998</v>
      </c>
      <c r="W2" s="26">
        <f>股权价值增加表!W42</f>
        <v>88123737.050000027</v>
      </c>
      <c r="X2" s="26">
        <f>股权价值增加表!X42</f>
        <v>65268710.880000025</v>
      </c>
      <c r="Y2" s="26">
        <f>股权价值增加表!Y42</f>
        <v>29222692.100000039</v>
      </c>
      <c r="Z2" s="26">
        <f>股权价值增加表!Z42</f>
        <v>59690369.499999896</v>
      </c>
      <c r="AA2" s="26">
        <f>股权价值增加表!AA42</f>
        <v>48183018.790000059</v>
      </c>
      <c r="AB2" s="26">
        <f>股权价值增加表!AB42</f>
        <v>38254813.789999917</v>
      </c>
      <c r="AC2" s="26">
        <f>股权价值增加表!AC42</f>
        <v>-6746385.9500000346</v>
      </c>
      <c r="AD2" s="26">
        <f>股权价值增加表!AD42</f>
        <v>47015072.410000108</v>
      </c>
      <c r="AE2" s="26">
        <f>股权价值增加表!AE42</f>
        <v>40226884.529999956</v>
      </c>
      <c r="AF2" s="26">
        <f>股权价值增加表!AF42</f>
        <v>28933110.570000011</v>
      </c>
      <c r="AG2" s="26">
        <f>股权价值增加表!AG42</f>
        <v>-5987950.2000000002</v>
      </c>
      <c r="AH2" s="26">
        <f>股权价值增加表!AH42</f>
        <v>-8085572.430000009</v>
      </c>
      <c r="AI2" s="26">
        <f>股权价值增加表!AI42</f>
        <v>28149980.62000002</v>
      </c>
      <c r="AJ2" s="26">
        <f>股权价值增加表!AJ42</f>
        <v>3403839.4700000277</v>
      </c>
      <c r="AK2" s="26">
        <f>股权价值增加表!AK42</f>
        <v>15860780.200000003</v>
      </c>
      <c r="AL2" s="26">
        <f>股权价值增加表!AL42</f>
        <v>51725280.130000062</v>
      </c>
      <c r="AM2" s="26">
        <f>股权价值增加表!AM42</f>
        <v>22059673.450000003</v>
      </c>
      <c r="AN2" s="26">
        <f>股权价值增加表!AN42</f>
        <v>14891552.449999969</v>
      </c>
      <c r="AO2" s="26">
        <f>股权价值增加表!AO42</f>
        <v>-10541463.039999997</v>
      </c>
      <c r="AP2" s="26">
        <f>股权价值增加表!AP42</f>
        <v>27822630.969999958</v>
      </c>
      <c r="AQ2" s="26">
        <f>股权价值增加表!AQ42</f>
        <v>21369601.73000003</v>
      </c>
      <c r="AR2" s="26">
        <f>股权价值增加表!AR42</f>
        <v>19460545.589999992</v>
      </c>
      <c r="AS2" s="26">
        <f>股权价值增加表!AS42</f>
        <v>-11119615.110000001</v>
      </c>
      <c r="AT2" s="26">
        <f>股权价值增加表!AT42</f>
        <v>15582409.86999991</v>
      </c>
      <c r="AU2" s="26">
        <f>股权价值增加表!AU42</f>
        <v>3983726.7200000165</v>
      </c>
      <c r="AV2" s="26">
        <f>股权价值增加表!AV42</f>
        <v>-2604622.3499999847</v>
      </c>
      <c r="AW2" s="26">
        <f>股权价值增加表!AW42</f>
        <v>-16626319.519999985</v>
      </c>
      <c r="AX2" s="26">
        <f>股权价值增加表!AX42</f>
        <v>5785250.8200000264</v>
      </c>
      <c r="AY2" s="26">
        <f>股权价值增加表!AY42</f>
        <v>9737422.7700000182</v>
      </c>
      <c r="AZ2" s="26">
        <f>股权价值增加表!AZ42</f>
        <v>9554947.139999995</v>
      </c>
      <c r="BA2" s="26">
        <f>股权价值增加表!BA42</f>
        <v>-1319036.8599999994</v>
      </c>
      <c r="BB2" s="26">
        <f>股权价值增加表!BB42</f>
        <v>-20259446.779999997</v>
      </c>
      <c r="BC2" s="26">
        <f>股权价值增加表!BC42</f>
        <v>-9589210.4199999813</v>
      </c>
      <c r="BD2" s="26">
        <f>股权价值增加表!BD42</f>
        <v>-3785434.4600000056</v>
      </c>
      <c r="BE2" s="26">
        <f>股权价值增加表!BE42</f>
        <v>-987516.25000000186</v>
      </c>
      <c r="BF2" s="26">
        <f>股权价值增加表!BF42</f>
        <v>-24989391.479999945</v>
      </c>
      <c r="BG2" s="26">
        <f>股权价值增加表!BG42</f>
        <v>-13903622.110000014</v>
      </c>
      <c r="BH2" s="26">
        <f>股权价值增加表!BH42</f>
        <v>-8478634.8500000108</v>
      </c>
      <c r="BI2" s="26">
        <f>股权价值增加表!BI42</f>
        <v>-3071670.5799999954</v>
      </c>
      <c r="BJ2" s="26">
        <f>股权价值增加表!BJ42</f>
        <v>-61356183.549999997</v>
      </c>
      <c r="BK2" s="26">
        <f>股权价值增加表!BK42</f>
        <v>-46397481.089999981</v>
      </c>
      <c r="BL2" s="26">
        <f>股权价值增加表!BL42</f>
        <v>-26902956.199999996</v>
      </c>
      <c r="BM2" s="26">
        <f>股权价值增加表!BM42</f>
        <v>-10621473.689999988</v>
      </c>
      <c r="BN2" s="26">
        <f>股权价值增加表!BN42</f>
        <v>-93741333.079999998</v>
      </c>
      <c r="BO2" s="26">
        <f>股权价值增加表!BO42</f>
        <v>-39768103.490000032</v>
      </c>
      <c r="BP2" s="26">
        <f>股权价值增加表!BP42</f>
        <v>-17144766.240000017</v>
      </c>
      <c r="BQ2" s="26">
        <f>股权价值增加表!BQ42</f>
        <v>-3946337.5600000103</v>
      </c>
      <c r="BR2" s="26">
        <f>股权价值增加表!BR42</f>
        <v>-53697955.039999977</v>
      </c>
      <c r="BS2" s="26">
        <f>股权价值增加表!BS42</f>
        <v>-6120999.6400000378</v>
      </c>
      <c r="BT2" s="26">
        <f>股权价值增加表!BT42</f>
        <v>-6517472.4200000167</v>
      </c>
      <c r="BU2" s="26">
        <f>股权价值增加表!BU42</f>
        <v>-2697210.0799999982</v>
      </c>
      <c r="BV2" s="26">
        <f>股权价值增加表!BV42</f>
        <v>-4057711.5900000287</v>
      </c>
      <c r="BW2" s="26">
        <f>股权价值增加表!BW42</f>
        <v>3858623.8100000112</v>
      </c>
      <c r="BX2" s="26">
        <f>股权价值增加表!BX42</f>
        <v>-852367.97999996506</v>
      </c>
      <c r="BY2" s="26">
        <f>股权价值增加表!BY42</f>
        <v>4530111.600000022</v>
      </c>
      <c r="BZ2" s="26">
        <f>股权价值增加表!BZ42</f>
        <v>15406324.73999998</v>
      </c>
      <c r="CA2" s="26">
        <f>股权价值增加表!CA42</f>
        <v>8418803.8300000206</v>
      </c>
      <c r="CB2" s="26">
        <f>股权价值增加表!CB42</f>
        <v>14292319.440000074</v>
      </c>
      <c r="CC2" s="26">
        <f>股权价值增加表!CC42</f>
        <v>11019678.120000001</v>
      </c>
      <c r="CD2" s="26">
        <f>股权价值增加表!CD42</f>
        <v>20003253.529999949</v>
      </c>
      <c r="CE2" s="26">
        <f>股权价值增加表!CE42</f>
        <v>0</v>
      </c>
      <c r="CF2" s="26">
        <f>股权价值增加表!CF42</f>
        <v>0</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429</v>
      </c>
      <c r="E3" s="26">
        <f>资产资本表!E107</f>
        <v>1892747867.5599999</v>
      </c>
      <c r="F3" s="26">
        <f>资产资本表!F107</f>
        <v>1832599943.4000001</v>
      </c>
      <c r="G3" s="26">
        <f>资产资本表!G107</f>
        <v>1798701739.3299999</v>
      </c>
      <c r="H3" s="26">
        <f>资产资本表!H107</f>
        <v>1770338792.6199999</v>
      </c>
      <c r="I3" s="26">
        <f>资产资本表!I107</f>
        <v>1260652933.3900001</v>
      </c>
      <c r="J3" s="26">
        <f>资产资本表!J107</f>
        <v>1243458895.51</v>
      </c>
      <c r="K3" s="26">
        <f>资产资本表!K107</f>
        <v>1236106373.8199999</v>
      </c>
      <c r="L3" s="26">
        <f>资产资本表!L107</f>
        <v>1221065731.4200001</v>
      </c>
      <c r="M3" s="26">
        <f>资产资本表!M107</f>
        <v>1204901515.3499999</v>
      </c>
      <c r="N3" s="26">
        <f>资产资本表!N107</f>
        <v>1181020051.74</v>
      </c>
      <c r="O3" s="26">
        <f>资产资本表!O107</f>
        <v>1172832016.5999999</v>
      </c>
      <c r="P3" s="26">
        <f>资产资本表!P107</f>
        <v>1151427106.1900001</v>
      </c>
      <c r="Q3" s="26">
        <f>资产资本表!Q107</f>
        <v>1127000737.7</v>
      </c>
      <c r="R3" s="26">
        <f>资产资本表!R107</f>
        <v>1096535101.78</v>
      </c>
      <c r="S3" s="26">
        <f>资产资本表!S107</f>
        <v>1079857582.02</v>
      </c>
      <c r="T3" s="26">
        <f>资产资本表!T107</f>
        <v>1051537288.14</v>
      </c>
      <c r="U3" s="26">
        <f>资产资本表!U107</f>
        <v>1063176625.7</v>
      </c>
      <c r="V3" s="26">
        <f>资产资本表!V107</f>
        <v>1029505086.02</v>
      </c>
      <c r="W3" s="26">
        <f>资产资本表!W107</f>
        <v>1006907127.09</v>
      </c>
      <c r="X3" s="26">
        <f>资产资本表!X107</f>
        <v>984052100.91999996</v>
      </c>
      <c r="Y3" s="26">
        <f>资产资本表!Y107</f>
        <v>1004606042.21</v>
      </c>
      <c r="Z3" s="26">
        <f>资产资本表!Z107</f>
        <v>475514214.12</v>
      </c>
      <c r="AA3" s="26">
        <f>资产资本表!AA107</f>
        <v>459792901.30999994</v>
      </c>
      <c r="AB3" s="26">
        <f>资产资本表!AB107</f>
        <v>454078658.41000003</v>
      </c>
      <c r="AC3" s="26">
        <f>资产资本表!AC107</f>
        <v>444155125.81</v>
      </c>
      <c r="AD3" s="26">
        <f>资产资本表!AD107</f>
        <v>415823844.62</v>
      </c>
      <c r="AE3" s="26">
        <f>资产资本表!AE107</f>
        <v>409035656.74000001</v>
      </c>
      <c r="AF3" s="26">
        <f>资产资本表!AF107</f>
        <v>397741882.78000003</v>
      </c>
      <c r="AG3" s="26">
        <f>资产资本表!AG107</f>
        <v>391055312.94</v>
      </c>
      <c r="AH3" s="26">
        <f>资产资本表!AH107</f>
        <v>368808772.21000004</v>
      </c>
      <c r="AI3" s="26">
        <f>资产资本表!AI107</f>
        <v>358512487.64999998</v>
      </c>
      <c r="AJ3" s="26">
        <f>资产资本表!AJ107</f>
        <v>427522732.19</v>
      </c>
      <c r="AK3" s="26">
        <f>资产资本表!AK107</f>
        <v>443394742.75</v>
      </c>
      <c r="AL3" s="26">
        <f>资产资本表!AL107</f>
        <v>424118892.71999997</v>
      </c>
      <c r="AM3" s="26">
        <f>资产资本表!AM107</f>
        <v>394453286.04000002</v>
      </c>
      <c r="AN3" s="26">
        <f>资产资本表!AN107</f>
        <v>387285165.04000002</v>
      </c>
      <c r="AO3" s="26">
        <f>资产资本表!AO107</f>
        <v>381911611.95000005</v>
      </c>
      <c r="AP3" s="26">
        <f>资产资本表!AP107</f>
        <v>372393612.59000003</v>
      </c>
      <c r="AQ3" s="26">
        <f>资产资本表!AQ107</f>
        <v>411734341.67000002</v>
      </c>
      <c r="AR3" s="26">
        <f>资产资本表!AR107</f>
        <v>409825285.53000003</v>
      </c>
      <c r="AS3" s="26">
        <f>资产资本表!AS107</f>
        <v>408198576.11000001</v>
      </c>
      <c r="AT3" s="26">
        <f>资产资本表!AT107</f>
        <v>402668298.98000002</v>
      </c>
      <c r="AU3" s="26">
        <f>资产资本表!AU107</f>
        <v>313536460.55000001</v>
      </c>
      <c r="AV3" s="26">
        <f>资产资本表!AV107</f>
        <v>306948111.45999998</v>
      </c>
      <c r="AW3" s="26">
        <f>资产资本表!AW107</f>
        <v>312101357.42000002</v>
      </c>
      <c r="AX3" s="26">
        <f>资产资本表!AX107</f>
        <v>307464607.69999999</v>
      </c>
      <c r="AY3" s="26">
        <f>资产资本表!AY107</f>
        <v>305357937.16999996</v>
      </c>
      <c r="AZ3" s="26">
        <f>资产资本表!AZ107</f>
        <v>298320755.12</v>
      </c>
      <c r="BA3" s="26">
        <f>资产资本表!BA107</f>
        <v>251481771.26000002</v>
      </c>
      <c r="BB3" s="26">
        <f>资产资本表!BB107</f>
        <v>247872345.53999999</v>
      </c>
      <c r="BC3" s="26">
        <f>资产资本表!BC107</f>
        <v>253888215.91999999</v>
      </c>
      <c r="BD3" s="26">
        <f>资产资本表!BD107</f>
        <v>253667726.06</v>
      </c>
      <c r="BE3" s="26">
        <f>资产资本表!BE107</f>
        <v>250289622.22</v>
      </c>
      <c r="BF3" s="26">
        <f>资产资本表!BF107</f>
        <v>243795791.07999998</v>
      </c>
      <c r="BG3" s="26">
        <f>资产资本表!BG107</f>
        <v>245687225.88</v>
      </c>
      <c r="BH3" s="26">
        <f>资产资本表!BH107</f>
        <v>245147186.31</v>
      </c>
      <c r="BI3" s="26">
        <f>资产资本表!BI107</f>
        <v>242845021.67000002</v>
      </c>
      <c r="BJ3" s="26">
        <f>资产资本表!BJ107</f>
        <v>239514177.38</v>
      </c>
      <c r="BK3" s="26">
        <f>资产资本表!BK107</f>
        <v>210294897.24000001</v>
      </c>
      <c r="BL3" s="26">
        <f>资产资本表!BL107</f>
        <v>223362506.66000003</v>
      </c>
      <c r="BM3" s="26">
        <f>资产资本表!BM107</f>
        <v>232189702.96000001</v>
      </c>
      <c r="BN3" s="26">
        <f>资产资本表!BN107</f>
        <v>237701944.78</v>
      </c>
      <c r="BO3" s="26">
        <f>资产资本表!BO107</f>
        <v>286432068</v>
      </c>
      <c r="BP3" s="26">
        <f>资产资本表!BP107</f>
        <v>310236227.31999999</v>
      </c>
      <c r="BQ3" s="26">
        <f>资产资本表!BQ107</f>
        <v>314333402.69999999</v>
      </c>
      <c r="BR3" s="26">
        <f>资产资本表!BR107</f>
        <v>298062488.18000001</v>
      </c>
      <c r="BS3" s="26">
        <f>资产资本表!BS107</f>
        <v>362560599.41000003</v>
      </c>
      <c r="BT3" s="26">
        <f>资产资本表!BT107</f>
        <v>361990208.37</v>
      </c>
      <c r="BU3" s="26">
        <f>资产资本表!BU107</f>
        <v>343254095.07999998</v>
      </c>
      <c r="BV3" s="26">
        <f>资产资本表!BV107</f>
        <v>333976695.37</v>
      </c>
      <c r="BW3" s="26">
        <f>资产资本表!BW107</f>
        <v>345808076.52999997</v>
      </c>
      <c r="BX3" s="26">
        <f>资产资本表!BX107</f>
        <v>232076102.28</v>
      </c>
      <c r="BY3" s="26">
        <f>资产资本表!BY107</f>
        <v>224135169.40000001</v>
      </c>
      <c r="BZ3" s="26">
        <f>资产资本表!BZ107</f>
        <v>211579893.99000001</v>
      </c>
      <c r="CA3" s="26">
        <f>资产资本表!CA107</f>
        <v>211609634.75</v>
      </c>
      <c r="CB3" s="26">
        <f>资产资本表!CB107</f>
        <v>197713502.68000001</v>
      </c>
      <c r="CC3" s="26">
        <f>资产资本表!CC107</f>
        <v>182586184.77000001</v>
      </c>
      <c r="CD3" s="26">
        <f>资产资本表!CD107</f>
        <v>171524643.75</v>
      </c>
      <c r="CE3" s="26">
        <f>资产资本表!CE107</f>
        <v>0</v>
      </c>
      <c r="CF3" s="26">
        <f>资产资本表!CF107</f>
        <v>0</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c r="A4" s="145" t="s">
        <v>430</v>
      </c>
      <c r="E4" s="59">
        <f>E2/E3</f>
        <v>-1.2278986582592586E-2</v>
      </c>
      <c r="F4" s="59">
        <f t="shared" ref="F4:BQ4" si="0">F2/F3</f>
        <v>7.7769835677055824E-2</v>
      </c>
      <c r="G4" s="59">
        <f t="shared" si="0"/>
        <v>6.090358923587038E-2</v>
      </c>
      <c r="H4" s="59">
        <f t="shared" si="0"/>
        <v>4.583274309880439E-2</v>
      </c>
      <c r="I4" s="59">
        <f t="shared" si="0"/>
        <v>4.9728358749319565E-2</v>
      </c>
      <c r="J4" s="59">
        <f t="shared" si="0"/>
        <v>5.0213838185934452E-2</v>
      </c>
      <c r="K4" s="59">
        <f t="shared" si="0"/>
        <v>4.4146015582269216E-2</v>
      </c>
      <c r="L4" s="59">
        <f t="shared" si="0"/>
        <v>3.2795678929937802E-2</v>
      </c>
      <c r="M4" s="59">
        <f t="shared" si="0"/>
        <v>4.9422778626601695E-2</v>
      </c>
      <c r="N4" s="59">
        <f t="shared" si="0"/>
        <v>7.1535576246591431E-2</v>
      </c>
      <c r="O4" s="59">
        <f t="shared" si="0"/>
        <v>6.5053574373917691E-2</v>
      </c>
      <c r="P4" s="59">
        <f t="shared" si="0"/>
        <v>4.7673017349430122E-2</v>
      </c>
      <c r="Q4" s="59">
        <f t="shared" si="0"/>
        <v>2.5609502988349291E-2</v>
      </c>
      <c r="R4" s="59">
        <f t="shared" si="0"/>
        <v>9.4768310007871476E-2</v>
      </c>
      <c r="S4" s="59">
        <f t="shared" si="0"/>
        <v>8.0787744747607138E-2</v>
      </c>
      <c r="T4" s="59">
        <f t="shared" si="0"/>
        <v>5.6031265352670584E-2</v>
      </c>
      <c r="U4" s="59">
        <f t="shared" si="0"/>
        <v>-3.2082124244917879E-3</v>
      </c>
      <c r="V4" s="59">
        <f t="shared" si="0"/>
        <v>0.107240567238786</v>
      </c>
      <c r="W4" s="59">
        <f t="shared" si="0"/>
        <v>8.7519230601417017E-2</v>
      </c>
      <c r="X4" s="59">
        <f t="shared" si="0"/>
        <v>6.6326478871372427E-2</v>
      </c>
      <c r="Y4" s="59">
        <f t="shared" si="0"/>
        <v>2.90887082818196E-2</v>
      </c>
      <c r="Z4" s="59">
        <f t="shared" si="0"/>
        <v>0.12552804464628797</v>
      </c>
      <c r="AA4" s="59">
        <f t="shared" si="0"/>
        <v>0.10479287229690019</v>
      </c>
      <c r="AB4" s="59">
        <f t="shared" si="0"/>
        <v>8.4247108031795234E-2</v>
      </c>
      <c r="AC4" s="59">
        <f t="shared" si="0"/>
        <v>-1.5189256090868561E-2</v>
      </c>
      <c r="AD4" s="59">
        <f t="shared" si="0"/>
        <v>0.11306487835723986</v>
      </c>
      <c r="AE4" s="59">
        <f t="shared" si="0"/>
        <v>9.8345667100533066E-2</v>
      </c>
      <c r="AF4" s="59">
        <f t="shared" si="0"/>
        <v>7.2743434429819814E-2</v>
      </c>
      <c r="AG4" s="59">
        <f t="shared" si="0"/>
        <v>-1.5312284482166689E-2</v>
      </c>
      <c r="AH4" s="59">
        <f t="shared" si="0"/>
        <v>-2.1923481867172284E-2</v>
      </c>
      <c r="AI4" s="59">
        <f t="shared" si="0"/>
        <v>7.8518828742951935E-2</v>
      </c>
      <c r="AJ4" s="59">
        <f t="shared" si="0"/>
        <v>7.9617742255803387E-3</v>
      </c>
      <c r="AK4" s="59">
        <f t="shared" si="0"/>
        <v>3.5771240997647134E-2</v>
      </c>
      <c r="AL4" s="59">
        <f t="shared" si="0"/>
        <v>0.12195938690273977</v>
      </c>
      <c r="AM4" s="59">
        <f t="shared" si="0"/>
        <v>5.5924679120972043E-2</v>
      </c>
      <c r="AN4" s="59">
        <f t="shared" si="0"/>
        <v>3.8451130573157695E-2</v>
      </c>
      <c r="AO4" s="59">
        <f t="shared" si="0"/>
        <v>-2.7601839562239043E-2</v>
      </c>
      <c r="AP4" s="59">
        <f t="shared" si="0"/>
        <v>7.4712965070730872E-2</v>
      </c>
      <c r="AQ4" s="59">
        <f t="shared" si="0"/>
        <v>5.1901431499069617E-2</v>
      </c>
      <c r="AR4" s="59">
        <f t="shared" si="0"/>
        <v>4.7484980251603928E-2</v>
      </c>
      <c r="AS4" s="59">
        <f t="shared" si="0"/>
        <v>-2.7240700386479359E-2</v>
      </c>
      <c r="AT4" s="59">
        <f t="shared" si="0"/>
        <v>3.8697880884767305E-2</v>
      </c>
      <c r="AU4" s="59">
        <f t="shared" si="0"/>
        <v>1.2705784561743903E-2</v>
      </c>
      <c r="AV4" s="59">
        <f t="shared" si="0"/>
        <v>-8.4855460996684021E-3</v>
      </c>
      <c r="AW4" s="59">
        <f t="shared" si="0"/>
        <v>-5.3272179452989912E-2</v>
      </c>
      <c r="AX4" s="59">
        <f t="shared" si="0"/>
        <v>1.8815989467135103E-2</v>
      </c>
      <c r="AY4" s="59">
        <f t="shared" si="0"/>
        <v>3.1888553021560941E-2</v>
      </c>
      <c r="AZ4" s="59">
        <f t="shared" si="0"/>
        <v>3.2029106175185507E-2</v>
      </c>
      <c r="BA4" s="59">
        <f t="shared" si="0"/>
        <v>-5.2450595261486523E-3</v>
      </c>
      <c r="BB4" s="59">
        <f t="shared" si="0"/>
        <v>-8.1733388756474498E-2</v>
      </c>
      <c r="BC4" s="59">
        <f t="shared" si="0"/>
        <v>-3.7769419054177508E-2</v>
      </c>
      <c r="BD4" s="59">
        <f t="shared" si="0"/>
        <v>-1.4922806770872528E-2</v>
      </c>
      <c r="BE4" s="59">
        <f t="shared" si="0"/>
        <v>-3.945494188856113E-3</v>
      </c>
      <c r="BF4" s="59">
        <f t="shared" si="0"/>
        <v>-0.10250132444575238</v>
      </c>
      <c r="BG4" s="59">
        <f t="shared" si="0"/>
        <v>-5.6590740768878656E-2</v>
      </c>
      <c r="BH4" s="59">
        <f t="shared" si="0"/>
        <v>-3.4585895019322729E-2</v>
      </c>
      <c r="BI4" s="59">
        <f t="shared" si="0"/>
        <v>-1.2648686635108632E-2</v>
      </c>
      <c r="BJ4" s="59">
        <f t="shared" si="0"/>
        <v>-0.25616931833081286</v>
      </c>
      <c r="BK4" s="59">
        <f t="shared" si="0"/>
        <v>-0.22063056069804987</v>
      </c>
      <c r="BL4" s="59">
        <f t="shared" si="0"/>
        <v>-0.120445264526653</v>
      </c>
      <c r="BM4" s="59">
        <f t="shared" si="0"/>
        <v>-4.5744809328731428E-2</v>
      </c>
      <c r="BN4" s="59">
        <f t="shared" si="0"/>
        <v>-0.39436502367181009</v>
      </c>
      <c r="BO4" s="59">
        <f t="shared" si="0"/>
        <v>-0.13883956418594873</v>
      </c>
      <c r="BP4" s="59">
        <f t="shared" si="0"/>
        <v>-5.5263585391385227E-2</v>
      </c>
      <c r="BQ4" s="59">
        <f t="shared" si="0"/>
        <v>-1.2554623613343432E-2</v>
      </c>
      <c r="BR4" s="59">
        <f t="shared" ref="BR4:CJ4" si="1">BR2/BR3</f>
        <v>-0.18015670260248171</v>
      </c>
      <c r="BS4" s="59">
        <f t="shared" si="1"/>
        <v>-1.688269395505421E-2</v>
      </c>
      <c r="BT4" s="59">
        <f t="shared" si="1"/>
        <v>-1.8004554458385603E-2</v>
      </c>
      <c r="BU4" s="59">
        <f t="shared" si="1"/>
        <v>-7.857765191035454E-3</v>
      </c>
      <c r="BV4" s="59">
        <f t="shared" si="1"/>
        <v>-1.214968483206484E-2</v>
      </c>
      <c r="BW4" s="59">
        <f t="shared" si="1"/>
        <v>1.1158281347038645E-2</v>
      </c>
      <c r="BX4" s="59">
        <f t="shared" si="1"/>
        <v>-3.672795137569065E-3</v>
      </c>
      <c r="BY4" s="59">
        <f t="shared" si="1"/>
        <v>2.0211516167350851E-2</v>
      </c>
      <c r="BZ4" s="59">
        <f t="shared" si="1"/>
        <v>7.2815636918355464E-2</v>
      </c>
      <c r="CA4" s="59">
        <f t="shared" si="1"/>
        <v>3.9784596008334734E-2</v>
      </c>
      <c r="CB4" s="59">
        <f t="shared" si="1"/>
        <v>7.228802912430439E-2</v>
      </c>
      <c r="CC4" s="59">
        <f t="shared" si="1"/>
        <v>6.0353296356354995E-2</v>
      </c>
      <c r="CD4" s="59">
        <f t="shared" si="1"/>
        <v>0.11662028903062478</v>
      </c>
      <c r="CE4" s="59" t="e">
        <f t="shared" si="1"/>
        <v>#DIV/0!</v>
      </c>
      <c r="CF4" s="59" t="e">
        <f t="shared" si="1"/>
        <v>#DIV/0!</v>
      </c>
      <c r="CG4" s="59">
        <f t="shared" si="1"/>
        <v>-8.7884894672049466E-3</v>
      </c>
      <c r="CH4" s="59">
        <f t="shared" si="1"/>
        <v>-2.0706575073601571E-2</v>
      </c>
      <c r="CI4" s="59">
        <f t="shared" si="1"/>
        <v>-7.6809725547983057E-2</v>
      </c>
      <c r="CJ4" s="59">
        <f t="shared" si="1"/>
        <v>-3.9175480250377724E-2</v>
      </c>
    </row>
    <row r="5" spans="1:89" s="26" customFormat="1">
      <c r="A5" s="20" t="s">
        <v>426</v>
      </c>
      <c r="E5" s="26">
        <f>股权价值增加表!E47</f>
        <v>-174660855.07479995</v>
      </c>
      <c r="F5" s="26">
        <f>股权价值增加表!F47</f>
        <v>-4086999.0120002031</v>
      </c>
      <c r="G5" s="26">
        <f>股权价值增加表!G47</f>
        <v>-34348747.256400093</v>
      </c>
      <c r="H5" s="26">
        <f>股权价值增加表!H47</f>
        <v>-60487620.329599991</v>
      </c>
      <c r="I5" s="26">
        <f>股权价值增加表!I47</f>
        <v>-38162033.341200016</v>
      </c>
      <c r="J5" s="26">
        <f>股权价值增加表!J47</f>
        <v>-37037867.870800085</v>
      </c>
      <c r="K5" s="26">
        <f>股权价值增加表!K47</f>
        <v>-44319338.665599987</v>
      </c>
      <c r="L5" s="26">
        <f>股权价值增加表!L47</f>
        <v>-57639578.833600022</v>
      </c>
      <c r="M5" s="26">
        <f>股权价值增加表!M47</f>
        <v>-36842540.368000031</v>
      </c>
      <c r="N5" s="26">
        <f>股权价值增加表!N47</f>
        <v>-9996654.1791998744</v>
      </c>
      <c r="O5" s="26">
        <f>股权价值增加表!O47</f>
        <v>-17529646.508000031</v>
      </c>
      <c r="P5" s="26">
        <f>股权价值增加表!P47</f>
        <v>-37222164.085200019</v>
      </c>
      <c r="Q5" s="26">
        <f>股权价值增加表!Q47</f>
        <v>-61298130.255999997</v>
      </c>
      <c r="R5" s="26">
        <f>股权价值增加表!R47</f>
        <v>16193970.317599937</v>
      </c>
      <c r="S5" s="26">
        <f>股权价值增加表!S47</f>
        <v>850652.13840000331</v>
      </c>
      <c r="T5" s="26">
        <f>股权价值增加表!T47</f>
        <v>-25204018.231200039</v>
      </c>
      <c r="U5" s="26">
        <f>股权价值增加表!U47</f>
        <v>-88465026.516000003</v>
      </c>
      <c r="V5" s="26">
        <f>股权价值增加表!V47</f>
        <v>28044302.518399969</v>
      </c>
      <c r="W5" s="26">
        <f>股权价值增加表!W47</f>
        <v>7571166.8828000277</v>
      </c>
      <c r="X5" s="26">
        <f>股权价值增加表!X47</f>
        <v>-13455457.193599969</v>
      </c>
      <c r="Y5" s="26">
        <f>股权价值增加表!Y47</f>
        <v>-51145791.276799962</v>
      </c>
      <c r="Z5" s="26">
        <f>股权价值增加表!Z47</f>
        <v>21649232.370399892</v>
      </c>
      <c r="AA5" s="26">
        <f>股权价值增加表!AA47</f>
        <v>11399586.685200058</v>
      </c>
      <c r="AB5" s="26">
        <f>股权价值增加表!AB47</f>
        <v>1928521.1171999127</v>
      </c>
      <c r="AC5" s="26">
        <f>股权价值增加表!AC47</f>
        <v>-42278796.014800034</v>
      </c>
      <c r="AD5" s="26">
        <f>股权价值增加表!AD47</f>
        <v>13749164.840400107</v>
      </c>
      <c r="AE5" s="26">
        <f>股权价值增加表!AE47</f>
        <v>7504031.990799956</v>
      </c>
      <c r="AF5" s="26">
        <f>股权价值增加表!AF47</f>
        <v>-2886240.0523999855</v>
      </c>
      <c r="AG5" s="26">
        <f>股权价值增加表!AG47</f>
        <v>-37272375.235200003</v>
      </c>
      <c r="AH5" s="26">
        <f>股权价值增加表!AH47</f>
        <v>-37590274.206800006</v>
      </c>
      <c r="AI5" s="26">
        <f>股权价值增加表!AI47</f>
        <v>-531018.39199997857</v>
      </c>
      <c r="AJ5" s="26">
        <f>股权价值增加表!AJ47</f>
        <v>-30797979.10519997</v>
      </c>
      <c r="AK5" s="26">
        <f>股权价值增加表!AK47</f>
        <v>-19610799.219999999</v>
      </c>
      <c r="AL5" s="26">
        <f>股权价值增加表!AL47</f>
        <v>17795768.712400056</v>
      </c>
      <c r="AM5" s="26">
        <f>股权价值增加表!AM47</f>
        <v>-9496589.433199998</v>
      </c>
      <c r="AN5" s="26">
        <f>股权价值增加表!AN47</f>
        <v>-16091260.753200032</v>
      </c>
      <c r="AO5" s="26">
        <f>股权价值增加表!AO47</f>
        <v>-41094391.995999999</v>
      </c>
      <c r="AP5" s="26">
        <f>股权价值增加表!AP47</f>
        <v>-1968858.0372000411</v>
      </c>
      <c r="AQ5" s="26">
        <f>股权价值增加表!AQ47</f>
        <v>-11569145.603599973</v>
      </c>
      <c r="AR5" s="26">
        <f>股权价值增加表!AR47</f>
        <v>-13325477.252400007</v>
      </c>
      <c r="AS5" s="26">
        <f>股权价值增加表!AS47</f>
        <v>-43775501.198800005</v>
      </c>
      <c r="AT5" s="26">
        <f>股权价值增加表!AT47</f>
        <v>-16631054.048400091</v>
      </c>
      <c r="AU5" s="26">
        <f>股权价值增加表!AU47</f>
        <v>-21099190.123999983</v>
      </c>
      <c r="AV5" s="26">
        <f>股权价值增加表!AV47</f>
        <v>-27160471.266799986</v>
      </c>
      <c r="AW5" s="26">
        <f>股权价值增加表!AW47</f>
        <v>-41594428.113599986</v>
      </c>
      <c r="AX5" s="26">
        <f>股权价值增加表!AX47</f>
        <v>-18811917.795999974</v>
      </c>
      <c r="AY5" s="26">
        <f>股权价值增加表!AY47</f>
        <v>-14691212.203599982</v>
      </c>
      <c r="AZ5" s="26">
        <f>股权价值增加表!AZ47</f>
        <v>-14310713.269600006</v>
      </c>
      <c r="BA5" s="26">
        <f>股权价值增加表!BA47</f>
        <v>-21437578.560799997</v>
      </c>
      <c r="BB5" s="26">
        <f>股权价值增加表!BB47</f>
        <v>-40089234.423199996</v>
      </c>
      <c r="BC5" s="26">
        <f>股权价值增加表!BC47</f>
        <v>-29900267.693599984</v>
      </c>
      <c r="BD5" s="26">
        <f>股权价值增加表!BD47</f>
        <v>-24078852.544800006</v>
      </c>
      <c r="BE5" s="26">
        <f>股权价值增加表!BE47</f>
        <v>-21010686.027600005</v>
      </c>
      <c r="BF5" s="26">
        <f>股权价值增加表!BF47</f>
        <v>-44493054.76639995</v>
      </c>
      <c r="BG5" s="26">
        <f>股权价值增加表!BG47</f>
        <v>-33558600.180400014</v>
      </c>
      <c r="BH5" s="26">
        <f>股权价值增加表!BH47</f>
        <v>-28090409.754800014</v>
      </c>
      <c r="BI5" s="26">
        <f>股权价值增加表!BI47</f>
        <v>-22499272.313599993</v>
      </c>
      <c r="BJ5" s="26">
        <f>股权价值增加表!BJ47</f>
        <v>-80517317.740400001</v>
      </c>
      <c r="BK5" s="26">
        <f>股权价值增加表!BK47</f>
        <v>-63221072.869199984</v>
      </c>
      <c r="BL5" s="26">
        <f>股权价值增加表!BL47</f>
        <v>-44771956.732799992</v>
      </c>
      <c r="BM5" s="26">
        <f>股权价值增加表!BM47</f>
        <v>-29196649.92679999</v>
      </c>
      <c r="BN5" s="26">
        <f>股权价值增加表!BN47</f>
        <v>-112757488.66240001</v>
      </c>
      <c r="BO5" s="26">
        <f>股权价值增加表!BO47</f>
        <v>-62682668.930000037</v>
      </c>
      <c r="BP5" s="26">
        <f>股权价值增加表!BP47</f>
        <v>-41963664.425600022</v>
      </c>
      <c r="BQ5" s="26">
        <f>股权价值增加表!BQ47</f>
        <v>-29093009.776000008</v>
      </c>
      <c r="BR5" s="26">
        <f>股权价值增加表!BR47</f>
        <v>-77542954.094399974</v>
      </c>
      <c r="BS5" s="26">
        <f>股权价值增加表!BS47</f>
        <v>-35125847.592800036</v>
      </c>
      <c r="BT5" s="26">
        <f>股权价值增加表!BT47</f>
        <v>-35476689.089600019</v>
      </c>
      <c r="BU5" s="26">
        <f>股权价值增加表!BU47</f>
        <v>-30157537.686399996</v>
      </c>
      <c r="BV5" s="26">
        <f>股权价值增加表!BV47</f>
        <v>-30775847.219600029</v>
      </c>
      <c r="BW5" s="26">
        <f>股权价值增加表!BW47</f>
        <v>-23806022.312399987</v>
      </c>
      <c r="BX5" s="26">
        <f>股权价值增加表!BX47</f>
        <v>-19418456.162399963</v>
      </c>
      <c r="BY5" s="26">
        <f>股权价值增加表!BY47</f>
        <v>-13400701.951999979</v>
      </c>
      <c r="BZ5" s="26">
        <f>股权价值增加表!BZ47</f>
        <v>-1520066.7792000212</v>
      </c>
      <c r="CA5" s="26">
        <f>股权价值增加表!CA47</f>
        <v>-8509966.9499999806</v>
      </c>
      <c r="CB5" s="26">
        <f>股权价值增加表!CB47</f>
        <v>-1524760.7743999269</v>
      </c>
      <c r="CC5" s="26">
        <f>股权价值增加表!CC47</f>
        <v>-3587216.6615999993</v>
      </c>
      <c r="CD5" s="26">
        <f>股权价值增加表!CD47</f>
        <v>20003253.529999949</v>
      </c>
      <c r="CE5" s="26">
        <f>股权价值增加表!CE47</f>
        <v>0</v>
      </c>
      <c r="CF5" s="26">
        <f>股权价值增加表!CF47</f>
        <v>0</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7" customFormat="1">
      <c r="A6" s="157" t="s">
        <v>437</v>
      </c>
      <c r="E6" s="157">
        <f>股权价值增加表!E31/股权价值增加表!E4</f>
        <v>0.50764226303810667</v>
      </c>
      <c r="F6" s="157">
        <f>股权价值增加表!F31/股权价值增加表!F4</f>
        <v>0.19613562783344651</v>
      </c>
      <c r="G6" s="157">
        <f>股权价值增加表!G31/股权价值增加表!G4</f>
        <v>0.20507740887419643</v>
      </c>
      <c r="H6" s="157">
        <f>股权价值增加表!H31/股权价值增加表!H4</f>
        <v>0.21637868483849471</v>
      </c>
      <c r="I6" s="157">
        <f>股权价值增加表!I31/股权价值增加表!I4</f>
        <v>0.68778968160720533</v>
      </c>
      <c r="J6" s="157">
        <f>股权价值增加表!J31/股权价值增加表!J4</f>
        <v>9.8989710077852427E-2</v>
      </c>
      <c r="K6" s="157">
        <f>股权价值增加表!K31/股权价值增加表!K4</f>
        <v>0.11332997631722785</v>
      </c>
      <c r="L6" s="157">
        <f>股权价值增加表!L31/股权价值增加表!L4</f>
        <v>0.11993020896788464</v>
      </c>
      <c r="M6" s="157">
        <f>股权价值增加表!M31/股权价值增加表!M4</f>
        <v>0.52934843591769265</v>
      </c>
      <c r="N6" s="157">
        <f>股权价值增加表!N31/股权价值增加表!N4</f>
        <v>0.10690227856988124</v>
      </c>
      <c r="O6" s="157">
        <f>股权价值增加表!O31/股权价值增加表!O4</f>
        <v>0.12648644121912792</v>
      </c>
      <c r="P6" s="157">
        <f>股权价值增加表!P31/股权价值增加表!P4</f>
        <v>0.12766175340365657</v>
      </c>
      <c r="Q6" s="157">
        <f>股权价值增加表!Q31/股权价值增加表!Q4</f>
        <v>0.21319070488801145</v>
      </c>
      <c r="R6" s="157">
        <f>股权价值增加表!R31/股权价值增加表!R4</f>
        <v>0.11191994260517053</v>
      </c>
      <c r="S6" s="157">
        <f>股权价值增加表!S31/股权价值增加表!S4</f>
        <v>0.12166657519541919</v>
      </c>
      <c r="T6" s="157">
        <f>股权价值增加表!T31/股权价值增加表!T4</f>
        <v>0.11976244922366872</v>
      </c>
      <c r="U6" s="157">
        <f>股权价值增加表!U31/股权价值增加表!U4</f>
        <v>7.1540470196171616E-2</v>
      </c>
      <c r="V6" s="157">
        <f>股权价值增加表!V31/股权价值增加表!V4</f>
        <v>9.3112005405201495E-2</v>
      </c>
      <c r="W6" s="157">
        <f>股权价值增加表!W31/股权价值增加表!W4</f>
        <v>0.10130270407361296</v>
      </c>
      <c r="X6" s="157">
        <f>股权价值增加表!X31/股权价值增加表!X4</f>
        <v>0.10551162981193098</v>
      </c>
      <c r="Y6" s="157">
        <f>股权价值增加表!Y31/股权价值增加表!Y4</f>
        <v>0.15041726741874598</v>
      </c>
      <c r="Z6" s="157">
        <f>股权价值增加表!Z31/股权价值增加表!Z4</f>
        <v>6.3322495431559545E-2</v>
      </c>
      <c r="AA6" s="157">
        <f>股权价值增加表!AA31/股权价值增加表!AA4</f>
        <v>6.7512724097066282E-2</v>
      </c>
      <c r="AB6" s="157">
        <f>股权价值增加表!AB31/股权价值增加表!AB4</f>
        <v>7.6376989233877535E-2</v>
      </c>
      <c r="AC6" s="157">
        <f>股权价值增加表!AC31/股权价值增加表!AC4</f>
        <v>0.12712427993366496</v>
      </c>
      <c r="AD6" s="157">
        <f>股权价值增加表!AD31/股权价值增加表!AD4</f>
        <v>5.9127477564222285E-2</v>
      </c>
      <c r="AE6" s="157">
        <f>股权价值增加表!AE31/股权价值增加表!AE4</f>
        <v>6.6821825620616518E-2</v>
      </c>
      <c r="AF6" s="157">
        <f>股权价值增加表!AF31/股权价值增加表!AF4</f>
        <v>6.813622466351732E-2</v>
      </c>
      <c r="AG6" s="157">
        <f>股权价值增加表!AG31/股权价值增加表!AG4</f>
        <v>7.1934816346456459E-2</v>
      </c>
      <c r="AH6" s="157">
        <f>股权价值增加表!AH31/股权价值增加表!AH4</f>
        <v>1.2968446846050512E-2</v>
      </c>
      <c r="AI6" s="157">
        <f>股权价值增加表!AI31/股权价值增加表!AI4</f>
        <v>6.6082419426999925E-2</v>
      </c>
      <c r="AJ6" s="157">
        <f>股权价值增加表!AJ31/股权价值增加表!AJ4</f>
        <v>2.9844739535280652E-2</v>
      </c>
      <c r="AK6" s="157">
        <f>股权价值增加表!AK31/股权价值增加表!AK4</f>
        <v>0.13141837706282852</v>
      </c>
      <c r="AL6" s="157">
        <f>股权价值增加表!AL31/股权价值增加表!AL4</f>
        <v>0.10502746332392079</v>
      </c>
      <c r="AM6" s="157">
        <f>股权价值增加表!AM31/股权价值增加表!AM4</f>
        <v>7.9573633980076136E-2</v>
      </c>
      <c r="AN6" s="157">
        <f>股权价值增加表!AN31/股权价值增加表!AN4</f>
        <v>8.1086366070327237E-2</v>
      </c>
      <c r="AO6" s="157">
        <f>股权价值增加表!AO31/股权价值增加表!AO4</f>
        <v>0.14100341623832519</v>
      </c>
      <c r="AP6" s="157">
        <f>股权价值增加表!AP31/股权价值增加表!AP4</f>
        <v>9.5569067225382484E-2</v>
      </c>
      <c r="AQ6" s="157">
        <f>股权价值增加表!AQ31/股权价值增加表!AQ4</f>
        <v>9.5741530405681993E-2</v>
      </c>
      <c r="AR6" s="157">
        <f>股权价值增加表!AR31/股权价值增加表!AR4</f>
        <v>0.1109711015677949</v>
      </c>
      <c r="AS6" s="157">
        <f>股权价值增加表!AS31/股权价值增加表!AS4</f>
        <v>8.7183968937824152E-2</v>
      </c>
      <c r="AT6" s="157">
        <f>股权价值增加表!AT31/股权价值增加表!AT4</f>
        <v>8.1720394637805352E-2</v>
      </c>
      <c r="AU6" s="157">
        <f>股权价值增加表!AU31/股权价值增加表!AU4</f>
        <v>5.8309970484154754E-2</v>
      </c>
      <c r="AV6" s="157">
        <f>股权价值增加表!AV31/股权价值增加表!AV4</f>
        <v>2.740583146294092E-2</v>
      </c>
      <c r="AW6" s="157">
        <f>股权价值增加表!AW31/股权价值增加表!AW4</f>
        <v>6.5895887772790832E-2</v>
      </c>
      <c r="AX6" s="157">
        <f>股权价值增加表!AX31/股权价值增加表!AX4</f>
        <v>6.4029849991048132E-2</v>
      </c>
      <c r="AY6" s="157">
        <f>股权价值增加表!AY31/股权价值增加表!AY4</f>
        <v>7.6343786838739047E-2</v>
      </c>
      <c r="AZ6" s="157">
        <f>股权价值增加表!AZ31/股权价值增加表!AZ4</f>
        <v>8.807555527869379E-2</v>
      </c>
      <c r="BA6" s="157">
        <f>股权价值增加表!BA31/股权价值增加表!BA4</f>
        <v>0.10233281475807041</v>
      </c>
      <c r="BB6" s="157">
        <f>股权价值增加表!BB31/股权价值增加表!BB4</f>
        <v>2.2854851129537469E-4</v>
      </c>
      <c r="BC6" s="157">
        <f>股权价值增加表!BC31/股权价值增加表!BC4</f>
        <v>1.6116069134598537E-2</v>
      </c>
      <c r="BD6" s="157">
        <f>股权价值增加表!BD31/股权价值增加表!BD4</f>
        <v>3.1521781504023828E-2</v>
      </c>
      <c r="BE6" s="157">
        <f>股权价值增加表!BE31/股权价值增加表!BE4</f>
        <v>3.1021025256783078E-2</v>
      </c>
      <c r="BF6" s="157">
        <f>股权价值增加表!BF31/股权价值增加表!BF4</f>
        <v>-2.556956189845866E-3</v>
      </c>
      <c r="BG6" s="157">
        <f>股权价值增加表!BG31/股权价值增加表!BG4</f>
        <v>1.4276561137592361E-2</v>
      </c>
      <c r="BH6" s="157">
        <f>股权价值增加表!BH31/股权价值增加表!BH4</f>
        <v>1.7455481786040415E-2</v>
      </c>
      <c r="BI6" s="157">
        <f>股权价值增加表!BI31/股权价值增加表!BI4</f>
        <v>2.6340745635242215E-2</v>
      </c>
      <c r="BJ6" s="157">
        <f>股权价值增加表!BJ31/股权价值增加表!BJ4</f>
        <v>-6.925496381204703E-2</v>
      </c>
      <c r="BK6" s="157">
        <f>股权价值增加表!BK31/股权价值增加表!BK4</f>
        <v>-6.4186429189425506E-2</v>
      </c>
      <c r="BL6" s="157">
        <f>股权价值增加表!BL31/股权价值增加表!BL4</f>
        <v>-4.5509660427091696E-2</v>
      </c>
      <c r="BM6" s="157">
        <f>股权价值增加表!BM31/股权价值增加表!BM4</f>
        <v>-1.2263615683700197E-2</v>
      </c>
      <c r="BN6" s="157">
        <f>股权价值增加表!BN31/股权价值增加表!BN4</f>
        <v>-0.12900406821713623</v>
      </c>
      <c r="BO6" s="157">
        <f>股权价值增加表!BO31/股权价值增加表!BO4</f>
        <v>-4.6657058434415137E-2</v>
      </c>
      <c r="BP6" s="157">
        <f>股权价值增加表!BP31/股权价值增加表!BP4</f>
        <v>-1.1119725288647558E-2</v>
      </c>
      <c r="BQ6" s="157">
        <f>股权价值增加表!BQ31/股权价值增加表!BQ4</f>
        <v>1.8007834263222184E-2</v>
      </c>
      <c r="BR6" s="157">
        <f>股权价值增加表!BR31/股权价值增加表!BR4</f>
        <v>-3.8517655731146586E-2</v>
      </c>
      <c r="BS6" s="157">
        <f>股权价值增加表!BS31/股权价值增加表!BS4</f>
        <v>2.7848851859412049E-2</v>
      </c>
      <c r="BT6" s="157">
        <f>股权价值增加表!BT31/股权价值增加表!BT4</f>
        <v>4.4088244932130344E-2</v>
      </c>
      <c r="BU6" s="157">
        <f>股权价值增加表!BU31/股权价值增加表!BU4</f>
        <v>4.2109271718480015E-2</v>
      </c>
      <c r="BV6" s="157">
        <f>股权价值增加表!BV31/股权价值增加表!BV4</f>
        <v>3.781390069914127E-2</v>
      </c>
      <c r="BW6" s="157">
        <f>股权价值增加表!BW31/股权价值增加表!BW4</f>
        <v>5.6267232034729199E-2</v>
      </c>
      <c r="BX6" s="157">
        <f>股权价值增加表!BX31/股权价值增加表!BX4</f>
        <v>4.914480758645981E-2</v>
      </c>
      <c r="BY6" s="157">
        <f>股权价值增加表!BY31/股权价值增加表!BY4</f>
        <v>5.5486974438093306E-2</v>
      </c>
      <c r="BZ6" s="157">
        <f>股权价值增加表!BZ31/股权价值增加表!BZ4</f>
        <v>6.9685565564362686E-2</v>
      </c>
      <c r="CA6" s="157">
        <f>股权价值增加表!CA31/股权价值增加表!CA4</f>
        <v>6.7984491619841561E-2</v>
      </c>
      <c r="CB6" s="157">
        <f>股权价值增加表!CB31/股权价值增加表!CB4</f>
        <v>5.6550785961480547E-2</v>
      </c>
      <c r="CC6" s="157">
        <f>股权价值增加表!CC31/股权价值增加表!CC4</f>
        <v>6.6616840031786875E-2</v>
      </c>
      <c r="CD6" s="157">
        <f>股权价值增加表!CD31/股权价值增加表!CD4</f>
        <v>6.2200216947778789E-2</v>
      </c>
      <c r="CE6" s="157" t="e">
        <f>股权价值增加表!CE31/股权价值增加表!CE4</f>
        <v>#DIV/0!</v>
      </c>
      <c r="CF6" s="157" t="e">
        <f>股权价值增加表!CF31/股权价值增加表!CF4</f>
        <v>#DIV/0!</v>
      </c>
      <c r="CG6" s="157" t="e">
        <f>股权价值增加表!CG31/股权价值增加表!CG4</f>
        <v>#DIV/0!</v>
      </c>
      <c r="CH6" s="157" t="e">
        <f>股权价值增加表!CH31/股权价值增加表!CH4</f>
        <v>#DIV/0!</v>
      </c>
      <c r="CI6" s="157" t="e">
        <f>股权价值增加表!CI31/股权价值增加表!CI4</f>
        <v>#DIV/0!</v>
      </c>
      <c r="CJ6" s="157" t="e">
        <f>股权价值增加表!CJ31/股权价值增加表!CJ4</f>
        <v>#DIV/0!</v>
      </c>
    </row>
    <row r="7" spans="1:89" s="61" customFormat="1">
      <c r="A7" s="242" t="s">
        <v>431</v>
      </c>
      <c r="E7" s="61">
        <f>股权价值增加表!E4/资产资本表!E70</f>
        <v>0.12204766262238877</v>
      </c>
      <c r="F7" s="61">
        <f>股权价值增加表!F4/资产资本表!F70</f>
        <v>0.41209577774795153</v>
      </c>
      <c r="G7" s="61">
        <f>股权价值增加表!G4/资产资本表!G70</f>
        <v>0.30776106286302901</v>
      </c>
      <c r="H7" s="61">
        <f>股权价值增加表!H4/资产资本表!H70</f>
        <v>0.20991651396197941</v>
      </c>
      <c r="I7" s="61">
        <f>股权价值增加表!I4/资产资本表!I70</f>
        <v>0.17263833627470548</v>
      </c>
      <c r="J7" s="61">
        <f>股权价值增加表!J4/资产资本表!J70</f>
        <v>0.63005473623160169</v>
      </c>
      <c r="K7" s="61">
        <f>股权价值增加表!K4/资产资本表!K70</f>
        <v>0.49855677745630217</v>
      </c>
      <c r="L7" s="61">
        <f>股权价值增加表!L4/资产资本表!L70</f>
        <v>0.32393721344316678</v>
      </c>
      <c r="M7" s="61">
        <f>股权价值增加表!M4/资产资本表!M70</f>
        <v>0.1836871868715797</v>
      </c>
      <c r="N7" s="61">
        <f>股权价值增加表!N4/资产资本表!N70</f>
        <v>0.73084582002461451</v>
      </c>
      <c r="O7" s="61">
        <f>股权价值增加表!O4/资产资本表!O70</f>
        <v>0.58145711130250322</v>
      </c>
      <c r="P7" s="61">
        <f>股权价值增加表!P4/资产资本表!P70</f>
        <v>0.38155467217106775</v>
      </c>
      <c r="Q7" s="61">
        <f>股权价值增加表!Q4/资产资本表!Q70</f>
        <v>0.2522683668964591</v>
      </c>
      <c r="R7" s="61">
        <f>股权价值增加表!R4/资产资本表!R70</f>
        <v>0.93473514061385343</v>
      </c>
      <c r="S7" s="61">
        <f>股权价值增加表!S4/资产资本表!S70</f>
        <v>0.72310242878972431</v>
      </c>
      <c r="T7" s="61">
        <f>股权价值增加表!T4/资产资本表!T70</f>
        <v>0.54729362448598606</v>
      </c>
      <c r="U7" s="61">
        <f>股权价值增加表!U4/资产资本表!U70</f>
        <v>0.33798942522216752</v>
      </c>
      <c r="V7" s="61">
        <f>股权价值增加表!V4/资产资本表!V70</f>
        <v>1.3868063007929909</v>
      </c>
      <c r="W7" s="61">
        <f>股权价值增加表!W4/资产资本表!W70</f>
        <v>1.0825352816498917</v>
      </c>
      <c r="X7" s="61">
        <f>股权价值增加表!X4/资产资本表!X70</f>
        <v>0.76563708424266685</v>
      </c>
      <c r="Y7" s="61">
        <f>股权价值增加表!Y4/资产资本表!Y70</f>
        <v>0.40521802476571561</v>
      </c>
      <c r="Z7" s="61">
        <f>股权价值增加表!Z4/资产资本表!Z70</f>
        <v>2.5109122709994254</v>
      </c>
      <c r="AA7" s="61">
        <f>股权价值增加表!AA4/资产资本表!AA70</f>
        <v>1.9441337535085352</v>
      </c>
      <c r="AB7" s="61">
        <f>股权价值增加表!AB4/资产资本表!AB70</f>
        <v>1.380617531180077</v>
      </c>
      <c r="AC7" s="61">
        <f>股权价值增加表!AC4/资产资本表!AC70</f>
        <v>0.80338170775957807</v>
      </c>
      <c r="AD7" s="61">
        <f>股权价值增加表!AD4/资产资本表!AD70</f>
        <v>2.5495842457264382</v>
      </c>
      <c r="AE7" s="61">
        <f>股权价值增加表!AE4/资产资本表!AE70</f>
        <v>1.9195532125659966</v>
      </c>
      <c r="AF7" s="61">
        <f>股权价值增加表!AF4/资产资本表!AF70</f>
        <v>1.3839726083753994</v>
      </c>
      <c r="AG7" s="61">
        <f>股权价值增加表!AG4/资产资本表!AG70</f>
        <v>0.81746350793467903</v>
      </c>
      <c r="AH7" s="61">
        <f>股权价值增加表!AH4/资产资本表!AH70</f>
        <v>1.963227609753371</v>
      </c>
      <c r="AI7" s="61">
        <f>股权价值增加表!AI4/资产资本表!AI70</f>
        <v>1.4215805453841652</v>
      </c>
      <c r="AJ7" s="61">
        <f>股权价值增加表!AJ4/资产资本表!AJ70</f>
        <v>0.82883738827977449</v>
      </c>
      <c r="AK7" s="61">
        <f>股权价值增加表!AK4/资产资本表!AK70</f>
        <v>0.46113477483233756</v>
      </c>
      <c r="AL7" s="61">
        <f>股权价值增加表!AL4/资产资本表!AL70</f>
        <v>1.2056011950554595</v>
      </c>
      <c r="AM7" s="61">
        <f>股权价值增加表!AM4/资产资本表!AM70</f>
        <v>0.824867419734572</v>
      </c>
      <c r="AN7" s="61">
        <f>股权价值增加表!AN4/资产资本表!AN70</f>
        <v>0.62017651076807934</v>
      </c>
      <c r="AO7" s="61">
        <f>股权价值增加表!AO4/资产资本表!AO70</f>
        <v>0.31991723421104068</v>
      </c>
      <c r="AP7" s="61">
        <f>股权价值增加表!AP4/资产资本表!AP70</f>
        <v>0.98396734313896728</v>
      </c>
      <c r="AQ7" s="61">
        <f>股权价值增加表!AQ4/资产资本表!AQ70</f>
        <v>0.65230817615382897</v>
      </c>
      <c r="AR7" s="61">
        <f>股权价值增加表!AR4/资产资本表!AR70</f>
        <v>0.42454276572162275</v>
      </c>
      <c r="AS7" s="61">
        <f>股权价值增加表!AS4/资产资本表!AS70</f>
        <v>0.23581731743065562</v>
      </c>
      <c r="AT7" s="61">
        <f>股权价值增加表!AT4/资产资本表!AT70</f>
        <v>0.76937700223574113</v>
      </c>
      <c r="AU7" s="61">
        <f>股权价值增加表!AU4/资产资本表!AU70</f>
        <v>0.64091294628230244</v>
      </c>
      <c r="AV7" s="61">
        <f>股权价值增加表!AV4/资产资本表!AV70</f>
        <v>0.43407970096014531</v>
      </c>
      <c r="AW7" s="61">
        <f>股权价值增加表!AW4/资产资本表!AW70</f>
        <v>0.25797808364431085</v>
      </c>
      <c r="AX7" s="61">
        <f>股权价值增加表!AX4/资产资本表!AX70</f>
        <v>0.75544137602098382</v>
      </c>
      <c r="AY7" s="61">
        <f>股权价值增加表!AY4/资产资本表!AY70</f>
        <v>0.55453934893658052</v>
      </c>
      <c r="AZ7" s="61">
        <f>股权价值增加表!AZ4/资产资本表!AZ70</f>
        <v>0.36951785439830903</v>
      </c>
      <c r="BA7" s="61">
        <f>股权价值增加表!BA4/资产资本表!BA70</f>
        <v>0.23561402014553293</v>
      </c>
      <c r="BB7" s="61">
        <f>股权价值增加表!BB4/资产资本表!BB70</f>
        <v>0.79007579089371793</v>
      </c>
      <c r="BC7" s="61">
        <f>股权价值增加表!BC4/资产资本表!BC70</f>
        <v>0.57348087640107137</v>
      </c>
      <c r="BD7" s="61">
        <f>股权价值增加表!BD4/资产资本表!BD70</f>
        <v>0.39454440679545177</v>
      </c>
      <c r="BE7" s="61">
        <f>股权价值增加表!BE4/资产资本表!BE70</f>
        <v>0.23226479430486294</v>
      </c>
      <c r="BF7" s="61">
        <f>股权价值增加表!BF4/资产资本表!BF70</f>
        <v>1.0074569265598328</v>
      </c>
      <c r="BG7" s="61">
        <f>股权价值增加表!BG4/资产资本表!BG70</f>
        <v>0.46806123972301478</v>
      </c>
      <c r="BH7" s="61">
        <f>股权价值增加表!BH4/资产资本表!BH70</f>
        <v>0.33468040851641112</v>
      </c>
      <c r="BI7" s="61">
        <f>股权价值增加表!BI4/资产资本表!BI70</f>
        <v>0.19559670859912834</v>
      </c>
      <c r="BJ7" s="61">
        <f>股权价值增加表!BJ4/资产资本表!BJ70</f>
        <v>0.73232106412087417</v>
      </c>
      <c r="BK7" s="61">
        <f>股权价值增加表!BK4/资产资本表!BK70</f>
        <v>0.53466884891064492</v>
      </c>
      <c r="BL7" s="61">
        <f>股权价值增加表!BL4/资产资本表!BL70</f>
        <v>0.38020223420206684</v>
      </c>
      <c r="BM7" s="61">
        <f>股权价值增加表!BM4/资产资本表!BM70</f>
        <v>0.21701200330049084</v>
      </c>
      <c r="BN7" s="61">
        <f>股权价值增加表!BN4/资产资本表!BN70</f>
        <v>0.71227674797525908</v>
      </c>
      <c r="BO7" s="61">
        <f>股权价值增加表!BO4/资产资本表!BO70</f>
        <v>0.42763378906131921</v>
      </c>
      <c r="BP7" s="61">
        <f>股权价值增加表!BP4/资产资本表!BP70</f>
        <v>0.36174424071634365</v>
      </c>
      <c r="BQ7" s="61">
        <f>股权价值增加表!BQ4/资产资本表!BQ70</f>
        <v>0.18902046195783087</v>
      </c>
      <c r="BR7" s="61">
        <f>股权价值增加表!BR4/资产资本表!BR70</f>
        <v>0.71199472378146267</v>
      </c>
      <c r="BS7" s="61">
        <f>股权价值增加表!BS4/资产资本表!BS70</f>
        <v>0.4248435068575247</v>
      </c>
      <c r="BT7" s="61">
        <f>股权价值增加表!BT4/资产资本表!BT70</f>
        <v>0.71025756521115613</v>
      </c>
      <c r="BU7" s="61">
        <f>股权价值增加表!BU4/资产资本表!BU70</f>
        <v>0.40502136381922821</v>
      </c>
      <c r="BV7" s="61">
        <f>股权价值增加表!BV4/资产资本表!BV70</f>
        <v>0.60879056700452927</v>
      </c>
      <c r="BW7" s="61">
        <f>股权价值增加表!BW4/资产资本表!BW70</f>
        <v>0.43570507728194247</v>
      </c>
      <c r="BX7" s="61">
        <f>股权价值增加表!BX4/资产资本表!BX70</f>
        <v>0.94427214995288544</v>
      </c>
      <c r="BY7" s="61">
        <f>股权价值增加表!BY4/资产资本表!BY70</f>
        <v>0.50439910912046348</v>
      </c>
      <c r="BZ7" s="61">
        <f>股权价值增加表!BZ4/资产资本表!BZ70</f>
        <v>1.0348843819728433</v>
      </c>
      <c r="CA7" s="61">
        <f>股权价值增加表!CA4/资产资本表!CA70</f>
        <v>0.72031462558363268</v>
      </c>
      <c r="CB7" s="61">
        <f>股权价值增加表!CB4/资产资本表!CB70</f>
        <v>1.3124229192870041</v>
      </c>
      <c r="CC7" s="61">
        <f>股权价值增加表!CC4/资产资本表!CC70</f>
        <v>0.83559109543372323</v>
      </c>
      <c r="CD7" s="61">
        <f>股权价值增加表!CD4/资产资本表!CD70</f>
        <v>1.5517947591658439</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c r="A8" s="20" t="s">
        <v>438</v>
      </c>
      <c r="E8" s="63">
        <f>股权价值增加表!E31/资产资本表!E70</f>
        <v>6.1956551652140777E-2</v>
      </c>
      <c r="F8" s="63">
        <f>股权价值增加表!F31/资产资本表!F70</f>
        <v>8.0826664096106907E-2</v>
      </c>
      <c r="G8" s="63">
        <f>股权价值增加表!G31/资产资本表!G70</f>
        <v>6.311484132431866E-2</v>
      </c>
      <c r="H8" s="63">
        <f>股权价值增加表!H31/资产资本表!H70</f>
        <v>4.5421459216974616E-2</v>
      </c>
      <c r="I8" s="63">
        <f>股权价值增加表!I31/资产资本表!I70</f>
        <v>0.11873886633957732</v>
      </c>
      <c r="J8" s="63">
        <f>股权价值增加表!J31/资产资本表!J70</f>
        <v>6.2368935672744034E-2</v>
      </c>
      <c r="K8" s="63">
        <f>股权价值增加表!K31/资产资本表!K70</f>
        <v>5.6501427781916164E-2</v>
      </c>
      <c r="L8" s="63">
        <f>股权价值增加表!L31/资产资本表!L70</f>
        <v>3.8849857700713246E-2</v>
      </c>
      <c r="M8" s="63">
        <f>股权价值增加表!M31/资产资本表!M70</f>
        <v>9.7234525068591635E-2</v>
      </c>
      <c r="N8" s="63">
        <f>股权价值增加表!N31/资产资本表!N70</f>
        <v>7.8129083443904637E-2</v>
      </c>
      <c r="O8" s="63">
        <f>股权价值增加表!O31/资产资本表!O70</f>
        <v>7.3546440730207996E-2</v>
      </c>
      <c r="P8" s="63">
        <f>股权价值增加表!P31/资产资本表!P70</f>
        <v>4.8709938468715873E-2</v>
      </c>
      <c r="Q8" s="63">
        <f>股权价值增加表!Q31/资产资本表!Q70</f>
        <v>5.3781270959603604E-2</v>
      </c>
      <c r="R8" s="63">
        <f>股权价值增加表!R31/资产资本表!R70</f>
        <v>0.1046155032885385</v>
      </c>
      <c r="S8" s="63">
        <f>股权价值增加表!S31/资产资本表!S70</f>
        <v>8.7977396026335253E-2</v>
      </c>
      <c r="T8" s="63">
        <f>股权价值增加表!T31/资产资本表!T70</f>
        <v>6.5545224912940528E-2</v>
      </c>
      <c r="U8" s="63">
        <f>股权价值增加表!U31/资产资本表!U70</f>
        <v>2.4179922401727651E-2</v>
      </c>
      <c r="V8" s="63">
        <f>股权价值增加表!V31/资产资本表!V70</f>
        <v>0.12912831577540448</v>
      </c>
      <c r="W8" s="63">
        <f>股权价值增加表!W31/资产资本表!W70</f>
        <v>0.10966375128622421</v>
      </c>
      <c r="X8" s="63">
        <f>股权价值增加表!X31/资产资本表!X70</f>
        <v>8.078361660289847E-2</v>
      </c>
      <c r="Y8" s="63">
        <f>股权价值增加表!Y31/资产资本表!Y70</f>
        <v>6.0951787994080679E-2</v>
      </c>
      <c r="Z8" s="63">
        <f>股权价值增加表!Z31/资产资本表!Z70</f>
        <v>0.15899723080940792</v>
      </c>
      <c r="AA8" s="63">
        <f>股权价值增加表!AA31/资产资本表!AA70</f>
        <v>0.1312537657084156</v>
      </c>
      <c r="AB8" s="63">
        <f>股权价值增加表!AB31/资产资本表!AB70</f>
        <v>0.10544741031504333</v>
      </c>
      <c r="AC8" s="63">
        <f>股权价值增加表!AC31/资产资本表!AC70</f>
        <v>0.10212932111081441</v>
      </c>
      <c r="AD8" s="63">
        <f>股权价值增加表!AD31/资产资本表!AD70</f>
        <v>0.15075048528728457</v>
      </c>
      <c r="AE8" s="63">
        <f>股权价值增加表!AE31/资产资本表!AE70</f>
        <v>0.12826805003957925</v>
      </c>
      <c r="AF8" s="63">
        <f>股权价值增加表!AF31/资产资本表!AF70</f>
        <v>9.429866857242028E-2</v>
      </c>
      <c r="AG8" s="63">
        <f>股权价值增加表!AG31/资产资本表!AG70</f>
        <v>5.8804087313211184E-2</v>
      </c>
      <c r="AH8" s="63">
        <f>股权价值增加表!AH31/资产资本表!AH70</f>
        <v>2.5460012903785391E-2</v>
      </c>
      <c r="AI8" s="63">
        <f>股权价值增加表!AI31/资产资本表!AI70</f>
        <v>9.3941481849339717E-2</v>
      </c>
      <c r="AJ8" s="63">
        <f>股权价值增加表!AJ31/资产资本表!AJ70</f>
        <v>2.4736435970312144E-2</v>
      </c>
      <c r="AK8" s="63">
        <f>股权价值增加表!AK31/资产资本表!AK70</f>
        <v>6.0601583715698661E-2</v>
      </c>
      <c r="AL8" s="63">
        <f>股权价值增加表!AL31/资产资本表!AL70</f>
        <v>0.12662123529696234</v>
      </c>
      <c r="AM8" s="63">
        <f>股权价值增加表!AM31/资产资本表!AM70</f>
        <v>6.5637698140048661E-2</v>
      </c>
      <c r="AN8" s="63">
        <f>股权价值增加表!AN31/资产资本表!AN70</f>
        <v>5.0287859580358724E-2</v>
      </c>
      <c r="AO8" s="63">
        <f>股权价值增加表!AO31/资产资本表!AO70</f>
        <v>4.5109422937273137E-2</v>
      </c>
      <c r="AP8" s="63">
        <f>股权价值增加表!AP31/资产资本表!AP70</f>
        <v>9.4036841164028967E-2</v>
      </c>
      <c r="AQ8" s="63">
        <f>股权价值增加表!AQ31/资产资本表!AQ70</f>
        <v>6.2452983081106785E-2</v>
      </c>
      <c r="AR8" s="63">
        <f>股权价值增加表!AR31/资产资本表!AR70</f>
        <v>4.7111978374766751E-2</v>
      </c>
      <c r="AS8" s="63">
        <f>股权价值增加表!AS31/资产资本表!AS70</f>
        <v>2.0559489677875301E-2</v>
      </c>
      <c r="AT8" s="63">
        <f>股权价值增加表!AT31/资产资本表!AT70</f>
        <v>6.2873792247956417E-2</v>
      </c>
      <c r="AU8" s="63">
        <f>股权价值增加表!AU31/资产资本表!AU70</f>
        <v>3.7371614980633718E-2</v>
      </c>
      <c r="AV8" s="63">
        <f>股权价值增加表!AV31/资产资本表!AV70</f>
        <v>1.1896315125997536E-2</v>
      </c>
      <c r="AW8" s="63">
        <f>股权价值增加表!AW31/资产资本表!AW70</f>
        <v>1.6999694847665153E-2</v>
      </c>
      <c r="AX8" s="63">
        <f>股权价值增加表!AX31/资产资本表!AX70</f>
        <v>4.8370797983654575E-2</v>
      </c>
      <c r="AY8" s="63">
        <f>股权价值增加表!AY31/资产资本表!AY70</f>
        <v>4.2335633848907435E-2</v>
      </c>
      <c r="AZ8" s="63">
        <f>股权价值增加表!AZ31/资产资本表!AZ70</f>
        <v>3.2545490211522594E-2</v>
      </c>
      <c r="BA8" s="63">
        <f>股权价值增加表!BA31/资产资本表!BA70</f>
        <v>2.411104587795709E-2</v>
      </c>
      <c r="BB8" s="63">
        <f>股权价值增加表!BB31/资产资本表!BB70</f>
        <v>1.8057064581927497E-4</v>
      </c>
      <c r="BC8" s="63">
        <f>股权价值增加表!BC31/资产资本表!BC70</f>
        <v>9.242257451449824E-3</v>
      </c>
      <c r="BD8" s="63">
        <f>股权价值增加表!BD31/资产资本表!BD70</f>
        <v>1.2436742584640923E-2</v>
      </c>
      <c r="BE8" s="63">
        <f>股权价值增加表!BE31/资产资本表!BE70</f>
        <v>7.2050920503926794E-3</v>
      </c>
      <c r="BF8" s="63">
        <f>股权价值增加表!BF31/资产资本表!BF70</f>
        <v>-2.5760232243702565E-3</v>
      </c>
      <c r="BG8" s="63">
        <f>股权价值增加表!BG31/资产资本表!BG70</f>
        <v>6.6823049050428957E-3</v>
      </c>
      <c r="BH8" s="63">
        <f>股权价值增加表!BH31/资产资本表!BH70</f>
        <v>5.8420077750027805E-3</v>
      </c>
      <c r="BI8" s="63">
        <f>股权价值增加表!BI31/资产资本表!BI70</f>
        <v>5.1521631483002336E-3</v>
      </c>
      <c r="BJ8" s="63">
        <f>股权价值增加表!BJ31/资产资本表!BJ70</f>
        <v>-5.0716868794490909E-2</v>
      </c>
      <c r="BK8" s="63">
        <f>股权价值增加表!BK31/资产资本表!BK70</f>
        <v>-3.431848421039476E-2</v>
      </c>
      <c r="BL8" s="63">
        <f>股权价值增加表!BL31/资产资本表!BL70</f>
        <v>-1.730287457215765E-2</v>
      </c>
      <c r="BM8" s="63">
        <f>股权价值增加表!BM31/资产资本表!BM70</f>
        <v>-2.6613518072270983E-3</v>
      </c>
      <c r="BN8" s="63">
        <f>股权价值增加表!BN31/资产资本表!BN70</f>
        <v>-9.1886598185280263E-2</v>
      </c>
      <c r="BO8" s="63">
        <f>股权价值增加表!BO31/资产资本表!BO70</f>
        <v>-1.9952134684764325E-2</v>
      </c>
      <c r="BP8" s="63">
        <f>股权价值增加表!BP31/资产资本表!BP70</f>
        <v>-4.022496581516136E-3</v>
      </c>
      <c r="BQ8" s="63">
        <f>股权价值增加表!BQ31/资产资本表!BQ70</f>
        <v>3.4038491512943122E-3</v>
      </c>
      <c r="BR8" s="63">
        <f>股权价值增加表!BR31/资产资本表!BR70</f>
        <v>-2.7424367653007188E-2</v>
      </c>
      <c r="BS8" s="63">
        <f>股权价值增加表!BS31/资产资本表!BS70</f>
        <v>1.1831403885908313E-2</v>
      </c>
      <c r="BT8" s="63">
        <f>股权价值增加表!BT31/资产资本表!BT70</f>
        <v>3.1314009499927992E-2</v>
      </c>
      <c r="BU8" s="63">
        <f>股权价值增加表!BU31/资产资本表!BU70</f>
        <v>1.7055154660853233E-2</v>
      </c>
      <c r="BV8" s="63">
        <f>股权价值增加表!BV31/资产资本表!BV70</f>
        <v>2.3020746047283182E-2</v>
      </c>
      <c r="BW8" s="63">
        <f>股权价值增加表!BW31/资产资本表!BW70</f>
        <v>2.4515918682132674E-2</v>
      </c>
      <c r="BX8" s="63">
        <f>股权价值增加表!BX31/资产资本表!BX70</f>
        <v>4.6406073118687281E-2</v>
      </c>
      <c r="BY8" s="63">
        <f>股权价值增加表!BY31/资产资本表!BY70</f>
        <v>2.7987580474364195E-2</v>
      </c>
      <c r="BZ8" s="63">
        <f>股权价值增加表!BZ31/资产资本表!BZ70</f>
        <v>7.2116503451503527E-2</v>
      </c>
      <c r="CA8" s="63">
        <f>股权价值增加表!CA31/资产资本表!CA70</f>
        <v>4.8970223626639796E-2</v>
      </c>
      <c r="CB8" s="63">
        <f>股权价值增加表!CB31/资产资本表!CB70</f>
        <v>7.4218547599540816E-2</v>
      </c>
      <c r="CC8" s="63">
        <f>股权价值增加表!CC31/资产资本表!CC70</f>
        <v>5.5664438336493899E-2</v>
      </c>
      <c r="CD8" s="63">
        <f>股权价值增加表!CD31/资产资本表!CD70</f>
        <v>9.6521970678541624E-2</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7" customFormat="1">
      <c r="A9" s="157" t="s">
        <v>432</v>
      </c>
      <c r="E9" s="157">
        <f>股权价值增加表!E38/股权价值增加表!E31</f>
        <v>3.4175616978571245E-3</v>
      </c>
      <c r="F9" s="157">
        <f>股权价值增加表!F38/股权价值增加表!F31</f>
        <v>0.73342612405737162</v>
      </c>
      <c r="G9" s="157">
        <f>股权价值增加表!G38/股权价值增加表!G31</f>
        <v>0.73853852035673184</v>
      </c>
      <c r="H9" s="157">
        <f>股权价值增加表!H38/股权价值增加表!H31</f>
        <v>0.75750371768301494</v>
      </c>
      <c r="I9" s="157">
        <f>股权价值增加表!I38/股权价值增加表!I31</f>
        <v>0.35163692401021007</v>
      </c>
      <c r="J9" s="157">
        <f>股权价值增加表!J38/股权价值增加表!J31</f>
        <v>0.8497077774300299</v>
      </c>
      <c r="K9" s="157">
        <f>股权价值增加表!K38/股权价值增加表!K31</f>
        <v>0.8589577434385568</v>
      </c>
      <c r="L9" s="157">
        <f>股权价值增加表!L38/股权价值增加表!L31</f>
        <v>0.85979314056173117</v>
      </c>
      <c r="M9" s="157">
        <f>股权价值增加表!M38/股权价值增加表!M31</f>
        <v>0.43170420139684201</v>
      </c>
      <c r="N9" s="157">
        <f>股权价值增加表!N38/股权价值增加表!N31</f>
        <v>0.94352171928373685</v>
      </c>
      <c r="O9" s="157">
        <f>股权价值增加表!O38/股权价值增加表!O31</f>
        <v>0.93827194049758245</v>
      </c>
      <c r="P9" s="157">
        <f>股权价值增加表!P38/股权价值增加表!P31</f>
        <v>0.96992714220615317</v>
      </c>
      <c r="Q9" s="157">
        <f>股权价值增加表!Q38/股权价值增加表!Q31</f>
        <v>0.54677079600115097</v>
      </c>
      <c r="R9" s="157">
        <f>股权价值增加表!R38/股权价值增加表!R31</f>
        <v>1.0205797022876482</v>
      </c>
      <c r="S9" s="157">
        <f>股权价值增加表!S38/股权价值增加表!S31</f>
        <v>1.0218937145862366</v>
      </c>
      <c r="T9" s="157">
        <f>股权价值增加表!T38/股权价值增加表!T31</f>
        <v>1.0467962314043242</v>
      </c>
      <c r="U9" s="157">
        <f>股权价值增加表!U38/股权价值增加表!U31</f>
        <v>0.30701688155806139</v>
      </c>
      <c r="V9" s="157">
        <f>股权价值增加表!V38/股权价值增加表!V31</f>
        <v>1.0475075104537395</v>
      </c>
      <c r="W9" s="157">
        <f>股权价值增加表!W38/股权价值增加表!W31</f>
        <v>1.0206434394082793</v>
      </c>
      <c r="X9" s="157">
        <f>股权价值增加表!X38/股权价值增加表!X31</f>
        <v>1.0332100105454616</v>
      </c>
      <c r="Y9" s="157">
        <f>股权价值增加表!Y38/股权价值增加表!Y31</f>
        <v>0.62076601837513357</v>
      </c>
      <c r="Z9" s="157">
        <f>股权价值增加表!Z38/股权价值增加表!Z31</f>
        <v>0.9554855832015714</v>
      </c>
      <c r="AA9" s="157">
        <f>股权价值增加表!AA38/股权价值增加表!AA31</f>
        <v>0.95530362812216996</v>
      </c>
      <c r="AB9" s="157">
        <f>股权价值增加表!AB38/股权价值增加表!AB31</f>
        <v>0.96253101302827959</v>
      </c>
      <c r="AC9" s="157">
        <f>股权价值增加表!AC38/股权价值增加表!AC31</f>
        <v>5.4589526448073029E-2</v>
      </c>
      <c r="AD9" s="157">
        <f>股权价值增加表!AD38/股权价值增加表!AD31</f>
        <v>0.92141373645575286</v>
      </c>
      <c r="AE9" s="157">
        <f>股权价值增加表!AE38/股权价值增加表!AE31</f>
        <v>0.91401645150420141</v>
      </c>
      <c r="AF9" s="157">
        <f>股权价值增加表!AF38/股权价值增加表!AF31</f>
        <v>0.9164040606525049</v>
      </c>
      <c r="AG9" s="157">
        <f>股权价值增加表!AG38/股权价值增加表!AG31</f>
        <v>5.6474875922356553E-2</v>
      </c>
      <c r="AH9" s="157">
        <f>股权价值增加表!AH38/股权价值增加表!AH31</f>
        <v>0.23082731954491123</v>
      </c>
      <c r="AI9" s="157">
        <f>股权价值增加表!AI38/股权价值增加表!AI31</f>
        <v>0.83412249266334104</v>
      </c>
      <c r="AJ9" s="157">
        <f>股权价值增加表!AJ38/股权价值增加表!AJ31</f>
        <v>0.70856378286326438</v>
      </c>
      <c r="AK9" s="157">
        <f>股权价值增加表!AK38/股权价值增加表!AK31</f>
        <v>0.69683220496195009</v>
      </c>
      <c r="AL9" s="157">
        <f>股权价值增加表!AL38/股权价值增加表!AL31</f>
        <v>0.79475701852468672</v>
      </c>
      <c r="AM9" s="157">
        <f>股权价值增加表!AM38/股权价值增加表!AM31</f>
        <v>0.69670877602266235</v>
      </c>
      <c r="AN9" s="157">
        <f>股权价值增加表!AN38/股权价值增加表!AN31</f>
        <v>0.66557675240939795</v>
      </c>
      <c r="AO9" s="157">
        <f>股权价值增加表!AO38/股权价值增加表!AO31</f>
        <v>-0.23820171516951372</v>
      </c>
      <c r="AP9" s="157">
        <f>股权价值增加表!AP38/股权价值增加表!AP31</f>
        <v>0.54856953930221775</v>
      </c>
      <c r="AQ9" s="157">
        <f>股权价值增加表!AQ38/股权价值增加表!AQ31</f>
        <v>0.53645392905236455</v>
      </c>
      <c r="AR9" s="157">
        <f>股权价值增加表!AR38/股权价值增加表!AR31</f>
        <v>0.59907225249777585</v>
      </c>
      <c r="AS9" s="157">
        <f>股权价值增加表!AS38/股权价值增加表!AS31</f>
        <v>-0.56803392048393231</v>
      </c>
      <c r="AT9" s="157">
        <f>股权价值增加表!AT38/股权价值增加表!AT31</f>
        <v>0.48142538580359695</v>
      </c>
      <c r="AU9" s="157">
        <f>股权价值增加表!AU38/股权价值增加表!AU31</f>
        <v>0.25676671963042214</v>
      </c>
      <c r="AV9" s="157">
        <f>股权价值增加表!AV38/股权价值增加表!AV31</f>
        <v>-0.51756036901805758</v>
      </c>
      <c r="AW9" s="157">
        <f>股权价值增加表!AW38/股权价值增加表!AW31</f>
        <v>-1.5319459176958579</v>
      </c>
      <c r="AX9" s="157">
        <f>股权价值增加表!AX38/股权价值增加表!AX31</f>
        <v>0.28601197162239744</v>
      </c>
      <c r="AY9" s="157">
        <f>股权价值增加表!AY38/股权价值增加表!AY31</f>
        <v>0.38722780515600635</v>
      </c>
      <c r="AZ9" s="157">
        <f>股权价值增加表!AZ38/股权价值增加表!AZ31</f>
        <v>0.48612253609293393</v>
      </c>
      <c r="BA9" s="157">
        <f>股权价值增加表!BA38/股权价值增加表!BA31</f>
        <v>-9.8923501935763297E-2</v>
      </c>
      <c r="BB9" s="157">
        <f>股权价值增加表!BB38/股权价值增加表!BB31</f>
        <v>-201.20114510051204</v>
      </c>
      <c r="BC9" s="157">
        <f>股权价值增加表!BC38/股权价值增加表!BC31</f>
        <v>-1.8432070687117921</v>
      </c>
      <c r="BD9" s="157">
        <f>股权价值增加表!BD38/股权价值增加表!BD31</f>
        <v>-0.52843382302656738</v>
      </c>
      <c r="BE9" s="157">
        <f>股权价值增加表!BE38/股权价值增加表!BE31</f>
        <v>-0.23990536033821439</v>
      </c>
      <c r="BF9" s="157">
        <f>股权价值增加表!BF38/股权价值增加表!BF31</f>
        <v>24.205423324709763</v>
      </c>
      <c r="BG9" s="157">
        <f>股权价值增加表!BG38/股权价值增加表!BG31</f>
        <v>-3.246856073884941</v>
      </c>
      <c r="BH9" s="157">
        <f>股权价值增加表!BH38/股权价值增加表!BH31</f>
        <v>-2.3166489247361182</v>
      </c>
      <c r="BI9" s="157">
        <f>股权价值增加表!BI38/股权价值增加表!BI31</f>
        <v>-0.94198271163493752</v>
      </c>
      <c r="BJ9" s="157">
        <f>股权价值增加表!BJ38/股权价值增加表!BJ31</f>
        <v>1.8471267564719556</v>
      </c>
      <c r="BK9" s="157">
        <f>股权价值增加表!BK38/股权价值增加表!BK31</f>
        <v>1.98070492946156</v>
      </c>
      <c r="BL9" s="157">
        <f>股权价值增加表!BL38/股权价值增加表!BL31</f>
        <v>2.297421710134957</v>
      </c>
      <c r="BM9" s="157">
        <f>股权价值增加表!BM38/股权价值增加表!BM31</f>
        <v>5.788474462131088</v>
      </c>
      <c r="BN9" s="157">
        <f>股权价值增加表!BN38/股权价值增加表!BN31</f>
        <v>1.4318702210325396</v>
      </c>
      <c r="BO9" s="157">
        <f>股权价值增加表!BO38/股权价值增加表!BO31</f>
        <v>2.0993251883813859</v>
      </c>
      <c r="BP9" s="157">
        <f>股权价值增加表!BP38/股权价值增加表!BP31</f>
        <v>5.2472919507471847</v>
      </c>
      <c r="BQ9" s="157">
        <f>股权价值增加表!BQ38/股权价值增加表!BQ31</f>
        <v>-1.2599047458758268</v>
      </c>
      <c r="BR9" s="157">
        <f>股权价值增加表!BR38/股权价值增加表!BR31</f>
        <v>2.1454025460399619</v>
      </c>
      <c r="BS9" s="157">
        <f>股权价值增加表!BS38/股权价值增加表!BS31</f>
        <v>-0.393488688749771</v>
      </c>
      <c r="BT9" s="157">
        <f>股权价值增加表!BT38/股权价值增加表!BT31</f>
        <v>7.4435934872387532E-2</v>
      </c>
      <c r="BU9" s="157">
        <f>股权价值增加表!BU38/股权价值增加表!BU31</f>
        <v>3.0002521728143383E-2</v>
      </c>
      <c r="BV9" s="157">
        <f>股权价值增加表!BV38/股权价值增加表!BV31</f>
        <v>2.3630778419276653E-2</v>
      </c>
      <c r="BW9" s="157">
        <f>股权价值增加表!BW38/股权价值增加表!BW31</f>
        <v>0.31742885854532882</v>
      </c>
      <c r="BX9" s="157">
        <f>股权价值增加表!BX38/股权价值增加表!BX31</f>
        <v>0.18327997742712579</v>
      </c>
      <c r="BY9" s="157">
        <f>股权价值增加表!BY38/股权价值增加表!BY31</f>
        <v>0.34870474980843152</v>
      </c>
      <c r="BZ9" s="157">
        <f>股权价值增加表!BZ38/股权价值增加表!BZ31</f>
        <v>0.65071373355857554</v>
      </c>
      <c r="CA9" s="157">
        <f>股权价值增加表!CA38/股权价值增加表!CA31</f>
        <v>0.61791630466771486</v>
      </c>
      <c r="CB9" s="157">
        <f>股权价值增加表!CB38/股权价值增加表!CB31</f>
        <v>0.70803985671504688</v>
      </c>
      <c r="CC9" s="157">
        <f>股权价值增加表!CC38/股权价值增加表!CC31</f>
        <v>0.74008000309911504</v>
      </c>
      <c r="CD9" s="157">
        <f>股权价值增加表!CD38/股权价值增加表!CD31</f>
        <v>0.8704432054744663</v>
      </c>
      <c r="CE9" s="157" t="e">
        <f>股权价值增加表!CE38/股权价值增加表!CE31</f>
        <v>#DIV/0!</v>
      </c>
      <c r="CF9" s="157" t="e">
        <f>股权价值增加表!CF38/股权价值增加表!CF31</f>
        <v>#DIV/0!</v>
      </c>
      <c r="CG9" s="157" t="e">
        <f>股权价值增加表!CG38/股权价值增加表!CG31</f>
        <v>#DIV/0!</v>
      </c>
      <c r="CH9" s="157" t="e">
        <f>股权价值增加表!CH38/股权价值增加表!CH31</f>
        <v>#DIV/0!</v>
      </c>
      <c r="CI9" s="157" t="e">
        <f>股权价值增加表!CI38/股权价值增加表!CI31</f>
        <v>#DIV/0!</v>
      </c>
      <c r="CJ9" s="157" t="e">
        <f>股权价值增加表!CJ38/股权价值增加表!CJ31</f>
        <v>#DIV/0!</v>
      </c>
    </row>
    <row r="10" spans="1:89" s="61" customFormat="1">
      <c r="A10" s="242" t="s">
        <v>433</v>
      </c>
      <c r="E10" s="61">
        <f>资产资本表!E70/资产资本表!E107</f>
        <v>1.8245205538558233</v>
      </c>
      <c r="F10" s="61">
        <f>资产资本表!F70/资产资本表!F107</f>
        <v>1.8092578024959027</v>
      </c>
      <c r="G10" s="61">
        <f>资产资本表!G70/资产资本表!G107</f>
        <v>1.8534909353964597</v>
      </c>
      <c r="H10" s="61">
        <f>资产资本表!H70/资产资本表!H107</f>
        <v>1.8792671716052269</v>
      </c>
      <c r="I10" s="61">
        <f>资产资本表!I70/资产资本表!I107</f>
        <v>1.3060489814056071</v>
      </c>
      <c r="J10" s="61">
        <f>资产资本表!J70/资产资本表!J107</f>
        <v>1.3102809007705534</v>
      </c>
      <c r="K10" s="61">
        <f>资产资本表!K70/资产资本表!K107</f>
        <v>1.2432096354385256</v>
      </c>
      <c r="L10" s="61">
        <f>资产资本表!L70/资产资本表!L107</f>
        <v>1.3295007221209205</v>
      </c>
      <c r="M10" s="61">
        <f>资产资本表!M70/资产资本表!M107</f>
        <v>1.3340096983221876</v>
      </c>
      <c r="N10" s="61">
        <f>资产资本表!N70/资产资本表!N107</f>
        <v>1.2983531618543356</v>
      </c>
      <c r="O10" s="61">
        <f>资产资本表!O70/资产资本表!O107</f>
        <v>1.2574661918894279</v>
      </c>
      <c r="P10" s="61">
        <f>资产资本表!P70/资产资本表!P107</f>
        <v>1.3503870870688244</v>
      </c>
      <c r="Q10" s="61">
        <f>资产资本表!Q70/资产资本表!Q107</f>
        <v>1.180248867258572</v>
      </c>
      <c r="R10" s="61">
        <f>资产资本表!R70/资产资本表!R107</f>
        <v>1.1852568203610108</v>
      </c>
      <c r="S10" s="61">
        <f>资产资本表!S70/资产资本表!S107</f>
        <v>1.1879667063691002</v>
      </c>
      <c r="T10" s="61">
        <f>资产资本表!T70/资产资本表!T107</f>
        <v>1.0963007400518525</v>
      </c>
      <c r="U10" s="61">
        <f>资产资本表!U70/资产资本表!U107</f>
        <v>1.0001908328636047</v>
      </c>
      <c r="V10" s="61">
        <f>资产资本表!V70/资产资本表!V107</f>
        <v>1.0001970743445128</v>
      </c>
      <c r="W10" s="61">
        <f>资产资本表!W70/资产资本表!W107</f>
        <v>1.0002126522240624</v>
      </c>
      <c r="X10" s="61">
        <f>资产资本表!X70/资产资本表!X107</f>
        <v>1.0002175911618907</v>
      </c>
      <c r="Y10" s="61">
        <f>资产资本表!Y70/资产资本表!Y107</f>
        <v>1.000122042108895</v>
      </c>
      <c r="Z10" s="61">
        <f>资产资本表!Z70/资产资本表!Z107</f>
        <v>1.1055994547564212</v>
      </c>
      <c r="AA10" s="61">
        <f>资产资本表!AA70/资产资本表!AA107</f>
        <v>1.1183569628520851</v>
      </c>
      <c r="AB10" s="61">
        <f>资产资本表!AB70/资产资本表!AB107</f>
        <v>1.1105661504017832</v>
      </c>
      <c r="AC10" s="61">
        <f>资产资本表!AC70/资产资本表!AC107</f>
        <v>1.113055189104089</v>
      </c>
      <c r="AD10" s="61">
        <f>资产资本表!AD70/资产资本表!AD107</f>
        <v>1.120737374466537</v>
      </c>
      <c r="AE10" s="61">
        <f>资产资本表!AE70/资产资本表!AE107</f>
        <v>1.1227232049647644</v>
      </c>
      <c r="AF10" s="61">
        <f>资产资本表!AF70/资产资本表!AF107</f>
        <v>1.1262078974161385</v>
      </c>
      <c r="AG10" s="61">
        <f>资产资本表!AG70/资产资本表!AG107</f>
        <v>1.1283635633348419</v>
      </c>
      <c r="AH10" s="61">
        <f>资产资本表!AH70/资产资本表!AH107</f>
        <v>1.27186295255176</v>
      </c>
      <c r="AI10" s="61">
        <f>资产资本表!AI70/资产资本表!AI107</f>
        <v>1.279658157508534</v>
      </c>
      <c r="AJ10" s="61">
        <f>资产资本表!AJ70/资产资本表!AJ107</f>
        <v>1.2345056103249354</v>
      </c>
      <c r="AK10" s="61">
        <f>资产资本表!AK70/资产资本表!AK107</f>
        <v>1.2261305286304049</v>
      </c>
      <c r="AL10" s="61">
        <f>资产资本表!AL70/资产资本表!AL107</f>
        <v>1.4259589641984385</v>
      </c>
      <c r="AM10" s="61">
        <f>资产资本表!AM70/资产资本表!AM107</f>
        <v>1.6349128353175981</v>
      </c>
      <c r="AN10" s="61">
        <f>资产资本表!AN70/资产资本表!AN107</f>
        <v>1.517538134075697</v>
      </c>
      <c r="AO10" s="61">
        <f>资产资本表!AO70/资产资本表!AO107</f>
        <v>1.7085000340482575</v>
      </c>
      <c r="AP10" s="61">
        <f>资产资本表!AP70/资产资本表!AP107</f>
        <v>1.6999389521940453</v>
      </c>
      <c r="AQ10" s="61">
        <f>资产资本表!AQ70/资产资本表!AQ107</f>
        <v>1.7062925264637667</v>
      </c>
      <c r="AR10" s="61">
        <f>资产资本表!AR70/资产资本表!AR107</f>
        <v>1.7952413862861634</v>
      </c>
      <c r="AS10" s="61">
        <f>资产资本表!AS70/资产资本表!AS107</f>
        <v>1.9453238588858142</v>
      </c>
      <c r="AT10" s="61">
        <f>资产资本表!AT70/资产资本表!AT107</f>
        <v>1.7669626576571882</v>
      </c>
      <c r="AU10" s="61">
        <f>资产资本表!AU70/资产资本表!AU107</f>
        <v>1.9847562912727403</v>
      </c>
      <c r="AV10" s="61">
        <f>资产资本表!AV70/资产资本表!AV107</f>
        <v>2.0364051524110982</v>
      </c>
      <c r="AW10" s="61">
        <f>资产资本表!AW70/资产资本表!AW107</f>
        <v>1.8911291079895107</v>
      </c>
      <c r="AX10" s="61">
        <f>资产资本表!AX70/资产资本表!AX107</f>
        <v>1.9388684832033107</v>
      </c>
      <c r="AY10" s="61">
        <f>资产资本表!AY70/资产资本表!AY107</f>
        <v>1.9555817727690217</v>
      </c>
      <c r="AZ10" s="61">
        <f>资产资本表!AZ70/资产资本表!AZ107</f>
        <v>2.0354764536438066</v>
      </c>
      <c r="BA10" s="61">
        <f>资产资本表!BA70/资产资本表!BA107</f>
        <v>2.1990489149141839</v>
      </c>
      <c r="BB10" s="61">
        <f>资产资本表!BB70/资产资本表!BB107</f>
        <v>2.2442807157776659</v>
      </c>
      <c r="BC10" s="61">
        <f>资产资本表!BC70/资产资本表!BC107</f>
        <v>2.2171144656724402</v>
      </c>
      <c r="BD10" s="61">
        <f>资产资本表!BD70/资产资本表!BD107</f>
        <v>2.2706660297958443</v>
      </c>
      <c r="BE10" s="61">
        <f>资产资本表!BE70/资产资本表!BE107</f>
        <v>2.2825585302048088</v>
      </c>
      <c r="BF10" s="61">
        <f>资产资本表!BF70/资产资本表!BF107</f>
        <v>1.6438682995494804</v>
      </c>
      <c r="BG10" s="61">
        <f>资产资本表!BG70/资产资本表!BG107</f>
        <v>2.6082910615914359</v>
      </c>
      <c r="BH10" s="61">
        <f>资产资本表!BH70/资产资本表!BH107</f>
        <v>2.5555045845306728</v>
      </c>
      <c r="BI10" s="61">
        <f>资产资本表!BI70/资产资本表!BI107</f>
        <v>2.6062309275998099</v>
      </c>
      <c r="BJ10" s="61">
        <f>资产资本表!BJ70/资产资本表!BJ107</f>
        <v>2.7342190324750457</v>
      </c>
      <c r="BK10" s="61">
        <f>资产资本表!BK70/资产资本表!BK107</f>
        <v>3.2453288071042499</v>
      </c>
      <c r="BL10" s="61">
        <f>资产资本表!BL70/资产资本表!BL107</f>
        <v>3.0292062686238115</v>
      </c>
      <c r="BM10" s="61">
        <f>资产资本表!BM70/资产资本表!BM107</f>
        <v>2.9676812866619984</v>
      </c>
      <c r="BN10" s="61">
        <f>资产资本表!BN70/资产资本表!BN107</f>
        <v>2.996164277112483</v>
      </c>
      <c r="BO10" s="61">
        <f>资产资本表!BO70/资产资本表!BO107</f>
        <v>3.3146994585117477</v>
      </c>
      <c r="BP10" s="61">
        <f>资产资本表!BP70/资产资本表!BP107</f>
        <v>2.604109627908429</v>
      </c>
      <c r="BQ10" s="61">
        <f>资产资本表!BQ70/资产资本表!BQ107</f>
        <v>2.9274917516425947</v>
      </c>
      <c r="BR10" s="61">
        <f>资产资本表!BR70/资产资本表!BR107</f>
        <v>3.0613710895379533</v>
      </c>
      <c r="BS10" s="61">
        <f>资产资本表!BS70/资产资本表!BS107</f>
        <v>2.221255281325496</v>
      </c>
      <c r="BT10" s="61">
        <f>资产资本表!BT70/资产资本表!BT107</f>
        <v>2.527635391134047</v>
      </c>
      <c r="BU10" s="61">
        <f>资产资本表!BU70/资产资本表!BU107</f>
        <v>2.2468589872766156</v>
      </c>
      <c r="BV10" s="61">
        <f>资产资本表!BV70/资产资本表!BV107</f>
        <v>2.8870736635733905</v>
      </c>
      <c r="BW10" s="61">
        <f>资产资本表!BW70/资产资本表!BW107</f>
        <v>2.1148148380697398</v>
      </c>
      <c r="BX10" s="61">
        <f>资产资本表!BX70/资产资本表!BX107</f>
        <v>2.7718604948556012</v>
      </c>
      <c r="BY10" s="61">
        <f>资产资本表!BY70/资产资本表!BY107</f>
        <v>2.7611759617944185</v>
      </c>
      <c r="BZ10" s="61">
        <f>资产资本表!BZ70/资产资本表!BZ107</f>
        <v>2.7520878793781836</v>
      </c>
      <c r="CA10" s="61">
        <f>资产资本表!CA70/资产资本表!CA107</f>
        <v>2.2670526487452385</v>
      </c>
      <c r="CB10" s="61">
        <f>资产资本表!CB70/资产资本表!CB107</f>
        <v>2.3611280044214333</v>
      </c>
      <c r="CC10" s="61">
        <f>资产资本表!CC70/资产资本表!CC107</f>
        <v>2.1893429705185463</v>
      </c>
      <c r="CD10" s="61">
        <f>资产资本表!CD70/资产资本表!CD107</f>
        <v>2.0754055312241397</v>
      </c>
      <c r="CE10" s="61" t="e">
        <f>资产资本表!CE70/资产资本表!CE107</f>
        <v>#DIV/0!</v>
      </c>
      <c r="CF10" s="61" t="e">
        <f>资产资本表!CF70/资产资本表!CF107</f>
        <v>#DIV/0!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c r="A11" s="20" t="s">
        <v>439</v>
      </c>
      <c r="E11" s="28">
        <f>E9*E10</f>
        <v>6.2354115618107287E-3</v>
      </c>
      <c r="F11" s="28">
        <f t="shared" ref="F11:BQ11" si="2">F9*F10</f>
        <v>1.3269569375051276</v>
      </c>
      <c r="G11" s="28">
        <f t="shared" si="2"/>
        <v>1.3688744529223162</v>
      </c>
      <c r="H11" s="28">
        <f t="shared" si="2"/>
        <v>1.4235518690106039</v>
      </c>
      <c r="I11" s="28">
        <f t="shared" si="2"/>
        <v>0.45925504642813575</v>
      </c>
      <c r="J11" s="28">
        <f t="shared" si="2"/>
        <v>1.1133558720027645</v>
      </c>
      <c r="K11" s="28">
        <f t="shared" si="2"/>
        <v>1.0678645430773468</v>
      </c>
      <c r="L11" s="28">
        <f t="shared" si="2"/>
        <v>1.1430956012514357</v>
      </c>
      <c r="M11" s="28">
        <f t="shared" si="2"/>
        <v>0.57589759146982211</v>
      </c>
      <c r="N11" s="28">
        <f t="shared" si="2"/>
        <v>1.2250244075102785</v>
      </c>
      <c r="O11" s="28">
        <f t="shared" si="2"/>
        <v>1.1798452439741989</v>
      </c>
      <c r="P11" s="28">
        <f t="shared" si="2"/>
        <v>1.3097770882327566</v>
      </c>
      <c r="Q11" s="28">
        <f t="shared" si="2"/>
        <v>0.6453256126304262</v>
      </c>
      <c r="R11" s="28">
        <f t="shared" si="2"/>
        <v>1.2096490528584449</v>
      </c>
      <c r="S11" s="28">
        <f t="shared" si="2"/>
        <v>1.2139757103762967</v>
      </c>
      <c r="T11" s="28">
        <f t="shared" si="2"/>
        <v>1.147603483172051</v>
      </c>
      <c r="U11" s="28">
        <f t="shared" si="2"/>
        <v>0.30707547046874412</v>
      </c>
      <c r="V11" s="28">
        <f t="shared" si="2"/>
        <v>1.0477139473097343</v>
      </c>
      <c r="W11" s="28">
        <f t="shared" si="2"/>
        <v>1.0208604815056441</v>
      </c>
      <c r="X11" s="28">
        <f t="shared" si="2"/>
        <v>1.0334348279121333</v>
      </c>
      <c r="Y11" s="28">
        <f t="shared" si="2"/>
        <v>0.62084177796914641</v>
      </c>
      <c r="Z11" s="28">
        <f t="shared" si="2"/>
        <v>1.0563843398152784</v>
      </c>
      <c r="AA11" s="28">
        <f t="shared" si="2"/>
        <v>1.0683704641482876</v>
      </c>
      <c r="AB11" s="28">
        <f t="shared" si="2"/>
        <v>1.068954361781145</v>
      </c>
      <c r="AC11" s="28">
        <f t="shared" si="2"/>
        <v>6.0761155683762592E-2</v>
      </c>
      <c r="AD11" s="28">
        <f t="shared" si="2"/>
        <v>1.032662811792822</v>
      </c>
      <c r="AE11" s="28">
        <f t="shared" si="2"/>
        <v>1.0261874798233181</v>
      </c>
      <c r="AF11" s="28">
        <f t="shared" si="2"/>
        <v>1.032061490331069</v>
      </c>
      <c r="AG11" s="28">
        <f t="shared" si="2"/>
        <v>6.3724192234643304E-2</v>
      </c>
      <c r="AH11" s="28">
        <f t="shared" si="2"/>
        <v>0.29358071616599934</v>
      </c>
      <c r="AI11" s="28">
        <f t="shared" si="2"/>
        <v>1.0673916520979967</v>
      </c>
      <c r="AJ11" s="28">
        <f t="shared" si="2"/>
        <v>0.87472596521775925</v>
      </c>
      <c r="AK11" s="28">
        <f t="shared" si="2"/>
        <v>0.85440723983668654</v>
      </c>
      <c r="AL11" s="28">
        <f t="shared" si="2"/>
        <v>1.1332908949249014</v>
      </c>
      <c r="AM11" s="28">
        <f t="shared" si="2"/>
        <v>1.1390581203978642</v>
      </c>
      <c r="AN11" s="28">
        <f t="shared" si="2"/>
        <v>1.0100381029355199</v>
      </c>
      <c r="AO11" s="28">
        <f t="shared" si="2"/>
        <v>-0.40696763847746753</v>
      </c>
      <c r="AP11" s="28">
        <f t="shared" si="2"/>
        <v>0.93253472784698221</v>
      </c>
      <c r="AQ11" s="28">
        <f t="shared" si="2"/>
        <v>0.91534732993417334</v>
      </c>
      <c r="AR11" s="28">
        <f t="shared" si="2"/>
        <v>1.0754793010596817</v>
      </c>
      <c r="AS11" s="28">
        <f t="shared" si="2"/>
        <v>-1.105009938173841</v>
      </c>
      <c r="AT11" s="28">
        <f t="shared" si="2"/>
        <v>0.85066067916316079</v>
      </c>
      <c r="AU11" s="28">
        <f t="shared" si="2"/>
        <v>0.50961936217594417</v>
      </c>
      <c r="AV11" s="28">
        <f t="shared" si="2"/>
        <v>-1.0539626021521618</v>
      </c>
      <c r="AW11" s="28">
        <f t="shared" si="2"/>
        <v>-2.89710751682034</v>
      </c>
      <c r="AX11" s="28">
        <f t="shared" si="2"/>
        <v>0.55453959759750604</v>
      </c>
      <c r="AY11" s="28">
        <f t="shared" si="2"/>
        <v>0.7572556376724402</v>
      </c>
      <c r="AZ11" s="28">
        <f t="shared" si="2"/>
        <v>0.98949097580277856</v>
      </c>
      <c r="BA11" s="28">
        <f t="shared" si="2"/>
        <v>-0.21753761959135146</v>
      </c>
      <c r="BB11" s="28">
        <f t="shared" si="2"/>
        <v>-451.55184994146316</v>
      </c>
      <c r="BC11" s="28">
        <f t="shared" si="2"/>
        <v>-4.0866010552706094</v>
      </c>
      <c r="BD11" s="28">
        <f t="shared" si="2"/>
        <v>-1.1998967309415756</v>
      </c>
      <c r="BE11" s="28">
        <f t="shared" si="2"/>
        <v>-0.54759802668184965</v>
      </c>
      <c r="BF11" s="28">
        <f t="shared" si="2"/>
        <v>39.790528080665972</v>
      </c>
      <c r="BG11" s="28">
        <f t="shared" si="2"/>
        <v>-8.4687456757879538</v>
      </c>
      <c r="BH11" s="28">
        <f t="shared" si="2"/>
        <v>-5.9202069479112032</v>
      </c>
      <c r="BI11" s="28">
        <f t="shared" si="2"/>
        <v>-2.4550244763273072</v>
      </c>
      <c r="BJ11" s="28">
        <f t="shared" si="2"/>
        <v>5.0504491329395194</v>
      </c>
      <c r="BK11" s="28">
        <f t="shared" si="2"/>
        <v>6.4280387659549918</v>
      </c>
      <c r="BL11" s="28">
        <f t="shared" si="2"/>
        <v>6.9593642460132488</v>
      </c>
      <c r="BM11" s="28">
        <f t="shared" si="2"/>
        <v>17.178347339587305</v>
      </c>
      <c r="BN11" s="28">
        <f t="shared" si="2"/>
        <v>4.2901184057188502</v>
      </c>
      <c r="BO11" s="28">
        <f t="shared" si="2"/>
        <v>6.958632065167853</v>
      </c>
      <c r="BP11" s="28">
        <f t="shared" si="2"/>
        <v>13.664523489387145</v>
      </c>
      <c r="BQ11" s="28">
        <f t="shared" si="2"/>
        <v>-3.6883607514068424</v>
      </c>
      <c r="BR11" s="28">
        <f t="shared" ref="BR11:CJ11" si="3">BR9*BR10</f>
        <v>6.5678733298678571</v>
      </c>
      <c r="BS11" s="28">
        <f t="shared" si="3"/>
        <v>-0.87403882802727306</v>
      </c>
      <c r="BT11" s="28">
        <f t="shared" si="3"/>
        <v>0.1881469033555957</v>
      </c>
      <c r="BU11" s="28">
        <f t="shared" si="3"/>
        <v>6.7411435585840895E-2</v>
      </c>
      <c r="BV11" s="28">
        <f t="shared" si="3"/>
        <v>6.8223798024032056E-2</v>
      </c>
      <c r="BW11" s="28">
        <f t="shared" si="3"/>
        <v>0.67130326008320196</v>
      </c>
      <c r="BX11" s="28">
        <f t="shared" si="3"/>
        <v>0.50802652892827627</v>
      </c>
      <c r="BY11" s="28">
        <f t="shared" si="3"/>
        <v>0.96283517293457799</v>
      </c>
      <c r="BZ11" s="28">
        <f t="shared" si="3"/>
        <v>1.7908213790714804</v>
      </c>
      <c r="CA11" s="28">
        <f t="shared" si="3"/>
        <v>1.4008487951998128</v>
      </c>
      <c r="CB11" s="28">
        <f t="shared" si="3"/>
        <v>1.6717727339364363</v>
      </c>
      <c r="CC11" s="28">
        <f t="shared" si="3"/>
        <v>1.6202889524063915</v>
      </c>
      <c r="CD11" s="28">
        <f t="shared" si="3"/>
        <v>1.8065226432581778</v>
      </c>
      <c r="CE11" s="28" t="e">
        <f t="shared" si="3"/>
        <v>#DIV/0!</v>
      </c>
      <c r="CF11" s="28" t="e">
        <f t="shared" si="3"/>
        <v>#DIV/0!</v>
      </c>
      <c r="CG11" s="28" t="e">
        <f t="shared" si="3"/>
        <v>#DIV/0!</v>
      </c>
      <c r="CH11" s="28" t="e">
        <f t="shared" si="3"/>
        <v>#DIV/0!</v>
      </c>
      <c r="CI11" s="28" t="e">
        <f t="shared" si="3"/>
        <v>#DIV/0!</v>
      </c>
      <c r="CJ11" s="28" t="e">
        <f t="shared" si="3"/>
        <v>#DIV/0!</v>
      </c>
    </row>
    <row r="12" spans="1:89" s="157" customFormat="1">
      <c r="A12" s="157" t="s">
        <v>434</v>
      </c>
      <c r="E12" s="157">
        <f>E2/股权价值增加表!E38</f>
        <v>-31.784117890021228</v>
      </c>
      <c r="F12" s="157">
        <f>F2/股权价值增加表!F38</f>
        <v>0.72510299197630834</v>
      </c>
      <c r="G12" s="157">
        <f>G2/股权价值增加表!G38</f>
        <v>0.70493289114974722</v>
      </c>
      <c r="H12" s="157">
        <f>H2/股权价值增加表!H38</f>
        <v>0.70882899201408334</v>
      </c>
      <c r="I12" s="157">
        <f>I2/股权价值增加表!I38</f>
        <v>0.91192115463840751</v>
      </c>
      <c r="J12" s="157">
        <f>J2/股权价值增加表!J38</f>
        <v>0.72313783032371792</v>
      </c>
      <c r="K12" s="157">
        <f>K2/股权价值增加表!K38</f>
        <v>0.73167113668966299</v>
      </c>
      <c r="L12" s="157">
        <f>L2/股权价值增加表!L38</f>
        <v>0.7384900360825768</v>
      </c>
      <c r="M12" s="157">
        <f>M2/股权价值增加表!M38</f>
        <v>0.88259487031533512</v>
      </c>
      <c r="N12" s="157">
        <f>N2/股权价值增加表!N38</f>
        <v>0.74741981734745866</v>
      </c>
      <c r="O12" s="157">
        <f>O2/股权价值增加表!O38</f>
        <v>0.74969472959952643</v>
      </c>
      <c r="P12" s="157">
        <f>P2/股权价值增加表!P38</f>
        <v>0.74723579936740325</v>
      </c>
      <c r="Q12" s="157">
        <f>Q2/股权价值增加表!Q38</f>
        <v>0.73788925526346383</v>
      </c>
      <c r="R12" s="157">
        <f>R2/股权价值增加表!R38</f>
        <v>0.74887218057618421</v>
      </c>
      <c r="S12" s="157">
        <f>S2/股权价值增加表!S38</f>
        <v>0.75642240463471333</v>
      </c>
      <c r="T12" s="157">
        <f>T2/股权价值增加表!T38</f>
        <v>0.74489921132668258</v>
      </c>
      <c r="U12" s="157">
        <f>U2/股权价值增加表!U38</f>
        <v>-0.43207892891488497</v>
      </c>
      <c r="V12" s="157">
        <f>V2/股权价值增加表!V38</f>
        <v>0.79267450591936162</v>
      </c>
      <c r="W12" s="157">
        <f>W2/股权价值增加表!W38</f>
        <v>0.78176100043902008</v>
      </c>
      <c r="X12" s="157">
        <f>X2/股权价值增加表!X38</f>
        <v>0.79447558651304095</v>
      </c>
      <c r="Y12" s="157">
        <f>Y2/股权价值增加表!Y38</f>
        <v>0.76870030318953175</v>
      </c>
      <c r="Z12" s="157">
        <f>Z2/股权价值增加表!Z38</f>
        <v>0.74735896576784866</v>
      </c>
      <c r="AA12" s="157">
        <f>AA2/股权价值增加表!AA38</f>
        <v>0.74730536270401404</v>
      </c>
      <c r="AB12" s="157">
        <f>AB2/股权价值增加表!AB38</f>
        <v>0.7474117474591111</v>
      </c>
      <c r="AC12" s="157">
        <f>AC2/股权价值增加表!AC38</f>
        <v>-2.4477104036765631</v>
      </c>
      <c r="AD12" s="157">
        <f>AD2/股权价值增加表!AD38</f>
        <v>0.72629066705815915</v>
      </c>
      <c r="AE12" s="157">
        <f>AE2/股权价值增加表!AE38</f>
        <v>0.74715382886706583</v>
      </c>
      <c r="AF12" s="157">
        <f>AF2/股权价值增加表!AF38</f>
        <v>0.74745089676292187</v>
      </c>
      <c r="AG12" s="157">
        <f>AG2/股权价值增加表!AG38</f>
        <v>-4.0862801341525747</v>
      </c>
      <c r="AH12" s="157">
        <f>AH2/股权价值增加表!AH38</f>
        <v>-2.9330764609418631</v>
      </c>
      <c r="AI12" s="157">
        <f>AI2/股权价值增加表!AI38</f>
        <v>0.78305560798260965</v>
      </c>
      <c r="AJ12" s="157">
        <f>AJ2/股权价值增加表!AJ38</f>
        <v>0.36796008726418722</v>
      </c>
      <c r="AK12" s="157">
        <f>AK2/股权价值增加表!AK38</f>
        <v>0.69085215029097857</v>
      </c>
      <c r="AL12" s="157">
        <f>AL2/股权价值增加表!AL38</f>
        <v>0.84989893842785125</v>
      </c>
      <c r="AM12" s="157">
        <f>AM2/股权价值增加表!AM38</f>
        <v>0.74800460942182978</v>
      </c>
      <c r="AN12" s="157">
        <f>AN2/股权价值增加表!AN38</f>
        <v>0.75702148489204368</v>
      </c>
      <c r="AO12" s="157">
        <f>AO2/股权价值增加表!AO38</f>
        <v>1.5035257821037928</v>
      </c>
      <c r="AP12" s="157">
        <f>AP2/股权价值增加表!AP38</f>
        <v>0.85198691749034849</v>
      </c>
      <c r="AQ12" s="157">
        <f>AQ2/股权价值增加表!AQ38</f>
        <v>0.90790462803390759</v>
      </c>
      <c r="AR12" s="157">
        <f>AR2/股权价值增加表!AR38</f>
        <v>0.93717967972602267</v>
      </c>
      <c r="AS12" s="157">
        <f>AS2/股权价值增加表!AS38</f>
        <v>1.1990567963941103</v>
      </c>
      <c r="AT12" s="157">
        <f>AT2/股权价值增加表!AT38</f>
        <v>0.72353770712835253</v>
      </c>
      <c r="AU12" s="157">
        <f>AU2/股权价值增加表!AU38</f>
        <v>0.66713496256087135</v>
      </c>
      <c r="AV12" s="157">
        <f>AV2/股权价值增加表!AV38</f>
        <v>0.6767716165199108</v>
      </c>
      <c r="AW12" s="157">
        <f>AW2/股权价值增加表!AW38</f>
        <v>1.0816698542535914</v>
      </c>
      <c r="AX12" s="157">
        <f>AX2/股权价值增加表!AX38</f>
        <v>0.70147346315504</v>
      </c>
      <c r="AY12" s="157">
        <f>AY2/股权价值增加表!AY38</f>
        <v>0.99468651766776772</v>
      </c>
      <c r="AZ12" s="157">
        <f>AZ2/股权价值增加表!AZ38</f>
        <v>0.99458559284678849</v>
      </c>
      <c r="BA12" s="157">
        <f>BA2/股权价值增加表!BA38</f>
        <v>1</v>
      </c>
      <c r="BB12" s="157">
        <f>BB2/股权价值增加表!BB38</f>
        <v>1.0024084718542865</v>
      </c>
      <c r="BC12" s="157">
        <f>BC2/股权价值增加表!BC38</f>
        <v>1</v>
      </c>
      <c r="BD12" s="157">
        <f>BD2/股权价值增加表!BD38</f>
        <v>1</v>
      </c>
      <c r="BE12" s="157">
        <f>BE2/股权价值增加表!BE38</f>
        <v>1</v>
      </c>
      <c r="BF12" s="157">
        <f>BF2/股权价值增加表!BF38</f>
        <v>1</v>
      </c>
      <c r="BG12" s="157">
        <f>BG2/股权价值增加表!BG38</f>
        <v>1</v>
      </c>
      <c r="BH12" s="157">
        <f>BH2/股权价值增加表!BH38</f>
        <v>1</v>
      </c>
      <c r="BI12" s="157">
        <f>BI2/股权价值增加表!BI38</f>
        <v>1</v>
      </c>
      <c r="BJ12" s="157">
        <f>BJ2/股权价值增加表!BJ38</f>
        <v>1.0001028812255806</v>
      </c>
      <c r="BK12" s="157">
        <f>BK2/股权价值增加表!BK38</f>
        <v>1.0001360549882616</v>
      </c>
      <c r="BL12" s="157">
        <f>BL2/股权价值增加表!BL38</f>
        <v>1.0002346668191913</v>
      </c>
      <c r="BM12" s="157">
        <f>BM2/股权价值增加表!BM38</f>
        <v>1.0005945976176036</v>
      </c>
      <c r="BN12" s="157">
        <f>BN2/股权价值增加表!BN38</f>
        <v>1.000407498150466</v>
      </c>
      <c r="BO12" s="157">
        <f>BO2/股权价值增加表!BO38</f>
        <v>1</v>
      </c>
      <c r="BP12" s="157">
        <f>BP2/股权价值增加表!BP38</f>
        <v>1.0054231540251777</v>
      </c>
      <c r="BQ12" s="157">
        <f>BQ2/股权价值增加表!BQ38</f>
        <v>1</v>
      </c>
      <c r="BR12" s="157">
        <f>BR2/股权价值增加表!BR38</f>
        <v>1.0002050286051949</v>
      </c>
      <c r="BS12" s="157">
        <f>BS2/股权价值增加表!BS38</f>
        <v>1.6325810144771473</v>
      </c>
      <c r="BT12" s="157">
        <f>BT2/股权价值增加表!BT38</f>
        <v>-3.0559526789574822</v>
      </c>
      <c r="BU12" s="157">
        <f>BU2/股权价值增加表!BU38</f>
        <v>-6.8345481723492352</v>
      </c>
      <c r="BV12" s="157">
        <f>BV2/股权价值增加表!BV38</f>
        <v>-7.7358800193739565</v>
      </c>
      <c r="BW12" s="157">
        <f>BW2/股权价值增加表!BW38</f>
        <v>0.67800106985961828</v>
      </c>
      <c r="BX12" s="157">
        <f>BX2/股权价值增加表!BX38</f>
        <v>-0.15578853497771145</v>
      </c>
      <c r="BY12" s="157">
        <f>BY2/股权价值增加表!BY38</f>
        <v>0.75003510549685137</v>
      </c>
      <c r="BZ12" s="157">
        <f>BZ2/股权价值增加表!BZ38</f>
        <v>0.56381642085279837</v>
      </c>
      <c r="CA12" s="157">
        <f>CA2/股权价值增加表!CA38</f>
        <v>0.57995140403757961</v>
      </c>
      <c r="CB12" s="157">
        <f>CB2/股权价值增加表!CB38</f>
        <v>0.58260833724322914</v>
      </c>
      <c r="CC12" s="157">
        <f>CC2/股权价值增加表!CC38</f>
        <v>0.66916111022902802</v>
      </c>
      <c r="CD12" s="157">
        <f>CD2/股权价值增加表!CD38</f>
        <v>0.66881271915277329</v>
      </c>
      <c r="CE12" s="157" t="e">
        <f>CE2/股权价值增加表!CE38</f>
        <v>#DIV/0!</v>
      </c>
      <c r="CF12" s="157" t="e">
        <f>CF2/股权价值增加表!CF38</f>
        <v>#DIV/0!</v>
      </c>
      <c r="CG12" s="157" t="e">
        <f>CG2/股权价值增加表!CG38</f>
        <v>#DIV/0!</v>
      </c>
      <c r="CH12" s="157" t="e">
        <f>CH2/股权价值增加表!CH38</f>
        <v>#DIV/0!</v>
      </c>
      <c r="CI12" s="157" t="e">
        <f>CI2/股权价值增加表!CI38</f>
        <v>#DIV/0!</v>
      </c>
      <c r="CJ12" s="157" t="e">
        <f>CJ2/股权价值增加表!CJ38</f>
        <v>#DIV/0!</v>
      </c>
    </row>
    <row r="13" spans="1:89" s="63" customFormat="1">
      <c r="A13" s="17" t="s">
        <v>435</v>
      </c>
      <c r="E13" s="63">
        <f>1-E2/股权价值增加表!E38</f>
        <v>32.784117890021228</v>
      </c>
      <c r="F13" s="63">
        <f>1-F2/股权价值增加表!F38</f>
        <v>0.27489700802369166</v>
      </c>
      <c r="G13" s="63">
        <f>1-G2/股权价值增加表!G38</f>
        <v>0.29506710885025278</v>
      </c>
      <c r="H13" s="63">
        <f>1-H2/股权价值增加表!H38</f>
        <v>0.29117100798591666</v>
      </c>
      <c r="I13" s="63">
        <f>1-I2/股权价值增加表!I38</f>
        <v>8.8078845361592495E-2</v>
      </c>
      <c r="J13" s="63">
        <f>1-J2/股权价值增加表!J38</f>
        <v>0.27686216967628208</v>
      </c>
      <c r="K13" s="63">
        <f>1-K2/股权价值增加表!K38</f>
        <v>0.26832886331033701</v>
      </c>
      <c r="L13" s="63">
        <f>1-L2/股权价值增加表!L38</f>
        <v>0.2615099639174232</v>
      </c>
      <c r="M13" s="63">
        <f>1-M2/股权价值增加表!M38</f>
        <v>0.11740512968466488</v>
      </c>
      <c r="N13" s="63">
        <f>1-N2/股权价值增加表!N38</f>
        <v>0.25258018265254134</v>
      </c>
      <c r="O13" s="63">
        <f>1-O2/股权价值增加表!O38</f>
        <v>0.25030527040047357</v>
      </c>
      <c r="P13" s="63">
        <f>1-P2/股权价值增加表!P38</f>
        <v>0.25276420063259675</v>
      </c>
      <c r="Q13" s="63">
        <f>1-Q2/股权价值增加表!Q38</f>
        <v>0.26211074473653617</v>
      </c>
      <c r="R13" s="63">
        <f>1-R2/股权价值增加表!R38</f>
        <v>0.25112781942381579</v>
      </c>
      <c r="S13" s="63">
        <f>1-S2/股权价值增加表!S38</f>
        <v>0.24357759536528667</v>
      </c>
      <c r="T13" s="63">
        <f>1-T2/股权价值增加表!T38</f>
        <v>0.25510078867331742</v>
      </c>
      <c r="U13" s="63">
        <f>1-U2/股权价值增加表!U38</f>
        <v>1.432078928914885</v>
      </c>
      <c r="V13" s="63">
        <f>1-V2/股权价值增加表!V38</f>
        <v>0.20732549408063838</v>
      </c>
      <c r="W13" s="63">
        <f>1-W2/股权价值增加表!W38</f>
        <v>0.21823899956097992</v>
      </c>
      <c r="X13" s="63">
        <f>1-X2/股权价值增加表!X38</f>
        <v>0.20552441348695905</v>
      </c>
      <c r="Y13" s="63">
        <f>1-Y2/股权价值增加表!Y38</f>
        <v>0.23129969681046825</v>
      </c>
      <c r="Z13" s="63">
        <f>1-Z2/股权价值增加表!Z38</f>
        <v>0.25264103423215134</v>
      </c>
      <c r="AA13" s="63">
        <f>1-AA2/股权价值增加表!AA38</f>
        <v>0.25269463729598596</v>
      </c>
      <c r="AB13" s="63">
        <f>1-AB2/股权价值增加表!AB38</f>
        <v>0.2525882525408889</v>
      </c>
      <c r="AC13" s="63">
        <f>1-AC2/股权价值增加表!AC38</f>
        <v>3.4477104036765631</v>
      </c>
      <c r="AD13" s="63">
        <f>1-AD2/股权价值增加表!AD38</f>
        <v>0.27370933294184085</v>
      </c>
      <c r="AE13" s="63">
        <f>1-AE2/股权价值增加表!AE38</f>
        <v>0.25284617113293417</v>
      </c>
      <c r="AF13" s="63">
        <f>1-AF2/股权价值增加表!AF38</f>
        <v>0.25254910323707813</v>
      </c>
      <c r="AG13" s="63">
        <f>1-AG2/股权价值增加表!AG38</f>
        <v>5.0862801341525747</v>
      </c>
      <c r="AH13" s="63">
        <f>1-AH2/股权价值增加表!AH38</f>
        <v>3.9330764609418631</v>
      </c>
      <c r="AI13" s="63">
        <f>1-AI2/股权价值增加表!AI38</f>
        <v>0.21694439201739035</v>
      </c>
      <c r="AJ13" s="63">
        <f>1-AJ2/股权价值增加表!AJ38</f>
        <v>0.63203991273581273</v>
      </c>
      <c r="AK13" s="63">
        <f>1-AK2/股权价值增加表!AK38</f>
        <v>0.30914784970902143</v>
      </c>
      <c r="AL13" s="63">
        <f>1-AL2/股权价值增加表!AL38</f>
        <v>0.15010106157214875</v>
      </c>
      <c r="AM13" s="63">
        <f>1-AM2/股权价值增加表!AM38</f>
        <v>0.25199539057817022</v>
      </c>
      <c r="AN13" s="63">
        <f>1-AN2/股权价值增加表!AN38</f>
        <v>0.24297851510795632</v>
      </c>
      <c r="AO13" s="63">
        <f>1-AO2/股权价值增加表!AO38</f>
        <v>-0.50352578210379284</v>
      </c>
      <c r="AP13" s="63">
        <f>1-AP2/股权价值增加表!AP38</f>
        <v>0.14801308250965151</v>
      </c>
      <c r="AQ13" s="63">
        <f>1-AQ2/股权价值增加表!AQ38</f>
        <v>9.209537196609241E-2</v>
      </c>
      <c r="AR13" s="63">
        <f>1-AR2/股权价值增加表!AR38</f>
        <v>6.2820320273977326E-2</v>
      </c>
      <c r="AS13" s="63">
        <f>1-AS2/股权价值增加表!AS38</f>
        <v>-0.19905679639411034</v>
      </c>
      <c r="AT13" s="63">
        <f>1-AT2/股权价值增加表!AT38</f>
        <v>0.27646229287164747</v>
      </c>
      <c r="AU13" s="63">
        <f>1-AU2/股权价值增加表!AU38</f>
        <v>0.33286503743912865</v>
      </c>
      <c r="AV13" s="63">
        <f>1-AV2/股权价值增加表!AV38</f>
        <v>0.3232283834800892</v>
      </c>
      <c r="AW13" s="63">
        <f>1-AW2/股权价值增加表!AW38</f>
        <v>-8.1669854253591412E-2</v>
      </c>
      <c r="AX13" s="63">
        <f>1-AX2/股权价值增加表!AX38</f>
        <v>0.29852653684496</v>
      </c>
      <c r="AY13" s="63">
        <f>1-AY2/股权价值增加表!AY38</f>
        <v>5.3134823322322777E-3</v>
      </c>
      <c r="AZ13" s="63">
        <f>1-AZ2/股权价值增加表!AZ38</f>
        <v>5.414407153211509E-3</v>
      </c>
      <c r="BA13" s="63">
        <f>1-BA2/股权价值增加表!BA38</f>
        <v>0</v>
      </c>
      <c r="BB13" s="63">
        <f>1-BB2/股权价值增加表!BB38</f>
        <v>-2.408471854286498E-3</v>
      </c>
      <c r="BC13" s="63">
        <f>1-BC2/股权价值增加表!BC38</f>
        <v>0</v>
      </c>
      <c r="BD13" s="63">
        <f>1-BD2/股权价值增加表!BD38</f>
        <v>0</v>
      </c>
      <c r="BE13" s="63">
        <f>1-BE2/股权价值增加表!BE38</f>
        <v>0</v>
      </c>
      <c r="BF13" s="63">
        <f>1-BF2/股权价值增加表!BF38</f>
        <v>0</v>
      </c>
      <c r="BG13" s="63">
        <f>1-BG2/股权价值增加表!BG38</f>
        <v>0</v>
      </c>
      <c r="BH13" s="63">
        <f>1-BH2/股权价值增加表!BH38</f>
        <v>0</v>
      </c>
      <c r="BI13" s="63">
        <f>1-BI2/股权价值增加表!BI38</f>
        <v>0</v>
      </c>
      <c r="BJ13" s="63">
        <f>1-BJ2/股权价值增加表!BJ38</f>
        <v>-1.0288122558055335E-4</v>
      </c>
      <c r="BK13" s="63">
        <f>1-BK2/股权价值增加表!BK38</f>
        <v>-1.3605498826163576E-4</v>
      </c>
      <c r="BL13" s="63">
        <f>1-BL2/股权价值增加表!BL38</f>
        <v>-2.3466681919126486E-4</v>
      </c>
      <c r="BM13" s="63">
        <f>1-BM2/股权价值增加表!BM38</f>
        <v>-5.9459761760360941E-4</v>
      </c>
      <c r="BN13" s="63">
        <f>1-BN2/股权价值增加表!BN38</f>
        <v>-4.0749815046603466E-4</v>
      </c>
      <c r="BO13" s="63">
        <f>1-BO2/股权价值增加表!BO38</f>
        <v>0</v>
      </c>
      <c r="BP13" s="63">
        <f>1-BP2/股权价值增加表!BP38</f>
        <v>-5.4231540251776789E-3</v>
      </c>
      <c r="BQ13" s="63">
        <f>1-BQ2/股权价值增加表!BQ38</f>
        <v>0</v>
      </c>
      <c r="BR13" s="63">
        <f>1-BR2/股权价值增加表!BR38</f>
        <v>-2.0502860519489019E-4</v>
      </c>
      <c r="BS13" s="63">
        <f>1-BS2/股权价值增加表!BS38</f>
        <v>-0.63258101447714732</v>
      </c>
      <c r="BT13" s="63">
        <f>1-BT2/股权价值增加表!BT38</f>
        <v>4.0559526789574818</v>
      </c>
      <c r="BU13" s="63">
        <f>1-BU2/股权价值增加表!BU38</f>
        <v>7.8345481723492352</v>
      </c>
      <c r="BV13" s="63">
        <f>1-BV2/股权价值增加表!BV38</f>
        <v>8.7358800193739565</v>
      </c>
      <c r="BW13" s="63">
        <f>1-BW2/股权价值增加表!BW38</f>
        <v>0.32199893014038172</v>
      </c>
      <c r="BX13" s="63">
        <f>1-BX2/股权价值增加表!BX38</f>
        <v>1.1557885349777115</v>
      </c>
      <c r="BY13" s="63">
        <f>1-BY2/股权价值增加表!BY38</f>
        <v>0.24996489450314863</v>
      </c>
      <c r="BZ13" s="63">
        <f>1-BZ2/股权价值增加表!BZ38</f>
        <v>0.43618357914720163</v>
      </c>
      <c r="CA13" s="63">
        <f>1-CA2/股权价值增加表!CA38</f>
        <v>0.42004859596242039</v>
      </c>
      <c r="CB13" s="63">
        <f>1-CB2/股权价值增加表!CB38</f>
        <v>0.41739166275677086</v>
      </c>
      <c r="CC13" s="63">
        <f>1-CC2/股权价值增加表!CC38</f>
        <v>0.33083888977097198</v>
      </c>
      <c r="CD13" s="63">
        <f>1-CD2/股权价值增加表!CD38</f>
        <v>0.33118728084722671</v>
      </c>
      <c r="CE13" s="63" t="e">
        <f>1-CE2/股权价值增加表!CE38</f>
        <v>#DIV/0!</v>
      </c>
      <c r="CF13" s="63" t="e">
        <f>1-CF2/股权价值增加表!CF38</f>
        <v>#DIV/0!</v>
      </c>
      <c r="CG13" s="63" t="e">
        <f>1-CG2/股权价值增加表!CG38</f>
        <v>#DIV/0!</v>
      </c>
      <c r="CH13" s="63" t="e">
        <f>1-CH2/股权价值增加表!CH38</f>
        <v>#DIV/0!</v>
      </c>
      <c r="CI13" s="63" t="e">
        <f>1-CI2/股权价值增加表!CI38</f>
        <v>#DIV/0!</v>
      </c>
      <c r="CJ13" s="63" t="e">
        <f>1-CJ2/股权价值增加表!CJ38</f>
        <v>#DIV/0!</v>
      </c>
    </row>
    <row r="14" spans="1:89" s="59" customFormat="1">
      <c r="A14" s="145" t="s">
        <v>436</v>
      </c>
      <c r="E14" s="59">
        <f>E6*E7*E9*E10*E12</f>
        <v>-1.2278986582592586E-2</v>
      </c>
      <c r="F14" s="59">
        <f t="shared" ref="F14:BQ14" si="4">F6*F7*F9*F10*F12</f>
        <v>7.7769835677055824E-2</v>
      </c>
      <c r="G14" s="59">
        <f t="shared" si="4"/>
        <v>6.0903589235870394E-2</v>
      </c>
      <c r="H14" s="59">
        <f t="shared" si="4"/>
        <v>4.5832743098804397E-2</v>
      </c>
      <c r="I14" s="59">
        <f t="shared" si="4"/>
        <v>4.9728358749319579E-2</v>
      </c>
      <c r="J14" s="59">
        <f t="shared" si="4"/>
        <v>5.0213838185934445E-2</v>
      </c>
      <c r="K14" s="59">
        <f t="shared" si="4"/>
        <v>4.4146015582269216E-2</v>
      </c>
      <c r="L14" s="59">
        <f t="shared" si="4"/>
        <v>3.2795678929937802E-2</v>
      </c>
      <c r="M14" s="59">
        <f t="shared" si="4"/>
        <v>4.9422778626601688E-2</v>
      </c>
      <c r="N14" s="59">
        <f t="shared" si="4"/>
        <v>7.1535576246591445E-2</v>
      </c>
      <c r="O14" s="59">
        <f t="shared" si="4"/>
        <v>6.5053574373917677E-2</v>
      </c>
      <c r="P14" s="59">
        <f t="shared" si="4"/>
        <v>4.7673017349430108E-2</v>
      </c>
      <c r="Q14" s="59">
        <f t="shared" si="4"/>
        <v>2.5609502988349291E-2</v>
      </c>
      <c r="R14" s="59">
        <f t="shared" si="4"/>
        <v>9.4768310007871462E-2</v>
      </c>
      <c r="S14" s="59">
        <f t="shared" si="4"/>
        <v>8.0787744747607138E-2</v>
      </c>
      <c r="T14" s="59">
        <f t="shared" si="4"/>
        <v>5.6031265352670556E-2</v>
      </c>
      <c r="U14" s="59">
        <f t="shared" si="4"/>
        <v>-3.2082124244917879E-3</v>
      </c>
      <c r="V14" s="59">
        <f t="shared" si="4"/>
        <v>0.10724056723878599</v>
      </c>
      <c r="W14" s="59">
        <f t="shared" si="4"/>
        <v>8.7519230601417031E-2</v>
      </c>
      <c r="X14" s="59">
        <f t="shared" si="4"/>
        <v>6.6326478871372441E-2</v>
      </c>
      <c r="Y14" s="59">
        <f t="shared" si="4"/>
        <v>2.9088708281819597E-2</v>
      </c>
      <c r="Z14" s="59">
        <f t="shared" si="4"/>
        <v>0.12552804464628797</v>
      </c>
      <c r="AA14" s="59">
        <f t="shared" si="4"/>
        <v>0.10479287229690019</v>
      </c>
      <c r="AB14" s="59">
        <f t="shared" si="4"/>
        <v>8.424710803179522E-2</v>
      </c>
      <c r="AC14" s="59">
        <f t="shared" si="4"/>
        <v>-1.5189256090868561E-2</v>
      </c>
      <c r="AD14" s="59">
        <f t="shared" si="4"/>
        <v>0.11306487835723988</v>
      </c>
      <c r="AE14" s="59">
        <f t="shared" si="4"/>
        <v>9.834566710053308E-2</v>
      </c>
      <c r="AF14" s="59">
        <f t="shared" si="4"/>
        <v>7.2743434429819814E-2</v>
      </c>
      <c r="AG14" s="59">
        <f t="shared" si="4"/>
        <v>-1.5312284482166693E-2</v>
      </c>
      <c r="AH14" s="59">
        <f t="shared" si="4"/>
        <v>-2.1923481867172287E-2</v>
      </c>
      <c r="AI14" s="59">
        <f t="shared" si="4"/>
        <v>7.8518828742951935E-2</v>
      </c>
      <c r="AJ14" s="59">
        <f t="shared" si="4"/>
        <v>7.9617742255803387E-3</v>
      </c>
      <c r="AK14" s="59">
        <f t="shared" si="4"/>
        <v>3.5771240997647134E-2</v>
      </c>
      <c r="AL14" s="59">
        <f t="shared" si="4"/>
        <v>0.12195938690273977</v>
      </c>
      <c r="AM14" s="59">
        <f t="shared" si="4"/>
        <v>5.592467912097205E-2</v>
      </c>
      <c r="AN14" s="59">
        <f t="shared" si="4"/>
        <v>3.8451130573157695E-2</v>
      </c>
      <c r="AO14" s="59">
        <f t="shared" si="4"/>
        <v>-2.7601839562239043E-2</v>
      </c>
      <c r="AP14" s="59">
        <f t="shared" si="4"/>
        <v>7.4712965070730872E-2</v>
      </c>
      <c r="AQ14" s="59">
        <f t="shared" si="4"/>
        <v>5.1901431499069617E-2</v>
      </c>
      <c r="AR14" s="59">
        <f t="shared" si="4"/>
        <v>4.7484980251603935E-2</v>
      </c>
      <c r="AS14" s="59">
        <f t="shared" si="4"/>
        <v>-2.7240700386479355E-2</v>
      </c>
      <c r="AT14" s="59">
        <f t="shared" si="4"/>
        <v>3.8697880884767312E-2</v>
      </c>
      <c r="AU14" s="59">
        <f t="shared" si="4"/>
        <v>1.2705784561743903E-2</v>
      </c>
      <c r="AV14" s="59">
        <f t="shared" si="4"/>
        <v>-8.4855460996684003E-3</v>
      </c>
      <c r="AW14" s="59">
        <f t="shared" si="4"/>
        <v>-5.3272179452989905E-2</v>
      </c>
      <c r="AX14" s="59">
        <f t="shared" si="4"/>
        <v>1.8815989467135103E-2</v>
      </c>
      <c r="AY14" s="59">
        <f t="shared" si="4"/>
        <v>3.1888553021560948E-2</v>
      </c>
      <c r="AZ14" s="59">
        <f t="shared" si="4"/>
        <v>3.20291061751855E-2</v>
      </c>
      <c r="BA14" s="59">
        <f t="shared" si="4"/>
        <v>-5.2450595261486514E-3</v>
      </c>
      <c r="BB14" s="59">
        <f t="shared" si="4"/>
        <v>-8.1733388756474512E-2</v>
      </c>
      <c r="BC14" s="59">
        <f t="shared" si="4"/>
        <v>-3.7769419054177508E-2</v>
      </c>
      <c r="BD14" s="59">
        <f t="shared" si="4"/>
        <v>-1.4922806770872528E-2</v>
      </c>
      <c r="BE14" s="59">
        <f t="shared" si="4"/>
        <v>-3.945494188856113E-3</v>
      </c>
      <c r="BF14" s="59">
        <f t="shared" si="4"/>
        <v>-0.10250132444575238</v>
      </c>
      <c r="BG14" s="59">
        <f t="shared" si="4"/>
        <v>-5.6590740768878656E-2</v>
      </c>
      <c r="BH14" s="59">
        <f t="shared" si="4"/>
        <v>-3.4585895019322722E-2</v>
      </c>
      <c r="BI14" s="59">
        <f t="shared" si="4"/>
        <v>-1.2648686635108633E-2</v>
      </c>
      <c r="BJ14" s="59">
        <f t="shared" si="4"/>
        <v>-0.25616931833081286</v>
      </c>
      <c r="BK14" s="59">
        <f t="shared" si="4"/>
        <v>-0.22063056069804982</v>
      </c>
      <c r="BL14" s="59">
        <f t="shared" si="4"/>
        <v>-0.120445264526653</v>
      </c>
      <c r="BM14" s="59">
        <f t="shared" si="4"/>
        <v>-4.5744809328731435E-2</v>
      </c>
      <c r="BN14" s="59">
        <f t="shared" si="4"/>
        <v>-0.39436502367180998</v>
      </c>
      <c r="BO14" s="59">
        <f t="shared" si="4"/>
        <v>-0.13883956418594873</v>
      </c>
      <c r="BP14" s="59">
        <f t="shared" si="4"/>
        <v>-5.526358539138522E-2</v>
      </c>
      <c r="BQ14" s="59">
        <f t="shared" si="4"/>
        <v>-1.2554623613343431E-2</v>
      </c>
      <c r="BR14" s="59">
        <f t="shared" ref="BR14:CJ14" si="5">BR6*BR7*BR9*BR10*BR12</f>
        <v>-0.18015670260248168</v>
      </c>
      <c r="BS14" s="59">
        <f t="shared" si="5"/>
        <v>-1.6882693955054207E-2</v>
      </c>
      <c r="BT14" s="59">
        <f t="shared" si="5"/>
        <v>-1.8004554458385603E-2</v>
      </c>
      <c r="BU14" s="59">
        <f t="shared" si="5"/>
        <v>-7.857765191035454E-3</v>
      </c>
      <c r="BV14" s="59">
        <f t="shared" si="5"/>
        <v>-1.2149684832064836E-2</v>
      </c>
      <c r="BW14" s="59">
        <f t="shared" si="5"/>
        <v>1.1158281347038647E-2</v>
      </c>
      <c r="BX14" s="59">
        <f t="shared" si="5"/>
        <v>-3.672795137569065E-3</v>
      </c>
      <c r="BY14" s="59">
        <f t="shared" si="5"/>
        <v>2.0211516167350851E-2</v>
      </c>
      <c r="BZ14" s="59">
        <f t="shared" si="5"/>
        <v>7.281563691835545E-2</v>
      </c>
      <c r="CA14" s="59">
        <f t="shared" si="5"/>
        <v>3.978459600833472E-2</v>
      </c>
      <c r="CB14" s="59">
        <f t="shared" si="5"/>
        <v>7.2288029124304404E-2</v>
      </c>
      <c r="CC14" s="59">
        <f t="shared" si="5"/>
        <v>6.0353296356354988E-2</v>
      </c>
      <c r="CD14" s="59">
        <f t="shared" si="5"/>
        <v>0.1166202890306248</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c r="A15" s="277" t="s">
        <v>697</v>
      </c>
      <c r="B15" s="276"/>
      <c r="C15" s="276"/>
      <c r="D15" s="276"/>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6"/>
    </row>
    <row r="17" spans="1:89" ht="15" thickBot="1"/>
    <row r="18" spans="1:89" s="249" customFormat="1">
      <c r="A18" s="248" t="s">
        <v>440</v>
      </c>
      <c r="B18" s="1">
        <v>43465</v>
      </c>
      <c r="C18" s="1">
        <v>43373</v>
      </c>
      <c r="D18" s="1">
        <v>43281</v>
      </c>
      <c r="E18" s="1">
        <v>43190</v>
      </c>
      <c r="F18" s="1">
        <v>43100</v>
      </c>
      <c r="G18" s="1">
        <v>43008</v>
      </c>
      <c r="H18" s="1">
        <v>42916</v>
      </c>
      <c r="I18" s="1">
        <v>42825</v>
      </c>
      <c r="J18" s="1">
        <v>42735</v>
      </c>
      <c r="K18" s="1">
        <v>42643</v>
      </c>
      <c r="L18" s="1">
        <v>42551</v>
      </c>
      <c r="M18" s="1">
        <v>42460</v>
      </c>
      <c r="N18" s="1">
        <v>42369</v>
      </c>
      <c r="O18" s="1">
        <v>42277</v>
      </c>
      <c r="P18" s="1">
        <v>42185</v>
      </c>
      <c r="Q18" s="1">
        <v>42094</v>
      </c>
      <c r="R18" s="1">
        <v>42004</v>
      </c>
      <c r="S18" s="1">
        <v>41912</v>
      </c>
      <c r="T18" s="1">
        <v>41820</v>
      </c>
      <c r="U18" s="1">
        <v>41729</v>
      </c>
      <c r="V18" s="1">
        <v>41639</v>
      </c>
      <c r="W18" s="1">
        <v>41547</v>
      </c>
      <c r="X18" s="1">
        <v>41455</v>
      </c>
      <c r="Y18" s="1">
        <v>41364</v>
      </c>
      <c r="Z18" s="1">
        <v>41274</v>
      </c>
      <c r="AA18" s="1">
        <v>41182</v>
      </c>
      <c r="AB18" s="1">
        <v>41090</v>
      </c>
      <c r="AC18" s="1">
        <v>40999</v>
      </c>
      <c r="AD18" s="1">
        <v>40908</v>
      </c>
      <c r="AE18" s="1">
        <v>40816</v>
      </c>
      <c r="AF18" s="1">
        <v>40724</v>
      </c>
      <c r="AG18" s="1">
        <v>40633</v>
      </c>
      <c r="AH18" s="1">
        <v>40543</v>
      </c>
      <c r="AI18" s="1">
        <v>40451</v>
      </c>
      <c r="AJ18" s="1">
        <v>40359</v>
      </c>
      <c r="AK18" s="1">
        <v>40268</v>
      </c>
      <c r="AL18" s="1">
        <v>40178</v>
      </c>
      <c r="AM18" s="1">
        <v>40086</v>
      </c>
      <c r="AN18" s="1">
        <v>39994</v>
      </c>
      <c r="AO18" s="1">
        <v>39903</v>
      </c>
      <c r="AP18" s="1">
        <v>39813</v>
      </c>
      <c r="AQ18" s="1">
        <v>39721</v>
      </c>
      <c r="AR18" s="1">
        <v>39629</v>
      </c>
      <c r="AS18" s="1">
        <v>39538</v>
      </c>
      <c r="AT18" s="1">
        <v>39447</v>
      </c>
      <c r="AU18" s="1">
        <v>39355</v>
      </c>
      <c r="AV18" s="1">
        <v>39263</v>
      </c>
      <c r="AW18" s="1">
        <v>39172</v>
      </c>
      <c r="AX18" s="1">
        <v>39082</v>
      </c>
      <c r="AY18" s="1">
        <v>38990</v>
      </c>
      <c r="AZ18" s="1">
        <v>38898</v>
      </c>
      <c r="BA18" s="1">
        <v>38807</v>
      </c>
      <c r="BB18" s="1">
        <v>38717</v>
      </c>
      <c r="BC18" s="1">
        <v>38625</v>
      </c>
      <c r="BD18" s="1">
        <v>38533</v>
      </c>
      <c r="BE18" s="1">
        <v>38442</v>
      </c>
      <c r="BF18" s="1">
        <v>38352</v>
      </c>
      <c r="BG18" s="1">
        <v>38260</v>
      </c>
      <c r="BH18" s="1">
        <v>38168</v>
      </c>
      <c r="BI18" s="1">
        <v>38077</v>
      </c>
      <c r="BJ18" s="1">
        <v>37986</v>
      </c>
      <c r="BK18" s="1">
        <v>37894</v>
      </c>
      <c r="BL18" s="1">
        <v>37802</v>
      </c>
      <c r="BM18" s="1">
        <v>37711</v>
      </c>
      <c r="BN18" s="1">
        <v>37621</v>
      </c>
      <c r="BO18" s="1">
        <v>37529</v>
      </c>
      <c r="BP18" s="1">
        <v>37437</v>
      </c>
      <c r="BQ18" s="1">
        <v>37346</v>
      </c>
      <c r="BR18" s="1">
        <v>37256</v>
      </c>
      <c r="BS18" s="1">
        <v>37072</v>
      </c>
      <c r="BT18" s="1">
        <v>36891</v>
      </c>
      <c r="BU18" s="1">
        <v>36707</v>
      </c>
      <c r="BV18" s="1">
        <v>36525</v>
      </c>
      <c r="BW18" s="1">
        <v>36341</v>
      </c>
      <c r="BX18" s="1">
        <v>36160</v>
      </c>
      <c r="BY18" s="1">
        <v>35976</v>
      </c>
      <c r="BZ18" s="1">
        <v>35795</v>
      </c>
      <c r="CA18" s="1">
        <v>35611</v>
      </c>
      <c r="CB18" s="1">
        <v>35430</v>
      </c>
      <c r="CC18" s="1">
        <v>35246</v>
      </c>
      <c r="CD18" s="1">
        <v>35064</v>
      </c>
      <c r="CE18" s="1">
        <v>25569</v>
      </c>
      <c r="CF18" s="1"/>
      <c r="CG18" s="1"/>
      <c r="CH18" s="1"/>
      <c r="CI18" s="1"/>
      <c r="CJ18" s="1"/>
      <c r="CK18" s="1"/>
    </row>
    <row r="19" spans="1:89" s="116" customFormat="1">
      <c r="A19" s="158" t="s">
        <v>446</v>
      </c>
      <c r="B19" s="76">
        <v>43373</v>
      </c>
      <c r="C19" s="76">
        <v>43281</v>
      </c>
      <c r="D19" s="76">
        <v>43190</v>
      </c>
      <c r="E19" s="76">
        <f>股权价值增加表!E4</f>
        <v>421474197.36000001</v>
      </c>
      <c r="F19" s="76">
        <f>股权价值增加表!F4</f>
        <v>1366363612.6199999</v>
      </c>
      <c r="G19" s="76">
        <f>股权价值增加表!G4</f>
        <v>1026037642.64</v>
      </c>
      <c r="H19" s="76">
        <f>股权价值增加表!H4</f>
        <v>698379557.87</v>
      </c>
      <c r="I19" s="76">
        <f>股权价值增加表!I4</f>
        <v>284244614.87</v>
      </c>
      <c r="J19" s="76">
        <f>股权价值增加表!J4</f>
        <v>1026535858.9299999</v>
      </c>
      <c r="K19" s="76">
        <f>股权价值增加表!K4</f>
        <v>766151820.29999995</v>
      </c>
      <c r="L19" s="76">
        <f>股权价值增加表!L4</f>
        <v>525882189.83999997</v>
      </c>
      <c r="M19" s="76">
        <f>股权价值增加表!M4</f>
        <v>295249656.20999998</v>
      </c>
      <c r="N19" s="76">
        <f>股权价值增加表!N4</f>
        <v>1120665180.8800001</v>
      </c>
      <c r="O19" s="76">
        <f>股权价值增加表!O4</f>
        <v>857530976.39999998</v>
      </c>
      <c r="P19" s="76">
        <f>股权价值增加表!P4</f>
        <v>593268789.13</v>
      </c>
      <c r="Q19" s="76">
        <f>股权价值增加表!Q4</f>
        <v>335552584.61000001</v>
      </c>
      <c r="R19" s="76">
        <f>股权价值增加表!R4</f>
        <v>1214852555.8099999</v>
      </c>
      <c r="S19" s="76">
        <f>股权价值增加表!S4</f>
        <v>927620999.42999995</v>
      </c>
      <c r="T19" s="76">
        <f>股权价值增加表!T4</f>
        <v>630920696.25999999</v>
      </c>
      <c r="U19" s="76">
        <f>股权价值增加表!U4</f>
        <v>359411030.98000002</v>
      </c>
      <c r="V19" s="76">
        <f>股权价值增加表!V4</f>
        <v>1428005507.79</v>
      </c>
      <c r="W19" s="76">
        <f>股权价值增加表!W4</f>
        <v>1090244284</v>
      </c>
      <c r="X19" s="76">
        <f>股权价值增加表!X4</f>
        <v>753590720.29999995</v>
      </c>
      <c r="Y19" s="76">
        <f>股权价值增加表!Y4</f>
        <v>407134157.54000002</v>
      </c>
      <c r="Z19" s="76">
        <f>股权价值增加表!Z4</f>
        <v>1320057528.8499999</v>
      </c>
      <c r="AA19" s="76">
        <f>股权价值增加表!AA4</f>
        <v>999698057.85000002</v>
      </c>
      <c r="AB19" s="76">
        <f>股权价值增加表!AB4</f>
        <v>696223866.28999996</v>
      </c>
      <c r="AC19" s="76">
        <f>股权价值增加表!AC4</f>
        <v>397167146.08999997</v>
      </c>
      <c r="AD19" s="76">
        <f>股权价值增加表!AD4</f>
        <v>1188181022.1600001</v>
      </c>
      <c r="AE19" s="76">
        <f>股权价值增加表!AE4</f>
        <v>881523761.17999995</v>
      </c>
      <c r="AF19" s="76">
        <f>股权价值增加表!AF4</f>
        <v>619936758.73000002</v>
      </c>
      <c r="AG19" s="76">
        <f>股权价值增加表!AG4</f>
        <v>360707870.79000002</v>
      </c>
      <c r="AH19" s="76">
        <f>股权价值增加表!AH4</f>
        <v>920899447.85000002</v>
      </c>
      <c r="AI19" s="76">
        <f>股权价值增加表!AI4</f>
        <v>652183381.96000004</v>
      </c>
      <c r="AJ19" s="76">
        <f>股权价值增加表!AJ4</f>
        <v>437443143.19</v>
      </c>
      <c r="AK19" s="76">
        <f>股权价值增加表!AK4</f>
        <v>250700453.44</v>
      </c>
      <c r="AL19" s="76">
        <f>股权价值增加表!AL4</f>
        <v>729118833.46000004</v>
      </c>
      <c r="AM19" s="76">
        <f>股权价值增加表!AM4</f>
        <v>531954310.14999998</v>
      </c>
      <c r="AN19" s="76">
        <f>股权价值增加表!AN4</f>
        <v>364490143.06999999</v>
      </c>
      <c r="AO19" s="76">
        <f>股权价值增加表!AO4</f>
        <v>208744716.30000001</v>
      </c>
      <c r="AP19" s="76">
        <f>股权价值增加表!AP4</f>
        <v>622896991.75999999</v>
      </c>
      <c r="AQ19" s="76">
        <f>股权价值增加表!AQ4</f>
        <v>458272083.85000002</v>
      </c>
      <c r="AR19" s="76">
        <f>股权价值增加表!AR4</f>
        <v>312351104.93000001</v>
      </c>
      <c r="AS19" s="76">
        <f>股权价值增加表!AS4</f>
        <v>187257445.02000001</v>
      </c>
      <c r="AT19" s="76">
        <f>股权价值增加表!AT4</f>
        <v>547411619.92999995</v>
      </c>
      <c r="AU19" s="76">
        <f>股权价值增加表!AU4</f>
        <v>398835936.57999998</v>
      </c>
      <c r="AV19" s="76">
        <f>股权价值增加表!AV4</f>
        <v>271330509.35000002</v>
      </c>
      <c r="AW19" s="76">
        <f>股权价值增加表!AW4</f>
        <v>152264846.55000001</v>
      </c>
      <c r="AX19" s="76">
        <f>股权价值增加表!AX4</f>
        <v>450343864.37</v>
      </c>
      <c r="AY19" s="76">
        <f>股权价值增加表!AY4</f>
        <v>331144512.04000002</v>
      </c>
      <c r="AZ19" s="76">
        <f>股权价值增加表!AZ4</f>
        <v>224380432.09</v>
      </c>
      <c r="BA19" s="76">
        <f>股权价值增加表!BA4</f>
        <v>130299434.17</v>
      </c>
      <c r="BB19" s="76">
        <f>股权价值增加表!BB4</f>
        <v>439515310.91000003</v>
      </c>
      <c r="BC19" s="76">
        <f>股权价值增加表!BC4</f>
        <v>322811947.29000002</v>
      </c>
      <c r="BD19" s="76">
        <f>股权价值增加表!BD4</f>
        <v>227255482.66</v>
      </c>
      <c r="BE19" s="76">
        <f>股权价值增加表!BE4</f>
        <v>132693042.41</v>
      </c>
      <c r="BF19" s="76">
        <f>股权价值增加表!BF4</f>
        <v>403756671.35000002</v>
      </c>
      <c r="BG19" s="76">
        <f>股权价值增加表!BG4</f>
        <v>299944780.02999997</v>
      </c>
      <c r="BH19" s="76">
        <f>股权价值增加表!BH4</f>
        <v>209668828.09999999</v>
      </c>
      <c r="BI19" s="76">
        <f>股权价值增加表!BI4</f>
        <v>123795153.15000001</v>
      </c>
      <c r="BJ19" s="76">
        <f>股权价值增加表!BJ4</f>
        <v>479585510.57999998</v>
      </c>
      <c r="BK19" s="76">
        <f>股权价值增加表!BK4</f>
        <v>364898704.38</v>
      </c>
      <c r="BL19" s="76">
        <f>股权价值增加表!BL4</f>
        <v>257249053.94</v>
      </c>
      <c r="BM19" s="76">
        <f>股权价值增加表!BM4</f>
        <v>149535383.96000001</v>
      </c>
      <c r="BN19" s="76">
        <f>股权价值增加表!BN4</f>
        <v>507279280.06</v>
      </c>
      <c r="BO19" s="76">
        <f>股权价值增加表!BO4</f>
        <v>406011008.52999997</v>
      </c>
      <c r="BP19" s="76">
        <f>股权价值增加表!BP4</f>
        <v>292249245.88</v>
      </c>
      <c r="BQ19" s="76">
        <f>股权价值增加表!BQ4</f>
        <v>173938225.12</v>
      </c>
      <c r="BR19" s="76">
        <f>股权价值增加表!BR4</f>
        <v>649680863.10000002</v>
      </c>
      <c r="BS19" s="76">
        <f>股权价值增加表!BS4</f>
        <v>342143319.51999998</v>
      </c>
      <c r="BT19" s="76">
        <f>股权价值增加表!BT4</f>
        <v>649870942.78999996</v>
      </c>
      <c r="BU19" s="76">
        <f>股权价值增加表!BU4</f>
        <v>312370113.82999998</v>
      </c>
      <c r="BV19" s="76">
        <f>股权价值增加表!BV4</f>
        <v>587005192.25999999</v>
      </c>
      <c r="BW19" s="76">
        <f>股权价值增加表!BW4</f>
        <v>318639859.5</v>
      </c>
      <c r="BX19" s="76">
        <f>股权价值增加表!BX4</f>
        <v>607433824.57000005</v>
      </c>
      <c r="BY19" s="76">
        <f>股权价值增加表!BY4</f>
        <v>312160826.85000002</v>
      </c>
      <c r="BZ19" s="76">
        <f>股权价值增加表!BZ4</f>
        <v>602599165.12</v>
      </c>
      <c r="CA19" s="76">
        <f>股权价值增加表!CA4</f>
        <v>345556667.12</v>
      </c>
      <c r="CB19" s="76">
        <f>股权价值增加表!CB4</f>
        <v>612674307.19000006</v>
      </c>
      <c r="CC19" s="76">
        <f>股权价值增加表!CC4</f>
        <v>334022343.13999999</v>
      </c>
      <c r="CD19" s="76">
        <f>股权价值增加表!CD4</f>
        <v>552412855.38999999</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c r="A20" s="158" t="s">
        <v>447</v>
      </c>
      <c r="E20" s="76">
        <f>股权价值增加表!E15</f>
        <v>89255838.12000002</v>
      </c>
      <c r="F20" s="76">
        <f>股权价值增加表!F15</f>
        <v>267960855.00999978</v>
      </c>
      <c r="G20" s="76">
        <f>股权价值增加表!G15</f>
        <v>210393455.15999991</v>
      </c>
      <c r="H20" s="76">
        <f>股权价值增加表!H15</f>
        <v>151098644.25</v>
      </c>
      <c r="I20" s="76">
        <f>股权价值增加表!I15</f>
        <v>14822409.939999992</v>
      </c>
      <c r="J20" s="76">
        <f>股权价值增加表!J15</f>
        <v>101616487.05999991</v>
      </c>
      <c r="K20" s="76">
        <f>股权价值增加表!K15</f>
        <v>86827967.650000006</v>
      </c>
      <c r="L20" s="76">
        <f>股权价值增加表!L15</f>
        <v>63069160.919999979</v>
      </c>
      <c r="M20" s="76">
        <f>股权价值增加表!M15</f>
        <v>32119493.799999986</v>
      </c>
      <c r="N20" s="76">
        <f>股权价值增加表!N15</f>
        <v>118845911.35000013</v>
      </c>
      <c r="O20" s="76">
        <f>股权价值增加表!O15</f>
        <v>107510291.43999997</v>
      </c>
      <c r="P20" s="76">
        <f>股权价值增加表!P15</f>
        <v>75737733.859999985</v>
      </c>
      <c r="Q20" s="76">
        <f>股权价值增加表!Q15</f>
        <v>40419207.930000007</v>
      </c>
      <c r="R20" s="76">
        <f>股权价值增加表!R15</f>
        <v>131137028.31999995</v>
      </c>
      <c r="S20" s="76">
        <f>股权价值增加表!S15</f>
        <v>108031270.08</v>
      </c>
      <c r="T20" s="76">
        <f>股权价值增加表!T15</f>
        <v>75560607.849999964</v>
      </c>
      <c r="U20" s="76">
        <f>股权价值增加表!U15</f>
        <v>42616411.650000006</v>
      </c>
      <c r="V20" s="76">
        <f>股权价值增加表!V15</f>
        <v>132339456.55999999</v>
      </c>
      <c r="W20" s="76">
        <f>股权价值增加表!W15</f>
        <v>109819694.07000004</v>
      </c>
      <c r="X20" s="76">
        <f>股权价值增加表!X15</f>
        <v>79512585.110000014</v>
      </c>
      <c r="Y20" s="76">
        <f>股权价值增加表!Y15</f>
        <v>46360606.050000042</v>
      </c>
      <c r="Z20" s="76">
        <f>股权价值增加表!Z15</f>
        <v>79839336.839999899</v>
      </c>
      <c r="AA20" s="76">
        <f>股权价值增加表!AA15</f>
        <v>63742339.160000049</v>
      </c>
      <c r="AB20" s="76">
        <f>股权价值增加表!AB15</f>
        <v>53175482.73999992</v>
      </c>
      <c r="AC20" s="76">
        <f>股权价值增加表!AC15</f>
        <v>34578017.93999996</v>
      </c>
      <c r="AD20" s="76">
        <f>股权价值增加表!AD15</f>
        <v>70254146.730000108</v>
      </c>
      <c r="AE20" s="76">
        <f>股权价值增加表!AE15</f>
        <v>58905027.049999952</v>
      </c>
      <c r="AF20" s="76">
        <f>股权价值增加表!AF15</f>
        <v>42240150.270000011</v>
      </c>
      <c r="AG20" s="76">
        <f>股权价值增加表!AG15</f>
        <v>24415512.66</v>
      </c>
      <c r="AH20" s="76">
        <f>股权价值增加表!AH15</f>
        <v>52659443.069999993</v>
      </c>
      <c r="AI20" s="76">
        <f>股权价值增加表!AI15</f>
        <v>37730522.44000002</v>
      </c>
      <c r="AJ20" s="76">
        <f>股权价值增加表!AJ15</f>
        <v>27115136.550000027</v>
      </c>
      <c r="AK20" s="76">
        <f>股权价值增加表!AK15</f>
        <v>27397677.310000006</v>
      </c>
      <c r="AL20" s="76">
        <f>股权价值增加表!AL15</f>
        <v>49780407.370000064</v>
      </c>
      <c r="AM20" s="76">
        <f>股权价值增加表!AM15</f>
        <v>40892721.82</v>
      </c>
      <c r="AN20" s="76">
        <f>股权价值增加表!AN15</f>
        <v>28951278.399999969</v>
      </c>
      <c r="AO20" s="76">
        <f>股权价值增加表!AO15</f>
        <v>17417010.950000007</v>
      </c>
      <c r="AP20" s="76">
        <f>股权价值增加表!AP15</f>
        <v>45292687.069999963</v>
      </c>
      <c r="AQ20" s="76">
        <f>股权价值增加表!AQ15</f>
        <v>28853765.210000031</v>
      </c>
      <c r="AR20" s="76">
        <f>股权价值增加表!AR15</f>
        <v>19064143.449999992</v>
      </c>
      <c r="AS20" s="76">
        <f>股权价值增加表!AS15</f>
        <v>11877597.629999995</v>
      </c>
      <c r="AT20" s="76">
        <f>股权价值增加表!AT15</f>
        <v>38656249.349999912</v>
      </c>
      <c r="AU20" s="76">
        <f>股权价值增加表!AU15</f>
        <v>21268569.960000016</v>
      </c>
      <c r="AV20" s="76">
        <f>股权价值增加表!AV15</f>
        <v>6353180.0400000159</v>
      </c>
      <c r="AW20" s="76">
        <f>股权价值增加表!AW15</f>
        <v>7992002.2100000177</v>
      </c>
      <c r="AX20" s="76">
        <f>股权价值增加表!AX15</f>
        <v>26361544.170000024</v>
      </c>
      <c r="AY20" s="76">
        <f>股权价值增加表!AY15</f>
        <v>25219407.780000016</v>
      </c>
      <c r="AZ20" s="76">
        <f>股权价值增加表!AZ15</f>
        <v>19382391.159999996</v>
      </c>
      <c r="BA20" s="76">
        <f>股权价值增加表!BA15</f>
        <v>5510018</v>
      </c>
      <c r="BB20" s="76">
        <f>股权价值增加表!BB15</f>
        <v>911595.06000000425</v>
      </c>
      <c r="BC20" s="76">
        <f>股权价值增加表!BC15</f>
        <v>5908938.4800000191</v>
      </c>
      <c r="BD20" s="76">
        <f>股权价值增加表!BD15</f>
        <v>7603927.0399999954</v>
      </c>
      <c r="BE20" s="76">
        <f>股权价值增加表!BE15</f>
        <v>5363858.3299999982</v>
      </c>
      <c r="BF20" s="76">
        <f>股权价值增加表!BF15</f>
        <v>2043439.4100000542</v>
      </c>
      <c r="BG20" s="76">
        <f>股权价值增加表!BG15</f>
        <v>4543492.9299999876</v>
      </c>
      <c r="BH20" s="76">
        <f>股权价值增加表!BH15</f>
        <v>3485968.909999989</v>
      </c>
      <c r="BI20" s="76">
        <f>股权价值增加表!BI15</f>
        <v>3124972.5100000044</v>
      </c>
      <c r="BJ20" s="76">
        <f>股权价值增加表!BJ15</f>
        <v>-34340265.589999996</v>
      </c>
      <c r="BK20" s="76">
        <f>股权价值增加表!BK15</f>
        <v>-24307180.199999984</v>
      </c>
      <c r="BL20" s="76">
        <f>股权价值增加表!BL15</f>
        <v>-12577922.459999993</v>
      </c>
      <c r="BM20" s="76">
        <f>股权价值增加表!BM15</f>
        <v>-2375910.2299999869</v>
      </c>
      <c r="BN20" s="76">
        <f>股权价值增加表!BN15</f>
        <v>-48225414.789999999</v>
      </c>
      <c r="BO20" s="76">
        <f>股权价值增加表!BO15</f>
        <v>-9912140.4500000291</v>
      </c>
      <c r="BP20" s="76">
        <f>股权价值增加表!BP15</f>
        <v>-952403.17000001413</v>
      </c>
      <c r="BQ20" s="76">
        <f>股权价值增加表!BQ15</f>
        <v>3579810.6599999899</v>
      </c>
      <c r="BR20" s="76">
        <f>股权价值增加表!BR15</f>
        <v>-17770940.239999976</v>
      </c>
      <c r="BS20" s="76">
        <f>股权价值增加表!BS15</f>
        <v>9528298.6199999619</v>
      </c>
      <c r="BT20" s="76">
        <f>股权价值增加表!BT15</f>
        <v>24732178.959999986</v>
      </c>
      <c r="BU20" s="76">
        <f>股权价值增加表!BU15</f>
        <v>10153678.000000002</v>
      </c>
      <c r="BV20" s="76">
        <f>股权价值增加表!BV15</f>
        <v>25447467.029999971</v>
      </c>
      <c r="BW20" s="76">
        <f>股权价值增加表!BW15</f>
        <v>17928982.910000011</v>
      </c>
      <c r="BX20" s="76">
        <f>股权价值增加表!BX15</f>
        <v>32597832.920000039</v>
      </c>
      <c r="BY20" s="76">
        <f>股权价值增加表!BY15</f>
        <v>17320859.820000023</v>
      </c>
      <c r="BZ20" s="76">
        <f>股权价值增加表!BZ15</f>
        <v>40916645.80999998</v>
      </c>
      <c r="CA20" s="76">
        <f>股权价值增加表!CA15</f>
        <v>23452494.340000022</v>
      </c>
      <c r="CB20" s="76">
        <f>股权价值增加表!CB15</f>
        <v>34674218.360000074</v>
      </c>
      <c r="CC20" s="76">
        <f>股权价值增加表!CC15</f>
        <v>22364577.750000004</v>
      </c>
      <c r="CD20" s="76">
        <f>股权价值增加表!CD15</f>
        <v>34981626.339999951</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3" customFormat="1">
      <c r="A21" s="233" t="s">
        <v>448</v>
      </c>
      <c r="E21" s="243">
        <f>E20/E19</f>
        <v>0.21177058685697575</v>
      </c>
      <c r="F21" s="243">
        <f t="shared" ref="F21:BQ21" si="6">F20/F19</f>
        <v>0.19611240561082074</v>
      </c>
      <c r="G21" s="243">
        <f t="shared" si="6"/>
        <v>0.20505432395117248</v>
      </c>
      <c r="H21" s="243">
        <f t="shared" si="6"/>
        <v>0.21635605244637801</v>
      </c>
      <c r="I21" s="243">
        <f t="shared" si="6"/>
        <v>5.2146669328384847E-2</v>
      </c>
      <c r="J21" s="243">
        <f t="shared" si="6"/>
        <v>9.8989710077852427E-2</v>
      </c>
      <c r="K21" s="243">
        <f t="shared" si="6"/>
        <v>0.11332997631722785</v>
      </c>
      <c r="L21" s="243">
        <f t="shared" si="6"/>
        <v>0.11993020896788464</v>
      </c>
      <c r="M21" s="243">
        <f t="shared" si="6"/>
        <v>0.10878757392067748</v>
      </c>
      <c r="N21" s="243">
        <f t="shared" si="6"/>
        <v>0.1060494368680899</v>
      </c>
      <c r="O21" s="243">
        <f t="shared" si="6"/>
        <v>0.1253719042212782</v>
      </c>
      <c r="P21" s="243">
        <f t="shared" si="6"/>
        <v>0.12766175340365657</v>
      </c>
      <c r="Q21" s="243">
        <f t="shared" si="6"/>
        <v>0.12045565966054982</v>
      </c>
      <c r="R21" s="243">
        <f t="shared" si="6"/>
        <v>0.10794481000417755</v>
      </c>
      <c r="S21" s="243">
        <f t="shared" si="6"/>
        <v>0.11646056972231389</v>
      </c>
      <c r="T21" s="243">
        <f t="shared" si="6"/>
        <v>0.11976244922366872</v>
      </c>
      <c r="U21" s="243">
        <f t="shared" si="6"/>
        <v>0.11857290950085353</v>
      </c>
      <c r="V21" s="243">
        <f t="shared" si="6"/>
        <v>9.2674332023277878E-2</v>
      </c>
      <c r="W21" s="243">
        <f t="shared" si="6"/>
        <v>0.10072943805500387</v>
      </c>
      <c r="X21" s="243">
        <f t="shared" si="6"/>
        <v>0.10551162981193098</v>
      </c>
      <c r="Y21" s="243">
        <f t="shared" si="6"/>
        <v>0.11387058833412968</v>
      </c>
      <c r="Z21" s="243">
        <f t="shared" si="6"/>
        <v>6.0481710149067419E-2</v>
      </c>
      <c r="AA21" s="243">
        <f t="shared" si="6"/>
        <v>6.3761591472016529E-2</v>
      </c>
      <c r="AB21" s="243">
        <f t="shared" si="6"/>
        <v>7.6376989233877535E-2</v>
      </c>
      <c r="AC21" s="243">
        <f t="shared" si="6"/>
        <v>8.7061627026331162E-2</v>
      </c>
      <c r="AD21" s="243">
        <f t="shared" si="6"/>
        <v>5.9127477564222285E-2</v>
      </c>
      <c r="AE21" s="243">
        <f t="shared" si="6"/>
        <v>6.6821825620616518E-2</v>
      </c>
      <c r="AF21" s="243">
        <f t="shared" si="6"/>
        <v>6.813622466351732E-2</v>
      </c>
      <c r="AG21" s="243">
        <f t="shared" si="6"/>
        <v>6.7687773506374171E-2</v>
      </c>
      <c r="AH21" s="243">
        <f t="shared" si="6"/>
        <v>5.7182619875538666E-2</v>
      </c>
      <c r="AI21" s="243">
        <f t="shared" si="6"/>
        <v>5.7852627778722091E-2</v>
      </c>
      <c r="AJ21" s="243">
        <f t="shared" si="6"/>
        <v>6.1985510510614586E-2</v>
      </c>
      <c r="AK21" s="243">
        <f t="shared" si="6"/>
        <v>0.10928451438384446</v>
      </c>
      <c r="AL21" s="243">
        <f t="shared" si="6"/>
        <v>6.827475177642775E-2</v>
      </c>
      <c r="AM21" s="243">
        <f t="shared" si="6"/>
        <v>7.6872620523497803E-2</v>
      </c>
      <c r="AN21" s="243">
        <f t="shared" si="6"/>
        <v>7.9429523542533506E-2</v>
      </c>
      <c r="AO21" s="243">
        <f t="shared" si="6"/>
        <v>8.3436894876749532E-2</v>
      </c>
      <c r="AP21" s="243">
        <f t="shared" si="6"/>
        <v>7.2712964854791076E-2</v>
      </c>
      <c r="AQ21" s="243">
        <f t="shared" si="6"/>
        <v>6.2962083502001706E-2</v>
      </c>
      <c r="AR21" s="243">
        <f t="shared" si="6"/>
        <v>6.1034339719311687E-2</v>
      </c>
      <c r="AS21" s="243">
        <f t="shared" si="6"/>
        <v>6.3429241110981777E-2</v>
      </c>
      <c r="AT21" s="243">
        <f t="shared" si="6"/>
        <v>7.0616420884421605E-2</v>
      </c>
      <c r="AU21" s="243">
        <f t="shared" si="6"/>
        <v>5.3326613801095851E-2</v>
      </c>
      <c r="AV21" s="243">
        <f t="shared" si="6"/>
        <v>2.3414912149834193E-2</v>
      </c>
      <c r="AW21" s="243">
        <f t="shared" si="6"/>
        <v>5.2487507071276897E-2</v>
      </c>
      <c r="AX21" s="243">
        <f t="shared" si="6"/>
        <v>5.8536479023374742E-2</v>
      </c>
      <c r="AY21" s="243">
        <f t="shared" si="6"/>
        <v>7.6158314159087387E-2</v>
      </c>
      <c r="AZ21" s="243">
        <f t="shared" si="6"/>
        <v>8.6381824740517615E-2</v>
      </c>
      <c r="BA21" s="243">
        <f t="shared" si="6"/>
        <v>4.2287351707231129E-2</v>
      </c>
      <c r="BB21" s="243">
        <f t="shared" si="6"/>
        <v>2.0740917036828153E-3</v>
      </c>
      <c r="BC21" s="243">
        <f t="shared" si="6"/>
        <v>1.8304584231176826E-2</v>
      </c>
      <c r="BD21" s="243">
        <f t="shared" si="6"/>
        <v>3.3459817783038193E-2</v>
      </c>
      <c r="BE21" s="243">
        <f t="shared" si="6"/>
        <v>4.0423056345535779E-2</v>
      </c>
      <c r="BF21" s="243">
        <f t="shared" si="6"/>
        <v>5.061066615116511E-3</v>
      </c>
      <c r="BG21" s="243">
        <f t="shared" si="6"/>
        <v>1.5147764630361479E-2</v>
      </c>
      <c r="BH21" s="243">
        <f t="shared" si="6"/>
        <v>1.6626071417432553E-2</v>
      </c>
      <c r="BI21" s="243">
        <f t="shared" si="6"/>
        <v>2.5243092564484655E-2</v>
      </c>
      <c r="BJ21" s="243">
        <f t="shared" si="6"/>
        <v>-7.1604051482851608E-2</v>
      </c>
      <c r="BK21" s="243">
        <f t="shared" si="6"/>
        <v>-6.6613500975018142E-2</v>
      </c>
      <c r="BL21" s="243">
        <f t="shared" si="6"/>
        <v>-4.8893950307524282E-2</v>
      </c>
      <c r="BM21" s="243">
        <f t="shared" si="6"/>
        <v>-1.58886155709844E-2</v>
      </c>
      <c r="BN21" s="243">
        <f t="shared" si="6"/>
        <v>-9.5066793944936986E-2</v>
      </c>
      <c r="BO21" s="243">
        <f t="shared" si="6"/>
        <v>-2.4413477077599055E-2</v>
      </c>
      <c r="BP21" s="243">
        <f t="shared" si="6"/>
        <v>-3.2588729771815352E-3</v>
      </c>
      <c r="BQ21" s="243">
        <f t="shared" si="6"/>
        <v>2.0580931290579044E-2</v>
      </c>
      <c r="BR21" s="243">
        <f t="shared" ref="BR21:CK21" si="7">BR20/BR19</f>
        <v>-2.7353337999221076E-2</v>
      </c>
      <c r="BS21" s="243">
        <f t="shared" si="7"/>
        <v>2.7848851859412049E-2</v>
      </c>
      <c r="BT21" s="243">
        <f t="shared" si="7"/>
        <v>3.8057062305049037E-2</v>
      </c>
      <c r="BU21" s="243">
        <f t="shared" si="7"/>
        <v>3.250527995621854E-2</v>
      </c>
      <c r="BV21" s="243">
        <f t="shared" si="7"/>
        <v>4.3351349128660892E-2</v>
      </c>
      <c r="BW21" s="243">
        <f t="shared" si="7"/>
        <v>5.6267232034729199E-2</v>
      </c>
      <c r="BX21" s="243">
        <f t="shared" si="7"/>
        <v>5.366482998057593E-2</v>
      </c>
      <c r="BY21" s="243">
        <f t="shared" si="7"/>
        <v>5.5486974438093306E-2</v>
      </c>
      <c r="BZ21" s="243">
        <f t="shared" si="7"/>
        <v>6.7900269662424684E-2</v>
      </c>
      <c r="CA21" s="243">
        <f t="shared" si="7"/>
        <v>6.7868736365187171E-2</v>
      </c>
      <c r="CB21" s="243">
        <f t="shared" si="7"/>
        <v>5.6594862805707712E-2</v>
      </c>
      <c r="CC21" s="243">
        <f t="shared" si="7"/>
        <v>6.6955334603548536E-2</v>
      </c>
      <c r="CD21" s="243">
        <f t="shared" si="7"/>
        <v>6.3325148932863159E-2</v>
      </c>
      <c r="CE21" s="243" t="e">
        <f t="shared" si="7"/>
        <v>#DIV/0!</v>
      </c>
      <c r="CF21" s="243" t="e">
        <f t="shared" si="7"/>
        <v>#DIV/0!</v>
      </c>
      <c r="CG21" s="243" t="e">
        <f t="shared" si="7"/>
        <v>#DIV/0!</v>
      </c>
      <c r="CH21" s="243" t="e">
        <f t="shared" si="7"/>
        <v>#DIV/0!</v>
      </c>
      <c r="CI21" s="243" t="e">
        <f t="shared" si="7"/>
        <v>#DIV/0!</v>
      </c>
      <c r="CJ21" s="243" t="e">
        <f t="shared" si="7"/>
        <v>#DIV/0!</v>
      </c>
      <c r="CK21" s="243" t="e">
        <f t="shared" si="7"/>
        <v>#DIV/0!</v>
      </c>
    </row>
    <row r="22" spans="1:89" s="26" customFormat="1">
      <c r="A22" s="26" t="s">
        <v>684</v>
      </c>
      <c r="E22" s="26">
        <f>资产资本表!E69</f>
        <v>367212140.58999968</v>
      </c>
      <c r="F22" s="192">
        <f>资产资本表!F69</f>
        <v>184704018.69999981</v>
      </c>
      <c r="G22" s="192">
        <f>资产资本表!G69</f>
        <v>189985082.81999999</v>
      </c>
      <c r="H22" s="192">
        <f>资产资本表!H69</f>
        <v>-300693859.67000014</v>
      </c>
      <c r="I22" s="192">
        <f>资产资本表!I69</f>
        <v>755183511.06000018</v>
      </c>
      <c r="J22" s="192">
        <f>资产资本表!J69</f>
        <v>621433598.00999999</v>
      </c>
      <c r="K22" s="192">
        <f>资产资本表!K69</f>
        <v>719271807.86999989</v>
      </c>
      <c r="L22" s="192">
        <f>资产资本表!L69</f>
        <v>746165913.00999999</v>
      </c>
      <c r="M22" s="192">
        <f>资产资本表!M69</f>
        <v>662464464.55000007</v>
      </c>
      <c r="N22" s="192">
        <f>资产资本表!N69</f>
        <v>504828723.98000002</v>
      </c>
      <c r="O22" s="192">
        <f>资产资本表!O69</f>
        <v>465857307.51999992</v>
      </c>
      <c r="P22" s="192">
        <f>资产资本表!P69</f>
        <v>427195240.23999995</v>
      </c>
      <c r="Q22" s="192">
        <f>资产资本表!Q69</f>
        <v>359393948.65999997</v>
      </c>
      <c r="R22" s="192">
        <f>资产资本表!R69</f>
        <v>233321983.15999997</v>
      </c>
      <c r="S22" s="192">
        <f>资产资本表!S69</f>
        <v>200449473.67999989</v>
      </c>
      <c r="T22" s="192">
        <f>资产资本表!T69</f>
        <v>142579780.98999995</v>
      </c>
      <c r="U22" s="192">
        <f>资产资本表!U69</f>
        <v>70208855.680000007</v>
      </c>
      <c r="V22" s="192">
        <f>资产资本表!V69</f>
        <v>-38067624.390000045</v>
      </c>
      <c r="W22" s="192">
        <f>资产资本表!W69</f>
        <v>-29703912.309999883</v>
      </c>
      <c r="X22" s="192">
        <f>资产资本表!X69</f>
        <v>-30430367.109999835</v>
      </c>
      <c r="Y22" s="192">
        <f>资产资本表!Y69</f>
        <v>-160010564.89999998</v>
      </c>
      <c r="Z22" s="192">
        <f>资产资本表!Z69</f>
        <v>-28220121.829999924</v>
      </c>
      <c r="AA22" s="192">
        <f>资产资本表!AA69</f>
        <v>50159449.020000041</v>
      </c>
      <c r="AB22" s="192">
        <f>资产资本表!AB69</f>
        <v>88253790.650000036</v>
      </c>
      <c r="AC22" s="192">
        <f>资产资本表!AC69</f>
        <v>31515611.230000019</v>
      </c>
      <c r="AD22" s="192">
        <f>资产资本表!AD69</f>
        <v>26603903.319999993</v>
      </c>
      <c r="AE22" s="192">
        <f>资产资本表!AE69</f>
        <v>122227998.63000005</v>
      </c>
      <c r="AF22" s="192">
        <f>资产资本表!AF69</f>
        <v>166167516.79000002</v>
      </c>
      <c r="AG22" s="192">
        <f>资产资本表!AG69</f>
        <v>162097068.67000008</v>
      </c>
      <c r="AH22" s="192">
        <f>资产资本表!AH69</f>
        <v>168431105.84000009</v>
      </c>
      <c r="AI22" s="192">
        <f>资产资本表!AI69</f>
        <v>301534117.13</v>
      </c>
      <c r="AJ22" s="192">
        <f>资产资本表!AJ69</f>
        <v>210386613.63999993</v>
      </c>
      <c r="AK22" s="192">
        <f>资产资本表!AK69</f>
        <v>150338194.92999995</v>
      </c>
      <c r="AL22" s="192">
        <f>资产资本表!AL69</f>
        <v>178690249.45999986</v>
      </c>
      <c r="AM22" s="192">
        <f>资产资本表!AM69</f>
        <v>243457398.11999995</v>
      </c>
      <c r="AN22" s="192">
        <f>资产资本表!AN69</f>
        <v>276393780.26999998</v>
      </c>
      <c r="AO22" s="192">
        <f>资产资本表!AO69</f>
        <v>256222963.14000002</v>
      </c>
      <c r="AP22" s="192">
        <f>资产资本表!AP69</f>
        <v>272799995.13999999</v>
      </c>
      <c r="AQ22" s="192">
        <f>资产资本表!AQ69</f>
        <v>357132497.99000001</v>
      </c>
      <c r="AR22" s="192">
        <f>资产资本表!AR69</f>
        <v>378821266.73000002</v>
      </c>
      <c r="AS22" s="192">
        <f>资产资本表!AS69</f>
        <v>281136479.54000002</v>
      </c>
      <c r="AT22" s="192">
        <f>资产资本表!AT69</f>
        <v>273215028.27999997</v>
      </c>
      <c r="AU22" s="192">
        <f>资产资本表!AU69</f>
        <v>278164902.93999994</v>
      </c>
      <c r="AV22" s="192">
        <f>资产资本表!AV69</f>
        <v>294043340.31</v>
      </c>
      <c r="AW22" s="192">
        <f>资产资本表!AW69</f>
        <v>252544470.37</v>
      </c>
      <c r="AX22" s="192">
        <f>资产资本表!AX69</f>
        <v>352393621.61000001</v>
      </c>
      <c r="AY22" s="192">
        <f>资产资本表!AY69</f>
        <v>389598948.30000001</v>
      </c>
      <c r="AZ22" s="192">
        <f>资产资本表!AZ69</f>
        <v>388756229.31000006</v>
      </c>
      <c r="BA22" s="192">
        <f>资产资本表!BA69</f>
        <v>346913560.76000005</v>
      </c>
      <c r="BB22" s="192">
        <f>资产资本表!BB69</f>
        <v>365182225.55000001</v>
      </c>
      <c r="BC22" s="192">
        <f>资产资本表!BC69</f>
        <v>433701225.50999993</v>
      </c>
      <c r="BD22" s="192">
        <f>资产资本表!BD69</f>
        <v>469978337.29000008</v>
      </c>
      <c r="BE22" s="192">
        <f>资产资本表!BE69</f>
        <v>404129536.29999995</v>
      </c>
      <c r="BF22" s="192">
        <f>资产资本表!BF69</f>
        <v>264587809.99999997</v>
      </c>
      <c r="BG22" s="192">
        <f>资产资本表!BG69</f>
        <v>500716937.70000005</v>
      </c>
      <c r="BH22" s="192">
        <f>资产资本表!BH69</f>
        <v>515311030.90999997</v>
      </c>
      <c r="BI22" s="192">
        <f>资产资本表!BI69</f>
        <v>509169916.5</v>
      </c>
      <c r="BJ22" s="192">
        <f>资产资本表!BJ69</f>
        <v>609608447.81000006</v>
      </c>
      <c r="BK22" s="192">
        <f>资产资本表!BK69</f>
        <v>616201153.36000001</v>
      </c>
      <c r="BL22" s="192">
        <f>资产资本表!BL69</f>
        <v>637787465.9799999</v>
      </c>
      <c r="BM22" s="192">
        <f>资产资本表!BM69</f>
        <v>626911281.17000008</v>
      </c>
      <c r="BN22" s="192">
        <f>资产资本表!BN69</f>
        <v>663660866.97000003</v>
      </c>
      <c r="BO22" s="192">
        <f>资产资本表!BO69</f>
        <v>848020430.37000012</v>
      </c>
      <c r="BP22" s="192">
        <f>资产资本表!BP69</f>
        <v>686004919.01999998</v>
      </c>
      <c r="BQ22" s="192">
        <f>资产资本表!BQ69</f>
        <v>776797953.24000001</v>
      </c>
      <c r="BR22" s="192">
        <f>资产资本表!BR69</f>
        <v>775709044.27999997</v>
      </c>
      <c r="BS22" s="192">
        <f>资产资本表!BS69</f>
        <v>675403403.21000004</v>
      </c>
      <c r="BT22" s="192">
        <f>资产资本表!BT69</f>
        <v>744225183.66000009</v>
      </c>
      <c r="BU22" s="192">
        <f>资产资本表!BU69</f>
        <v>680641037.80999994</v>
      </c>
      <c r="BV22" s="192">
        <f>资产资本表!BV69</f>
        <v>868885316.71000004</v>
      </c>
      <c r="BW22" s="192">
        <f>资产资本表!BW69</f>
        <v>664460001.09000003</v>
      </c>
      <c r="BX22" s="192">
        <f>资产资本表!BX69</f>
        <v>593982604.31999993</v>
      </c>
      <c r="BY22" s="192">
        <f>资产资本表!BY69</f>
        <v>570648414.42999995</v>
      </c>
      <c r="BZ22" s="192">
        <f>资产资本表!BZ69</f>
        <v>537264507.88999999</v>
      </c>
      <c r="CA22" s="192">
        <f>资产资本表!CA69</f>
        <v>446450216.70999998</v>
      </c>
      <c r="CB22" s="192">
        <f>资产资本表!CB69</f>
        <v>431325581.36000007</v>
      </c>
      <c r="CC22" s="192">
        <f>资产资本表!CC69</f>
        <v>373380862.05000001</v>
      </c>
      <c r="CD22" s="192">
        <f>资产资本表!CD69</f>
        <v>335898745.33000004</v>
      </c>
      <c r="CE22" s="192">
        <f>资产资本表!CE69</f>
        <v>0</v>
      </c>
      <c r="CF22" s="192">
        <f>资产资本表!CF69</f>
        <v>0</v>
      </c>
      <c r="CG22" s="192">
        <f>资产资本表!CG69</f>
        <v>0</v>
      </c>
      <c r="CH22" s="192">
        <f>资产资本表!CH69</f>
        <v>0</v>
      </c>
      <c r="CI22" s="192">
        <f>资产资本表!CI69</f>
        <v>0</v>
      </c>
      <c r="CJ22" s="192">
        <f>资产资本表!CJ69</f>
        <v>0</v>
      </c>
      <c r="CK22" s="192">
        <f>资产资本表!CK69</f>
        <v>0</v>
      </c>
    </row>
    <row r="23" spans="1:89" s="245" customFormat="1">
      <c r="A23" s="244" t="s">
        <v>685</v>
      </c>
      <c r="E23" s="245">
        <f>E19/E22</f>
        <v>1.1477676001747041</v>
      </c>
      <c r="F23" s="245">
        <f t="shared" ref="F23:BQ23" si="8">F19/F22</f>
        <v>7.3975846450816896</v>
      </c>
      <c r="G23" s="245">
        <f t="shared" si="8"/>
        <v>5.40062212996013</v>
      </c>
      <c r="H23" s="245">
        <f t="shared" si="8"/>
        <v>-2.3225600903072796</v>
      </c>
      <c r="I23" s="245">
        <f t="shared" si="8"/>
        <v>0.37639144751853099</v>
      </c>
      <c r="J23" s="245">
        <f t="shared" si="8"/>
        <v>1.6518834228101731</v>
      </c>
      <c r="K23" s="245">
        <f t="shared" si="8"/>
        <v>1.0651770470037289</v>
      </c>
      <c r="L23" s="245">
        <f t="shared" si="8"/>
        <v>0.70477916596138079</v>
      </c>
      <c r="M23" s="245">
        <f t="shared" si="8"/>
        <v>0.44568376420093364</v>
      </c>
      <c r="N23" s="245">
        <f t="shared" si="8"/>
        <v>2.2198918715338349</v>
      </c>
      <c r="O23" s="245">
        <f t="shared" si="8"/>
        <v>1.840758881652157</v>
      </c>
      <c r="P23" s="245">
        <f t="shared" si="8"/>
        <v>1.3887532754267096</v>
      </c>
      <c r="Q23" s="245">
        <f t="shared" si="8"/>
        <v>0.93366231084609952</v>
      </c>
      <c r="R23" s="245">
        <f t="shared" si="8"/>
        <v>5.2067642292278897</v>
      </c>
      <c r="S23" s="245">
        <f t="shared" si="8"/>
        <v>4.6277048395291178</v>
      </c>
      <c r="T23" s="245">
        <f t="shared" si="8"/>
        <v>4.4250362279925968</v>
      </c>
      <c r="U23" s="245">
        <f t="shared" si="8"/>
        <v>5.1191694765420221</v>
      </c>
      <c r="V23" s="245">
        <f t="shared" si="8"/>
        <v>-37.512335762278923</v>
      </c>
      <c r="W23" s="245">
        <f t="shared" si="8"/>
        <v>-36.703726856645986</v>
      </c>
      <c r="X23" s="245">
        <f t="shared" si="8"/>
        <v>-24.764430792961406</v>
      </c>
      <c r="Y23" s="245">
        <f t="shared" si="8"/>
        <v>-2.5444204749507766</v>
      </c>
      <c r="Z23" s="245">
        <f t="shared" si="8"/>
        <v>-46.777173280899454</v>
      </c>
      <c r="AA23" s="245">
        <f t="shared" si="8"/>
        <v>19.930403490903402</v>
      </c>
      <c r="AB23" s="245">
        <f t="shared" si="8"/>
        <v>7.8888834254282498</v>
      </c>
      <c r="AC23" s="245">
        <f t="shared" si="8"/>
        <v>12.602235228486785</v>
      </c>
      <c r="AD23" s="245">
        <f t="shared" si="8"/>
        <v>44.661905731207582</v>
      </c>
      <c r="AE23" s="245">
        <f t="shared" si="8"/>
        <v>7.2121262808899154</v>
      </c>
      <c r="AF23" s="245">
        <f t="shared" si="8"/>
        <v>3.7307939042831499</v>
      </c>
      <c r="AG23" s="245">
        <f t="shared" si="8"/>
        <v>2.2252584439039742</v>
      </c>
      <c r="AH23" s="245">
        <f t="shared" si="8"/>
        <v>5.4675141106346574</v>
      </c>
      <c r="AI23" s="245">
        <f t="shared" si="8"/>
        <v>2.1628842141230242</v>
      </c>
      <c r="AJ23" s="245">
        <f t="shared" si="8"/>
        <v>2.0792346795339585</v>
      </c>
      <c r="AK23" s="245">
        <f t="shared" si="8"/>
        <v>1.6675765832942882</v>
      </c>
      <c r="AL23" s="245">
        <f t="shared" si="8"/>
        <v>4.0803504145491418</v>
      </c>
      <c r="AM23" s="245">
        <f t="shared" si="8"/>
        <v>2.1849995697719571</v>
      </c>
      <c r="AN23" s="245">
        <f t="shared" si="8"/>
        <v>1.3187349683264999</v>
      </c>
      <c r="AO23" s="245">
        <f t="shared" si="8"/>
        <v>0.8146994857207317</v>
      </c>
      <c r="AP23" s="245">
        <f t="shared" si="8"/>
        <v>2.2833467846666622</v>
      </c>
      <c r="AQ23" s="245">
        <f t="shared" si="8"/>
        <v>1.2831990547744327</v>
      </c>
      <c r="AR23" s="245">
        <f t="shared" si="8"/>
        <v>0.82453423913136381</v>
      </c>
      <c r="AS23" s="245">
        <f t="shared" si="8"/>
        <v>0.66607309491245537</v>
      </c>
      <c r="AT23" s="245">
        <f t="shared" si="8"/>
        <v>2.0035926404787445</v>
      </c>
      <c r="AU23" s="245">
        <f t="shared" si="8"/>
        <v>1.4338111399554556</v>
      </c>
      <c r="AV23" s="245">
        <f t="shared" si="8"/>
        <v>0.92275685980150202</v>
      </c>
      <c r="AW23" s="245">
        <f t="shared" si="8"/>
        <v>0.6029229082977684</v>
      </c>
      <c r="AX23" s="245">
        <f t="shared" si="8"/>
        <v>1.2779569116844094</v>
      </c>
      <c r="AY23" s="245">
        <f t="shared" si="8"/>
        <v>0.8499625409281425</v>
      </c>
      <c r="AZ23" s="245">
        <f t="shared" si="8"/>
        <v>0.57717514260350455</v>
      </c>
      <c r="BA23" s="245">
        <f t="shared" si="8"/>
        <v>0.3755962548265534</v>
      </c>
      <c r="BB23" s="245">
        <f t="shared" si="8"/>
        <v>1.2035506663777162</v>
      </c>
      <c r="BC23" s="245">
        <f t="shared" si="8"/>
        <v>0.74431873442459728</v>
      </c>
      <c r="BD23" s="245">
        <f t="shared" si="8"/>
        <v>0.48354459052390752</v>
      </c>
      <c r="BE23" s="245">
        <f t="shared" si="8"/>
        <v>0.32834284676361086</v>
      </c>
      <c r="BF23" s="245">
        <f t="shared" si="8"/>
        <v>1.5259836473569968</v>
      </c>
      <c r="BG23" s="245">
        <f t="shared" si="8"/>
        <v>0.59903062478327651</v>
      </c>
      <c r="BH23" s="245">
        <f t="shared" si="8"/>
        <v>0.4068782066041568</v>
      </c>
      <c r="BI23" s="245">
        <f t="shared" si="8"/>
        <v>0.24313131852125047</v>
      </c>
      <c r="BJ23" s="245">
        <f t="shared" si="8"/>
        <v>0.78671073588775953</v>
      </c>
      <c r="BK23" s="245">
        <f t="shared" si="8"/>
        <v>0.59217465334216457</v>
      </c>
      <c r="BL23" s="245">
        <f t="shared" si="8"/>
        <v>0.4033460481145093</v>
      </c>
      <c r="BM23" s="245">
        <f t="shared" si="8"/>
        <v>0.23852718630445313</v>
      </c>
      <c r="BN23" s="245">
        <f t="shared" si="8"/>
        <v>0.7643652131788734</v>
      </c>
      <c r="BO23" s="245">
        <f t="shared" si="8"/>
        <v>0.4787750318148033</v>
      </c>
      <c r="BP23" s="245">
        <f t="shared" si="8"/>
        <v>0.42601625407802607</v>
      </c>
      <c r="BQ23" s="245">
        <f t="shared" si="8"/>
        <v>0.22391694570577728</v>
      </c>
      <c r="BR23" s="245">
        <f t="shared" ref="BR23:CK23" si="9">BR19/BR22</f>
        <v>0.83753163365914196</v>
      </c>
      <c r="BS23" s="245">
        <f t="shared" si="9"/>
        <v>0.50657624449905081</v>
      </c>
      <c r="BT23" s="245">
        <f t="shared" si="9"/>
        <v>0.87321815635695288</v>
      </c>
      <c r="BU23" s="245">
        <f t="shared" si="9"/>
        <v>0.4589351750447902</v>
      </c>
      <c r="BV23" s="245">
        <f t="shared" si="9"/>
        <v>0.675584200781148</v>
      </c>
      <c r="BW23" s="245">
        <f t="shared" si="9"/>
        <v>0.47954708933162815</v>
      </c>
      <c r="BX23" s="245">
        <f t="shared" si="9"/>
        <v>1.0226458151335918</v>
      </c>
      <c r="BY23" s="245">
        <f t="shared" si="9"/>
        <v>0.54702829089923288</v>
      </c>
      <c r="BZ23" s="245">
        <f t="shared" si="9"/>
        <v>1.1216061293283432</v>
      </c>
      <c r="CA23" s="245">
        <f t="shared" si="9"/>
        <v>0.77400940616960823</v>
      </c>
      <c r="CB23" s="245">
        <f t="shared" si="9"/>
        <v>1.4204450968528104</v>
      </c>
      <c r="CC23" s="245">
        <f t="shared" si="9"/>
        <v>0.89458881557585168</v>
      </c>
      <c r="CD23" s="245">
        <f t="shared" si="9"/>
        <v>1.6445814790028108</v>
      </c>
      <c r="CE23" s="245" t="e">
        <f t="shared" si="9"/>
        <v>#DIV/0!</v>
      </c>
      <c r="CF23" s="245" t="e">
        <f t="shared" si="9"/>
        <v>#DIV/0!</v>
      </c>
      <c r="CG23" s="245" t="e">
        <f t="shared" si="9"/>
        <v>#DIV/0!</v>
      </c>
      <c r="CH23" s="245" t="e">
        <f t="shared" si="9"/>
        <v>#DIV/0!</v>
      </c>
      <c r="CI23" s="245" t="e">
        <f t="shared" si="9"/>
        <v>#DIV/0!</v>
      </c>
      <c r="CJ23" s="245" t="e">
        <f t="shared" si="9"/>
        <v>#DIV/0!</v>
      </c>
      <c r="CK23" s="245" t="e">
        <f t="shared" si="9"/>
        <v>#DIV/0!</v>
      </c>
    </row>
    <row r="24" spans="1:89" s="160" customFormat="1" ht="14.25" thickBot="1">
      <c r="A24" s="159" t="s">
        <v>692</v>
      </c>
      <c r="E24" s="160">
        <f>E21*E23</f>
        <v>0.24306341826441979</v>
      </c>
      <c r="F24" s="160">
        <f t="shared" ref="F24:BQ24" si="10">F21*F23</f>
        <v>1.4507581204566398</v>
      </c>
      <c r="G24" s="160">
        <f t="shared" si="10"/>
        <v>1.1074209197747156</v>
      </c>
      <c r="H24" s="160">
        <f t="shared" si="10"/>
        <v>-0.50249993270838622</v>
      </c>
      <c r="I24" s="160">
        <f t="shared" si="10"/>
        <v>1.9627560351780954E-2</v>
      </c>
      <c r="J24" s="160">
        <f t="shared" si="10"/>
        <v>0.16351946110638954</v>
      </c>
      <c r="K24" s="160">
        <f t="shared" si="10"/>
        <v>0.1207164895105873</v>
      </c>
      <c r="L24" s="160">
        <f t="shared" si="10"/>
        <v>8.4524312649959854E-2</v>
      </c>
      <c r="M24" s="160">
        <f t="shared" si="10"/>
        <v>4.8484855443254857E-2</v>
      </c>
      <c r="N24" s="160">
        <f t="shared" si="10"/>
        <v>0.23541828288421338</v>
      </c>
      <c r="O24" s="160">
        <f t="shared" si="10"/>
        <v>0.23077944620496138</v>
      </c>
      <c r="P24" s="160">
        <f t="shared" si="10"/>
        <v>0.17729067818604494</v>
      </c>
      <c r="Q24" s="160">
        <f t="shared" si="10"/>
        <v>0.11246490955316023</v>
      </c>
      <c r="R24" s="160">
        <f t="shared" si="10"/>
        <v>0.56204317546055249</v>
      </c>
      <c r="S24" s="160">
        <f t="shared" si="10"/>
        <v>0.53894514211827027</v>
      </c>
      <c r="T24" s="160">
        <f t="shared" si="10"/>
        <v>0.5299531765678579</v>
      </c>
      <c r="U24" s="160">
        <f t="shared" si="10"/>
        <v>0.60699481906154895</v>
      </c>
      <c r="V24" s="160">
        <f t="shared" si="10"/>
        <v>-3.4764306594021175</v>
      </c>
      <c r="W24" s="160">
        <f t="shared" si="10"/>
        <v>-3.6971457807943038</v>
      </c>
      <c r="X24" s="160">
        <f t="shared" si="10"/>
        <v>-2.612935454330128</v>
      </c>
      <c r="Y24" s="160">
        <f t="shared" si="10"/>
        <v>-0.2897346564520506</v>
      </c>
      <c r="Z24" s="160">
        <f t="shared" si="10"/>
        <v>-2.829163435968062</v>
      </c>
      <c r="AA24" s="160">
        <f t="shared" si="10"/>
        <v>1.2707942452594347</v>
      </c>
      <c r="AB24" s="160">
        <f t="shared" si="10"/>
        <v>0.60252916445124838</v>
      </c>
      <c r="AC24" s="160">
        <f t="shared" si="10"/>
        <v>1.0971711031606077</v>
      </c>
      <c r="AD24" s="160">
        <f t="shared" si="10"/>
        <v>2.6407458290973871</v>
      </c>
      <c r="AE24" s="160">
        <f t="shared" si="10"/>
        <v>0.48192744469549148</v>
      </c>
      <c r="AF24" s="160">
        <f t="shared" si="10"/>
        <v>0.25420221163551765</v>
      </c>
      <c r="AG24" s="160">
        <f t="shared" si="10"/>
        <v>0.15062278954411884</v>
      </c>
      <c r="AH24" s="160">
        <f t="shared" si="10"/>
        <v>0.31264678105256549</v>
      </c>
      <c r="AI24" s="160">
        <f t="shared" si="10"/>
        <v>0.12512853536813318</v>
      </c>
      <c r="AJ24" s="160">
        <f t="shared" si="10"/>
        <v>0.12888242308228653</v>
      </c>
      <c r="AK24" s="160">
        <f t="shared" si="10"/>
        <v>0.18224029710318682</v>
      </c>
      <c r="AL24" s="160">
        <f t="shared" si="10"/>
        <v>0.2785849117141867</v>
      </c>
      <c r="AM24" s="160">
        <f t="shared" si="10"/>
        <v>0.16796664277108561</v>
      </c>
      <c r="AN24" s="160">
        <f t="shared" si="10"/>
        <v>0.10474649021305191</v>
      </c>
      <c r="AO24" s="160">
        <f t="shared" si="10"/>
        <v>6.7975995346222604E-2</v>
      </c>
      <c r="AP24" s="160">
        <f t="shared" si="10"/>
        <v>0.16602891450476723</v>
      </c>
      <c r="AQ24" s="160">
        <f t="shared" si="10"/>
        <v>8.079288603639749E-2</v>
      </c>
      <c r="AR24" s="160">
        <f t="shared" si="10"/>
        <v>5.0324902861347838E-2</v>
      </c>
      <c r="AS24" s="160">
        <f t="shared" si="10"/>
        <v>4.2248510934739983E-2</v>
      </c>
      <c r="AT24" s="160">
        <f t="shared" si="10"/>
        <v>0.14148654118097664</v>
      </c>
      <c r="AU24" s="160">
        <f t="shared" si="10"/>
        <v>7.6460292924113576E-2</v>
      </c>
      <c r="AV24" s="160">
        <f t="shared" si="10"/>
        <v>2.1606270807909035E-2</v>
      </c>
      <c r="AW24" s="160">
        <f t="shared" si="10"/>
        <v>3.1645920412713954E-2</v>
      </c>
      <c r="AX24" s="160">
        <f t="shared" si="10"/>
        <v>7.4807097953591195E-2</v>
      </c>
      <c r="AY24" s="160">
        <f t="shared" si="10"/>
        <v>6.4731714215461644E-2</v>
      </c>
      <c r="AZ24" s="160">
        <f t="shared" si="10"/>
        <v>4.9857442012959191E-2</v>
      </c>
      <c r="BA24" s="160">
        <f t="shared" si="10"/>
        <v>1.5882970927769271E-2</v>
      </c>
      <c r="BB24" s="160">
        <f t="shared" si="10"/>
        <v>2.496274452095945E-3</v>
      </c>
      <c r="BC24" s="160">
        <f t="shared" si="10"/>
        <v>1.3624444969117976E-2</v>
      </c>
      <c r="BD24" s="160">
        <f t="shared" si="10"/>
        <v>1.6179313888903764E-2</v>
      </c>
      <c r="BE24" s="160">
        <f t="shared" si="10"/>
        <v>1.3272621395379063E-2</v>
      </c>
      <c r="BF24" s="160">
        <f t="shared" si="10"/>
        <v>7.7231048928522233E-3</v>
      </c>
      <c r="BG24" s="160">
        <f t="shared" si="10"/>
        <v>9.0739749105954552E-3</v>
      </c>
      <c r="BH24" s="160">
        <f t="shared" si="10"/>
        <v>6.7647861211975885E-3</v>
      </c>
      <c r="BI24" s="160">
        <f t="shared" si="10"/>
        <v>6.137386378757128E-3</v>
      </c>
      <c r="BJ24" s="160">
        <f t="shared" si="10"/>
        <v>-5.6331676034619207E-2</v>
      </c>
      <c r="BK24" s="160">
        <f t="shared" si="10"/>
        <v>-3.9446826847789308E-2</v>
      </c>
      <c r="BL24" s="160">
        <f t="shared" si="10"/>
        <v>-1.9721181633247115E-2</v>
      </c>
      <c r="BM24" s="160">
        <f t="shared" si="10"/>
        <v>-3.789866766420031E-3</v>
      </c>
      <c r="BN24" s="160">
        <f t="shared" si="10"/>
        <v>-7.2665750219953792E-2</v>
      </c>
      <c r="BO24" s="160">
        <f t="shared" si="10"/>
        <v>-1.1688563264537459E-2</v>
      </c>
      <c r="BP24" s="160">
        <f t="shared" si="10"/>
        <v>-1.3883328582549822E-3</v>
      </c>
      <c r="BQ24" s="160">
        <f t="shared" si="10"/>
        <v>4.6084192743669206E-3</v>
      </c>
      <c r="BR24" s="160">
        <f t="shared" ref="BR24:CK24" si="11">BR21*BR23</f>
        <v>-2.2909285860518314E-2</v>
      </c>
      <c r="BS24" s="160">
        <f t="shared" si="11"/>
        <v>1.4107566788551363E-2</v>
      </c>
      <c r="BT24" s="160">
        <f t="shared" si="11"/>
        <v>3.3232117782376606E-2</v>
      </c>
      <c r="BU24" s="160">
        <f t="shared" si="11"/>
        <v>1.4917816346587067E-2</v>
      </c>
      <c r="BV24" s="160">
        <f t="shared" si="11"/>
        <v>2.9287486553870885E-2</v>
      </c>
      <c r="BW24" s="160">
        <f t="shared" si="11"/>
        <v>2.6982787347001734E-2</v>
      </c>
      <c r="BX24" s="160">
        <f t="shared" si="11"/>
        <v>5.4880113799491682E-2</v>
      </c>
      <c r="BY24" s="160">
        <f t="shared" si="11"/>
        <v>3.0352944794039605E-2</v>
      </c>
      <c r="BZ24" s="160">
        <f t="shared" si="11"/>
        <v>7.6157358636422881E-2</v>
      </c>
      <c r="CA24" s="160">
        <f t="shared" si="11"/>
        <v>5.2531040331500217E-2</v>
      </c>
      <c r="CB24" s="160">
        <f t="shared" si="11"/>
        <v>8.0389895379425008E-2</v>
      </c>
      <c r="CC24" s="160">
        <f t="shared" si="11"/>
        <v>5.9897493479473318E-2</v>
      </c>
      <c r="CD24" s="160">
        <f t="shared" si="11"/>
        <v>0.10414336709008136</v>
      </c>
      <c r="CE24" s="160" t="e">
        <f t="shared" si="11"/>
        <v>#DIV/0!</v>
      </c>
      <c r="CF24" s="160" t="e">
        <f t="shared" si="11"/>
        <v>#DIV/0!</v>
      </c>
      <c r="CG24" s="160" t="e">
        <f t="shared" si="11"/>
        <v>#DIV/0!</v>
      </c>
      <c r="CH24" s="160" t="e">
        <f t="shared" si="11"/>
        <v>#DIV/0!</v>
      </c>
      <c r="CI24" s="160" t="e">
        <f t="shared" si="11"/>
        <v>#DIV/0!</v>
      </c>
      <c r="CJ24" s="160" t="e">
        <f t="shared" si="11"/>
        <v>#DIV/0!</v>
      </c>
      <c r="CK24" s="160" t="e">
        <f t="shared" si="11"/>
        <v>#DIV/0!</v>
      </c>
    </row>
    <row r="25" spans="1:89" s="247" customFormat="1">
      <c r="A25" s="246" t="s">
        <v>441</v>
      </c>
      <c r="B25" s="1">
        <v>43465</v>
      </c>
      <c r="C25" s="1">
        <v>43373</v>
      </c>
      <c r="D25" s="1">
        <v>43281</v>
      </c>
      <c r="E25" s="1">
        <v>43190</v>
      </c>
      <c r="F25" s="1">
        <v>43100</v>
      </c>
      <c r="G25" s="1">
        <v>43008</v>
      </c>
      <c r="H25" s="1">
        <v>42916</v>
      </c>
      <c r="I25" s="1">
        <v>42825</v>
      </c>
      <c r="J25" s="1">
        <v>42735</v>
      </c>
      <c r="K25" s="1">
        <v>42643</v>
      </c>
      <c r="L25" s="1">
        <v>42551</v>
      </c>
      <c r="M25" s="1">
        <v>42460</v>
      </c>
      <c r="N25" s="1">
        <v>42369</v>
      </c>
      <c r="O25" s="1">
        <v>42277</v>
      </c>
      <c r="P25" s="1">
        <v>42185</v>
      </c>
      <c r="Q25" s="1">
        <v>42094</v>
      </c>
      <c r="R25" s="1">
        <v>42004</v>
      </c>
      <c r="S25" s="1">
        <v>41912</v>
      </c>
      <c r="T25" s="1">
        <v>41820</v>
      </c>
      <c r="U25" s="1">
        <v>41729</v>
      </c>
      <c r="V25" s="1">
        <v>41639</v>
      </c>
      <c r="W25" s="1">
        <v>41547</v>
      </c>
      <c r="X25" s="1">
        <v>41455</v>
      </c>
      <c r="Y25" s="1">
        <v>41364</v>
      </c>
      <c r="Z25" s="1">
        <v>41274</v>
      </c>
      <c r="AA25" s="1">
        <v>41182</v>
      </c>
      <c r="AB25" s="1">
        <v>41090</v>
      </c>
      <c r="AC25" s="1">
        <v>40999</v>
      </c>
      <c r="AD25" s="1">
        <v>40908</v>
      </c>
      <c r="AE25" s="1">
        <v>40816</v>
      </c>
      <c r="AF25" s="1">
        <v>40724</v>
      </c>
      <c r="AG25" s="1">
        <v>40633</v>
      </c>
      <c r="AH25" s="1">
        <v>40543</v>
      </c>
      <c r="AI25" s="1">
        <v>40451</v>
      </c>
      <c r="AJ25" s="1">
        <v>40359</v>
      </c>
      <c r="AK25" s="1">
        <v>40268</v>
      </c>
      <c r="AL25" s="1">
        <v>40178</v>
      </c>
      <c r="AM25" s="1">
        <v>40086</v>
      </c>
      <c r="AN25" s="1">
        <v>39994</v>
      </c>
      <c r="AO25" s="1">
        <v>39903</v>
      </c>
      <c r="AP25" s="1">
        <v>39813</v>
      </c>
      <c r="AQ25" s="1">
        <v>39721</v>
      </c>
      <c r="AR25" s="1">
        <v>39629</v>
      </c>
      <c r="AS25" s="1">
        <v>39538</v>
      </c>
      <c r="AT25" s="1">
        <v>39447</v>
      </c>
      <c r="AU25" s="1">
        <v>39355</v>
      </c>
      <c r="AV25" s="1">
        <v>39263</v>
      </c>
      <c r="AW25" s="1">
        <v>39172</v>
      </c>
      <c r="AX25" s="1">
        <v>39082</v>
      </c>
      <c r="AY25" s="1">
        <v>38990</v>
      </c>
      <c r="AZ25" s="1">
        <v>38898</v>
      </c>
      <c r="BA25" s="1">
        <v>38807</v>
      </c>
      <c r="BB25" s="1">
        <v>38717</v>
      </c>
      <c r="BC25" s="1">
        <v>38625</v>
      </c>
      <c r="BD25" s="1">
        <v>38533</v>
      </c>
      <c r="BE25" s="1">
        <v>38442</v>
      </c>
      <c r="BF25" s="1">
        <v>38352</v>
      </c>
      <c r="BG25" s="1">
        <v>38260</v>
      </c>
      <c r="BH25" s="1">
        <v>38168</v>
      </c>
      <c r="BI25" s="1">
        <v>38077</v>
      </c>
      <c r="BJ25" s="1">
        <v>37986</v>
      </c>
      <c r="BK25" s="1">
        <v>37894</v>
      </c>
      <c r="BL25" s="1">
        <v>37802</v>
      </c>
      <c r="BM25" s="1">
        <v>37711</v>
      </c>
      <c r="BN25" s="1">
        <v>37621</v>
      </c>
      <c r="BO25" s="1">
        <v>37529</v>
      </c>
      <c r="BP25" s="1">
        <v>37437</v>
      </c>
      <c r="BQ25" s="1">
        <v>37346</v>
      </c>
      <c r="BR25" s="1">
        <v>37256</v>
      </c>
      <c r="BS25" s="1">
        <v>37072</v>
      </c>
      <c r="BT25" s="1">
        <v>36891</v>
      </c>
      <c r="BU25" s="1">
        <v>36707</v>
      </c>
      <c r="BV25" s="1">
        <v>36525</v>
      </c>
      <c r="BW25" s="1">
        <v>36341</v>
      </c>
      <c r="BX25" s="1">
        <v>36160</v>
      </c>
      <c r="BY25" s="1">
        <v>35976</v>
      </c>
      <c r="BZ25" s="1">
        <v>35795</v>
      </c>
      <c r="CA25" s="1">
        <v>35611</v>
      </c>
      <c r="CB25" s="1">
        <v>35430</v>
      </c>
      <c r="CC25" s="1">
        <v>35246</v>
      </c>
      <c r="CD25" s="1">
        <v>35064</v>
      </c>
      <c r="CE25" s="1">
        <v>25569</v>
      </c>
      <c r="CF25" s="1"/>
      <c r="CG25" s="1"/>
      <c r="CH25" s="1"/>
      <c r="CI25" s="1"/>
      <c r="CJ25" s="1"/>
      <c r="CK25" s="1"/>
    </row>
    <row r="26" spans="1:89" s="76" customFormat="1">
      <c r="A26" s="146" t="s">
        <v>442</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5367333.3499999996</v>
      </c>
      <c r="AI26" s="76">
        <f>利润表!AI14</f>
        <v>5367333.3499999996</v>
      </c>
      <c r="AJ26" s="76">
        <f>利润表!AJ14</f>
        <v>0</v>
      </c>
      <c r="AK26" s="76">
        <f>利润表!AK14</f>
        <v>1364388.6</v>
      </c>
      <c r="AL26" s="76">
        <f>利润表!AL14</f>
        <v>-257351.65</v>
      </c>
      <c r="AM26" s="76">
        <f>利润表!AM14</f>
        <v>1436815.75</v>
      </c>
      <c r="AN26" s="76">
        <f>利润表!AN14</f>
        <v>603902.77</v>
      </c>
      <c r="AO26" s="76">
        <f>利润表!AO14</f>
        <v>0</v>
      </c>
      <c r="AP26" s="76">
        <f>利润表!AP14</f>
        <v>14236997.41</v>
      </c>
      <c r="AQ26" s="76">
        <f>利润表!AQ14</f>
        <v>0</v>
      </c>
      <c r="AR26" s="76">
        <f>利润表!AR14</f>
        <v>0</v>
      </c>
      <c r="AS26" s="76">
        <f>利润表!AS14</f>
        <v>14129967.779999999</v>
      </c>
      <c r="AT26" s="76">
        <f>利润表!AT14</f>
        <v>5037313.24</v>
      </c>
      <c r="AU26" s="76">
        <f>利润表!AU14</f>
        <v>0</v>
      </c>
      <c r="AV26" s="76">
        <f>利润表!AV14</f>
        <v>0</v>
      </c>
      <c r="AW26" s="76">
        <f>利润表!AW14</f>
        <v>-1383627.67</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c r="A27" s="146" t="s">
        <v>443</v>
      </c>
      <c r="E27" s="76">
        <f>资产资本表!E19</f>
        <v>0</v>
      </c>
      <c r="F27" s="76">
        <f>资产资本表!F19</f>
        <v>0</v>
      </c>
      <c r="G27" s="76">
        <f>资产资本表!G19</f>
        <v>0</v>
      </c>
      <c r="H27" s="76">
        <f>资产资本表!H19</f>
        <v>0</v>
      </c>
      <c r="I27" s="76">
        <f>资产资本表!I19</f>
        <v>0</v>
      </c>
      <c r="J27" s="76">
        <f>资产资本表!J19</f>
        <v>0</v>
      </c>
      <c r="K27" s="76">
        <f>资产资本表!K19</f>
        <v>0</v>
      </c>
      <c r="L27" s="76">
        <f>资产资本表!L19</f>
        <v>0</v>
      </c>
      <c r="M27" s="76">
        <f>资产资本表!M19</f>
        <v>0</v>
      </c>
      <c r="N27" s="76">
        <f>资产资本表!N19</f>
        <v>0</v>
      </c>
      <c r="O27" s="76">
        <f>资产资本表!O19</f>
        <v>0</v>
      </c>
      <c r="P27" s="76">
        <f>资产资本表!P19</f>
        <v>0</v>
      </c>
      <c r="Q27" s="76">
        <f>资产资本表!Q19</f>
        <v>0</v>
      </c>
      <c r="R27" s="76">
        <f>资产资本表!R19</f>
        <v>0</v>
      </c>
      <c r="S27" s="76">
        <f>资产资本表!S19</f>
        <v>0</v>
      </c>
      <c r="T27" s="76">
        <f>资产资本表!T19</f>
        <v>86589600</v>
      </c>
      <c r="U27" s="76">
        <f>资产资本表!U19</f>
        <v>86589600</v>
      </c>
      <c r="V27" s="76">
        <f>资产资本表!V19</f>
        <v>86589600</v>
      </c>
      <c r="W27" s="76">
        <f>资产资本表!W19</f>
        <v>86589600</v>
      </c>
      <c r="X27" s="76">
        <f>资产资本表!X19</f>
        <v>59550000</v>
      </c>
      <c r="Y27" s="76">
        <f>资产资本表!Y19</f>
        <v>59550000</v>
      </c>
      <c r="Z27" s="76">
        <f>资产资本表!Z19</f>
        <v>59550000</v>
      </c>
      <c r="AA27" s="76">
        <f>资产资本表!AA19</f>
        <v>59550000</v>
      </c>
      <c r="AB27" s="76">
        <f>资产资本表!AB19</f>
        <v>59550000</v>
      </c>
      <c r="AC27" s="76">
        <f>资产资本表!AC19</f>
        <v>59550000</v>
      </c>
      <c r="AD27" s="76">
        <f>资产资本表!AD19</f>
        <v>59550000</v>
      </c>
      <c r="AE27" s="76">
        <f>资产资本表!AE19</f>
        <v>59550000</v>
      </c>
      <c r="AF27" s="76">
        <f>资产资本表!AF19</f>
        <v>59550000</v>
      </c>
      <c r="AG27" s="76">
        <f>资产资本表!AG19</f>
        <v>59550000</v>
      </c>
      <c r="AH27" s="76">
        <f>资产资本表!AH19</f>
        <v>59550000</v>
      </c>
      <c r="AI27" s="76">
        <f>资产资本表!AI19</f>
        <v>50000</v>
      </c>
      <c r="AJ27" s="76">
        <f>资产资本表!AJ19</f>
        <v>157594199.66</v>
      </c>
      <c r="AK27" s="76">
        <f>资产资本表!AK19</f>
        <v>171153989.25</v>
      </c>
      <c r="AL27" s="76">
        <f>资产资本表!AL19</f>
        <v>171653959.53999999</v>
      </c>
      <c r="AM27" s="76">
        <f>资产资本表!AM19</f>
        <v>146293681.12</v>
      </c>
      <c r="AN27" s="76">
        <f>资产资本表!AN19</f>
        <v>145460768.13999999</v>
      </c>
      <c r="AO27" s="76">
        <f>资产资本表!AO19</f>
        <v>143878716.81</v>
      </c>
      <c r="AP27" s="76">
        <f>资产资本表!AP19</f>
        <v>144856865.37</v>
      </c>
      <c r="AQ27" s="76">
        <f>资产资本表!AQ19</f>
        <v>191435531.72</v>
      </c>
      <c r="AR27" s="76">
        <f>资产资本表!AR19</f>
        <v>192011429.02000001</v>
      </c>
      <c r="AS27" s="76">
        <f>资产资本表!AS19</f>
        <v>190543594.06</v>
      </c>
      <c r="AT27" s="76">
        <f>资产资本表!AT19</f>
        <v>188717185.31999999</v>
      </c>
      <c r="AU27" s="76">
        <f>资产资本表!AU19</f>
        <v>107536765.02</v>
      </c>
      <c r="AV27" s="76">
        <f>资产资本表!AV19</f>
        <v>106969580.40000001</v>
      </c>
      <c r="AW27" s="76">
        <f>资产资本表!AW19</f>
        <v>104763089.11</v>
      </c>
      <c r="AX27" s="76">
        <f>资产资本表!AX19</f>
        <v>105882767.7</v>
      </c>
      <c r="AY27" s="76">
        <f>资产资本表!AY19</f>
        <v>103470280.06999999</v>
      </c>
      <c r="AZ27" s="76">
        <f>资产资本表!AZ19</f>
        <v>103788901.8</v>
      </c>
      <c r="BA27" s="76">
        <f>资产资本表!BA19</f>
        <v>71846769.420000002</v>
      </c>
      <c r="BB27" s="76">
        <f>资产资本表!BB19</f>
        <v>73393171.790000007</v>
      </c>
      <c r="BC27" s="76">
        <f>资产资本表!BC19</f>
        <v>73127383.590000004</v>
      </c>
      <c r="BD27" s="76">
        <f>资产资本表!BD19</f>
        <v>73393433.040000007</v>
      </c>
      <c r="BE27" s="76">
        <f>资产资本表!BE19</f>
        <v>72586278.299999997</v>
      </c>
      <c r="BF27" s="76">
        <f>资产资本表!BF19</f>
        <v>74725596.280000001</v>
      </c>
      <c r="BG27" s="76">
        <f>资产资本表!BG19</f>
        <v>78100104.680000007</v>
      </c>
      <c r="BH27" s="76">
        <f>资产资本表!BH19</f>
        <v>78535319.120000005</v>
      </c>
      <c r="BI27" s="76">
        <f>资产资本表!BI19</f>
        <v>78959241.730000004</v>
      </c>
      <c r="BJ27" s="76">
        <f>资产资本表!BJ19</f>
        <v>4200920.0599999996</v>
      </c>
      <c r="BK27" s="76">
        <f>资产资本表!BK19</f>
        <v>4144425.72</v>
      </c>
      <c r="BL27" s="76">
        <f>资产资本表!BL19</f>
        <v>4214329.5199999996</v>
      </c>
      <c r="BM27" s="76">
        <f>资产资本表!BM19</f>
        <v>6218991.1200000001</v>
      </c>
      <c r="BN27" s="76">
        <f>资产资本表!BN19</f>
        <v>6218991.1200000001</v>
      </c>
      <c r="BO27" s="76">
        <f>资产资本表!BO19</f>
        <v>57623453.670000002</v>
      </c>
      <c r="BP27" s="76">
        <f>资产资本表!BP19</f>
        <v>63690187.979999997</v>
      </c>
      <c r="BQ27" s="76">
        <f>资产资本表!BQ19</f>
        <v>73380034.439999998</v>
      </c>
      <c r="BR27" s="76">
        <f>资产资本表!BR19</f>
        <v>73761382.670000002</v>
      </c>
      <c r="BS27" s="76">
        <f>资产资本表!BS19</f>
        <v>20313556.739999998</v>
      </c>
      <c r="BT27" s="76">
        <f>资产资本表!BT19</f>
        <v>56338320.200000003</v>
      </c>
      <c r="BU27" s="76">
        <f>资产资本表!BU19</f>
        <v>25178173.690000001</v>
      </c>
      <c r="BV27" s="76">
        <f>资产资本表!BV19</f>
        <v>27749696.16</v>
      </c>
      <c r="BW27" s="76">
        <f>资产资本表!BW19</f>
        <v>29830569.579999998</v>
      </c>
      <c r="BX27" s="76">
        <f>资产资本表!BX19</f>
        <v>29830569.579999998</v>
      </c>
      <c r="BY27" s="76">
        <f>资产资本表!BY19</f>
        <v>32576184.07</v>
      </c>
      <c r="BZ27" s="76">
        <f>资产资本表!BZ19</f>
        <v>32576184.07</v>
      </c>
      <c r="CA27" s="76">
        <f>资产资本表!CA19</f>
        <v>33279966.25</v>
      </c>
      <c r="CB27" s="76">
        <f>资产资本表!CB19</f>
        <v>3279966.25</v>
      </c>
      <c r="CC27" s="76">
        <f>资产资本表!CC19</f>
        <v>3925966.25</v>
      </c>
      <c r="CD27" s="76">
        <f>资产资本表!CD19</f>
        <v>3925966.25</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c r="A28" s="144" t="s">
        <v>444</v>
      </c>
      <c r="E28" s="110" t="e">
        <f>E26/E27</f>
        <v>#DIV/0!</v>
      </c>
      <c r="F28" s="110" t="e">
        <f t="shared" ref="F28:BQ28" si="12">F26/F27</f>
        <v>#DIV/0!</v>
      </c>
      <c r="G28" s="110" t="e">
        <f t="shared" si="12"/>
        <v>#DIV/0!</v>
      </c>
      <c r="H28" s="110" t="e">
        <f t="shared" si="12"/>
        <v>#DIV/0!</v>
      </c>
      <c r="I28" s="110" t="e">
        <f t="shared" si="12"/>
        <v>#DIV/0!</v>
      </c>
      <c r="J28" s="110" t="e">
        <f t="shared" si="12"/>
        <v>#DIV/0!</v>
      </c>
      <c r="K28" s="110" t="e">
        <f t="shared" si="12"/>
        <v>#DIV/0!</v>
      </c>
      <c r="L28" s="110" t="e">
        <f t="shared" si="12"/>
        <v>#DIV/0!</v>
      </c>
      <c r="M28" s="110" t="e">
        <f t="shared" si="12"/>
        <v>#DIV/0!</v>
      </c>
      <c r="N28" s="110" t="e">
        <f t="shared" si="12"/>
        <v>#DIV/0!</v>
      </c>
      <c r="O28" s="110" t="e">
        <f t="shared" si="12"/>
        <v>#DIV/0!</v>
      </c>
      <c r="P28" s="110" t="e">
        <f t="shared" si="12"/>
        <v>#DIV/0!</v>
      </c>
      <c r="Q28" s="110" t="e">
        <f t="shared" si="12"/>
        <v>#DIV/0!</v>
      </c>
      <c r="R28" s="110" t="e">
        <f t="shared" si="12"/>
        <v>#DIV/0!</v>
      </c>
      <c r="S28" s="110" t="e">
        <f t="shared" si="12"/>
        <v>#DIV/0!</v>
      </c>
      <c r="T28" s="110">
        <f t="shared" si="12"/>
        <v>0</v>
      </c>
      <c r="U28" s="110">
        <f t="shared" si="12"/>
        <v>0</v>
      </c>
      <c r="V28" s="110">
        <f t="shared" si="12"/>
        <v>0</v>
      </c>
      <c r="W28" s="110">
        <f t="shared" si="12"/>
        <v>0</v>
      </c>
      <c r="X28" s="110">
        <f t="shared" si="12"/>
        <v>0</v>
      </c>
      <c r="Y28" s="110">
        <f t="shared" si="12"/>
        <v>0</v>
      </c>
      <c r="Z28" s="110">
        <f t="shared" si="12"/>
        <v>0</v>
      </c>
      <c r="AA28" s="110">
        <f t="shared" si="12"/>
        <v>0</v>
      </c>
      <c r="AB28" s="110">
        <f t="shared" si="12"/>
        <v>0</v>
      </c>
      <c r="AC28" s="110">
        <f t="shared" si="12"/>
        <v>0</v>
      </c>
      <c r="AD28" s="110">
        <f t="shared" si="12"/>
        <v>0</v>
      </c>
      <c r="AE28" s="110">
        <f t="shared" si="12"/>
        <v>0</v>
      </c>
      <c r="AF28" s="110">
        <f t="shared" si="12"/>
        <v>0</v>
      </c>
      <c r="AG28" s="110">
        <f t="shared" si="12"/>
        <v>0</v>
      </c>
      <c r="AH28" s="110">
        <f t="shared" si="12"/>
        <v>9.0131542401343398E-2</v>
      </c>
      <c r="AI28" s="110">
        <f t="shared" si="12"/>
        <v>107.346667</v>
      </c>
      <c r="AJ28" s="110">
        <f t="shared" si="12"/>
        <v>0</v>
      </c>
      <c r="AK28" s="110">
        <f t="shared" si="12"/>
        <v>7.9717020092770069E-3</v>
      </c>
      <c r="AL28" s="110">
        <f t="shared" si="12"/>
        <v>-1.499246802635101E-3</v>
      </c>
      <c r="AM28" s="110">
        <f t="shared" si="12"/>
        <v>9.8214477822963948E-3</v>
      </c>
      <c r="AN28" s="110">
        <f t="shared" si="12"/>
        <v>4.1516539319988227E-3</v>
      </c>
      <c r="AO28" s="110">
        <f t="shared" si="12"/>
        <v>0</v>
      </c>
      <c r="AP28" s="110">
        <f t="shared" si="12"/>
        <v>9.8283207866159558E-2</v>
      </c>
      <c r="AQ28" s="110">
        <f t="shared" si="12"/>
        <v>0</v>
      </c>
      <c r="AR28" s="110">
        <f t="shared" si="12"/>
        <v>0</v>
      </c>
      <c r="AS28" s="110">
        <f t="shared" si="12"/>
        <v>7.4156089317548163E-2</v>
      </c>
      <c r="AT28" s="110">
        <f t="shared" si="12"/>
        <v>2.6692392807037869E-2</v>
      </c>
      <c r="AU28" s="110">
        <f t="shared" si="12"/>
        <v>0</v>
      </c>
      <c r="AV28" s="110">
        <f t="shared" si="12"/>
        <v>0</v>
      </c>
      <c r="AW28" s="110">
        <f t="shared" si="12"/>
        <v>-1.3207205722496474E-2</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f t="shared" si="12"/>
        <v>0</v>
      </c>
      <c r="BH28" s="110">
        <f t="shared" si="12"/>
        <v>0</v>
      </c>
      <c r="BI28" s="110">
        <f t="shared" si="12"/>
        <v>0</v>
      </c>
      <c r="BJ28" s="110">
        <f t="shared" si="12"/>
        <v>0</v>
      </c>
      <c r="BK28" s="110">
        <f t="shared" si="12"/>
        <v>0</v>
      </c>
      <c r="BL28" s="110">
        <f t="shared" si="12"/>
        <v>0</v>
      </c>
      <c r="BM28" s="110">
        <f t="shared" si="12"/>
        <v>0</v>
      </c>
      <c r="BN28" s="110">
        <f t="shared" si="12"/>
        <v>0</v>
      </c>
      <c r="BO28" s="110">
        <f t="shared" si="12"/>
        <v>0</v>
      </c>
      <c r="BP28" s="110">
        <f t="shared" si="12"/>
        <v>0</v>
      </c>
      <c r="BQ28" s="110">
        <f t="shared" si="12"/>
        <v>0</v>
      </c>
      <c r="BR28" s="110">
        <f t="shared" ref="BR28:CJ28" si="13">BR26/BR27</f>
        <v>0</v>
      </c>
      <c r="BS28" s="110">
        <f t="shared" si="13"/>
        <v>0</v>
      </c>
      <c r="BT28" s="110">
        <f t="shared" si="13"/>
        <v>0</v>
      </c>
      <c r="BU28" s="110">
        <f t="shared" si="13"/>
        <v>0</v>
      </c>
      <c r="BV28" s="110">
        <f t="shared" si="13"/>
        <v>0</v>
      </c>
      <c r="BW28" s="110">
        <f t="shared" si="13"/>
        <v>0</v>
      </c>
      <c r="BX28" s="110">
        <f t="shared" si="13"/>
        <v>0</v>
      </c>
      <c r="BY28" s="110">
        <f t="shared" si="13"/>
        <v>0</v>
      </c>
      <c r="BZ28" s="110">
        <f t="shared" si="13"/>
        <v>0</v>
      </c>
      <c r="CA28" s="110">
        <f t="shared" si="13"/>
        <v>0</v>
      </c>
      <c r="CB28" s="110">
        <f t="shared" si="13"/>
        <v>0</v>
      </c>
      <c r="CC28" s="110">
        <f t="shared" si="13"/>
        <v>0</v>
      </c>
      <c r="CD28" s="110">
        <f t="shared" si="13"/>
        <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c r="A29" s="288" t="s">
        <v>694</v>
      </c>
      <c r="B29" s="279"/>
      <c r="C29" s="279"/>
      <c r="D29" s="279"/>
      <c r="E29" s="279"/>
      <c r="F29" s="279"/>
      <c r="G29" s="279"/>
      <c r="H29" s="279"/>
      <c r="I29" s="279"/>
      <c r="J29" s="279"/>
      <c r="K29" s="279"/>
      <c r="L29" s="279"/>
      <c r="M29" s="279"/>
      <c r="N29" s="279"/>
      <c r="O29" s="279"/>
      <c r="P29" s="279"/>
      <c r="Q29" s="279"/>
      <c r="R29" s="279"/>
      <c r="S29" s="279"/>
      <c r="T29" s="279"/>
      <c r="U29" s="279"/>
    </row>
    <row r="30" spans="1:89" s="26" customFormat="1">
      <c r="A30" s="17"/>
    </row>
    <row r="31" spans="1:89" s="116" customFormat="1">
      <c r="A31" s="118" t="s">
        <v>445</v>
      </c>
      <c r="B31" s="1">
        <v>43465</v>
      </c>
      <c r="C31" s="1">
        <v>43373</v>
      </c>
      <c r="D31" s="1">
        <v>43281</v>
      </c>
      <c r="E31" s="1">
        <v>43190</v>
      </c>
      <c r="F31" s="1">
        <v>43100</v>
      </c>
      <c r="G31" s="1">
        <v>43008</v>
      </c>
      <c r="H31" s="1">
        <v>42916</v>
      </c>
      <c r="I31" s="1">
        <v>42825</v>
      </c>
      <c r="J31" s="1">
        <v>42735</v>
      </c>
      <c r="K31" s="1">
        <v>42643</v>
      </c>
      <c r="L31" s="1">
        <v>42551</v>
      </c>
      <c r="M31" s="1">
        <v>42460</v>
      </c>
      <c r="N31" s="1">
        <v>42369</v>
      </c>
      <c r="O31" s="1">
        <v>42277</v>
      </c>
      <c r="P31" s="1">
        <v>42185</v>
      </c>
      <c r="Q31" s="1">
        <v>42094</v>
      </c>
      <c r="R31" s="1">
        <v>42004</v>
      </c>
      <c r="S31" s="1">
        <v>41912</v>
      </c>
      <c r="T31" s="1">
        <v>41820</v>
      </c>
      <c r="U31" s="1">
        <v>41729</v>
      </c>
      <c r="V31" s="1">
        <v>41639</v>
      </c>
      <c r="W31" s="1">
        <v>41547</v>
      </c>
      <c r="X31" s="1">
        <v>41455</v>
      </c>
      <c r="Y31" s="1">
        <v>41364</v>
      </c>
      <c r="Z31" s="1">
        <v>41274</v>
      </c>
      <c r="AA31" s="1">
        <v>41182</v>
      </c>
      <c r="AB31" s="1">
        <v>41090</v>
      </c>
      <c r="AC31" s="1">
        <v>40999</v>
      </c>
      <c r="AD31" s="1">
        <v>40908</v>
      </c>
      <c r="AE31" s="1">
        <v>40816</v>
      </c>
      <c r="AF31" s="1">
        <v>40724</v>
      </c>
      <c r="AG31" s="1">
        <v>40633</v>
      </c>
      <c r="AH31" s="1">
        <v>40543</v>
      </c>
      <c r="AI31" s="1">
        <v>40451</v>
      </c>
      <c r="AJ31" s="1">
        <v>40359</v>
      </c>
      <c r="AK31" s="1">
        <v>40268</v>
      </c>
      <c r="AL31" s="1">
        <v>40178</v>
      </c>
      <c r="AM31" s="1">
        <v>40086</v>
      </c>
      <c r="AN31" s="1">
        <v>39994</v>
      </c>
      <c r="AO31" s="1">
        <v>39903</v>
      </c>
      <c r="AP31" s="1">
        <v>39813</v>
      </c>
      <c r="AQ31" s="1">
        <v>39721</v>
      </c>
      <c r="AR31" s="1">
        <v>39629</v>
      </c>
      <c r="AS31" s="1">
        <v>39538</v>
      </c>
      <c r="AT31" s="1">
        <v>39447</v>
      </c>
      <c r="AU31" s="1">
        <v>39355</v>
      </c>
      <c r="AV31" s="1">
        <v>39263</v>
      </c>
      <c r="AW31" s="1">
        <v>39172</v>
      </c>
      <c r="AX31" s="1">
        <v>39082</v>
      </c>
      <c r="AY31" s="1">
        <v>38990</v>
      </c>
      <c r="AZ31" s="1">
        <v>38898</v>
      </c>
      <c r="BA31" s="1">
        <v>38807</v>
      </c>
      <c r="BB31" s="1">
        <v>38717</v>
      </c>
      <c r="BC31" s="1">
        <v>38625</v>
      </c>
      <c r="BD31" s="1">
        <v>38533</v>
      </c>
      <c r="BE31" s="1">
        <v>38442</v>
      </c>
      <c r="BF31" s="1">
        <v>38352</v>
      </c>
      <c r="BG31" s="1">
        <v>38260</v>
      </c>
      <c r="BH31" s="1">
        <v>38168</v>
      </c>
      <c r="BI31" s="1">
        <v>38077</v>
      </c>
      <c r="BJ31" s="1">
        <v>37986</v>
      </c>
      <c r="BK31" s="1">
        <v>37894</v>
      </c>
      <c r="BL31" s="1">
        <v>37802</v>
      </c>
      <c r="BM31" s="1">
        <v>37711</v>
      </c>
      <c r="BN31" s="1">
        <v>37621</v>
      </c>
      <c r="BO31" s="1">
        <v>37529</v>
      </c>
      <c r="BP31" s="1">
        <v>37437</v>
      </c>
      <c r="BQ31" s="1">
        <v>37346</v>
      </c>
      <c r="BR31" s="1">
        <v>37256</v>
      </c>
      <c r="BS31" s="1">
        <v>37072</v>
      </c>
      <c r="BT31" s="1">
        <v>36891</v>
      </c>
      <c r="BU31" s="1">
        <v>36707</v>
      </c>
      <c r="BV31" s="1">
        <v>36525</v>
      </c>
      <c r="BW31" s="1">
        <v>36341</v>
      </c>
      <c r="BX31" s="1">
        <v>36160</v>
      </c>
      <c r="BY31" s="1">
        <v>35976</v>
      </c>
      <c r="BZ31" s="1">
        <v>35795</v>
      </c>
      <c r="CA31" s="1">
        <v>35611</v>
      </c>
      <c r="CB31" s="1">
        <v>35430</v>
      </c>
      <c r="CC31" s="1">
        <v>35246</v>
      </c>
      <c r="CD31" s="1">
        <v>35064</v>
      </c>
      <c r="CE31" s="1">
        <v>25569</v>
      </c>
      <c r="CF31" s="1"/>
      <c r="CG31" s="1"/>
      <c r="CH31" s="1"/>
      <c r="CI31" s="1"/>
      <c r="CJ31" s="1"/>
      <c r="CK31" s="1"/>
    </row>
    <row r="32" spans="1:89" s="76" customFormat="1">
      <c r="A32" s="146" t="s">
        <v>449</v>
      </c>
      <c r="E32" s="76">
        <f>股权价值增加表!E29</f>
        <v>-3963551880.9502711</v>
      </c>
      <c r="F32" s="76">
        <f>股权价值增加表!F29</f>
        <v>23007.517935408265</v>
      </c>
      <c r="G32" s="76">
        <f>股权价值增加表!G29</f>
        <v>16697.04045977291</v>
      </c>
      <c r="H32" s="76">
        <f>股权价值增加表!H29</f>
        <v>11203.751047774602</v>
      </c>
      <c r="I32" s="76">
        <f>股权价值增加表!I29</f>
        <v>164764184.50625977</v>
      </c>
      <c r="J32" s="76">
        <f>股权价值增加表!J29</f>
        <v>0</v>
      </c>
      <c r="K32" s="76">
        <f>股权价值增加表!K29</f>
        <v>0</v>
      </c>
      <c r="L32" s="76">
        <f>股权价值增加表!L29</f>
        <v>0</v>
      </c>
      <c r="M32" s="76">
        <f>股权价值增加表!M29</f>
        <v>109592202.14413922</v>
      </c>
      <c r="N32" s="76">
        <f>股权价值增加表!N29</f>
        <v>714346.49042983353</v>
      </c>
      <c r="O32" s="76">
        <f>股权价值增加表!O29</f>
        <v>716520.73781474738</v>
      </c>
      <c r="P32" s="76">
        <f>股权价值增加表!P29</f>
        <v>0</v>
      </c>
      <c r="Q32" s="76">
        <f>股权价值增加表!Q29</f>
        <v>22961257.17560057</v>
      </c>
      <c r="R32" s="76">
        <f>股权价值增加表!R29</f>
        <v>3616453.5344385086</v>
      </c>
      <c r="S32" s="76">
        <f>股权价值增加表!S29</f>
        <v>3652915.0764619578</v>
      </c>
      <c r="T32" s="76">
        <f>股权价值增加表!T29</f>
        <v>0</v>
      </c>
      <c r="U32" s="76">
        <f>股权价值增加表!U29</f>
        <v>7303852.4926013164</v>
      </c>
      <c r="V32" s="76">
        <f>股权价值增加表!V29</f>
        <v>495421.56619960099</v>
      </c>
      <c r="W32" s="76">
        <f>股权价值增加表!W29</f>
        <v>488600.62527438754</v>
      </c>
      <c r="X32" s="76">
        <f>股权价值增加表!X29</f>
        <v>0</v>
      </c>
      <c r="Y32" s="76">
        <f>股权价值增加表!Y29</f>
        <v>11437800.367458742</v>
      </c>
      <c r="Z32" s="76">
        <f>股权价值增加表!Z29</f>
        <v>2802596.1216294328</v>
      </c>
      <c r="AA32" s="76">
        <f>股权价值增加表!AA29</f>
        <v>2802395.1101400526</v>
      </c>
      <c r="AB32" s="76">
        <f>股权价值增加表!AB29</f>
        <v>0</v>
      </c>
      <c r="AC32" s="76">
        <f>股权价值增加表!AC29</f>
        <v>-38946914.252926908</v>
      </c>
      <c r="AD32" s="76">
        <f>股权价值增加表!AD29</f>
        <v>0</v>
      </c>
      <c r="AE32" s="76">
        <f>股权价值增加表!AE29</f>
        <v>0</v>
      </c>
      <c r="AF32" s="76">
        <f>股权价值增加表!AF29</f>
        <v>0</v>
      </c>
      <c r="AG32" s="76">
        <f>股权价值增加表!AG29</f>
        <v>-6259943.2622923236</v>
      </c>
      <c r="AH32" s="76">
        <f>股权价值增加表!AH29</f>
        <v>-46084140.880000003</v>
      </c>
      <c r="AI32" s="76">
        <f>股权价值增加表!AI29</f>
        <v>0</v>
      </c>
      <c r="AJ32" s="76">
        <f>股权价值增加表!AJ29</f>
        <v>-17288746.685929779</v>
      </c>
      <c r="AK32" s="76">
        <f>股权价值增加表!AK29</f>
        <v>2314564.1087254668</v>
      </c>
      <c r="AL32" s="76">
        <f>股权价值增加表!AL29</f>
        <v>27054445.82</v>
      </c>
      <c r="AM32" s="76">
        <f>股权价值增加表!AM29</f>
        <v>0</v>
      </c>
      <c r="AN32" s="76">
        <f>股权价值增加表!AN29</f>
        <v>0</v>
      </c>
      <c r="AO32" s="76">
        <f>股权价值增加表!AO29</f>
        <v>18067429.046086505</v>
      </c>
      <c r="AP32" s="76">
        <f>股权价值增加表!AP29</f>
        <v>0</v>
      </c>
      <c r="AQ32" s="76">
        <f>股权价值增加表!AQ29</f>
        <v>13638457.470863732</v>
      </c>
      <c r="AR32" s="76">
        <f>股权价值增加表!AR29</f>
        <v>14617943.776302878</v>
      </c>
      <c r="AS32" s="76">
        <f>股权价值增加表!AS29</f>
        <v>-11608929.936539145</v>
      </c>
      <c r="AT32" s="76">
        <f>股权价值增加表!AT29</f>
        <v>753297.55103100266</v>
      </c>
      <c r="AU32" s="76">
        <f>股权价值增加表!AU29</f>
        <v>1325958.5776317194</v>
      </c>
      <c r="AV32" s="76">
        <f>股权价值增加表!AV29</f>
        <v>732847.67417269247</v>
      </c>
      <c r="AW32" s="76">
        <f>股权价值增加表!AW29</f>
        <v>3704992.5887907199</v>
      </c>
      <c r="AX32" s="76">
        <f>股权价值增加表!AX29</f>
        <v>1735379.3462074208</v>
      </c>
      <c r="AY32" s="76">
        <f>股权价值增加表!AY29</f>
        <v>61091.915160613549</v>
      </c>
      <c r="AZ32" s="76">
        <f>股权价值增加表!AZ29</f>
        <v>377982.29875963752</v>
      </c>
      <c r="BA32" s="76">
        <f>股权价值增加表!BA29</f>
        <v>7823889.8599999994</v>
      </c>
      <c r="BB32" s="76">
        <f>股权价值增加表!BB29</f>
        <v>-813098.10867392458</v>
      </c>
      <c r="BC32" s="76">
        <f>股权价值增加表!BC29</f>
        <v>-706478.82</v>
      </c>
      <c r="BD32" s="76">
        <f>股权价值增加表!BD29</f>
        <v>-440429.37</v>
      </c>
      <c r="BE32" s="76">
        <f>股权价值增加表!BE29</f>
        <v>-1247584.1100000001</v>
      </c>
      <c r="BF32" s="76">
        <f>股权价值增加表!BF29</f>
        <v>-3075827.53</v>
      </c>
      <c r="BG32" s="76">
        <f>股权价值增加表!BG29</f>
        <v>-261312.94</v>
      </c>
      <c r="BH32" s="76">
        <f>股权价值增加表!BH29</f>
        <v>173901.5</v>
      </c>
      <c r="BI32" s="76">
        <f>股权价值增加表!BI29</f>
        <v>135884.13</v>
      </c>
      <c r="BJ32" s="76">
        <f>股权价值增加表!BJ29</f>
        <v>1126704.3147963458</v>
      </c>
      <c r="BK32" s="76">
        <f>股权价值增加表!BK29</f>
        <v>885755.8451071484</v>
      </c>
      <c r="BL32" s="76">
        <f>股权价值增加表!BL29</f>
        <v>870809.67219294875</v>
      </c>
      <c r="BM32" s="76">
        <f>股权价值增加表!BM29</f>
        <v>542388.06100353447</v>
      </c>
      <c r="BN32" s="76">
        <f>股权价值增加表!BN29</f>
        <v>-17222691.416153472</v>
      </c>
      <c r="BO32" s="76">
        <f>股权价值增加表!BO29</f>
        <v>-9031138.9000000004</v>
      </c>
      <c r="BP32" s="76">
        <f>股权价值增加表!BP29</f>
        <v>-2309786.9244580581</v>
      </c>
      <c r="BQ32" s="76">
        <f>股权价值增加表!BQ29</f>
        <v>-447559.93</v>
      </c>
      <c r="BR32" s="76">
        <f>股权价值增加表!BR29</f>
        <v>-7254730.7024143459</v>
      </c>
      <c r="BS32" s="76">
        <f>股权价值增加表!BS29</f>
        <v>0</v>
      </c>
      <c r="BT32" s="76">
        <f>股权价值增加表!BT29</f>
        <v>-11977777.00467097</v>
      </c>
      <c r="BU32" s="76">
        <f>股权价值增加表!BU29</f>
        <v>-20503644.517047707</v>
      </c>
      <c r="BV32" s="76">
        <f>股权价值增加表!BV29</f>
        <v>25145562.942937657</v>
      </c>
      <c r="BW32" s="76">
        <f>股权价值增加表!BW29</f>
        <v>0</v>
      </c>
      <c r="BX32" s="76">
        <f>股权价值增加表!BX29</f>
        <v>427735.25901067676</v>
      </c>
      <c r="BY32" s="76">
        <f>股权价值增加表!BY29</f>
        <v>0</v>
      </c>
      <c r="BZ32" s="76">
        <f>股权价值增加表!BZ29</f>
        <v>606563.75276206015</v>
      </c>
      <c r="CA32" s="76">
        <f>股权价值增加表!CA29</f>
        <v>23198.056161503187</v>
      </c>
      <c r="CB32" s="76">
        <f>股权价值增加表!CB29</f>
        <v>-15733.192495169091</v>
      </c>
      <c r="CC32" s="76">
        <f>股权价值增加表!CC29</f>
        <v>-75658.533637767512</v>
      </c>
      <c r="CD32" s="76">
        <f>股权价值增加表!CD29</f>
        <v>-415618.2080555514</v>
      </c>
      <c r="CE32" s="76" t="e">
        <f>股权价值增加表!CE29</f>
        <v>#DIV/0!</v>
      </c>
      <c r="CF32" s="76" t="e">
        <f>股权价值增加表!CF29</f>
        <v>#DIV/0!</v>
      </c>
      <c r="CG32" s="76" t="e">
        <f>股权价值增加表!CG29</f>
        <v>#DIV/0!</v>
      </c>
      <c r="CH32" s="76" t="e">
        <f>股权价值增加表!CH29</f>
        <v>#DIV/0!</v>
      </c>
      <c r="CI32" s="76" t="e">
        <f>股权价值增加表!CI29</f>
        <v>#DIV/0!</v>
      </c>
      <c r="CJ32" s="76" t="e">
        <f>股权价值增加表!CJ29</f>
        <v>#DIV/0!</v>
      </c>
    </row>
    <row r="33" spans="1:89" s="76" customFormat="1">
      <c r="A33" s="147" t="s">
        <v>450</v>
      </c>
    </row>
    <row r="34" spans="1:89" s="76" customFormat="1">
      <c r="A34" s="146" t="s">
        <v>451</v>
      </c>
      <c r="E34" s="76">
        <f>资产资本表!E4</f>
        <v>557236465.25</v>
      </c>
      <c r="F34" s="76">
        <f>资产资本表!F4</f>
        <v>574391369.42999995</v>
      </c>
      <c r="G34" s="76">
        <f>资产资本表!G4</f>
        <v>558981924.89999998</v>
      </c>
      <c r="H34" s="76">
        <f>资产资本表!H4</f>
        <v>1016788142.54</v>
      </c>
      <c r="I34" s="76">
        <f>资产资本表!I4</f>
        <v>395965208.88999999</v>
      </c>
      <c r="J34" s="76">
        <f>资产资本表!J4</f>
        <v>507240959.62</v>
      </c>
      <c r="K34" s="76">
        <f>资产资本表!K4</f>
        <v>311445664.36000001</v>
      </c>
      <c r="L34" s="76">
        <f>资产资本表!L4</f>
        <v>367671425.25999999</v>
      </c>
      <c r="M34" s="76">
        <f>资产资本表!M4</f>
        <v>430090948.51999998</v>
      </c>
      <c r="N34" s="76">
        <f>资产资本表!N4</f>
        <v>508533039.95999998</v>
      </c>
      <c r="O34" s="76">
        <f>资产资本表!O4</f>
        <v>524972994.91000003</v>
      </c>
      <c r="P34" s="76">
        <f>资产资本表!P4</f>
        <v>638821418.08000004</v>
      </c>
      <c r="Q34" s="76">
        <f>资产资本表!Q4</f>
        <v>477002427.45999998</v>
      </c>
      <c r="R34" s="76">
        <f>资产资本表!R4</f>
        <v>567719426.66999996</v>
      </c>
      <c r="S34" s="76">
        <f>资产资本表!S4</f>
        <v>578861752.69000006</v>
      </c>
      <c r="T34" s="76">
        <f>资产资本表!T4</f>
        <v>501808367.13</v>
      </c>
      <c r="U34" s="76">
        <f>资产资本表!U4</f>
        <v>479868369.63</v>
      </c>
      <c r="V34" s="76">
        <f>资产资本表!V4</f>
        <v>549583979.64999998</v>
      </c>
      <c r="W34" s="76">
        <f>资产资本表!W4</f>
        <v>513744210.26999998</v>
      </c>
      <c r="X34" s="76">
        <f>资产资本表!X4</f>
        <v>513765908.52999997</v>
      </c>
      <c r="Y34" s="76">
        <f>资产资本表!Y4</f>
        <v>658660647.01999998</v>
      </c>
      <c r="Z34" s="76">
        <f>资产资本表!Z4</f>
        <v>494398377.69</v>
      </c>
      <c r="AA34" s="76">
        <f>资产资本表!AA4</f>
        <v>404503143.63</v>
      </c>
      <c r="AB34" s="76">
        <f>资产资本表!AB4</f>
        <v>356480597</v>
      </c>
      <c r="AC34" s="76">
        <f>资产资本表!AC4</f>
        <v>403303556.31999999</v>
      </c>
      <c r="AD34" s="76">
        <f>资产资本表!AD4</f>
        <v>379875420.54000002</v>
      </c>
      <c r="AE34" s="76">
        <f>资产资本表!AE4</f>
        <v>277455824.85000002</v>
      </c>
      <c r="AF34" s="76">
        <f>资产资本表!AF4</f>
        <v>222222532.72999999</v>
      </c>
      <c r="AG34" s="76">
        <f>资产资本表!AG4</f>
        <v>219605497.69999999</v>
      </c>
      <c r="AH34" s="76">
        <f>资产资本表!AH4</f>
        <v>241093108.11000001</v>
      </c>
      <c r="AI34" s="76">
        <f>资产资本表!AI4</f>
        <v>157189312.25999999</v>
      </c>
      <c r="AJ34" s="76">
        <f>资产资本表!AJ4</f>
        <v>159798398.13</v>
      </c>
      <c r="AK34" s="76">
        <f>资产资本表!AK4</f>
        <v>162409462.49000001</v>
      </c>
      <c r="AL34" s="76">
        <f>资产资本表!AL4</f>
        <v>193835336.80000001</v>
      </c>
      <c r="AM34" s="76">
        <f>资产资本表!AM4</f>
        <v>193710662.37</v>
      </c>
      <c r="AN34" s="76">
        <f>资产资本表!AN4</f>
        <v>103592052.12</v>
      </c>
      <c r="AO34" s="76">
        <f>资产资本表!AO4</f>
        <v>189282508.38</v>
      </c>
      <c r="AP34" s="76">
        <f>资产资本表!AP4</f>
        <v>151439325.88</v>
      </c>
      <c r="AQ34" s="76">
        <f>资产资本表!AQ4</f>
        <v>89182571.659999996</v>
      </c>
      <c r="AR34" s="76">
        <f>资产资本表!AR4</f>
        <v>99274764.560000002</v>
      </c>
      <c r="AS34" s="76">
        <f>资产资本表!AS4</f>
        <v>255930045.44</v>
      </c>
      <c r="AT34" s="76">
        <f>资产资本表!AT4</f>
        <v>182258867.08000001</v>
      </c>
      <c r="AU34" s="76">
        <f>资产资本表!AU4</f>
        <v>168443373.06</v>
      </c>
      <c r="AV34" s="76">
        <f>资产资本表!AV4</f>
        <v>154196295</v>
      </c>
      <c r="AW34" s="76">
        <f>资产资本表!AW4</f>
        <v>153596864</v>
      </c>
      <c r="AX34" s="76">
        <f>资产资本表!AX4</f>
        <v>137857048.25999999</v>
      </c>
      <c r="AY34" s="76">
        <f>资产资本表!AY4</f>
        <v>104083187.73</v>
      </c>
      <c r="AZ34" s="76">
        <f>资产资本表!AZ4</f>
        <v>114679741.56999999</v>
      </c>
      <c r="BA34" s="76">
        <f>资产资本表!BA4</f>
        <v>133739106.03</v>
      </c>
      <c r="BB34" s="76">
        <f>资产资本表!BB4</f>
        <v>117198447.73</v>
      </c>
      <c r="BC34" s="76">
        <f>资产资本表!BC4</f>
        <v>56070627.079999998</v>
      </c>
      <c r="BD34" s="76">
        <f>资产资本表!BD4</f>
        <v>32622918.09</v>
      </c>
      <c r="BE34" s="76">
        <f>资产资本表!BE4</f>
        <v>94584897.620000005</v>
      </c>
      <c r="BF34" s="76">
        <f>资产资本表!BF4</f>
        <v>61454766.240000002</v>
      </c>
      <c r="BG34" s="76">
        <f>资产资本表!BG4</f>
        <v>62006752.829999998</v>
      </c>
      <c r="BH34" s="76">
        <f>资产资本表!BH4</f>
        <v>32628408.469999999</v>
      </c>
      <c r="BI34" s="76">
        <f>资产资本表!BI4</f>
        <v>44781047.859999999</v>
      </c>
      <c r="BJ34" s="76">
        <f>资产资本表!BJ4</f>
        <v>41074854.469999999</v>
      </c>
      <c r="BK34" s="76">
        <f>资产资本表!BK4</f>
        <v>62130508.920000002</v>
      </c>
      <c r="BL34" s="76">
        <f>资产资本表!BL4</f>
        <v>34604648.25</v>
      </c>
      <c r="BM34" s="76">
        <f>资产资本表!BM4</f>
        <v>43668661.299999997</v>
      </c>
      <c r="BN34" s="76">
        <f>资产资本表!BN4</f>
        <v>30210315.129999999</v>
      </c>
      <c r="BO34" s="76">
        <f>资产资本表!BO4</f>
        <v>28000868.899999999</v>
      </c>
      <c r="BP34" s="76">
        <f>资产资本表!BP4</f>
        <v>38136868.890000001</v>
      </c>
      <c r="BQ34" s="76">
        <f>资产资本表!BQ4</f>
        <v>60436242.700000003</v>
      </c>
      <c r="BR34" s="76">
        <f>资产资本表!BR4</f>
        <v>53415243.950000003</v>
      </c>
      <c r="BS34" s="76">
        <f>资产资本表!BS4</f>
        <v>109618024.69</v>
      </c>
      <c r="BT34" s="76">
        <f>资产资本表!BT4</f>
        <v>114411096.45999999</v>
      </c>
      <c r="BU34" s="76">
        <f>资产资本表!BU4</f>
        <v>35424336.950000003</v>
      </c>
      <c r="BV34" s="76">
        <f>资产资本表!BV4</f>
        <v>37575646.979999997</v>
      </c>
      <c r="BW34" s="76">
        <f>资产资本表!BW4</f>
        <v>37029480.700000003</v>
      </c>
      <c r="BX34" s="76">
        <f>资产资本表!BX4</f>
        <v>19469405.809999999</v>
      </c>
      <c r="BY34" s="76">
        <f>资产资本表!BY4</f>
        <v>15652043.439999999</v>
      </c>
      <c r="BZ34" s="76">
        <f>资产资本表!BZ4</f>
        <v>12445769.810000001</v>
      </c>
      <c r="CA34" s="76">
        <f>资产资本表!CA4</f>
        <v>0</v>
      </c>
      <c r="CB34" s="76">
        <f>资产资本表!CB4</f>
        <v>31841340.420000002</v>
      </c>
      <c r="CC34" s="76">
        <f>资产资本表!CC4</f>
        <v>22436951.84</v>
      </c>
      <c r="CD34" s="76">
        <f>资产资本表!CD4</f>
        <v>16158482.800000001</v>
      </c>
      <c r="CE34" s="76">
        <f>资产资本表!CE4</f>
        <v>0</v>
      </c>
      <c r="CF34" s="76">
        <f>资产资本表!CF4</f>
        <v>0</v>
      </c>
      <c r="CG34" s="76">
        <f>资产资本表!CG4</f>
        <v>0</v>
      </c>
      <c r="CH34" s="76">
        <f>资产资本表!CH4</f>
        <v>0</v>
      </c>
      <c r="CI34" s="76">
        <f>资产资本表!CI4</f>
        <v>0</v>
      </c>
      <c r="CJ34" s="76">
        <f>资产资本表!CJ4</f>
        <v>0</v>
      </c>
    </row>
    <row r="35" spans="1:89" s="76" customFormat="1">
      <c r="A35" s="146"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c r="A36" s="146" t="s">
        <v>453</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c r="A37" s="146"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521280</v>
      </c>
      <c r="BB37" s="76">
        <f>资产资本表!BB11</f>
        <v>521280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c r="A38" s="146" t="s">
        <v>455</v>
      </c>
      <c r="E38" s="76">
        <f>资产资本表!E8</f>
        <v>116132120</v>
      </c>
      <c r="F38" s="76">
        <f>资产资本表!F8</f>
        <v>116132120</v>
      </c>
      <c r="G38" s="76">
        <f>资产资本表!G8</f>
        <v>116132120</v>
      </c>
      <c r="H38" s="76">
        <f>资产资本表!H8</f>
        <v>116132120</v>
      </c>
      <c r="I38" s="76">
        <f>资产资本表!I8</f>
        <v>116132120</v>
      </c>
      <c r="J38" s="76">
        <f>资产资本表!J8</f>
        <v>116132120</v>
      </c>
      <c r="K38" s="76">
        <f>资产资本表!K8</f>
        <v>116132120</v>
      </c>
      <c r="L38" s="76">
        <f>资产资本表!L8</f>
        <v>116132120</v>
      </c>
      <c r="M38" s="76">
        <f>资产资本表!M8</f>
        <v>116132120</v>
      </c>
      <c r="N38" s="76">
        <f>资产资本表!N8</f>
        <v>116132120</v>
      </c>
      <c r="O38" s="76">
        <f>资产资本表!O8</f>
        <v>86589600</v>
      </c>
      <c r="P38" s="76">
        <f>资产资本表!P8</f>
        <v>86589600</v>
      </c>
      <c r="Q38" s="76">
        <f>资产资本表!Q8</f>
        <v>86589600</v>
      </c>
      <c r="R38" s="76">
        <f>资产资本表!R8</f>
        <v>86589600</v>
      </c>
      <c r="S38" s="76">
        <f>资产资本表!S8</f>
        <v>86589600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c r="A39" s="146"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4661.6000000000004</v>
      </c>
      <c r="BM39" s="76">
        <f>资产资本表!BM9</f>
        <v>0</v>
      </c>
      <c r="BN39" s="76">
        <f>资产资本表!BN9</f>
        <v>0</v>
      </c>
      <c r="BO39" s="76">
        <f>资产资本表!BO9</f>
        <v>4661.6000000000004</v>
      </c>
      <c r="BP39" s="76">
        <f>资产资本表!BP9</f>
        <v>4661.6000000000004</v>
      </c>
      <c r="BQ39" s="76">
        <f>资产资本表!BQ9</f>
        <v>4661.6000000000004</v>
      </c>
      <c r="BR39" s="76">
        <f>资产资本表!BR9</f>
        <v>4661.6000000000004</v>
      </c>
      <c r="BS39" s="76">
        <f>资产资本表!BS9</f>
        <v>4661.6000000000004</v>
      </c>
      <c r="BT39" s="76">
        <f>资产资本表!BT9</f>
        <v>4661.6000000000004</v>
      </c>
      <c r="BU39" s="76">
        <f>资产资本表!BU9</f>
        <v>0</v>
      </c>
      <c r="BV39" s="76">
        <f>资产资本表!BV9</f>
        <v>4661.6000000000004</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c r="A40" s="146" t="s">
        <v>457</v>
      </c>
      <c r="E40" s="76">
        <f>资产资本表!E10</f>
        <v>2412776661.79</v>
      </c>
      <c r="F40" s="76">
        <f>资产资本表!F10</f>
        <v>2440418238.3200002</v>
      </c>
      <c r="G40" s="76">
        <f>资产资本表!G10</f>
        <v>2468778241.6100001</v>
      </c>
      <c r="H40" s="76">
        <f>资产资本表!H10</f>
        <v>2494713172.7199998</v>
      </c>
      <c r="I40" s="76">
        <f>资产资本表!I10</f>
        <v>379193639.61000001</v>
      </c>
      <c r="J40" s="76">
        <f>资产资本表!J10</f>
        <v>384473764.05000001</v>
      </c>
      <c r="K40" s="76">
        <f>资产资本表!K10</f>
        <v>389889762.13</v>
      </c>
      <c r="L40" s="76">
        <f>资产资本表!L10</f>
        <v>393438313.41000003</v>
      </c>
      <c r="M40" s="76">
        <f>资产资本表!M10</f>
        <v>398662773.93000001</v>
      </c>
      <c r="N40" s="76">
        <f>资产资本表!N10</f>
        <v>403887234.44999999</v>
      </c>
      <c r="O40" s="76">
        <f>资产资本表!O10</f>
        <v>397376707.20999998</v>
      </c>
      <c r="P40" s="76">
        <f>资产资本表!P10</f>
        <v>402266037.57999998</v>
      </c>
      <c r="Q40" s="76">
        <f>资产资本表!Q10</f>
        <v>407155367.94999999</v>
      </c>
      <c r="R40" s="76">
        <f>资产资本表!R10</f>
        <v>412044698.31999999</v>
      </c>
      <c r="S40" s="76">
        <f>资产资本表!S10</f>
        <v>416934028.69</v>
      </c>
      <c r="T40" s="76">
        <f>资产资本表!T10</f>
        <v>421823359.06</v>
      </c>
      <c r="U40" s="76">
        <f>资产资本表!U10</f>
        <v>426712689.43000001</v>
      </c>
      <c r="V40" s="76">
        <f>资产资本表!V10</f>
        <v>431602019.80000001</v>
      </c>
      <c r="W40" s="76">
        <f>资产资本表!W10</f>
        <v>436491350.17000002</v>
      </c>
      <c r="X40" s="76">
        <f>资产资本表!X10</f>
        <v>441380680.54000002</v>
      </c>
      <c r="Y40" s="76">
        <f>资产资本表!Y10</f>
        <v>446528564.32999998</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59758183.649999999</v>
      </c>
      <c r="AL40" s="76">
        <f>资产资本表!AL10</f>
        <v>60596591.159999996</v>
      </c>
      <c r="AM40" s="76">
        <f>资产资本表!AM10</f>
        <v>61434998.670000002</v>
      </c>
      <c r="AN40" s="76">
        <f>资产资本表!AN10</f>
        <v>62273406.18</v>
      </c>
      <c r="AO40" s="76">
        <f>资产资本表!AO10</f>
        <v>63111813.689999998</v>
      </c>
      <c r="AP40" s="76">
        <f>资产资本表!AP10</f>
        <v>63950221.200000003</v>
      </c>
      <c r="AQ40" s="76">
        <f>资产资本表!AQ10</f>
        <v>64788628.710000001</v>
      </c>
      <c r="AR40" s="76">
        <f>资产资本表!AR10</f>
        <v>65627853.420000002</v>
      </c>
      <c r="AS40" s="76">
        <f>资产资本表!AS10</f>
        <v>66468310.229999997</v>
      </c>
      <c r="AT40" s="76">
        <f>资产资本表!AT10</f>
        <v>67308767.040000007</v>
      </c>
      <c r="AU40" s="76">
        <f>资产资本表!AU10</f>
        <v>68148421.599999994</v>
      </c>
      <c r="AV40" s="76">
        <f>资产资本表!AV10</f>
        <v>69861499.989999995</v>
      </c>
      <c r="AW40" s="76">
        <f>资产资本表!AW10</f>
        <v>77819538.180000007</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c r="A41" s="146"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c r="A42" s="146"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c r="A43" s="147" t="s">
        <v>460</v>
      </c>
      <c r="E43" s="76">
        <f>SUM(E34:E42)</f>
        <v>3086145247.04</v>
      </c>
      <c r="F43" s="76">
        <f t="shared" ref="F43:BQ43" si="14">SUM(F34:F42)</f>
        <v>3130941727.75</v>
      </c>
      <c r="G43" s="76">
        <f t="shared" si="14"/>
        <v>3143892286.5100002</v>
      </c>
      <c r="H43" s="76">
        <f t="shared" si="14"/>
        <v>3627633435.2599998</v>
      </c>
      <c r="I43" s="76">
        <f t="shared" si="14"/>
        <v>891290968.5</v>
      </c>
      <c r="J43" s="76">
        <f t="shared" si="14"/>
        <v>1007846843.6700001</v>
      </c>
      <c r="K43" s="76">
        <f t="shared" si="14"/>
        <v>817467546.49000001</v>
      </c>
      <c r="L43" s="76">
        <f t="shared" si="14"/>
        <v>877241858.67000008</v>
      </c>
      <c r="M43" s="76">
        <f t="shared" si="14"/>
        <v>944885842.45000005</v>
      </c>
      <c r="N43" s="76">
        <f t="shared" si="14"/>
        <v>1028552394.4100001</v>
      </c>
      <c r="O43" s="76">
        <f t="shared" si="14"/>
        <v>1008939302.1200001</v>
      </c>
      <c r="P43" s="76">
        <f t="shared" si="14"/>
        <v>1127677055.6600001</v>
      </c>
      <c r="Q43" s="76">
        <f t="shared" si="14"/>
        <v>970747395.41000009</v>
      </c>
      <c r="R43" s="76">
        <f t="shared" si="14"/>
        <v>1066353724.99</v>
      </c>
      <c r="S43" s="76">
        <f t="shared" si="14"/>
        <v>1082385381.3800001</v>
      </c>
      <c r="T43" s="76">
        <f t="shared" si="14"/>
        <v>923631726.19000006</v>
      </c>
      <c r="U43" s="76">
        <f t="shared" si="14"/>
        <v>906581059.05999994</v>
      </c>
      <c r="V43" s="76">
        <f t="shared" si="14"/>
        <v>981185999.45000005</v>
      </c>
      <c r="W43" s="76">
        <f t="shared" si="14"/>
        <v>950235560.44000006</v>
      </c>
      <c r="X43" s="76">
        <f t="shared" si="14"/>
        <v>955146589.06999993</v>
      </c>
      <c r="Y43" s="76">
        <f t="shared" si="14"/>
        <v>1105189211.3499999</v>
      </c>
      <c r="Z43" s="76">
        <f t="shared" si="14"/>
        <v>494398377.69</v>
      </c>
      <c r="AA43" s="76">
        <f t="shared" si="14"/>
        <v>404503143.63</v>
      </c>
      <c r="AB43" s="76">
        <f t="shared" si="14"/>
        <v>356480597</v>
      </c>
      <c r="AC43" s="76">
        <f t="shared" si="14"/>
        <v>403303556.31999999</v>
      </c>
      <c r="AD43" s="76">
        <f t="shared" si="14"/>
        <v>379875420.54000002</v>
      </c>
      <c r="AE43" s="76">
        <f t="shared" si="14"/>
        <v>277455824.85000002</v>
      </c>
      <c r="AF43" s="76">
        <f t="shared" si="14"/>
        <v>222222532.72999999</v>
      </c>
      <c r="AG43" s="76">
        <f t="shared" si="14"/>
        <v>219605497.69999999</v>
      </c>
      <c r="AH43" s="76">
        <f t="shared" si="14"/>
        <v>241093108.11000001</v>
      </c>
      <c r="AI43" s="76">
        <f t="shared" si="14"/>
        <v>157189312.25999999</v>
      </c>
      <c r="AJ43" s="76">
        <f t="shared" si="14"/>
        <v>159798398.13</v>
      </c>
      <c r="AK43" s="76">
        <f t="shared" si="14"/>
        <v>222167646.14000002</v>
      </c>
      <c r="AL43" s="76">
        <f t="shared" si="14"/>
        <v>254431927.96000001</v>
      </c>
      <c r="AM43" s="76">
        <f t="shared" si="14"/>
        <v>255145661.04000002</v>
      </c>
      <c r="AN43" s="76">
        <f t="shared" si="14"/>
        <v>165865458.30000001</v>
      </c>
      <c r="AO43" s="76">
        <f t="shared" si="14"/>
        <v>252394322.06999999</v>
      </c>
      <c r="AP43" s="76">
        <f t="shared" si="14"/>
        <v>215389547.07999998</v>
      </c>
      <c r="AQ43" s="76">
        <f t="shared" si="14"/>
        <v>153971200.37</v>
      </c>
      <c r="AR43" s="76">
        <f t="shared" si="14"/>
        <v>164902617.98000002</v>
      </c>
      <c r="AS43" s="76">
        <f t="shared" si="14"/>
        <v>322398355.67000002</v>
      </c>
      <c r="AT43" s="76">
        <f t="shared" si="14"/>
        <v>249567634.12</v>
      </c>
      <c r="AU43" s="76">
        <f t="shared" si="14"/>
        <v>236591794.66</v>
      </c>
      <c r="AV43" s="76">
        <f t="shared" si="14"/>
        <v>224057794.99000001</v>
      </c>
      <c r="AW43" s="76">
        <f t="shared" si="14"/>
        <v>231416402.18000001</v>
      </c>
      <c r="AX43" s="76">
        <f t="shared" si="14"/>
        <v>137857048.25999999</v>
      </c>
      <c r="AY43" s="76">
        <f t="shared" si="14"/>
        <v>104083187.73</v>
      </c>
      <c r="AZ43" s="76">
        <f t="shared" si="14"/>
        <v>114679741.56999999</v>
      </c>
      <c r="BA43" s="76">
        <f t="shared" si="14"/>
        <v>134260386.03</v>
      </c>
      <c r="BB43" s="76">
        <f t="shared" si="14"/>
        <v>117719727.73</v>
      </c>
      <c r="BC43" s="76">
        <f t="shared" si="14"/>
        <v>56070627.079999998</v>
      </c>
      <c r="BD43" s="76">
        <f t="shared" si="14"/>
        <v>32622918.09</v>
      </c>
      <c r="BE43" s="76">
        <f t="shared" si="14"/>
        <v>94584897.620000005</v>
      </c>
      <c r="BF43" s="76">
        <f t="shared" si="14"/>
        <v>61454766.240000002</v>
      </c>
      <c r="BG43" s="76">
        <f t="shared" si="14"/>
        <v>62006752.829999998</v>
      </c>
      <c r="BH43" s="76">
        <f t="shared" si="14"/>
        <v>32628408.469999999</v>
      </c>
      <c r="BI43" s="76">
        <f t="shared" si="14"/>
        <v>44781047.859999999</v>
      </c>
      <c r="BJ43" s="76">
        <f t="shared" si="14"/>
        <v>41074854.469999999</v>
      </c>
      <c r="BK43" s="76">
        <f t="shared" si="14"/>
        <v>62130508.920000002</v>
      </c>
      <c r="BL43" s="76">
        <f t="shared" si="14"/>
        <v>34609309.850000001</v>
      </c>
      <c r="BM43" s="76">
        <f t="shared" si="14"/>
        <v>43668661.299999997</v>
      </c>
      <c r="BN43" s="76">
        <f t="shared" si="14"/>
        <v>30210315.129999999</v>
      </c>
      <c r="BO43" s="76">
        <f t="shared" si="14"/>
        <v>28005530.5</v>
      </c>
      <c r="BP43" s="76">
        <f t="shared" si="14"/>
        <v>38141530.490000002</v>
      </c>
      <c r="BQ43" s="76">
        <f t="shared" si="14"/>
        <v>60440904.300000004</v>
      </c>
      <c r="BR43" s="76">
        <f t="shared" ref="BR43:CJ43" si="15">SUM(BR34:BR42)</f>
        <v>53419905.550000004</v>
      </c>
      <c r="BS43" s="76">
        <f t="shared" si="15"/>
        <v>109622686.28999999</v>
      </c>
      <c r="BT43" s="76">
        <f t="shared" si="15"/>
        <v>114415758.05999999</v>
      </c>
      <c r="BU43" s="76">
        <f t="shared" si="15"/>
        <v>35424336.950000003</v>
      </c>
      <c r="BV43" s="76">
        <f t="shared" si="15"/>
        <v>37580308.579999998</v>
      </c>
      <c r="BW43" s="76">
        <f t="shared" si="15"/>
        <v>37029480.700000003</v>
      </c>
      <c r="BX43" s="76">
        <f t="shared" si="15"/>
        <v>19469405.809999999</v>
      </c>
      <c r="BY43" s="76">
        <f t="shared" si="15"/>
        <v>15652043.439999999</v>
      </c>
      <c r="BZ43" s="76">
        <f t="shared" si="15"/>
        <v>12445769.810000001</v>
      </c>
      <c r="CA43" s="76">
        <f t="shared" si="15"/>
        <v>0</v>
      </c>
      <c r="CB43" s="76">
        <f t="shared" si="15"/>
        <v>31841340.420000002</v>
      </c>
      <c r="CC43" s="76">
        <f t="shared" si="15"/>
        <v>22436951.84</v>
      </c>
      <c r="CD43" s="76">
        <f t="shared" si="15"/>
        <v>16158482.800000001</v>
      </c>
      <c r="CE43" s="76">
        <f t="shared" si="15"/>
        <v>0</v>
      </c>
      <c r="CF43" s="76">
        <f t="shared" si="15"/>
        <v>0</v>
      </c>
      <c r="CG43" s="76">
        <f t="shared" si="15"/>
        <v>0</v>
      </c>
      <c r="CH43" s="76">
        <f t="shared" si="15"/>
        <v>0</v>
      </c>
      <c r="CI43" s="76">
        <f t="shared" si="15"/>
        <v>0</v>
      </c>
      <c r="CJ43" s="76">
        <f t="shared" si="15"/>
        <v>0</v>
      </c>
    </row>
    <row r="44" spans="1:89" s="110" customFormat="1">
      <c r="A44" s="144" t="s">
        <v>461</v>
      </c>
      <c r="E44" s="110">
        <f>E32/E43</f>
        <v>-1.2843050354651371</v>
      </c>
      <c r="F44" s="110">
        <f t="shared" ref="F44:BQ44" si="16">F32/F43</f>
        <v>7.3484337736116986E-6</v>
      </c>
      <c r="G44" s="110">
        <f t="shared" si="16"/>
        <v>5.3109454580926847E-6</v>
      </c>
      <c r="H44" s="110">
        <f t="shared" si="16"/>
        <v>3.0884462963859541E-6</v>
      </c>
      <c r="I44" s="110">
        <f t="shared" si="16"/>
        <v>0.18486015266546457</v>
      </c>
      <c r="J44" s="110">
        <f t="shared" si="16"/>
        <v>0</v>
      </c>
      <c r="K44" s="110">
        <f t="shared" si="16"/>
        <v>0</v>
      </c>
      <c r="L44" s="110">
        <f t="shared" si="16"/>
        <v>0</v>
      </c>
      <c r="M44" s="110">
        <f t="shared" si="16"/>
        <v>0.11598459540887707</v>
      </c>
      <c r="N44" s="110">
        <f t="shared" si="16"/>
        <v>6.9451638468995844E-4</v>
      </c>
      <c r="O44" s="110">
        <f t="shared" si="16"/>
        <v>7.1017229312921211E-4</v>
      </c>
      <c r="P44" s="110">
        <f t="shared" si="16"/>
        <v>0</v>
      </c>
      <c r="Q44" s="110">
        <f t="shared" si="16"/>
        <v>2.3653174125595016E-2</v>
      </c>
      <c r="R44" s="110">
        <f t="shared" si="16"/>
        <v>3.3914201729566074E-3</v>
      </c>
      <c r="S44" s="110">
        <f t="shared" si="16"/>
        <v>3.3748747343618317E-3</v>
      </c>
      <c r="T44" s="110">
        <f t="shared" si="16"/>
        <v>0</v>
      </c>
      <c r="U44" s="110">
        <f t="shared" si="16"/>
        <v>8.0564803550764764E-3</v>
      </c>
      <c r="V44" s="110">
        <f t="shared" si="16"/>
        <v>5.049211530508054E-4</v>
      </c>
      <c r="W44" s="110">
        <f t="shared" si="16"/>
        <v>5.1418895020950847E-4</v>
      </c>
      <c r="X44" s="110">
        <f t="shared" si="16"/>
        <v>0</v>
      </c>
      <c r="Y44" s="110">
        <f t="shared" si="16"/>
        <v>1.0349178448355782E-2</v>
      </c>
      <c r="Z44" s="110">
        <f t="shared" si="16"/>
        <v>5.6687000768977638E-3</v>
      </c>
      <c r="AA44" s="110">
        <f t="shared" si="16"/>
        <v>6.927993401958355E-3</v>
      </c>
      <c r="AB44" s="110">
        <f t="shared" si="16"/>
        <v>0</v>
      </c>
      <c r="AC44" s="110">
        <f t="shared" si="16"/>
        <v>-9.6569726804056732E-2</v>
      </c>
      <c r="AD44" s="110">
        <f t="shared" si="16"/>
        <v>0</v>
      </c>
      <c r="AE44" s="110">
        <f t="shared" si="16"/>
        <v>0</v>
      </c>
      <c r="AF44" s="110">
        <f t="shared" si="16"/>
        <v>0</v>
      </c>
      <c r="AG44" s="110">
        <f t="shared" si="16"/>
        <v>-2.8505403224667648E-2</v>
      </c>
      <c r="AH44" s="110">
        <f t="shared" si="16"/>
        <v>-0.19114665384368379</v>
      </c>
      <c r="AI44" s="110">
        <f t="shared" si="16"/>
        <v>0</v>
      </c>
      <c r="AJ44" s="110">
        <f t="shared" si="16"/>
        <v>-0.1081909886973019</v>
      </c>
      <c r="AK44" s="110">
        <f t="shared" si="16"/>
        <v>1.0418097094420908E-2</v>
      </c>
      <c r="AL44" s="110">
        <f t="shared" si="16"/>
        <v>0.10633274698234142</v>
      </c>
      <c r="AM44" s="110">
        <f t="shared" si="16"/>
        <v>0</v>
      </c>
      <c r="AN44" s="110">
        <f t="shared" si="16"/>
        <v>0</v>
      </c>
      <c r="AO44" s="110">
        <f t="shared" si="16"/>
        <v>7.1584134293938742E-2</v>
      </c>
      <c r="AP44" s="110">
        <f t="shared" si="16"/>
        <v>0</v>
      </c>
      <c r="AQ44" s="110">
        <f t="shared" si="16"/>
        <v>8.8577977167742281E-2</v>
      </c>
      <c r="AR44" s="110">
        <f t="shared" si="16"/>
        <v>8.8645916937933597E-2</v>
      </c>
      <c r="AS44" s="110">
        <f t="shared" si="16"/>
        <v>-3.6008030848711257E-2</v>
      </c>
      <c r="AT44" s="110">
        <f t="shared" si="16"/>
        <v>3.0184104348594874E-3</v>
      </c>
      <c r="AU44" s="110">
        <f t="shared" si="16"/>
        <v>5.6044148933280654E-3</v>
      </c>
      <c r="AV44" s="110">
        <f t="shared" si="16"/>
        <v>3.2707974931441256E-3</v>
      </c>
      <c r="AW44" s="110">
        <f t="shared" si="16"/>
        <v>1.6010069095745889E-2</v>
      </c>
      <c r="AX44" s="110">
        <f t="shared" si="16"/>
        <v>1.258825260014617E-2</v>
      </c>
      <c r="AY44" s="110">
        <f t="shared" si="16"/>
        <v>5.8695276819432929E-4</v>
      </c>
      <c r="AZ44" s="110">
        <f t="shared" si="16"/>
        <v>3.2959814312880959E-3</v>
      </c>
      <c r="BA44" s="110">
        <f t="shared" si="16"/>
        <v>5.8274000927211543E-2</v>
      </c>
      <c r="BB44" s="110">
        <f t="shared" si="16"/>
        <v>-6.9070675268535515E-3</v>
      </c>
      <c r="BC44" s="110">
        <f t="shared" si="16"/>
        <v>-1.2599802370535571E-2</v>
      </c>
      <c r="BD44" s="110">
        <f t="shared" si="16"/>
        <v>-1.3500612323672116E-2</v>
      </c>
      <c r="BE44" s="110">
        <f t="shared" si="16"/>
        <v>-1.3190098434236694E-2</v>
      </c>
      <c r="BF44" s="110">
        <f t="shared" si="16"/>
        <v>-5.0050268159640136E-2</v>
      </c>
      <c r="BG44" s="110">
        <f t="shared" si="16"/>
        <v>-4.2142658351490394E-3</v>
      </c>
      <c r="BH44" s="110">
        <f t="shared" si="16"/>
        <v>5.3297573542360399E-3</v>
      </c>
      <c r="BI44" s="110">
        <f t="shared" si="16"/>
        <v>3.0344115757366293E-3</v>
      </c>
      <c r="BJ44" s="110">
        <f t="shared" si="16"/>
        <v>2.7430512641724906E-2</v>
      </c>
      <c r="BK44" s="110">
        <f t="shared" si="16"/>
        <v>1.4256375177091473E-2</v>
      </c>
      <c r="BL44" s="110">
        <f t="shared" si="16"/>
        <v>2.5161139472792714E-2</v>
      </c>
      <c r="BM44" s="110">
        <f t="shared" si="16"/>
        <v>1.2420533280774845E-2</v>
      </c>
      <c r="BN44" s="110">
        <f t="shared" si="16"/>
        <v>-0.57009307390675579</v>
      </c>
      <c r="BO44" s="110">
        <f t="shared" si="16"/>
        <v>-0.32247698003792502</v>
      </c>
      <c r="BP44" s="110">
        <f t="shared" si="16"/>
        <v>-6.055831779124965E-2</v>
      </c>
      <c r="BQ44" s="110">
        <f t="shared" si="16"/>
        <v>-7.404917831449454E-3</v>
      </c>
      <c r="BR44" s="110">
        <f t="shared" ref="BR44:CK44" si="17">BR32/BR43</f>
        <v>-0.13580575681894566</v>
      </c>
      <c r="BS44" s="110">
        <f t="shared" si="17"/>
        <v>0</v>
      </c>
      <c r="BT44" s="110">
        <f t="shared" si="17"/>
        <v>-0.1046864278816366</v>
      </c>
      <c r="BU44" s="110">
        <f t="shared" si="17"/>
        <v>-0.57880108090626392</v>
      </c>
      <c r="BV44" s="110">
        <f t="shared" si="17"/>
        <v>0.66911539295661793</v>
      </c>
      <c r="BW44" s="110">
        <f t="shared" si="17"/>
        <v>0</v>
      </c>
      <c r="BX44" s="110">
        <f t="shared" si="17"/>
        <v>2.19696103304283E-2</v>
      </c>
      <c r="BY44" s="110">
        <f t="shared" si="17"/>
        <v>0</v>
      </c>
      <c r="BZ44" s="110">
        <f t="shared" si="17"/>
        <v>4.8736539565009049E-2</v>
      </c>
      <c r="CA44" s="110" t="e">
        <f t="shared" si="17"/>
        <v>#DIV/0!</v>
      </c>
      <c r="CB44" s="110">
        <f t="shared" si="17"/>
        <v>-4.9411212868685794E-4</v>
      </c>
      <c r="CC44" s="110">
        <f t="shared" si="17"/>
        <v>-3.3720504539696649E-3</v>
      </c>
      <c r="CD44" s="110">
        <f t="shared" si="17"/>
        <v>-2.5721363397778373E-2</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c r="A45" s="277" t="s">
        <v>695</v>
      </c>
      <c r="B45" s="276"/>
      <c r="C45" s="276"/>
      <c r="D45" s="276"/>
      <c r="E45" s="276"/>
      <c r="F45" s="276"/>
      <c r="G45" s="276"/>
      <c r="H45" s="276"/>
      <c r="I45" s="276"/>
      <c r="J45" s="276"/>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row>
    <row r="46" spans="1:89" s="57" customFormat="1">
      <c r="A46" s="57" t="s">
        <v>696</v>
      </c>
      <c r="E46" s="57">
        <f>E43/资产资本表!E70</f>
        <v>0.89366517873146822</v>
      </c>
      <c r="F46" s="57">
        <f>F43/资产资本表!F70</f>
        <v>0.94429319872373008</v>
      </c>
      <c r="G46" s="57">
        <f>G43/资产资本表!G70</f>
        <v>0.94301377592116387</v>
      </c>
      <c r="H46" s="57">
        <f>H43/资产资本表!H70</f>
        <v>1.0903815211662433</v>
      </c>
      <c r="I46" s="57">
        <f>I43/资产资本表!I70</f>
        <v>0.54133299942686408</v>
      </c>
      <c r="J46" s="57">
        <f>J43/资产资本表!J70</f>
        <v>0.61858401898618443</v>
      </c>
      <c r="K46" s="57">
        <f>K43/资产资本表!K70</f>
        <v>0.5319493798155821</v>
      </c>
      <c r="L46" s="57">
        <f>L43/资产资本表!L70</f>
        <v>0.54037061665793151</v>
      </c>
      <c r="M46" s="57">
        <f>M43/资产资本表!M70</f>
        <v>0.58785308861113128</v>
      </c>
      <c r="N46" s="57">
        <f>N43/资产资本表!N70</f>
        <v>0.67077413571516153</v>
      </c>
      <c r="O46" s="57">
        <f>O43/资产资本表!O70</f>
        <v>0.68412098015758493</v>
      </c>
      <c r="P46" s="57">
        <f>P43/资产资本表!P70</f>
        <v>0.72525380935369455</v>
      </c>
      <c r="Q46" s="57">
        <f>Q43/资产资本表!Q70</f>
        <v>0.7298077003152782</v>
      </c>
      <c r="R46" s="57">
        <f>R43/资产资本表!R70</f>
        <v>0.82047676839931238</v>
      </c>
      <c r="S46" s="57">
        <f>S43/资产资本表!S70</f>
        <v>0.84374491160000131</v>
      </c>
      <c r="T46" s="57">
        <f>T43/资产资本表!T70</f>
        <v>0.80120648777775927</v>
      </c>
      <c r="U46" s="57">
        <f>U43/资产资本表!U70</f>
        <v>0.85254704129001602</v>
      </c>
      <c r="V46" s="57">
        <f>V43/资产资本表!V70</f>
        <v>0.95287792579525032</v>
      </c>
      <c r="W46" s="57">
        <f>W43/资产资本表!W70</f>
        <v>0.94351654500823601</v>
      </c>
      <c r="X46" s="57">
        <f>X43/资产资本表!X70</f>
        <v>0.97041488142099064</v>
      </c>
      <c r="Y46" s="57">
        <f>Y43/资产资本表!Y70</f>
        <v>1.0999877581424164</v>
      </c>
      <c r="Z46" s="57">
        <f>Z43/资产资本表!Z70</f>
        <v>0.94040670665732073</v>
      </c>
      <c r="AA46" s="57">
        <f>AA43/资产资本表!AA70</f>
        <v>0.78664573643634195</v>
      </c>
      <c r="AB46" s="57">
        <f>AB43/资产资本表!AB70</f>
        <v>0.70690389337894066</v>
      </c>
      <c r="AC46" s="57">
        <f>AC43/资产资本表!AC70</f>
        <v>0.81579431484106513</v>
      </c>
      <c r="AD46" s="57">
        <f>AD43/资产资本表!AD70</f>
        <v>0.81513201228109522</v>
      </c>
      <c r="AE46" s="57">
        <f>AE43/资产资本表!AE70</f>
        <v>0.60417114477214329</v>
      </c>
      <c r="AF46" s="57">
        <f>AF43/资产资本表!AF70</f>
        <v>0.49609882609989309</v>
      </c>
      <c r="AG46" s="57">
        <f>AG43/资产资本表!AG70</f>
        <v>0.49768661858808522</v>
      </c>
      <c r="AH46" s="57">
        <f>AH43/资产资本表!AH70</f>
        <v>0.51397646884017112</v>
      </c>
      <c r="AI46" s="57">
        <f>AI43/资产资本表!AI70</f>
        <v>0.34262950334548359</v>
      </c>
      <c r="AJ46" s="57">
        <f>AJ43/资产资本表!AJ70</f>
        <v>0.30277508978997419</v>
      </c>
      <c r="AK46" s="57">
        <f>AK43/资产资本表!AK70</f>
        <v>0.40865194327348303</v>
      </c>
      <c r="AL46" s="57">
        <f>AL43/资产资本表!AL70</f>
        <v>0.42070431091898103</v>
      </c>
      <c r="AM46" s="57">
        <f>AM43/资产资本表!AM70</f>
        <v>0.39563800699197421</v>
      </c>
      <c r="AN46" s="57">
        <f>AN43/资产资本表!AN70</f>
        <v>0.28221849929611698</v>
      </c>
      <c r="AO46" s="57">
        <f>AO43/资产资本表!AO70</f>
        <v>0.38681359163678636</v>
      </c>
      <c r="AP46" s="57">
        <f>AP43/资产资本表!AP70</f>
        <v>0.34024290241213972</v>
      </c>
      <c r="AQ46" s="57">
        <f>AQ43/资产资本表!AQ70</f>
        <v>0.21916384705302064</v>
      </c>
      <c r="AR46" s="57">
        <f>AR43/资产资本表!AR70</f>
        <v>0.22413307462976548</v>
      </c>
      <c r="AS46" s="57">
        <f>AS43/资产资本表!AS70</f>
        <v>0.40600316516138379</v>
      </c>
      <c r="AT46" s="57">
        <f>AT43/资产资本表!AT70</f>
        <v>0.35076273722297907</v>
      </c>
      <c r="AU46" s="57">
        <f>AU43/资产资本表!AU70</f>
        <v>0.38019328318811779</v>
      </c>
      <c r="AV46" s="57">
        <f>AV43/资产资本表!AV70</f>
        <v>0.35845191489907452</v>
      </c>
      <c r="AW46" s="57">
        <f>AW43/资产资本表!AW70</f>
        <v>0.39208235722782797</v>
      </c>
      <c r="AX46" s="57">
        <f>AX43/资产资本表!AX70</f>
        <v>0.23125199757615067</v>
      </c>
      <c r="AY46" s="57">
        <f>AY43/资产资本表!AY70</f>
        <v>0.17429919887081238</v>
      </c>
      <c r="AZ46" s="57">
        <f>AZ43/资产资本表!AZ70</f>
        <v>0.18885876835686669</v>
      </c>
      <c r="BA46" s="57">
        <f>BA43/资产资本表!BA70</f>
        <v>0.24277641342285078</v>
      </c>
      <c r="BB46" s="57">
        <f>BB43/资产资本表!BB70</f>
        <v>0.21161380430070645</v>
      </c>
      <c r="BC46" s="57">
        <f>BC43/资产资本表!BC70</f>
        <v>9.9610415996496629E-2</v>
      </c>
      <c r="BD46" s="57">
        <f>BD43/资产资本表!BD70</f>
        <v>5.6637532855532573E-2</v>
      </c>
      <c r="BE46" s="57">
        <f>BE43/资产资本表!BE70</f>
        <v>0.16556061562124688</v>
      </c>
      <c r="BF46" s="57">
        <f>BF43/资产资本表!BF70</f>
        <v>0.15334243199398065</v>
      </c>
      <c r="BG46" s="57">
        <f>BG43/资产资本表!BG70</f>
        <v>9.676100246820607E-2</v>
      </c>
      <c r="BH46" s="57">
        <f>BH43/资产资本表!BH70</f>
        <v>5.2082558837843421E-2</v>
      </c>
      <c r="BI46" s="57">
        <f>BI43/资产资本表!BI70</f>
        <v>7.0754188238879689E-2</v>
      </c>
      <c r="BJ46" s="57">
        <f>BJ43/资产资本表!BJ70</f>
        <v>6.2720787993995872E-2</v>
      </c>
      <c r="BK46" s="57">
        <f>BK43/资产资本表!BK70</f>
        <v>9.1036902262867272E-2</v>
      </c>
      <c r="BL46" s="57">
        <f>BL43/资产资本表!BL70</f>
        <v>5.115096334710198E-2</v>
      </c>
      <c r="BM46" s="57">
        <f>BM43/资产资本表!BM70</f>
        <v>6.3373787656161473E-2</v>
      </c>
      <c r="BN46" s="57">
        <f>BN43/资产资本表!BN70</f>
        <v>4.2418655486104309E-2</v>
      </c>
      <c r="BO46" s="57">
        <f>BO43/资产资本表!BO70</f>
        <v>2.9497010846449578E-2</v>
      </c>
      <c r="BP46" s="57">
        <f>BP43/资产资本表!BP70</f>
        <v>4.721134162491452E-2</v>
      </c>
      <c r="BQ46" s="57">
        <f>BQ43/资产资本表!BQ70</f>
        <v>6.5681753645889143E-2</v>
      </c>
      <c r="BR46" s="57">
        <f>BR43/资产资本表!BR70</f>
        <v>5.854365282520213E-2</v>
      </c>
      <c r="BS46" s="57">
        <f>BS43/资产资本表!BS70</f>
        <v>0.13611981826774641</v>
      </c>
      <c r="BT46" s="57">
        <f>BT43/资产资本表!BT70</f>
        <v>0.12504737847271971</v>
      </c>
      <c r="BU46" s="57">
        <f>BU43/资产资本表!BU70</f>
        <v>4.5931453198141833E-2</v>
      </c>
      <c r="BV46" s="57">
        <f>BV43/资产资本表!BV70</f>
        <v>3.8975017036118262E-2</v>
      </c>
      <c r="BW46" s="57">
        <f>BW43/资产资本表!BW70</f>
        <v>5.063375553648742E-2</v>
      </c>
      <c r="BX46" s="57">
        <f>BX43/资产资本表!BX70</f>
        <v>3.0265712805058482E-2</v>
      </c>
      <c r="BY46" s="57">
        <f>BY43/资产资本表!BY70</f>
        <v>2.5291055404733573E-2</v>
      </c>
      <c r="BZ46" s="57">
        <f>BZ43/资产资本表!BZ70</f>
        <v>2.1373963894279948E-2</v>
      </c>
      <c r="CA46" s="57">
        <f>CA43/资产资本表!CA70</f>
        <v>0</v>
      </c>
      <c r="CB46" s="57">
        <f>CB43/资产资本表!CB70</f>
        <v>6.8208025793822222E-2</v>
      </c>
      <c r="CC46" s="57">
        <f>CC43/资产资本表!CC70</f>
        <v>5.6128332583791636E-2</v>
      </c>
      <c r="CD46" s="57">
        <f>CD43/资产资本表!CD70</f>
        <v>4.5391139399550882E-2</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c r="A48" s="118" t="s">
        <v>462</v>
      </c>
      <c r="B48" s="1">
        <v>43465</v>
      </c>
      <c r="C48" s="1">
        <v>43373</v>
      </c>
      <c r="D48" s="1">
        <v>43281</v>
      </c>
      <c r="E48" s="1">
        <v>43190</v>
      </c>
      <c r="F48" s="1">
        <v>43100</v>
      </c>
      <c r="G48" s="1">
        <v>43008</v>
      </c>
      <c r="H48" s="1">
        <v>42916</v>
      </c>
      <c r="I48" s="1">
        <v>42825</v>
      </c>
      <c r="J48" s="1">
        <v>42735</v>
      </c>
      <c r="K48" s="1">
        <v>42643</v>
      </c>
      <c r="L48" s="1">
        <v>42551</v>
      </c>
      <c r="M48" s="1">
        <v>42460</v>
      </c>
      <c r="N48" s="1">
        <v>42369</v>
      </c>
      <c r="O48" s="1">
        <v>42277</v>
      </c>
      <c r="P48" s="1">
        <v>42185</v>
      </c>
      <c r="Q48" s="1">
        <v>42094</v>
      </c>
      <c r="R48" s="1">
        <v>42004</v>
      </c>
      <c r="S48" s="1">
        <v>41912</v>
      </c>
      <c r="T48" s="1">
        <v>41820</v>
      </c>
      <c r="U48" s="1">
        <v>41729</v>
      </c>
      <c r="V48" s="1">
        <v>41639</v>
      </c>
      <c r="W48" s="1">
        <v>41547</v>
      </c>
      <c r="X48" s="1">
        <v>41455</v>
      </c>
      <c r="Y48" s="1">
        <v>41364</v>
      </c>
      <c r="Z48" s="1">
        <v>41274</v>
      </c>
      <c r="AA48" s="1">
        <v>41182</v>
      </c>
      <c r="AB48" s="1">
        <v>41090</v>
      </c>
      <c r="AC48" s="1">
        <v>40999</v>
      </c>
      <c r="AD48" s="1">
        <v>40908</v>
      </c>
      <c r="AE48" s="1">
        <v>40816</v>
      </c>
      <c r="AF48" s="1">
        <v>40724</v>
      </c>
      <c r="AG48" s="1">
        <v>40633</v>
      </c>
      <c r="AH48" s="1">
        <v>40543</v>
      </c>
      <c r="AI48" s="1">
        <v>40451</v>
      </c>
      <c r="AJ48" s="1">
        <v>40359</v>
      </c>
      <c r="AK48" s="1">
        <v>40268</v>
      </c>
      <c r="AL48" s="1">
        <v>40178</v>
      </c>
      <c r="AM48" s="1">
        <v>40086</v>
      </c>
      <c r="AN48" s="1">
        <v>39994</v>
      </c>
      <c r="AO48" s="1">
        <v>39903</v>
      </c>
      <c r="AP48" s="1">
        <v>39813</v>
      </c>
      <c r="AQ48" s="1">
        <v>39721</v>
      </c>
      <c r="AR48" s="1">
        <v>39629</v>
      </c>
      <c r="AS48" s="1">
        <v>39538</v>
      </c>
      <c r="AT48" s="1">
        <v>39447</v>
      </c>
      <c r="AU48" s="1">
        <v>39355</v>
      </c>
      <c r="AV48" s="1">
        <v>39263</v>
      </c>
      <c r="AW48" s="1">
        <v>39172</v>
      </c>
      <c r="AX48" s="1">
        <v>39082</v>
      </c>
      <c r="AY48" s="1">
        <v>38990</v>
      </c>
      <c r="AZ48" s="1">
        <v>38898</v>
      </c>
      <c r="BA48" s="1">
        <v>38807</v>
      </c>
      <c r="BB48" s="1">
        <v>38717</v>
      </c>
      <c r="BC48" s="1">
        <v>38625</v>
      </c>
      <c r="BD48" s="1">
        <v>38533</v>
      </c>
      <c r="BE48" s="1">
        <v>38442</v>
      </c>
      <c r="BF48" s="1">
        <v>38352</v>
      </c>
      <c r="BG48" s="1">
        <v>38260</v>
      </c>
      <c r="BH48" s="1">
        <v>38168</v>
      </c>
      <c r="BI48" s="1">
        <v>38077</v>
      </c>
      <c r="BJ48" s="1">
        <v>37986</v>
      </c>
      <c r="BK48" s="1">
        <v>37894</v>
      </c>
      <c r="BL48" s="1">
        <v>37802</v>
      </c>
      <c r="BM48" s="1">
        <v>37711</v>
      </c>
      <c r="BN48" s="1">
        <v>37621</v>
      </c>
      <c r="BO48" s="1">
        <v>37529</v>
      </c>
      <c r="BP48" s="1">
        <v>37437</v>
      </c>
      <c r="BQ48" s="1">
        <v>37346</v>
      </c>
      <c r="BR48" s="1">
        <v>37256</v>
      </c>
      <c r="BS48" s="1">
        <v>37072</v>
      </c>
      <c r="BT48" s="1">
        <v>36891</v>
      </c>
      <c r="BU48" s="1">
        <v>36707</v>
      </c>
      <c r="BV48" s="1">
        <v>36525</v>
      </c>
      <c r="BW48" s="1">
        <v>36341</v>
      </c>
      <c r="BX48" s="1">
        <v>36160</v>
      </c>
      <c r="BY48" s="1">
        <v>35976</v>
      </c>
      <c r="BZ48" s="1">
        <v>35795</v>
      </c>
      <c r="CA48" s="1">
        <v>35611</v>
      </c>
      <c r="CB48" s="1">
        <v>35430</v>
      </c>
      <c r="CC48" s="1">
        <v>35246</v>
      </c>
      <c r="CD48" s="1">
        <v>35064</v>
      </c>
      <c r="CE48" s="1">
        <v>25569</v>
      </c>
      <c r="CF48" s="1"/>
      <c r="CG48" s="1"/>
      <c r="CH48" s="1"/>
      <c r="CI48" s="1"/>
      <c r="CJ48" s="1"/>
      <c r="CK48" s="1"/>
    </row>
    <row r="49" spans="1:89" s="76" customFormat="1">
      <c r="A49" s="146" t="s">
        <v>463</v>
      </c>
      <c r="E49" s="76">
        <f>利润表!E4</f>
        <v>421474197.36000001</v>
      </c>
      <c r="F49" s="76">
        <f>利润表!F4</f>
        <v>1366363612.6199999</v>
      </c>
      <c r="G49" s="76">
        <f>利润表!G4</f>
        <v>1026037642.64</v>
      </c>
      <c r="H49" s="76">
        <f>利润表!H4</f>
        <v>698379557.87</v>
      </c>
      <c r="I49" s="76">
        <f>利润表!I4</f>
        <v>284244614.87</v>
      </c>
      <c r="J49" s="76">
        <f>利润表!J4</f>
        <v>1026535858.9299999</v>
      </c>
      <c r="K49" s="76">
        <f>利润表!K4</f>
        <v>766151820.29999995</v>
      </c>
      <c r="L49" s="76">
        <f>利润表!L4</f>
        <v>525882189.83999997</v>
      </c>
      <c r="M49" s="76">
        <f>利润表!M4</f>
        <v>295249656.20999998</v>
      </c>
      <c r="N49" s="76">
        <f>利润表!N4</f>
        <v>1120665180.8800001</v>
      </c>
      <c r="O49" s="76">
        <f>利润表!O4</f>
        <v>857530976.39999998</v>
      </c>
      <c r="P49" s="76">
        <f>利润表!P4</f>
        <v>593268789.13</v>
      </c>
      <c r="Q49" s="76">
        <f>利润表!Q4</f>
        <v>335552584.61000001</v>
      </c>
      <c r="R49" s="76">
        <f>利润表!R4</f>
        <v>1214852555.8099999</v>
      </c>
      <c r="S49" s="76">
        <f>利润表!S4</f>
        <v>927620999.42999995</v>
      </c>
      <c r="T49" s="76">
        <f>利润表!T4</f>
        <v>630920696.25999999</v>
      </c>
      <c r="U49" s="76">
        <f>利润表!U4</f>
        <v>359411030.98000002</v>
      </c>
      <c r="V49" s="76">
        <f>利润表!V4</f>
        <v>1428005507.79</v>
      </c>
      <c r="W49" s="76">
        <f>利润表!W4</f>
        <v>1090244284</v>
      </c>
      <c r="X49" s="76">
        <f>利润表!X4</f>
        <v>753590720.29999995</v>
      </c>
      <c r="Y49" s="76">
        <f>利润表!Y4</f>
        <v>407134157.54000002</v>
      </c>
      <c r="Z49" s="76">
        <f>利润表!Z4</f>
        <v>1320057528.8499999</v>
      </c>
      <c r="AA49" s="76">
        <f>利润表!AA4</f>
        <v>999698057.85000002</v>
      </c>
      <c r="AB49" s="76">
        <f>利润表!AB4</f>
        <v>696223866.28999996</v>
      </c>
      <c r="AC49" s="76">
        <f>利润表!AC4</f>
        <v>397167146.08999997</v>
      </c>
      <c r="AD49" s="76">
        <f>利润表!AD4</f>
        <v>1188181022.1600001</v>
      </c>
      <c r="AE49" s="76">
        <f>利润表!AE4</f>
        <v>881523761.17999995</v>
      </c>
      <c r="AF49" s="76">
        <f>利润表!AF4</f>
        <v>619936758.73000002</v>
      </c>
      <c r="AG49" s="76">
        <f>利润表!AG4</f>
        <v>360707870.79000002</v>
      </c>
      <c r="AH49" s="76">
        <f>利润表!AH4</f>
        <v>920899447.85000002</v>
      </c>
      <c r="AI49" s="76">
        <f>利润表!AI4</f>
        <v>652183381.96000004</v>
      </c>
      <c r="AJ49" s="76">
        <f>利润表!AJ4</f>
        <v>437443143.19</v>
      </c>
      <c r="AK49" s="76">
        <f>利润表!AK4</f>
        <v>250700453.44</v>
      </c>
      <c r="AL49" s="76">
        <f>利润表!AL4</f>
        <v>729118833.46000004</v>
      </c>
      <c r="AM49" s="76">
        <f>利润表!AM4</f>
        <v>531954310.14999998</v>
      </c>
      <c r="AN49" s="76">
        <f>利润表!AN4</f>
        <v>364490143.06999999</v>
      </c>
      <c r="AO49" s="76">
        <f>利润表!AO4</f>
        <v>208744716.30000001</v>
      </c>
      <c r="AP49" s="76">
        <f>利润表!AP4</f>
        <v>622896991.75999999</v>
      </c>
      <c r="AQ49" s="76">
        <f>利润表!AQ4</f>
        <v>458272083.85000002</v>
      </c>
      <c r="AR49" s="76">
        <f>利润表!AR4</f>
        <v>312351104.93000001</v>
      </c>
      <c r="AS49" s="76">
        <f>利润表!AS4</f>
        <v>187257445.02000001</v>
      </c>
      <c r="AT49" s="76">
        <f>利润表!AT4</f>
        <v>547411619.92999995</v>
      </c>
      <c r="AU49" s="76">
        <f>利润表!AU4</f>
        <v>398835936.57999998</v>
      </c>
      <c r="AV49" s="76">
        <f>利润表!AV4</f>
        <v>271330509.35000002</v>
      </c>
      <c r="AW49" s="76">
        <f>利润表!AW4</f>
        <v>152264846.55000001</v>
      </c>
      <c r="AX49" s="76">
        <f>利润表!AX4</f>
        <v>450343864.37</v>
      </c>
      <c r="AY49" s="76">
        <f>利润表!AY4</f>
        <v>331144512.04000002</v>
      </c>
      <c r="AZ49" s="76">
        <f>利润表!AZ4</f>
        <v>224380432.09</v>
      </c>
      <c r="BA49" s="76">
        <f>利润表!BA4</f>
        <v>130299434.17</v>
      </c>
      <c r="BB49" s="76">
        <f>利润表!BB4</f>
        <v>439515310.91000003</v>
      </c>
      <c r="BC49" s="76">
        <f>利润表!BC4</f>
        <v>322811947.29000002</v>
      </c>
      <c r="BD49" s="76">
        <f>利润表!BD4</f>
        <v>227255482.66</v>
      </c>
      <c r="BE49" s="76">
        <f>利润表!BE4</f>
        <v>132693042.41</v>
      </c>
      <c r="BF49" s="76">
        <f>利润表!BF4</f>
        <v>403756671.35000002</v>
      </c>
      <c r="BG49" s="76">
        <f>利润表!BG4</f>
        <v>299944780.02999997</v>
      </c>
      <c r="BH49" s="76">
        <f>利润表!BH4</f>
        <v>209668828.09999999</v>
      </c>
      <c r="BI49" s="76">
        <f>利润表!BI4</f>
        <v>123795153.15000001</v>
      </c>
      <c r="BJ49" s="76">
        <f>利润表!BJ4</f>
        <v>479585510.57999998</v>
      </c>
      <c r="BK49" s="76">
        <f>利润表!BK4</f>
        <v>364898704.38</v>
      </c>
      <c r="BL49" s="76">
        <f>利润表!BL4</f>
        <v>257249053.94</v>
      </c>
      <c r="BM49" s="76">
        <f>利润表!BM4</f>
        <v>149535383.96000001</v>
      </c>
      <c r="BN49" s="76">
        <f>利润表!BN4</f>
        <v>507279280.06</v>
      </c>
      <c r="BO49" s="76">
        <f>利润表!BO4</f>
        <v>406011008.52999997</v>
      </c>
      <c r="BP49" s="76">
        <f>利润表!BP4</f>
        <v>292249245.88</v>
      </c>
      <c r="BQ49" s="76">
        <f>利润表!BQ4</f>
        <v>173938225.12</v>
      </c>
      <c r="BR49" s="76">
        <f>利润表!BR4</f>
        <v>649680863.10000002</v>
      </c>
      <c r="BS49" s="76">
        <f>利润表!BS4</f>
        <v>342143319.51999998</v>
      </c>
      <c r="BT49" s="76">
        <f>利润表!BT4</f>
        <v>649870942.78999996</v>
      </c>
      <c r="BU49" s="76">
        <f>利润表!BU4</f>
        <v>312370113.82999998</v>
      </c>
      <c r="BV49" s="76">
        <f>利润表!BV4</f>
        <v>587005192.25999999</v>
      </c>
      <c r="BW49" s="76">
        <f>利润表!BW4</f>
        <v>318639859.5</v>
      </c>
      <c r="BX49" s="76">
        <f>利润表!BX4</f>
        <v>607433824.57000005</v>
      </c>
      <c r="BY49" s="76">
        <f>利润表!BY4</f>
        <v>312160826.85000002</v>
      </c>
      <c r="BZ49" s="76">
        <f>利润表!BZ4</f>
        <v>602599165.12</v>
      </c>
      <c r="CA49" s="76">
        <f>利润表!CA4</f>
        <v>345556667.12</v>
      </c>
      <c r="CB49" s="76">
        <f>利润表!CB4</f>
        <v>612674307.19000006</v>
      </c>
      <c r="CC49" s="76">
        <f>利润表!CC4</f>
        <v>334022343.13999999</v>
      </c>
      <c r="CD49" s="76">
        <f>利润表!CD4</f>
        <v>552412855.38999999</v>
      </c>
      <c r="CE49" s="76">
        <f>利润表!CE4</f>
        <v>0</v>
      </c>
      <c r="CF49" s="76">
        <f>利润表!CF4</f>
        <v>0</v>
      </c>
      <c r="CG49" s="76">
        <f>利润表!CG4</f>
        <v>0</v>
      </c>
      <c r="CH49" s="76">
        <f>利润表!CH4</f>
        <v>0</v>
      </c>
      <c r="CI49" s="76">
        <f>利润表!CI4</f>
        <v>0</v>
      </c>
      <c r="CJ49" s="76">
        <f>利润表!CJ4</f>
        <v>0</v>
      </c>
      <c r="CK49" s="76">
        <f>利润表!CK4</f>
        <v>0</v>
      </c>
    </row>
    <row r="50" spans="1:89" s="76" customFormat="1">
      <c r="A50" s="146" t="s">
        <v>464</v>
      </c>
      <c r="E50" s="76">
        <f>资产资本表!E50</f>
        <v>-51975257.690000296</v>
      </c>
      <c r="F50" s="76">
        <f>资产资本表!F50</f>
        <v>-217699773.32000017</v>
      </c>
      <c r="G50" s="76">
        <f>资产资本表!G50</f>
        <v>-173472372.79999995</v>
      </c>
      <c r="H50" s="76">
        <f>资产资本表!H50</f>
        <v>-656704874.68000007</v>
      </c>
      <c r="I50" s="76">
        <f>资产资本表!I50</f>
        <v>430351742.50000012</v>
      </c>
      <c r="J50" s="76">
        <f>资产资本表!J50</f>
        <v>289212976</v>
      </c>
      <c r="K50" s="76">
        <f>资产资本表!K50</f>
        <v>383408352.55999994</v>
      </c>
      <c r="L50" s="76">
        <f>资产资本表!L50</f>
        <v>403258245.29000008</v>
      </c>
      <c r="M50" s="76">
        <f>资产资本表!M50</f>
        <v>316968071.50000006</v>
      </c>
      <c r="N50" s="76">
        <f>资产资本表!N50</f>
        <v>162104845.22000003</v>
      </c>
      <c r="O50" s="76">
        <f>资产资本表!O50</f>
        <v>118724119.19999993</v>
      </c>
      <c r="P50" s="76">
        <f>资产资本表!P50</f>
        <v>75628594.049999952</v>
      </c>
      <c r="Q50" s="76">
        <f>资产资本表!Q50</f>
        <v>3719735.2599999905</v>
      </c>
      <c r="R50" s="76">
        <f>资产资本表!R50</f>
        <v>-129068605.18000007</v>
      </c>
      <c r="S50" s="76">
        <f>资产资本表!S50</f>
        <v>-162030668.25000012</v>
      </c>
      <c r="T50" s="76">
        <f>资产资本表!T50</f>
        <v>-219245874.12000006</v>
      </c>
      <c r="U50" s="76">
        <f>资产资本表!U50</f>
        <v>-291671980.80000001</v>
      </c>
      <c r="V50" s="76">
        <f>资产资本表!V50</f>
        <v>-406109627.08000004</v>
      </c>
      <c r="W50" s="76">
        <f>资产资本表!W50</f>
        <v>-404781734.07999986</v>
      </c>
      <c r="X50" s="76">
        <f>资产资本表!X50</f>
        <v>-416469091.69999987</v>
      </c>
      <c r="Y50" s="76">
        <f>资产资本表!Y50</f>
        <v>-558625221.93000007</v>
      </c>
      <c r="Z50" s="76">
        <f>资产资本表!Z50</f>
        <v>-438774942.06999993</v>
      </c>
      <c r="AA50" s="76">
        <f>资产资本表!AA50</f>
        <v>-356167499.75</v>
      </c>
      <c r="AB50" s="76">
        <f>资产资本表!AB50</f>
        <v>-314690271.91999996</v>
      </c>
      <c r="AC50" s="76">
        <f>资产资本表!AC50</f>
        <v>-379769555.03999996</v>
      </c>
      <c r="AD50" s="76">
        <f>资产资本表!AD50</f>
        <v>-393035265.55000007</v>
      </c>
      <c r="AE50" s="76">
        <f>资产资本表!AE50</f>
        <v>-312509644.92000002</v>
      </c>
      <c r="AF50" s="76">
        <f>资产资本表!AF50</f>
        <v>-275084342.99000001</v>
      </c>
      <c r="AG50" s="76">
        <f>资产资本表!AG50</f>
        <v>-285788018.57999998</v>
      </c>
      <c r="AH50" s="76">
        <f>资产资本表!AH50</f>
        <v>-286171046.01999998</v>
      </c>
      <c r="AI50" s="76">
        <f>资产资本表!AI50</f>
        <v>-152150148.44000006</v>
      </c>
      <c r="AJ50" s="76">
        <f>资产资本表!AJ50</f>
        <v>-249817477.42000002</v>
      </c>
      <c r="AK50" s="76">
        <f>资产资本表!AK50</f>
        <v>-312388453.59000003</v>
      </c>
      <c r="AL50" s="76">
        <f>资产资本表!AL50</f>
        <v>-285481040.55000007</v>
      </c>
      <c r="AM50" s="76">
        <f>资产资本表!AM50</f>
        <v>-225999525.35000002</v>
      </c>
      <c r="AN50" s="76">
        <f>资产资本表!AN50</f>
        <v>-183255246.10999998</v>
      </c>
      <c r="AO50" s="76">
        <f>资产资本表!AO50</f>
        <v>-212446197.00000003</v>
      </c>
      <c r="AP50" s="76">
        <f>资产资本表!AP50</f>
        <v>-198598054.07999998</v>
      </c>
      <c r="AQ50" s="76">
        <f>资产资本表!AQ50</f>
        <v>-111605375.16</v>
      </c>
      <c r="AR50" s="76">
        <f>资产资本表!AR50</f>
        <v>-88998004.48999998</v>
      </c>
      <c r="AS50" s="76">
        <f>资产资本表!AS50</f>
        <v>-121641370.63999999</v>
      </c>
      <c r="AT50" s="76">
        <f>资产资本表!AT50</f>
        <v>-134216013.01000002</v>
      </c>
      <c r="AU50" s="76">
        <f>资产资本表!AU50</f>
        <v>-102070358.69000003</v>
      </c>
      <c r="AV50" s="76">
        <f>资产资本表!AV50</f>
        <v>-82994229.819999993</v>
      </c>
      <c r="AW50" s="76">
        <f>资产资本表!AW50</f>
        <v>-134062847</v>
      </c>
      <c r="AX50" s="76">
        <f>资产资本表!AX50</f>
        <v>-101581113.40000001</v>
      </c>
      <c r="AY50" s="76">
        <f>资产资本表!AY50</f>
        <v>-81251639.269999981</v>
      </c>
      <c r="AZ50" s="76">
        <f>资产资本表!AZ50</f>
        <v>-78079740.099999994</v>
      </c>
      <c r="BA50" s="76">
        <f>资产资本表!BA50</f>
        <v>-135112544.12</v>
      </c>
      <c r="BB50" s="76">
        <f>资产资本表!BB50</f>
        <v>-123368485.56999999</v>
      </c>
      <c r="BC50" s="76">
        <f>资产资本表!BC50</f>
        <v>-47839628.660000026</v>
      </c>
      <c r="BD50" s="76">
        <f>资产资本表!BD50</f>
        <v>-16276083.73999998</v>
      </c>
      <c r="BE50" s="76">
        <f>资产资本表!BE50</f>
        <v>-88877122.909999996</v>
      </c>
      <c r="BF50" s="76">
        <f>资产资本表!BF50</f>
        <v>-237228221.40000001</v>
      </c>
      <c r="BG50" s="76">
        <f>资产资本表!BG50</f>
        <v>-10382817.469999969</v>
      </c>
      <c r="BH50" s="76">
        <f>资产资本表!BH50</f>
        <v>-4887530.4400000274</v>
      </c>
      <c r="BI50" s="76">
        <f>资产资本表!BI50</f>
        <v>-20814432.329999983</v>
      </c>
      <c r="BJ50" s="76">
        <f>资产资本表!BJ50</f>
        <v>-5293178.7800000012</v>
      </c>
      <c r="BK50" s="76">
        <f>资产资本表!BK50</f>
        <v>-12527558.480000019</v>
      </c>
      <c r="BL50" s="76">
        <f>资产资本表!BL50</f>
        <v>-2883026.1900000274</v>
      </c>
      <c r="BM50" s="76">
        <f>资产资本表!BM50</f>
        <v>-21508118.449999988</v>
      </c>
      <c r="BN50" s="76">
        <f>资产资本表!BN50</f>
        <v>-8601.4599999785423</v>
      </c>
      <c r="BO50" s="76">
        <f>资产资本表!BO50</f>
        <v>236463426.06</v>
      </c>
      <c r="BP50" s="76">
        <f>资产资本表!BP50</f>
        <v>65631010.649999976</v>
      </c>
      <c r="BQ50" s="76">
        <f>资产资本表!BQ50</f>
        <v>163384756.62</v>
      </c>
      <c r="BR50" s="76">
        <f>资产资本表!BR50</f>
        <v>156888188.27000004</v>
      </c>
      <c r="BS50" s="76">
        <f>资产资本表!BS50</f>
        <v>32589305.460000038</v>
      </c>
      <c r="BT50" s="76">
        <f>资产资本表!BT50</f>
        <v>135553578.23999998</v>
      </c>
      <c r="BU50" s="76">
        <f>资产资本表!BU50</f>
        <v>25059583.960000023</v>
      </c>
      <c r="BV50" s="76">
        <f>资产资本表!BV50</f>
        <v>221606387.76999998</v>
      </c>
      <c r="BW50" s="76">
        <f>资产资本表!BW50</f>
        <v>68609601.940000013</v>
      </c>
      <c r="BX50" s="76">
        <f>资产资本表!BX50</f>
        <v>8964295.9099999964</v>
      </c>
      <c r="BY50" s="76">
        <f>资产资本表!BY50</f>
        <v>1367572.5899999887</v>
      </c>
      <c r="BZ50" s="76">
        <f>资产资本表!BZ50</f>
        <v>7891576.7599999905</v>
      </c>
      <c r="CA50" s="76">
        <f>资产资本表!CA50</f>
        <v>0</v>
      </c>
      <c r="CB50" s="76">
        <f>资产资本表!CB50</f>
        <v>37727792.330000028</v>
      </c>
      <c r="CC50" s="76">
        <f>资产资本表!CC50</f>
        <v>34196233.910000026</v>
      </c>
      <c r="CD50" s="76">
        <f>资产资本表!CD50</f>
        <v>11652003.919999987</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c r="A51" s="142" t="s">
        <v>465</v>
      </c>
      <c r="E51" s="44">
        <f>E49/E50</f>
        <v>-8.1091314616240737</v>
      </c>
      <c r="F51" s="44">
        <f t="shared" ref="F51:BQ51" si="18">F49/F50</f>
        <v>-6.2763667218502865</v>
      </c>
      <c r="G51" s="44">
        <f t="shared" si="18"/>
        <v>-5.9147034543819892</v>
      </c>
      <c r="H51" s="44">
        <f t="shared" si="18"/>
        <v>-1.0634602921294094</v>
      </c>
      <c r="I51" s="44">
        <f t="shared" si="18"/>
        <v>0.66049370038277455</v>
      </c>
      <c r="J51" s="44">
        <f t="shared" si="18"/>
        <v>3.5494114860531014</v>
      </c>
      <c r="K51" s="44">
        <f t="shared" si="18"/>
        <v>1.9982658572366498</v>
      </c>
      <c r="L51" s="44">
        <f t="shared" si="18"/>
        <v>1.3040829195242265</v>
      </c>
      <c r="M51" s="44">
        <f t="shared" si="18"/>
        <v>0.93148074761214528</v>
      </c>
      <c r="N51" s="44">
        <f t="shared" si="18"/>
        <v>6.9132121211990505</v>
      </c>
      <c r="O51" s="44">
        <f t="shared" si="18"/>
        <v>7.2228876674622695</v>
      </c>
      <c r="P51" s="44">
        <f t="shared" si="18"/>
        <v>7.8445037433563183</v>
      </c>
      <c r="Q51" s="44">
        <f t="shared" si="18"/>
        <v>90.208727545304086</v>
      </c>
      <c r="R51" s="44">
        <f t="shared" si="18"/>
        <v>-9.4124559114569895</v>
      </c>
      <c r="S51" s="44">
        <f t="shared" si="18"/>
        <v>-5.7249717565736153</v>
      </c>
      <c r="T51" s="44">
        <f t="shared" si="18"/>
        <v>-2.8776856065928862</v>
      </c>
      <c r="U51" s="44">
        <f t="shared" si="18"/>
        <v>-1.2322439405876588</v>
      </c>
      <c r="V51" s="44">
        <f t="shared" si="18"/>
        <v>-3.5163054814967372</v>
      </c>
      <c r="W51" s="44">
        <f t="shared" si="18"/>
        <v>-2.6934127511409085</v>
      </c>
      <c r="X51" s="44">
        <f t="shared" si="18"/>
        <v>-1.8094757457843784</v>
      </c>
      <c r="Y51" s="44">
        <f t="shared" si="18"/>
        <v>-0.72881449235927442</v>
      </c>
      <c r="Z51" s="44">
        <f t="shared" si="18"/>
        <v>-3.0085071007528152</v>
      </c>
      <c r="AA51" s="44">
        <f t="shared" si="18"/>
        <v>-2.8068199893356498</v>
      </c>
      <c r="AB51" s="44">
        <f t="shared" si="18"/>
        <v>-2.2124098785837041</v>
      </c>
      <c r="AC51" s="44">
        <f t="shared" si="18"/>
        <v>-1.045810915643745</v>
      </c>
      <c r="AD51" s="44">
        <f t="shared" si="18"/>
        <v>-3.0230901048975856</v>
      </c>
      <c r="AE51" s="44">
        <f t="shared" si="18"/>
        <v>-2.8207889756671767</v>
      </c>
      <c r="AF51" s="44">
        <f t="shared" si="18"/>
        <v>-2.2536242957038679</v>
      </c>
      <c r="AG51" s="44">
        <f t="shared" si="18"/>
        <v>-1.2621518305149937</v>
      </c>
      <c r="AH51" s="44">
        <f t="shared" si="18"/>
        <v>-3.2180035704438108</v>
      </c>
      <c r="AI51" s="44">
        <f t="shared" si="18"/>
        <v>-4.2864459131118533</v>
      </c>
      <c r="AJ51" s="44">
        <f t="shared" si="18"/>
        <v>-1.7510509981435709</v>
      </c>
      <c r="AK51" s="44">
        <f t="shared" si="18"/>
        <v>-0.80252791215208108</v>
      </c>
      <c r="AL51" s="44">
        <f t="shared" si="18"/>
        <v>-2.5540008963653045</v>
      </c>
      <c r="AM51" s="44">
        <f t="shared" si="18"/>
        <v>-2.3537850768764899</v>
      </c>
      <c r="AN51" s="44">
        <f t="shared" si="18"/>
        <v>-1.9889752179384417</v>
      </c>
      <c r="AO51" s="44">
        <f t="shared" si="18"/>
        <v>-0.98257685591801858</v>
      </c>
      <c r="AP51" s="44">
        <f t="shared" si="18"/>
        <v>-3.1364707708016231</v>
      </c>
      <c r="AQ51" s="44">
        <f t="shared" si="18"/>
        <v>-4.1061829073466285</v>
      </c>
      <c r="AR51" s="44">
        <f t="shared" si="18"/>
        <v>-3.509641668034214</v>
      </c>
      <c r="AS51" s="44">
        <f t="shared" si="18"/>
        <v>-1.5394223530594051</v>
      </c>
      <c r="AT51" s="44">
        <f t="shared" si="18"/>
        <v>-4.0785865088185416</v>
      </c>
      <c r="AU51" s="44">
        <f t="shared" si="18"/>
        <v>-3.9074609093058323</v>
      </c>
      <c r="AV51" s="44">
        <f t="shared" si="18"/>
        <v>-3.2692695617330094</v>
      </c>
      <c r="AW51" s="44">
        <f t="shared" si="18"/>
        <v>-1.1357721393907143</v>
      </c>
      <c r="AX51" s="44">
        <f t="shared" si="18"/>
        <v>-4.4333424718103158</v>
      </c>
      <c r="AY51" s="44">
        <f t="shared" si="18"/>
        <v>-4.0755425369278226</v>
      </c>
      <c r="AZ51" s="44">
        <f t="shared" si="18"/>
        <v>-2.8737343618540043</v>
      </c>
      <c r="BA51" s="44">
        <f t="shared" si="18"/>
        <v>-0.96437703115318996</v>
      </c>
      <c r="BB51" s="44">
        <f t="shared" si="18"/>
        <v>-3.5626222440788293</v>
      </c>
      <c r="BC51" s="44">
        <f t="shared" si="18"/>
        <v>-6.7477937503288272</v>
      </c>
      <c r="BD51" s="44">
        <f t="shared" si="18"/>
        <v>-13.962540761663609</v>
      </c>
      <c r="BE51" s="44">
        <f t="shared" si="18"/>
        <v>-1.4929943506876284</v>
      </c>
      <c r="BF51" s="44">
        <f t="shared" si="18"/>
        <v>-1.7019757133752216</v>
      </c>
      <c r="BG51" s="44">
        <f t="shared" si="18"/>
        <v>-28.888572961689643</v>
      </c>
      <c r="BH51" s="44">
        <f t="shared" si="18"/>
        <v>-42.898725782667213</v>
      </c>
      <c r="BI51" s="44">
        <f t="shared" si="18"/>
        <v>-5.9475632670305023</v>
      </c>
      <c r="BJ51" s="44">
        <f t="shared" si="18"/>
        <v>-90.604442153378372</v>
      </c>
      <c r="BK51" s="44">
        <f t="shared" si="18"/>
        <v>-29.127679185258089</v>
      </c>
      <c r="BL51" s="44">
        <f t="shared" si="18"/>
        <v>-89.228830050967233</v>
      </c>
      <c r="BM51" s="44">
        <f t="shared" si="18"/>
        <v>-6.952508854162466</v>
      </c>
      <c r="BN51" s="44">
        <f t="shared" si="18"/>
        <v>-58975.950601556651</v>
      </c>
      <c r="BO51" s="44">
        <f t="shared" si="18"/>
        <v>1.7170139809569498</v>
      </c>
      <c r="BP51" s="44">
        <f t="shared" si="18"/>
        <v>4.452913995771298</v>
      </c>
      <c r="BQ51" s="44">
        <f t="shared" si="18"/>
        <v>1.0645927363012526</v>
      </c>
      <c r="BR51" s="44">
        <f t="shared" ref="BR51:CJ51" si="19">BR49/BR50</f>
        <v>4.1410438240380341</v>
      </c>
      <c r="BS51" s="44">
        <f t="shared" si="19"/>
        <v>10.49863796391565</v>
      </c>
      <c r="BT51" s="44">
        <f t="shared" si="19"/>
        <v>4.7941998376419992</v>
      </c>
      <c r="BU51" s="44">
        <f t="shared" si="19"/>
        <v>12.465095762507611</v>
      </c>
      <c r="BV51" s="44">
        <f t="shared" si="19"/>
        <v>2.6488640429861561</v>
      </c>
      <c r="BW51" s="44">
        <f t="shared" si="19"/>
        <v>4.6442458561216355</v>
      </c>
      <c r="BX51" s="44">
        <f t="shared" si="19"/>
        <v>67.761465113214925</v>
      </c>
      <c r="BY51" s="44">
        <f t="shared" si="19"/>
        <v>228.25905486304211</v>
      </c>
      <c r="BZ51" s="44">
        <f t="shared" si="19"/>
        <v>76.359792655682256</v>
      </c>
      <c r="CA51" s="44" t="e">
        <f t="shared" si="19"/>
        <v>#DIV/0!</v>
      </c>
      <c r="CB51" s="44">
        <f t="shared" si="19"/>
        <v>16.239336291692304</v>
      </c>
      <c r="CC51" s="44">
        <f t="shared" si="19"/>
        <v>9.7678108068596874</v>
      </c>
      <c r="CD51" s="44">
        <f t="shared" si="19"/>
        <v>47.409257599185615</v>
      </c>
      <c r="CE51" s="44" t="e">
        <f t="shared" si="19"/>
        <v>#DIV/0!</v>
      </c>
      <c r="CF51" s="44" t="e">
        <f t="shared" si="19"/>
        <v>#DIV/0!</v>
      </c>
      <c r="CG51" s="44" t="e">
        <f t="shared" si="19"/>
        <v>#DIV/0!</v>
      </c>
      <c r="CH51" s="44" t="e">
        <f t="shared" si="19"/>
        <v>#DIV/0!</v>
      </c>
      <c r="CI51" s="44" t="e">
        <f t="shared" si="19"/>
        <v>#DIV/0!</v>
      </c>
      <c r="CJ51" s="44" t="e">
        <f t="shared" si="19"/>
        <v>#DIV/0!</v>
      </c>
    </row>
    <row r="52" spans="1:89" s="76" customFormat="1">
      <c r="A52" s="146" t="s">
        <v>466</v>
      </c>
      <c r="E52" s="76">
        <f>资产资本表!E68</f>
        <v>419187398.27999997</v>
      </c>
      <c r="F52" s="76">
        <f>资产资本表!F68</f>
        <v>402403792.01999998</v>
      </c>
      <c r="G52" s="76">
        <f>资产资本表!G68</f>
        <v>363457455.61999995</v>
      </c>
      <c r="H52" s="76">
        <f>资产资本表!H68</f>
        <v>356011015.00999993</v>
      </c>
      <c r="I52" s="76">
        <f>资产资本表!I68</f>
        <v>324831768.56</v>
      </c>
      <c r="J52" s="76">
        <f>资产资本表!J68</f>
        <v>332220622.00999999</v>
      </c>
      <c r="K52" s="76">
        <f>资产资本表!K68</f>
        <v>335863455.31</v>
      </c>
      <c r="L52" s="76">
        <f>资产资本表!L68</f>
        <v>342907667.71999997</v>
      </c>
      <c r="M52" s="76">
        <f>资产资本表!M68</f>
        <v>345496393.05000001</v>
      </c>
      <c r="N52" s="76">
        <f>资产资本表!N68</f>
        <v>342723878.75999999</v>
      </c>
      <c r="O52" s="76">
        <f>资产资本表!O68</f>
        <v>347133188.31999999</v>
      </c>
      <c r="P52" s="76">
        <f>资产资本表!P68</f>
        <v>351566646.19</v>
      </c>
      <c r="Q52" s="76">
        <f>资产资本表!Q68</f>
        <v>355674213.39999998</v>
      </c>
      <c r="R52" s="76">
        <f>资产资本表!R68</f>
        <v>362390588.34000003</v>
      </c>
      <c r="S52" s="76">
        <f>资产资本表!S68</f>
        <v>362480141.93000001</v>
      </c>
      <c r="T52" s="76">
        <f>资产资本表!T68</f>
        <v>361825655.11000001</v>
      </c>
      <c r="U52" s="76">
        <f>资产资本表!U68</f>
        <v>361880836.48000002</v>
      </c>
      <c r="V52" s="76">
        <f>资产资本表!V68</f>
        <v>368042002.69</v>
      </c>
      <c r="W52" s="76">
        <f>资产资本表!W68</f>
        <v>375077821.76999998</v>
      </c>
      <c r="X52" s="76">
        <f>资产资本表!X68</f>
        <v>386038724.59000003</v>
      </c>
      <c r="Y52" s="76">
        <f>资产资本表!Y68</f>
        <v>398614657.03000009</v>
      </c>
      <c r="Z52" s="76">
        <f>资产资本表!Z68</f>
        <v>410554820.24000001</v>
      </c>
      <c r="AA52" s="76">
        <f>资产资本表!AA68</f>
        <v>406326948.77000004</v>
      </c>
      <c r="AB52" s="76">
        <f>资产资本表!AB68</f>
        <v>402944062.56999999</v>
      </c>
      <c r="AC52" s="76">
        <f>资产资本表!AC68</f>
        <v>411285166.26999998</v>
      </c>
      <c r="AD52" s="76">
        <f>资产资本表!AD68</f>
        <v>419639168.87000006</v>
      </c>
      <c r="AE52" s="76">
        <f>资产资本表!AE68</f>
        <v>434737643.55000007</v>
      </c>
      <c r="AF52" s="76">
        <f>资产资本表!AF68</f>
        <v>441251859.78000003</v>
      </c>
      <c r="AG52" s="76">
        <f>资产资本表!AG68</f>
        <v>447885087.25000006</v>
      </c>
      <c r="AH52" s="76">
        <f>资产资本表!AH68</f>
        <v>454602151.86000007</v>
      </c>
      <c r="AI52" s="76">
        <f>资产资本表!AI68</f>
        <v>453684265.57000005</v>
      </c>
      <c r="AJ52" s="76">
        <f>资产资本表!AJ68</f>
        <v>460204091.05999994</v>
      </c>
      <c r="AK52" s="76">
        <f>资产资本表!AK68</f>
        <v>462726648.51999998</v>
      </c>
      <c r="AL52" s="76">
        <f>资产资本表!AL68</f>
        <v>464171290.00999993</v>
      </c>
      <c r="AM52" s="76">
        <f>资产资本表!AM68</f>
        <v>469456923.46999997</v>
      </c>
      <c r="AN52" s="76">
        <f>资产资本表!AN68</f>
        <v>459649026.38</v>
      </c>
      <c r="AO52" s="76">
        <f>资产资本表!AO68</f>
        <v>468669160.14000005</v>
      </c>
      <c r="AP52" s="76">
        <f>资产资本表!AP68</f>
        <v>471398049.21999997</v>
      </c>
      <c r="AQ52" s="76">
        <f>资产资本表!AQ68</f>
        <v>468737873.15000004</v>
      </c>
      <c r="AR52" s="76">
        <f>资产资本表!AR68</f>
        <v>467819271.22000003</v>
      </c>
      <c r="AS52" s="76">
        <f>资产资本表!AS68</f>
        <v>402777850.18000001</v>
      </c>
      <c r="AT52" s="76">
        <f>资产资本表!AT68</f>
        <v>407431041.29000002</v>
      </c>
      <c r="AU52" s="76">
        <f>资产资本表!AU68</f>
        <v>380235261.62999994</v>
      </c>
      <c r="AV52" s="76">
        <f>资产资本表!AV68</f>
        <v>377037570.13</v>
      </c>
      <c r="AW52" s="76">
        <f>资产资本表!AW68</f>
        <v>386607317.37</v>
      </c>
      <c r="AX52" s="76">
        <f>资产资本表!AX68</f>
        <v>453974735.00999999</v>
      </c>
      <c r="AY52" s="76">
        <f>资产资本表!AY68</f>
        <v>470850587.56999999</v>
      </c>
      <c r="AZ52" s="76">
        <f>资产资本表!AZ68</f>
        <v>466835969.41000003</v>
      </c>
      <c r="BA52" s="76">
        <f>资产资本表!BA68</f>
        <v>482026104.88000005</v>
      </c>
      <c r="BB52" s="76">
        <f>资产资本表!BB68</f>
        <v>488550711.12</v>
      </c>
      <c r="BC52" s="76">
        <f>资产资本表!BC68</f>
        <v>481540854.16999996</v>
      </c>
      <c r="BD52" s="76">
        <f>资产资本表!BD68</f>
        <v>486254421.03000003</v>
      </c>
      <c r="BE52" s="76">
        <f>资产资本表!BE68</f>
        <v>493006659.20999998</v>
      </c>
      <c r="BF52" s="76">
        <f>资产资本表!BF68</f>
        <v>501816031.39999998</v>
      </c>
      <c r="BG52" s="76">
        <f>资产资本表!BG68</f>
        <v>511099755.17000002</v>
      </c>
      <c r="BH52" s="76">
        <f>资产资本表!BH68</f>
        <v>520198561.34999996</v>
      </c>
      <c r="BI52" s="76">
        <f>资产资本表!BI68</f>
        <v>529984348.82999998</v>
      </c>
      <c r="BJ52" s="76">
        <f>资产资本表!BJ68</f>
        <v>614901626.59000003</v>
      </c>
      <c r="BK52" s="76">
        <f>资产资本表!BK68</f>
        <v>628728711.84000003</v>
      </c>
      <c r="BL52" s="76">
        <f>资产资本表!BL68</f>
        <v>640670492.16999996</v>
      </c>
      <c r="BM52" s="76">
        <f>资产资本表!BM68</f>
        <v>648419399.62000012</v>
      </c>
      <c r="BN52" s="76">
        <f>资产资本表!BN68</f>
        <v>663669468.43000007</v>
      </c>
      <c r="BO52" s="76">
        <f>资产资本表!BO68</f>
        <v>611557004.31000006</v>
      </c>
      <c r="BP52" s="76">
        <f>资产资本表!BP68</f>
        <v>620373908.37</v>
      </c>
      <c r="BQ52" s="76">
        <f>资产资本表!BQ68</f>
        <v>613413196.62</v>
      </c>
      <c r="BR52" s="76">
        <f>资产资本表!BR68</f>
        <v>618820856.00999999</v>
      </c>
      <c r="BS52" s="76">
        <f>资产资本表!BS68</f>
        <v>642814097.75</v>
      </c>
      <c r="BT52" s="76">
        <f>资产资本表!BT68</f>
        <v>608671605.42000008</v>
      </c>
      <c r="BU52" s="76">
        <f>资产资本表!BU68</f>
        <v>655581453.8499999</v>
      </c>
      <c r="BV52" s="76">
        <f>资产资本表!BV68</f>
        <v>647278928.94000006</v>
      </c>
      <c r="BW52" s="76">
        <f>资产资本表!BW68</f>
        <v>595850399.14999998</v>
      </c>
      <c r="BX52" s="76">
        <f>资产资本表!BX68</f>
        <v>585018308.40999997</v>
      </c>
      <c r="BY52" s="76">
        <f>资产资本表!BY68</f>
        <v>569280841.83999991</v>
      </c>
      <c r="BZ52" s="76">
        <f>资产资本表!BZ68</f>
        <v>529372931.13</v>
      </c>
      <c r="CA52" s="76">
        <f>资产资本表!CA68</f>
        <v>446450216.70999998</v>
      </c>
      <c r="CB52" s="76">
        <f>资产资本表!CB68</f>
        <v>393597789.03000003</v>
      </c>
      <c r="CC52" s="76">
        <f>资产资本表!CC68</f>
        <v>339184628.13999999</v>
      </c>
      <c r="CD52" s="76">
        <f>资产资本表!CD68</f>
        <v>324246741.41000003</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c r="A53" s="142" t="s">
        <v>467</v>
      </c>
      <c r="E53" s="44">
        <f>E49/E52</f>
        <v>1.0054553144712441</v>
      </c>
      <c r="F53" s="44">
        <f t="shared" ref="F53:BQ53" si="20">F49/F52</f>
        <v>3.3955038190894826</v>
      </c>
      <c r="G53" s="44">
        <f t="shared" si="20"/>
        <v>2.8229924211892827</v>
      </c>
      <c r="H53" s="44">
        <f t="shared" si="20"/>
        <v>1.9616796346887844</v>
      </c>
      <c r="I53" s="44">
        <f t="shared" si="20"/>
        <v>0.87505177258392719</v>
      </c>
      <c r="J53" s="44">
        <f t="shared" si="20"/>
        <v>3.0899221508865296</v>
      </c>
      <c r="K53" s="44">
        <f t="shared" si="20"/>
        <v>2.2811407677350495</v>
      </c>
      <c r="L53" s="44">
        <f t="shared" si="20"/>
        <v>1.5335970564222181</v>
      </c>
      <c r="M53" s="44">
        <f t="shared" si="20"/>
        <v>0.85456653715997444</v>
      </c>
      <c r="N53" s="44">
        <f t="shared" si="20"/>
        <v>3.2698777363708902</v>
      </c>
      <c r="O53" s="44">
        <f t="shared" si="20"/>
        <v>2.4703226463310584</v>
      </c>
      <c r="P53" s="44">
        <f t="shared" si="20"/>
        <v>1.6875002095886393</v>
      </c>
      <c r="Q53" s="44">
        <f t="shared" si="20"/>
        <v>0.9434267989302596</v>
      </c>
      <c r="R53" s="44">
        <f t="shared" si="20"/>
        <v>3.3523292130043068</v>
      </c>
      <c r="S53" s="44">
        <f t="shared" si="20"/>
        <v>2.5590946706513278</v>
      </c>
      <c r="T53" s="44">
        <f t="shared" si="20"/>
        <v>1.743714651931443</v>
      </c>
      <c r="U53" s="44">
        <f t="shared" si="20"/>
        <v>0.99317508624102979</v>
      </c>
      <c r="V53" s="44">
        <f t="shared" si="20"/>
        <v>3.8800068941935471</v>
      </c>
      <c r="W53" s="44">
        <f t="shared" si="20"/>
        <v>2.9067148754760139</v>
      </c>
      <c r="X53" s="44">
        <f t="shared" si="20"/>
        <v>1.9521117242845667</v>
      </c>
      <c r="Y53" s="44">
        <f t="shared" si="20"/>
        <v>1.0213727728264612</v>
      </c>
      <c r="Z53" s="44">
        <f t="shared" si="20"/>
        <v>3.2153014987823734</v>
      </c>
      <c r="AA53" s="44">
        <f t="shared" si="20"/>
        <v>2.4603292025700112</v>
      </c>
      <c r="AB53" s="44">
        <f t="shared" si="20"/>
        <v>1.7278424748324739</v>
      </c>
      <c r="AC53" s="44">
        <f t="shared" si="20"/>
        <v>0.96567340293831117</v>
      </c>
      <c r="AD53" s="44">
        <f t="shared" si="20"/>
        <v>2.8314349810565145</v>
      </c>
      <c r="AE53" s="44">
        <f t="shared" si="20"/>
        <v>2.0277143565981861</v>
      </c>
      <c r="AF53" s="44">
        <f t="shared" si="20"/>
        <v>1.4049499055688717</v>
      </c>
      <c r="AG53" s="44">
        <f t="shared" si="20"/>
        <v>0.80535807299308548</v>
      </c>
      <c r="AH53" s="44">
        <f t="shared" si="20"/>
        <v>2.0257261081632572</v>
      </c>
      <c r="AI53" s="44">
        <f t="shared" si="20"/>
        <v>1.4375270016045401</v>
      </c>
      <c r="AJ53" s="44">
        <f t="shared" si="20"/>
        <v>0.95054162204952575</v>
      </c>
      <c r="AK53" s="44">
        <f t="shared" si="20"/>
        <v>0.54178953004294983</v>
      </c>
      <c r="AL53" s="44">
        <f t="shared" si="20"/>
        <v>1.5707969216370365</v>
      </c>
      <c r="AM53" s="44">
        <f t="shared" si="20"/>
        <v>1.1331269889855908</v>
      </c>
      <c r="AN53" s="44">
        <f t="shared" si="20"/>
        <v>0.79297490509349966</v>
      </c>
      <c r="AO53" s="44">
        <f t="shared" si="20"/>
        <v>0.44539887420295404</v>
      </c>
      <c r="AP53" s="44">
        <f t="shared" si="20"/>
        <v>1.3213822008612004</v>
      </c>
      <c r="AQ53" s="44">
        <f t="shared" si="20"/>
        <v>0.97767240519809484</v>
      </c>
      <c r="AR53" s="44">
        <f t="shared" si="20"/>
        <v>0.66767472856651844</v>
      </c>
      <c r="AS53" s="44">
        <f t="shared" si="20"/>
        <v>0.46491495233989483</v>
      </c>
      <c r="AT53" s="44">
        <f t="shared" si="20"/>
        <v>1.3435687624506867</v>
      </c>
      <c r="AU53" s="44">
        <f t="shared" si="20"/>
        <v>1.048918858472679</v>
      </c>
      <c r="AV53" s="44">
        <f t="shared" si="20"/>
        <v>0.71963785798971469</v>
      </c>
      <c r="AW53" s="44">
        <f t="shared" si="20"/>
        <v>0.39384884793651209</v>
      </c>
      <c r="AX53" s="44">
        <f t="shared" si="20"/>
        <v>0.99200204249269508</v>
      </c>
      <c r="AY53" s="44">
        <f t="shared" si="20"/>
        <v>0.7032900049015437</v>
      </c>
      <c r="AZ53" s="44">
        <f t="shared" si="20"/>
        <v>0.48064083916579542</v>
      </c>
      <c r="BA53" s="44">
        <f t="shared" si="20"/>
        <v>0.27031613609897315</v>
      </c>
      <c r="BB53" s="44">
        <f t="shared" si="20"/>
        <v>0.89963088970316596</v>
      </c>
      <c r="BC53" s="44">
        <f t="shared" si="20"/>
        <v>0.67037291746805072</v>
      </c>
      <c r="BD53" s="44">
        <f t="shared" si="20"/>
        <v>0.46735921121009039</v>
      </c>
      <c r="BE53" s="44">
        <f t="shared" si="20"/>
        <v>0.26915060868067986</v>
      </c>
      <c r="BF53" s="44">
        <f t="shared" si="20"/>
        <v>0.80459101759577634</v>
      </c>
      <c r="BG53" s="44">
        <f t="shared" si="20"/>
        <v>0.58686152164215677</v>
      </c>
      <c r="BH53" s="44">
        <f t="shared" si="20"/>
        <v>0.40305537861518737</v>
      </c>
      <c r="BI53" s="44">
        <f t="shared" si="20"/>
        <v>0.23358265847527709</v>
      </c>
      <c r="BJ53" s="44">
        <f t="shared" si="20"/>
        <v>0.77993859479538308</v>
      </c>
      <c r="BK53" s="44">
        <f t="shared" si="20"/>
        <v>0.580375442553131</v>
      </c>
      <c r="BL53" s="44">
        <f t="shared" si="20"/>
        <v>0.4015309852474675</v>
      </c>
      <c r="BM53" s="44">
        <f t="shared" si="20"/>
        <v>0.23061522225836203</v>
      </c>
      <c r="BN53" s="44">
        <f t="shared" si="20"/>
        <v>0.76435530665594398</v>
      </c>
      <c r="BO53" s="44">
        <f t="shared" si="20"/>
        <v>0.66389724206999967</v>
      </c>
      <c r="BP53" s="44">
        <f t="shared" si="20"/>
        <v>0.47108565002011382</v>
      </c>
      <c r="BQ53" s="44">
        <f t="shared" si="20"/>
        <v>0.28355800963922212</v>
      </c>
      <c r="BR53" s="44">
        <f t="shared" ref="BR53:CK53" si="21">BR49/BR52</f>
        <v>1.0498690481910671</v>
      </c>
      <c r="BS53" s="44">
        <f t="shared" si="21"/>
        <v>0.53225858100745116</v>
      </c>
      <c r="BT53" s="44">
        <f t="shared" si="21"/>
        <v>1.0676872996918778</v>
      </c>
      <c r="BU53" s="44">
        <f t="shared" si="21"/>
        <v>0.47647796013075094</v>
      </c>
      <c r="BV53" s="44">
        <f t="shared" si="21"/>
        <v>0.90688135518530499</v>
      </c>
      <c r="BW53" s="44">
        <f t="shared" si="21"/>
        <v>0.53476486707829707</v>
      </c>
      <c r="BX53" s="44">
        <f t="shared" si="21"/>
        <v>1.0383159224895413</v>
      </c>
      <c r="BY53" s="44">
        <f t="shared" si="21"/>
        <v>0.54834240660734346</v>
      </c>
      <c r="BZ53" s="44">
        <f t="shared" si="21"/>
        <v>1.1383263663173921</v>
      </c>
      <c r="CA53" s="44">
        <f t="shared" si="21"/>
        <v>0.77400940616960823</v>
      </c>
      <c r="CB53" s="44">
        <f t="shared" si="21"/>
        <v>1.5565999715087373</v>
      </c>
      <c r="CC53" s="44">
        <f t="shared" si="21"/>
        <v>0.98478030968470287</v>
      </c>
      <c r="CD53" s="44">
        <f t="shared" si="21"/>
        <v>1.703680514992411</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c r="A54" s="146" t="s">
        <v>468</v>
      </c>
      <c r="E54" s="76">
        <f>资产资本表!E17</f>
        <v>3086145247.04</v>
      </c>
      <c r="F54" s="76">
        <f>资产资本表!F17</f>
        <v>3130941727.75</v>
      </c>
      <c r="G54" s="76">
        <f>资产资本表!G17</f>
        <v>3143892286.5100002</v>
      </c>
      <c r="H54" s="76">
        <f>资产资本表!H17</f>
        <v>3627633435.2599998</v>
      </c>
      <c r="I54" s="76">
        <f>资产资本表!I17</f>
        <v>891290968.5</v>
      </c>
      <c r="J54" s="76">
        <f>资产资本表!J17</f>
        <v>1007846843.6700001</v>
      </c>
      <c r="K54" s="76">
        <f>资产资本表!K17</f>
        <v>817467546.49000001</v>
      </c>
      <c r="L54" s="76">
        <f>资产资本表!L17</f>
        <v>877241858.67000008</v>
      </c>
      <c r="M54" s="76">
        <f>资产资本表!M17</f>
        <v>944885842.45000005</v>
      </c>
      <c r="N54" s="76">
        <f>资产资本表!N17</f>
        <v>1028552394.4100001</v>
      </c>
      <c r="O54" s="76">
        <f>资产资本表!O17</f>
        <v>1008939302.1200001</v>
      </c>
      <c r="P54" s="76">
        <f>资产资本表!P17</f>
        <v>1127677055.6600001</v>
      </c>
      <c r="Q54" s="76">
        <f>资产资本表!Q17</f>
        <v>970747395.41000009</v>
      </c>
      <c r="R54" s="76">
        <f>资产资本表!R17</f>
        <v>1066353724.99</v>
      </c>
      <c r="S54" s="76">
        <f>资产资本表!S17</f>
        <v>1082385381.3800001</v>
      </c>
      <c r="T54" s="76">
        <f>资产资本表!T17</f>
        <v>923631726.19000006</v>
      </c>
      <c r="U54" s="76">
        <f>资产资本表!U17</f>
        <v>906581059.05999994</v>
      </c>
      <c r="V54" s="76">
        <f>资产资本表!V17</f>
        <v>981185999.45000005</v>
      </c>
      <c r="W54" s="76">
        <f>资产资本表!W17</f>
        <v>950235560.44000006</v>
      </c>
      <c r="X54" s="76">
        <f>资产资本表!X17</f>
        <v>955146589.06999993</v>
      </c>
      <c r="Y54" s="76">
        <f>资产资本表!Y17</f>
        <v>1105189211.3499999</v>
      </c>
      <c r="Z54" s="76">
        <f>资产资本表!Z17</f>
        <v>494398377.69</v>
      </c>
      <c r="AA54" s="76">
        <f>资产资本表!AA17</f>
        <v>404503143.63</v>
      </c>
      <c r="AB54" s="76">
        <f>资产资本表!AB17</f>
        <v>356480597</v>
      </c>
      <c r="AC54" s="76">
        <f>资产资本表!AC17</f>
        <v>403303556.31999999</v>
      </c>
      <c r="AD54" s="76">
        <f>资产资本表!AD17</f>
        <v>379875420.54000002</v>
      </c>
      <c r="AE54" s="76">
        <f>资产资本表!AE17</f>
        <v>277455824.85000002</v>
      </c>
      <c r="AF54" s="76">
        <f>资产资本表!AF17</f>
        <v>222222532.72999999</v>
      </c>
      <c r="AG54" s="76">
        <f>资产资本表!AG17</f>
        <v>219605497.69999999</v>
      </c>
      <c r="AH54" s="76">
        <f>资产资本表!AH17</f>
        <v>241093108.11000001</v>
      </c>
      <c r="AI54" s="76">
        <f>资产资本表!AI17</f>
        <v>157189312.25999999</v>
      </c>
      <c r="AJ54" s="76">
        <f>资产资本表!AJ17</f>
        <v>159798398.13</v>
      </c>
      <c r="AK54" s="76">
        <f>资产资本表!AK17</f>
        <v>222167646.14000002</v>
      </c>
      <c r="AL54" s="76">
        <f>资产资本表!AL17</f>
        <v>254431927.96000001</v>
      </c>
      <c r="AM54" s="76">
        <f>资产资本表!AM17</f>
        <v>255145661.04000002</v>
      </c>
      <c r="AN54" s="76">
        <f>资产资本表!AN17</f>
        <v>165865458.30000001</v>
      </c>
      <c r="AO54" s="76">
        <f>资产资本表!AO17</f>
        <v>252394322.06999999</v>
      </c>
      <c r="AP54" s="76">
        <f>资产资本表!AP17</f>
        <v>215389547.07999998</v>
      </c>
      <c r="AQ54" s="76">
        <f>资产资本表!AQ17</f>
        <v>153971200.37</v>
      </c>
      <c r="AR54" s="76">
        <f>资产资本表!AR17</f>
        <v>164902617.98000002</v>
      </c>
      <c r="AS54" s="76">
        <f>资产资本表!AS17</f>
        <v>322398355.67000002</v>
      </c>
      <c r="AT54" s="76">
        <f>资产资本表!AT17</f>
        <v>249567634.12</v>
      </c>
      <c r="AU54" s="76">
        <f>资产资本表!AU17</f>
        <v>236591794.66</v>
      </c>
      <c r="AV54" s="76">
        <f>资产资本表!AV17</f>
        <v>224057794.99000001</v>
      </c>
      <c r="AW54" s="76">
        <f>资产资本表!AW17</f>
        <v>232916402.18000001</v>
      </c>
      <c r="AX54" s="76">
        <f>资产资本表!AX17</f>
        <v>137857048.25999999</v>
      </c>
      <c r="AY54" s="76">
        <f>资产资本表!AY17</f>
        <v>104083187.73</v>
      </c>
      <c r="AZ54" s="76">
        <f>资产资本表!AZ17</f>
        <v>114679741.56999999</v>
      </c>
      <c r="BA54" s="76">
        <f>资产资本表!BA17</f>
        <v>134260386.03</v>
      </c>
      <c r="BB54" s="76">
        <f>资产资本表!BB17</f>
        <v>117719727.73</v>
      </c>
      <c r="BC54" s="76">
        <f>资产资本表!BC17</f>
        <v>56070627.079999998</v>
      </c>
      <c r="BD54" s="76">
        <f>资产资本表!BD17</f>
        <v>32622918.09</v>
      </c>
      <c r="BE54" s="76">
        <f>资产资本表!BE17</f>
        <v>94584897.620000005</v>
      </c>
      <c r="BF54" s="76">
        <f>资产资本表!BF17</f>
        <v>61454766.240000002</v>
      </c>
      <c r="BG54" s="76">
        <f>资产资本表!BG17</f>
        <v>62006752.829999998</v>
      </c>
      <c r="BH54" s="76">
        <f>资产资本表!BH17</f>
        <v>32628408.469999999</v>
      </c>
      <c r="BI54" s="76">
        <f>资产资本表!BI17</f>
        <v>44781047.859999999</v>
      </c>
      <c r="BJ54" s="76">
        <f>资产资本表!BJ17</f>
        <v>41074854.469999999</v>
      </c>
      <c r="BK54" s="76">
        <f>资产资本表!BK17</f>
        <v>62130508.920000002</v>
      </c>
      <c r="BL54" s="76">
        <f>资产资本表!BL17</f>
        <v>34609309.850000001</v>
      </c>
      <c r="BM54" s="76">
        <f>资产资本表!BM17</f>
        <v>55934764.140000001</v>
      </c>
      <c r="BN54" s="76">
        <f>资产资本表!BN17</f>
        <v>42314217.460000001</v>
      </c>
      <c r="BO54" s="76">
        <f>资产资本表!BO17</f>
        <v>43792336.660000004</v>
      </c>
      <c r="BP54" s="76">
        <f>资产资本表!BP17</f>
        <v>58194039.490000002</v>
      </c>
      <c r="BQ54" s="76">
        <f>资产资本表!BQ17</f>
        <v>70030455.989999995</v>
      </c>
      <c r="BR54" s="76">
        <f>资产资本表!BR17</f>
        <v>63009457.240000002</v>
      </c>
      <c r="BS54" s="76">
        <f>资产资本表!BS17</f>
        <v>109622686.28999999</v>
      </c>
      <c r="BT54" s="76">
        <f>资产资本表!BT17</f>
        <v>114415758.05999999</v>
      </c>
      <c r="BU54" s="76">
        <f>资产资本表!BU17</f>
        <v>65424336.950000003</v>
      </c>
      <c r="BV54" s="76">
        <f>资产资本表!BV17</f>
        <v>67580308.579999983</v>
      </c>
      <c r="BW54" s="76">
        <f>资产资本表!BW17</f>
        <v>37029480.700000003</v>
      </c>
      <c r="BX54" s="76">
        <f>资产资本表!BX17</f>
        <v>19469405.809999999</v>
      </c>
      <c r="BY54" s="76">
        <f>资产资本表!BY17</f>
        <v>15652043.439999999</v>
      </c>
      <c r="BZ54" s="76">
        <f>资产资本表!BZ17</f>
        <v>12445769.810000001</v>
      </c>
      <c r="CA54" s="76">
        <f>资产资本表!CA17</f>
        <v>0</v>
      </c>
      <c r="CB54" s="76">
        <f>资产资本表!CB17</f>
        <v>32221340.420000002</v>
      </c>
      <c r="CC54" s="76">
        <f>资产资本表!CC17</f>
        <v>22436951.84</v>
      </c>
      <c r="CD54" s="76">
        <f>资产资本表!CD17</f>
        <v>16158482.800000001</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c r="A55" s="142" t="s">
        <v>469</v>
      </c>
      <c r="E55" s="44">
        <f>E49/E54</f>
        <v>0.13656978645585349</v>
      </c>
      <c r="F55" s="44">
        <f t="shared" ref="F55:BQ55" si="22">F49/F54</f>
        <v>0.43640659310574736</v>
      </c>
      <c r="G55" s="44">
        <f t="shared" si="22"/>
        <v>0.32635903177808706</v>
      </c>
      <c r="H55" s="44">
        <f t="shared" si="22"/>
        <v>0.19251657322425847</v>
      </c>
      <c r="I55" s="44">
        <f t="shared" si="22"/>
        <v>0.31891337948635345</v>
      </c>
      <c r="J55" s="44">
        <f t="shared" si="22"/>
        <v>1.0185435072574571</v>
      </c>
      <c r="K55" s="44">
        <f t="shared" si="22"/>
        <v>0.9372259774588767</v>
      </c>
      <c r="L55" s="44">
        <f t="shared" si="22"/>
        <v>0.59947229449048189</v>
      </c>
      <c r="M55" s="44">
        <f t="shared" si="22"/>
        <v>0.31247124567391699</v>
      </c>
      <c r="N55" s="44">
        <f t="shared" si="22"/>
        <v>1.0895557552251267</v>
      </c>
      <c r="O55" s="44">
        <f t="shared" si="22"/>
        <v>0.84993316703803845</v>
      </c>
      <c r="P55" s="44">
        <f t="shared" si="22"/>
        <v>0.52609812902753017</v>
      </c>
      <c r="Q55" s="44">
        <f t="shared" si="22"/>
        <v>0.34566416165173192</v>
      </c>
      <c r="R55" s="44">
        <f t="shared" si="22"/>
        <v>1.1392585099483687</v>
      </c>
      <c r="S55" s="44">
        <f t="shared" si="22"/>
        <v>0.85701545437293192</v>
      </c>
      <c r="T55" s="44">
        <f t="shared" si="22"/>
        <v>0.68308686067179702</v>
      </c>
      <c r="U55" s="44">
        <f t="shared" si="22"/>
        <v>0.39644665790024325</v>
      </c>
      <c r="V55" s="44">
        <f t="shared" si="22"/>
        <v>1.4553871626689159</v>
      </c>
      <c r="W55" s="44">
        <f t="shared" si="22"/>
        <v>1.1473410692977748</v>
      </c>
      <c r="X55" s="44">
        <f t="shared" si="22"/>
        <v>0.78897912521862279</v>
      </c>
      <c r="Y55" s="44">
        <f t="shared" si="22"/>
        <v>0.36838412224697842</v>
      </c>
      <c r="Z55" s="44">
        <f t="shared" si="22"/>
        <v>2.6700280349174377</v>
      </c>
      <c r="AA55" s="44">
        <f t="shared" si="22"/>
        <v>2.4714222215400783</v>
      </c>
      <c r="AB55" s="44">
        <f t="shared" si="22"/>
        <v>1.9530484187614845</v>
      </c>
      <c r="AC55" s="44">
        <f t="shared" si="22"/>
        <v>0.9847846364510332</v>
      </c>
      <c r="AD55" s="44">
        <f t="shared" si="22"/>
        <v>3.1278175894375542</v>
      </c>
      <c r="AE55" s="44">
        <f t="shared" si="22"/>
        <v>3.1771679749616899</v>
      </c>
      <c r="AF55" s="44">
        <f t="shared" si="22"/>
        <v>2.789711516262944</v>
      </c>
      <c r="AG55" s="44">
        <f t="shared" si="22"/>
        <v>1.6425265968648837</v>
      </c>
      <c r="AH55" s="44">
        <f t="shared" si="22"/>
        <v>3.81968383529999</v>
      </c>
      <c r="AI55" s="44">
        <f t="shared" si="22"/>
        <v>4.1490313341485452</v>
      </c>
      <c r="AJ55" s="44">
        <f t="shared" si="22"/>
        <v>2.7374688877302078</v>
      </c>
      <c r="AK55" s="44">
        <f t="shared" si="22"/>
        <v>1.1284291740752381</v>
      </c>
      <c r="AL55" s="44">
        <f t="shared" si="22"/>
        <v>2.8656734998078814</v>
      </c>
      <c r="AM55" s="44">
        <f t="shared" si="22"/>
        <v>2.0849043953234374</v>
      </c>
      <c r="AN55" s="44">
        <f t="shared" si="22"/>
        <v>2.197504813876006</v>
      </c>
      <c r="AO55" s="44">
        <f t="shared" si="22"/>
        <v>0.82705789333131652</v>
      </c>
      <c r="AP55" s="44">
        <f t="shared" si="22"/>
        <v>2.8919555298969248</v>
      </c>
      <c r="AQ55" s="44">
        <f t="shared" si="22"/>
        <v>2.9763493611061729</v>
      </c>
      <c r="AR55" s="44">
        <f t="shared" si="22"/>
        <v>1.8941549185585584</v>
      </c>
      <c r="AS55" s="44">
        <f t="shared" si="22"/>
        <v>0.58082630300904103</v>
      </c>
      <c r="AT55" s="44">
        <f t="shared" si="22"/>
        <v>2.1934399541039329</v>
      </c>
      <c r="AU55" s="44">
        <f t="shared" si="22"/>
        <v>1.6857555738699936</v>
      </c>
      <c r="AV55" s="44">
        <f t="shared" si="22"/>
        <v>1.2109844665842127</v>
      </c>
      <c r="AW55" s="44">
        <f t="shared" si="22"/>
        <v>0.65373174720571325</v>
      </c>
      <c r="AX55" s="44">
        <f t="shared" si="22"/>
        <v>3.2667452992366863</v>
      </c>
      <c r="AY55" s="44">
        <f t="shared" si="22"/>
        <v>3.1815369923047996</v>
      </c>
      <c r="AZ55" s="44">
        <f t="shared" si="22"/>
        <v>1.9565829938066193</v>
      </c>
      <c r="BA55" s="44">
        <f t="shared" si="22"/>
        <v>0.97049798546598143</v>
      </c>
      <c r="BB55" s="44">
        <f t="shared" si="22"/>
        <v>3.7335739674667359</v>
      </c>
      <c r="BC55" s="44">
        <f t="shared" si="22"/>
        <v>5.7572380424677787</v>
      </c>
      <c r="BD55" s="44">
        <f t="shared" si="22"/>
        <v>6.9661298242250531</v>
      </c>
      <c r="BE55" s="44">
        <f t="shared" si="22"/>
        <v>1.4028988321486751</v>
      </c>
      <c r="BF55" s="44">
        <f t="shared" si="22"/>
        <v>6.5699814034472848</v>
      </c>
      <c r="BG55" s="44">
        <f t="shared" si="22"/>
        <v>4.8372921712630177</v>
      </c>
      <c r="BH55" s="44">
        <f t="shared" si="22"/>
        <v>6.4259593995453006</v>
      </c>
      <c r="BI55" s="44">
        <f t="shared" si="22"/>
        <v>2.7644541399974289</v>
      </c>
      <c r="BJ55" s="44">
        <f t="shared" si="22"/>
        <v>11.675890682224491</v>
      </c>
      <c r="BK55" s="44">
        <f t="shared" si="22"/>
        <v>5.8731002002550472</v>
      </c>
      <c r="BL55" s="44">
        <f t="shared" si="22"/>
        <v>7.4329437672967638</v>
      </c>
      <c r="BM55" s="44">
        <f t="shared" si="22"/>
        <v>2.673389014133063</v>
      </c>
      <c r="BN55" s="44">
        <f t="shared" si="22"/>
        <v>11.988388549062392</v>
      </c>
      <c r="BO55" s="44">
        <f t="shared" si="22"/>
        <v>9.2712798515921886</v>
      </c>
      <c r="BP55" s="44">
        <f t="shared" si="22"/>
        <v>5.0219790281136918</v>
      </c>
      <c r="BQ55" s="44">
        <f t="shared" si="22"/>
        <v>2.4837511431431709</v>
      </c>
      <c r="BR55" s="44">
        <f t="shared" ref="BR55:CK55" si="23">BR49/BR54</f>
        <v>10.310846840425823</v>
      </c>
      <c r="BS55" s="44">
        <f t="shared" si="23"/>
        <v>3.1210995743607408</v>
      </c>
      <c r="BT55" s="44">
        <f t="shared" si="23"/>
        <v>5.6799076788811345</v>
      </c>
      <c r="BU55" s="44">
        <f t="shared" si="23"/>
        <v>4.7745247165244669</v>
      </c>
      <c r="BV55" s="44">
        <f t="shared" si="23"/>
        <v>8.686038945281183</v>
      </c>
      <c r="BW55" s="44">
        <f t="shared" si="23"/>
        <v>8.6050318145563409</v>
      </c>
      <c r="BX55" s="44">
        <f t="shared" si="23"/>
        <v>31.199402308313182</v>
      </c>
      <c r="BY55" s="44">
        <f t="shared" si="23"/>
        <v>19.943774628956692</v>
      </c>
      <c r="BZ55" s="44">
        <f t="shared" si="23"/>
        <v>48.417990555780655</v>
      </c>
      <c r="CA55" s="44" t="e">
        <f t="shared" si="23"/>
        <v>#DIV/0!</v>
      </c>
      <c r="CB55" s="44">
        <f t="shared" si="23"/>
        <v>19.014550580574515</v>
      </c>
      <c r="CC55" s="44">
        <f t="shared" si="23"/>
        <v>14.887153367442446</v>
      </c>
      <c r="CD55" s="44">
        <f t="shared" si="23"/>
        <v>34.187173525351028</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c r="A56" s="146" t="s">
        <v>443</v>
      </c>
      <c r="E56" s="76">
        <f>资产资本表!E19</f>
        <v>0</v>
      </c>
      <c r="F56" s="76">
        <f>资产资本表!F19</f>
        <v>0</v>
      </c>
      <c r="G56" s="76">
        <f>资产资本表!G19</f>
        <v>0</v>
      </c>
      <c r="H56" s="76">
        <f>资产资本表!H19</f>
        <v>0</v>
      </c>
      <c r="I56" s="76">
        <f>资产资本表!I19</f>
        <v>0</v>
      </c>
      <c r="J56" s="76">
        <f>资产资本表!J19</f>
        <v>0</v>
      </c>
      <c r="K56" s="76">
        <f>资产资本表!K19</f>
        <v>0</v>
      </c>
      <c r="L56" s="76">
        <f>资产资本表!L19</f>
        <v>0</v>
      </c>
      <c r="M56" s="76">
        <f>资产资本表!M19</f>
        <v>0</v>
      </c>
      <c r="N56" s="76">
        <f>资产资本表!N19</f>
        <v>0</v>
      </c>
      <c r="O56" s="76">
        <f>资产资本表!O19</f>
        <v>0</v>
      </c>
      <c r="P56" s="76">
        <f>资产资本表!P19</f>
        <v>0</v>
      </c>
      <c r="Q56" s="76">
        <f>资产资本表!Q19</f>
        <v>0</v>
      </c>
      <c r="R56" s="76">
        <f>资产资本表!R19</f>
        <v>0</v>
      </c>
      <c r="S56" s="76">
        <f>资产资本表!S19</f>
        <v>0</v>
      </c>
      <c r="T56" s="76">
        <f>资产资本表!T19</f>
        <v>86589600</v>
      </c>
      <c r="U56" s="76">
        <f>资产资本表!U19</f>
        <v>86589600</v>
      </c>
      <c r="V56" s="76">
        <f>资产资本表!V19</f>
        <v>86589600</v>
      </c>
      <c r="W56" s="76">
        <f>资产资本表!W19</f>
        <v>86589600</v>
      </c>
      <c r="X56" s="76">
        <f>资产资本表!X19</f>
        <v>59550000</v>
      </c>
      <c r="Y56" s="76">
        <f>资产资本表!Y19</f>
        <v>59550000</v>
      </c>
      <c r="Z56" s="76">
        <f>资产资本表!Z19</f>
        <v>59550000</v>
      </c>
      <c r="AA56" s="76">
        <f>资产资本表!AA19</f>
        <v>59550000</v>
      </c>
      <c r="AB56" s="76">
        <f>资产资本表!AB19</f>
        <v>59550000</v>
      </c>
      <c r="AC56" s="76">
        <f>资产资本表!AC19</f>
        <v>59550000</v>
      </c>
      <c r="AD56" s="76">
        <f>资产资本表!AD19</f>
        <v>59550000</v>
      </c>
      <c r="AE56" s="76">
        <f>资产资本表!AE19</f>
        <v>59550000</v>
      </c>
      <c r="AF56" s="76">
        <f>资产资本表!AF19</f>
        <v>59550000</v>
      </c>
      <c r="AG56" s="76">
        <f>资产资本表!AG19</f>
        <v>59550000</v>
      </c>
      <c r="AH56" s="76">
        <f>资产资本表!AH19</f>
        <v>59550000</v>
      </c>
      <c r="AI56" s="76">
        <f>资产资本表!AI19</f>
        <v>50000</v>
      </c>
      <c r="AJ56" s="76">
        <f>资产资本表!AJ19</f>
        <v>157594199.66</v>
      </c>
      <c r="AK56" s="76">
        <f>资产资本表!AK19</f>
        <v>171153989.25</v>
      </c>
      <c r="AL56" s="76">
        <f>资产资本表!AL19</f>
        <v>171653959.53999999</v>
      </c>
      <c r="AM56" s="76">
        <f>资产资本表!AM19</f>
        <v>146293681.12</v>
      </c>
      <c r="AN56" s="76">
        <f>资产资本表!AN19</f>
        <v>145460768.13999999</v>
      </c>
      <c r="AO56" s="76">
        <f>资产资本表!AO19</f>
        <v>143878716.81</v>
      </c>
      <c r="AP56" s="76">
        <f>资产资本表!AP19</f>
        <v>144856865.37</v>
      </c>
      <c r="AQ56" s="76">
        <f>资产资本表!AQ19</f>
        <v>191435531.72</v>
      </c>
      <c r="AR56" s="76">
        <f>资产资本表!AR19</f>
        <v>192011429.02000001</v>
      </c>
      <c r="AS56" s="76">
        <f>资产资本表!AS19</f>
        <v>190543594.06</v>
      </c>
      <c r="AT56" s="76">
        <f>资产资本表!AT19</f>
        <v>188717185.31999999</v>
      </c>
      <c r="AU56" s="76">
        <f>资产资本表!AU19</f>
        <v>107536765.02</v>
      </c>
      <c r="AV56" s="76">
        <f>资产资本表!AV19</f>
        <v>106969580.40000001</v>
      </c>
      <c r="AW56" s="76">
        <f>资产资本表!AW19</f>
        <v>104763089.11</v>
      </c>
      <c r="AX56" s="76">
        <f>资产资本表!AX19</f>
        <v>105882767.7</v>
      </c>
      <c r="AY56" s="76">
        <f>资产资本表!AY19</f>
        <v>103470280.06999999</v>
      </c>
      <c r="AZ56" s="76">
        <f>资产资本表!AZ19</f>
        <v>103788901.8</v>
      </c>
      <c r="BA56" s="76">
        <f>资产资本表!BA19</f>
        <v>71846769.420000002</v>
      </c>
      <c r="BB56" s="76">
        <f>资产资本表!BB19</f>
        <v>73393171.790000007</v>
      </c>
      <c r="BC56" s="76">
        <f>资产资本表!BC19</f>
        <v>73127383.590000004</v>
      </c>
      <c r="BD56" s="76">
        <f>资产资本表!BD19</f>
        <v>73393433.040000007</v>
      </c>
      <c r="BE56" s="76">
        <f>资产资本表!BE19</f>
        <v>72586278.299999997</v>
      </c>
      <c r="BF56" s="76">
        <f>资产资本表!BF19</f>
        <v>74725596.280000001</v>
      </c>
      <c r="BG56" s="76">
        <f>资产资本表!BG19</f>
        <v>78100104.680000007</v>
      </c>
      <c r="BH56" s="76">
        <f>资产资本表!BH19</f>
        <v>78535319.120000005</v>
      </c>
      <c r="BI56" s="76">
        <f>资产资本表!BI19</f>
        <v>78959241.730000004</v>
      </c>
      <c r="BJ56" s="76">
        <f>资产资本表!BJ19</f>
        <v>4200920.0599999996</v>
      </c>
      <c r="BK56" s="76">
        <f>资产资本表!BK19</f>
        <v>4144425.72</v>
      </c>
      <c r="BL56" s="76">
        <f>资产资本表!BL19</f>
        <v>4214329.5199999996</v>
      </c>
      <c r="BM56" s="76">
        <f>资产资本表!BM19</f>
        <v>6218991.1200000001</v>
      </c>
      <c r="BN56" s="76">
        <f>资产资本表!BN19</f>
        <v>6218991.1200000001</v>
      </c>
      <c r="BO56" s="76">
        <f>资产资本表!BO19</f>
        <v>57623453.670000002</v>
      </c>
      <c r="BP56" s="76">
        <f>资产资本表!BP19</f>
        <v>63690187.979999997</v>
      </c>
      <c r="BQ56" s="76">
        <f>资产资本表!BQ19</f>
        <v>73380034.439999998</v>
      </c>
      <c r="BR56" s="76">
        <f>资产资本表!BR19</f>
        <v>73761382.670000002</v>
      </c>
      <c r="BS56" s="76">
        <f>资产资本表!BS19</f>
        <v>20313556.739999998</v>
      </c>
      <c r="BT56" s="76">
        <f>资产资本表!BT19</f>
        <v>56338320.200000003</v>
      </c>
      <c r="BU56" s="76">
        <f>资产资本表!BU19</f>
        <v>25178173.690000001</v>
      </c>
      <c r="BV56" s="76">
        <f>资产资本表!BV19</f>
        <v>27749696.16</v>
      </c>
      <c r="BW56" s="76">
        <f>资产资本表!BW19</f>
        <v>29830569.579999998</v>
      </c>
      <c r="BX56" s="76">
        <f>资产资本表!BX19</f>
        <v>29830569.579999998</v>
      </c>
      <c r="BY56" s="76">
        <f>资产资本表!BY19</f>
        <v>32576184.07</v>
      </c>
      <c r="BZ56" s="76">
        <f>资产资本表!BZ19</f>
        <v>32576184.07</v>
      </c>
      <c r="CA56" s="76">
        <f>资产资本表!CA19</f>
        <v>33279966.25</v>
      </c>
      <c r="CB56" s="76">
        <f>资产资本表!CB19</f>
        <v>3279966.25</v>
      </c>
      <c r="CC56" s="76">
        <f>资产资本表!CC19</f>
        <v>3925966.25</v>
      </c>
      <c r="CD56" s="76">
        <f>资产资本表!CD19</f>
        <v>3925966.25</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c r="A57" s="144" t="s">
        <v>470</v>
      </c>
      <c r="E57" s="117" t="e">
        <f>E49/E56</f>
        <v>#DIV/0!</v>
      </c>
      <c r="F57" s="117" t="e">
        <f t="shared" ref="F57:BQ57" si="24">F49/F56</f>
        <v>#DIV/0!</v>
      </c>
      <c r="G57" s="117" t="e">
        <f t="shared" si="24"/>
        <v>#DIV/0!</v>
      </c>
      <c r="H57" s="117" t="e">
        <f t="shared" si="24"/>
        <v>#DIV/0!</v>
      </c>
      <c r="I57" s="117" t="e">
        <f t="shared" si="24"/>
        <v>#DIV/0!</v>
      </c>
      <c r="J57" s="117" t="e">
        <f t="shared" si="24"/>
        <v>#DIV/0!</v>
      </c>
      <c r="K57" s="117" t="e">
        <f t="shared" si="24"/>
        <v>#DIV/0!</v>
      </c>
      <c r="L57" s="117" t="e">
        <f t="shared" si="24"/>
        <v>#DIV/0!</v>
      </c>
      <c r="M57" s="117" t="e">
        <f t="shared" si="24"/>
        <v>#DIV/0!</v>
      </c>
      <c r="N57" s="117" t="e">
        <f t="shared" si="24"/>
        <v>#DIV/0!</v>
      </c>
      <c r="O57" s="117" t="e">
        <f t="shared" si="24"/>
        <v>#DIV/0!</v>
      </c>
      <c r="P57" s="117" t="e">
        <f t="shared" si="24"/>
        <v>#DIV/0!</v>
      </c>
      <c r="Q57" s="117" t="e">
        <f t="shared" si="24"/>
        <v>#DIV/0!</v>
      </c>
      <c r="R57" s="117" t="e">
        <f t="shared" si="24"/>
        <v>#DIV/0!</v>
      </c>
      <c r="S57" s="117" t="e">
        <f t="shared" si="24"/>
        <v>#DIV/0!</v>
      </c>
      <c r="T57" s="117">
        <f t="shared" si="24"/>
        <v>7.2863334194868665</v>
      </c>
      <c r="U57" s="117">
        <f t="shared" si="24"/>
        <v>4.1507413243622793</v>
      </c>
      <c r="V57" s="117">
        <f t="shared" si="24"/>
        <v>16.491651512306326</v>
      </c>
      <c r="W57" s="117">
        <f t="shared" si="24"/>
        <v>12.590937987933886</v>
      </c>
      <c r="X57" s="117">
        <f t="shared" si="24"/>
        <v>12.654756008396305</v>
      </c>
      <c r="Y57" s="117">
        <f t="shared" si="24"/>
        <v>6.8368456345927795</v>
      </c>
      <c r="Z57" s="117">
        <f t="shared" si="24"/>
        <v>22.167212910999158</v>
      </c>
      <c r="AA57" s="117">
        <f t="shared" si="24"/>
        <v>16.787540853904282</v>
      </c>
      <c r="AB57" s="117">
        <f t="shared" si="24"/>
        <v>11.691416730310662</v>
      </c>
      <c r="AC57" s="117">
        <f t="shared" si="24"/>
        <v>6.6694734859781688</v>
      </c>
      <c r="AD57" s="117">
        <f t="shared" si="24"/>
        <v>19.952662001007557</v>
      </c>
      <c r="AE57" s="117">
        <f t="shared" si="24"/>
        <v>14.803085830058773</v>
      </c>
      <c r="AF57" s="117">
        <f t="shared" si="24"/>
        <v>10.410356989588582</v>
      </c>
      <c r="AG57" s="117">
        <f t="shared" si="24"/>
        <v>6.0572270493702778</v>
      </c>
      <c r="AH57" s="117">
        <f t="shared" si="24"/>
        <v>15.464306429051218</v>
      </c>
      <c r="AI57" s="117">
        <f t="shared" si="24"/>
        <v>13043.667639200001</v>
      </c>
      <c r="AJ57" s="117">
        <f t="shared" si="24"/>
        <v>2.775756621333509</v>
      </c>
      <c r="AK57" s="117">
        <f t="shared" si="24"/>
        <v>1.4647654696134988</v>
      </c>
      <c r="AL57" s="117">
        <f t="shared" si="24"/>
        <v>4.2476085923907609</v>
      </c>
      <c r="AM57" s="117">
        <f t="shared" si="24"/>
        <v>3.6362083862915102</v>
      </c>
      <c r="AN57" s="117">
        <f t="shared" si="24"/>
        <v>2.5057625346732206</v>
      </c>
      <c r="AO57" s="117">
        <f t="shared" si="24"/>
        <v>1.450838045599609</v>
      </c>
      <c r="AP57" s="117">
        <f t="shared" si="24"/>
        <v>4.3000860895958786</v>
      </c>
      <c r="AQ57" s="117">
        <f t="shared" si="24"/>
        <v>2.3938716064491312</v>
      </c>
      <c r="AR57" s="117">
        <f t="shared" si="24"/>
        <v>1.6267318384337703</v>
      </c>
      <c r="AS57" s="117">
        <f t="shared" si="24"/>
        <v>0.98275382042512949</v>
      </c>
      <c r="AT57" s="117">
        <f t="shared" si="24"/>
        <v>2.9006983068435264</v>
      </c>
      <c r="AU57" s="117">
        <f t="shared" si="24"/>
        <v>3.7088333139445226</v>
      </c>
      <c r="AV57" s="117">
        <f t="shared" si="24"/>
        <v>2.5365202736646428</v>
      </c>
      <c r="AW57" s="117">
        <f t="shared" si="24"/>
        <v>1.4534207404873651</v>
      </c>
      <c r="AX57" s="117">
        <f t="shared" si="24"/>
        <v>4.2532309473243961</v>
      </c>
      <c r="AY57" s="117">
        <f t="shared" si="24"/>
        <v>3.2003828714484319</v>
      </c>
      <c r="AZ57" s="117">
        <f t="shared" si="24"/>
        <v>2.1618923430019374</v>
      </c>
      <c r="BA57" s="117">
        <f t="shared" si="24"/>
        <v>1.8135740162274927</v>
      </c>
      <c r="BB57" s="117">
        <f t="shared" si="24"/>
        <v>5.9885041099952163</v>
      </c>
      <c r="BC57" s="117">
        <f t="shared" si="24"/>
        <v>4.414378464569376</v>
      </c>
      <c r="BD57" s="117">
        <f t="shared" si="24"/>
        <v>3.0964007711172736</v>
      </c>
      <c r="BE57" s="117">
        <f t="shared" si="24"/>
        <v>1.8280733703080627</v>
      </c>
      <c r="BF57" s="117">
        <f t="shared" si="24"/>
        <v>5.4031910275711486</v>
      </c>
      <c r="BG57" s="117">
        <f t="shared" si="24"/>
        <v>3.840517003901152</v>
      </c>
      <c r="BH57" s="117">
        <f t="shared" si="24"/>
        <v>2.6697393026395075</v>
      </c>
      <c r="BI57" s="117">
        <f t="shared" si="24"/>
        <v>1.5678361447962705</v>
      </c>
      <c r="BJ57" s="117">
        <f t="shared" si="24"/>
        <v>114.16201777950519</v>
      </c>
      <c r="BK57" s="117">
        <f t="shared" si="24"/>
        <v>88.045661578415249</v>
      </c>
      <c r="BL57" s="117">
        <f t="shared" si="24"/>
        <v>61.041513891870522</v>
      </c>
      <c r="BM57" s="117">
        <f t="shared" si="24"/>
        <v>24.044958591289966</v>
      </c>
      <c r="BN57" s="117">
        <f t="shared" si="24"/>
        <v>81.569384852249158</v>
      </c>
      <c r="BO57" s="117">
        <f t="shared" si="24"/>
        <v>7.0459332558433223</v>
      </c>
      <c r="BP57" s="117">
        <f t="shared" si="24"/>
        <v>4.5886070546969044</v>
      </c>
      <c r="BQ57" s="117">
        <f t="shared" si="24"/>
        <v>2.3703753541056529</v>
      </c>
      <c r="BR57" s="117">
        <f t="shared" ref="BR57:CK57" si="25">BR49/BR56</f>
        <v>8.8078726236274338</v>
      </c>
      <c r="BS57" s="117">
        <f t="shared" si="25"/>
        <v>16.843102559497911</v>
      </c>
      <c r="BT57" s="117">
        <f t="shared" si="25"/>
        <v>11.535149441498611</v>
      </c>
      <c r="BU57" s="117">
        <f t="shared" si="25"/>
        <v>12.406384898125626</v>
      </c>
      <c r="BV57" s="117">
        <f t="shared" si="25"/>
        <v>21.153571876082118</v>
      </c>
      <c r="BW57" s="117">
        <f t="shared" si="25"/>
        <v>10.681655227717581</v>
      </c>
      <c r="BX57" s="117">
        <f t="shared" si="25"/>
        <v>20.36279672572045</v>
      </c>
      <c r="BY57" s="117">
        <f t="shared" si="25"/>
        <v>9.5824859713226687</v>
      </c>
      <c r="BZ57" s="117">
        <f t="shared" si="25"/>
        <v>18.498150790931479</v>
      </c>
      <c r="CA57" s="117">
        <f t="shared" si="25"/>
        <v>10.383323844867181</v>
      </c>
      <c r="CB57" s="117">
        <f t="shared" si="25"/>
        <v>186.7928693443111</v>
      </c>
      <c r="CC57" s="117">
        <f t="shared" si="25"/>
        <v>85.080288996371266</v>
      </c>
      <c r="CD57" s="117">
        <f t="shared" si="25"/>
        <v>140.70748962500633</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5" customHeight="1">
      <c r="A58" s="277" t="s">
        <v>693</v>
      </c>
      <c r="B58" s="276"/>
      <c r="C58" s="276"/>
      <c r="D58" s="276"/>
      <c r="E58" s="276"/>
      <c r="F58" s="276"/>
      <c r="G58" s="276"/>
      <c r="H58" s="276"/>
      <c r="I58" s="276"/>
      <c r="J58" s="276"/>
      <c r="K58" s="276"/>
      <c r="L58" s="276"/>
      <c r="M58" s="276"/>
      <c r="N58" s="276"/>
      <c r="O58" s="276"/>
      <c r="P58" s="276"/>
      <c r="Q58" s="276"/>
      <c r="R58" s="276"/>
      <c r="S58" s="276"/>
      <c r="T58" s="276"/>
      <c r="U58" s="276"/>
      <c r="V58" s="276"/>
      <c r="W58" s="276"/>
      <c r="X58" s="276"/>
      <c r="Y58" s="276"/>
      <c r="Z58" s="276"/>
      <c r="AA58" s="276"/>
      <c r="AB58" s="276"/>
      <c r="AC58" s="276"/>
      <c r="AD58" s="276"/>
      <c r="AE58" s="276"/>
      <c r="AF58" s="276"/>
      <c r="AG58" s="276"/>
    </row>
    <row r="61" spans="1:89" s="119" customFormat="1">
      <c r="A61" s="118" t="s">
        <v>471</v>
      </c>
      <c r="B61" s="1">
        <v>43465</v>
      </c>
      <c r="C61" s="1">
        <v>43373</v>
      </c>
      <c r="D61" s="1">
        <v>43281</v>
      </c>
      <c r="E61" s="1">
        <v>43190</v>
      </c>
      <c r="F61" s="1">
        <v>43100</v>
      </c>
      <c r="G61" s="1">
        <v>43008</v>
      </c>
      <c r="H61" s="1">
        <v>42916</v>
      </c>
      <c r="I61" s="1">
        <v>42825</v>
      </c>
      <c r="J61" s="1">
        <v>42735</v>
      </c>
      <c r="K61" s="1">
        <v>42643</v>
      </c>
      <c r="L61" s="1">
        <v>42551</v>
      </c>
      <c r="M61" s="1">
        <v>42460</v>
      </c>
      <c r="N61" s="1">
        <v>42369</v>
      </c>
      <c r="O61" s="1">
        <v>42277</v>
      </c>
      <c r="P61" s="1">
        <v>42185</v>
      </c>
      <c r="Q61" s="1">
        <v>42094</v>
      </c>
      <c r="R61" s="1">
        <v>42004</v>
      </c>
      <c r="S61" s="1">
        <v>41912</v>
      </c>
      <c r="T61" s="1">
        <v>41820</v>
      </c>
      <c r="U61" s="1">
        <v>41729</v>
      </c>
      <c r="V61" s="1">
        <v>41639</v>
      </c>
      <c r="W61" s="1">
        <v>41547</v>
      </c>
      <c r="X61" s="1">
        <v>41455</v>
      </c>
      <c r="Y61" s="1">
        <v>41364</v>
      </c>
      <c r="Z61" s="1">
        <v>41274</v>
      </c>
      <c r="AA61" s="1">
        <v>41182</v>
      </c>
      <c r="AB61" s="1">
        <v>41090</v>
      </c>
      <c r="AC61" s="1">
        <v>40999</v>
      </c>
      <c r="AD61" s="1">
        <v>40908</v>
      </c>
      <c r="AE61" s="1">
        <v>40816</v>
      </c>
      <c r="AF61" s="1">
        <v>40724</v>
      </c>
      <c r="AG61" s="1">
        <v>40633</v>
      </c>
      <c r="AH61" s="1">
        <v>40543</v>
      </c>
      <c r="AI61" s="1">
        <v>40451</v>
      </c>
      <c r="AJ61" s="1">
        <v>40359</v>
      </c>
      <c r="AK61" s="1">
        <v>40268</v>
      </c>
      <c r="AL61" s="1">
        <v>40178</v>
      </c>
      <c r="AM61" s="1">
        <v>40086</v>
      </c>
      <c r="AN61" s="1">
        <v>39994</v>
      </c>
      <c r="AO61" s="1">
        <v>39903</v>
      </c>
      <c r="AP61" s="1">
        <v>39813</v>
      </c>
      <c r="AQ61" s="1">
        <v>39721</v>
      </c>
      <c r="AR61" s="1">
        <v>39629</v>
      </c>
      <c r="AS61" s="1">
        <v>39538</v>
      </c>
      <c r="AT61" s="1">
        <v>39447</v>
      </c>
      <c r="AU61" s="1">
        <v>39355</v>
      </c>
      <c r="AV61" s="1">
        <v>39263</v>
      </c>
      <c r="AW61" s="1">
        <v>39172</v>
      </c>
      <c r="AX61" s="1">
        <v>39082</v>
      </c>
      <c r="AY61" s="1">
        <v>38990</v>
      </c>
      <c r="AZ61" s="1">
        <v>38898</v>
      </c>
      <c r="BA61" s="1">
        <v>38807</v>
      </c>
      <c r="BB61" s="1">
        <v>38717</v>
      </c>
      <c r="BC61" s="1">
        <v>38625</v>
      </c>
      <c r="BD61" s="1">
        <v>38533</v>
      </c>
      <c r="BE61" s="1">
        <v>38442</v>
      </c>
      <c r="BF61" s="1">
        <v>38352</v>
      </c>
      <c r="BG61" s="1">
        <v>38260</v>
      </c>
      <c r="BH61" s="1">
        <v>38168</v>
      </c>
      <c r="BI61" s="1">
        <v>38077</v>
      </c>
      <c r="BJ61" s="1">
        <v>37986</v>
      </c>
      <c r="BK61" s="1">
        <v>37894</v>
      </c>
      <c r="BL61" s="1">
        <v>37802</v>
      </c>
      <c r="BM61" s="1">
        <v>37711</v>
      </c>
      <c r="BN61" s="1">
        <v>37621</v>
      </c>
      <c r="BO61" s="1">
        <v>37529</v>
      </c>
      <c r="BP61" s="1">
        <v>37437</v>
      </c>
      <c r="BQ61" s="1">
        <v>37346</v>
      </c>
      <c r="BR61" s="1">
        <v>37256</v>
      </c>
      <c r="BS61" s="1">
        <v>37072</v>
      </c>
      <c r="BT61" s="1">
        <v>36891</v>
      </c>
      <c r="BU61" s="1">
        <v>36707</v>
      </c>
      <c r="BV61" s="1">
        <v>36525</v>
      </c>
      <c r="BW61" s="1">
        <v>36341</v>
      </c>
      <c r="BX61" s="1">
        <v>36160</v>
      </c>
      <c r="BY61" s="1">
        <v>35976</v>
      </c>
      <c r="BZ61" s="1">
        <v>35795</v>
      </c>
      <c r="CA61" s="1">
        <v>35611</v>
      </c>
      <c r="CB61" s="1">
        <v>35430</v>
      </c>
      <c r="CC61" s="1">
        <v>35246</v>
      </c>
      <c r="CD61" s="1">
        <v>35064</v>
      </c>
      <c r="CE61" s="1">
        <v>25569</v>
      </c>
      <c r="CF61" s="1"/>
      <c r="CG61" s="1"/>
      <c r="CH61" s="1"/>
      <c r="CI61" s="1"/>
      <c r="CJ61" s="1"/>
      <c r="CK61" s="1"/>
    </row>
    <row r="62" spans="1:89" s="76" customFormat="1">
      <c r="A62" s="146"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c r="A63" s="146" t="s">
        <v>463</v>
      </c>
      <c r="E63" s="76">
        <f>E49</f>
        <v>421474197.36000001</v>
      </c>
      <c r="F63" s="76">
        <f t="shared" ref="F63:BQ63" si="26">F49</f>
        <v>1366363612.6199999</v>
      </c>
      <c r="G63" s="76">
        <f t="shared" si="26"/>
        <v>1026037642.64</v>
      </c>
      <c r="H63" s="76">
        <f t="shared" si="26"/>
        <v>698379557.87</v>
      </c>
      <c r="I63" s="76">
        <f t="shared" si="26"/>
        <v>284244614.87</v>
      </c>
      <c r="J63" s="76">
        <f t="shared" si="26"/>
        <v>1026535858.9299999</v>
      </c>
      <c r="K63" s="76">
        <f t="shared" si="26"/>
        <v>766151820.29999995</v>
      </c>
      <c r="L63" s="76">
        <f t="shared" si="26"/>
        <v>525882189.83999997</v>
      </c>
      <c r="M63" s="76">
        <f t="shared" si="26"/>
        <v>295249656.20999998</v>
      </c>
      <c r="N63" s="76">
        <f t="shared" si="26"/>
        <v>1120665180.8800001</v>
      </c>
      <c r="O63" s="76">
        <f t="shared" si="26"/>
        <v>857530976.39999998</v>
      </c>
      <c r="P63" s="76">
        <f t="shared" si="26"/>
        <v>593268789.13</v>
      </c>
      <c r="Q63" s="76">
        <f t="shared" si="26"/>
        <v>335552584.61000001</v>
      </c>
      <c r="R63" s="76">
        <f t="shared" si="26"/>
        <v>1214852555.8099999</v>
      </c>
      <c r="S63" s="76">
        <f t="shared" si="26"/>
        <v>927620999.42999995</v>
      </c>
      <c r="T63" s="76">
        <f t="shared" si="26"/>
        <v>630920696.25999999</v>
      </c>
      <c r="U63" s="76">
        <f t="shared" si="26"/>
        <v>359411030.98000002</v>
      </c>
      <c r="V63" s="76">
        <f t="shared" si="26"/>
        <v>1428005507.79</v>
      </c>
      <c r="W63" s="76">
        <f t="shared" si="26"/>
        <v>1090244284</v>
      </c>
      <c r="X63" s="76">
        <f t="shared" si="26"/>
        <v>753590720.29999995</v>
      </c>
      <c r="Y63" s="76">
        <f t="shared" si="26"/>
        <v>407134157.54000002</v>
      </c>
      <c r="Z63" s="76">
        <f t="shared" si="26"/>
        <v>1320057528.8499999</v>
      </c>
      <c r="AA63" s="76">
        <f t="shared" si="26"/>
        <v>999698057.85000002</v>
      </c>
      <c r="AB63" s="76">
        <f t="shared" si="26"/>
        <v>696223866.28999996</v>
      </c>
      <c r="AC63" s="76">
        <f t="shared" si="26"/>
        <v>397167146.08999997</v>
      </c>
      <c r="AD63" s="76">
        <f t="shared" si="26"/>
        <v>1188181022.1600001</v>
      </c>
      <c r="AE63" s="76">
        <f t="shared" si="26"/>
        <v>881523761.17999995</v>
      </c>
      <c r="AF63" s="76">
        <f t="shared" si="26"/>
        <v>619936758.73000002</v>
      </c>
      <c r="AG63" s="76">
        <f t="shared" si="26"/>
        <v>360707870.79000002</v>
      </c>
      <c r="AH63" s="76">
        <f t="shared" si="26"/>
        <v>920899447.85000002</v>
      </c>
      <c r="AI63" s="76">
        <f t="shared" si="26"/>
        <v>652183381.96000004</v>
      </c>
      <c r="AJ63" s="76">
        <f t="shared" si="26"/>
        <v>437443143.19</v>
      </c>
      <c r="AK63" s="76">
        <f t="shared" si="26"/>
        <v>250700453.44</v>
      </c>
      <c r="AL63" s="76">
        <f t="shared" si="26"/>
        <v>729118833.46000004</v>
      </c>
      <c r="AM63" s="76">
        <f t="shared" si="26"/>
        <v>531954310.14999998</v>
      </c>
      <c r="AN63" s="76">
        <f t="shared" si="26"/>
        <v>364490143.06999999</v>
      </c>
      <c r="AO63" s="76">
        <f t="shared" si="26"/>
        <v>208744716.30000001</v>
      </c>
      <c r="AP63" s="76">
        <f t="shared" si="26"/>
        <v>622896991.75999999</v>
      </c>
      <c r="AQ63" s="76">
        <f t="shared" si="26"/>
        <v>458272083.85000002</v>
      </c>
      <c r="AR63" s="76">
        <f t="shared" si="26"/>
        <v>312351104.93000001</v>
      </c>
      <c r="AS63" s="76">
        <f t="shared" si="26"/>
        <v>187257445.02000001</v>
      </c>
      <c r="AT63" s="76">
        <f t="shared" si="26"/>
        <v>547411619.92999995</v>
      </c>
      <c r="AU63" s="76">
        <f t="shared" si="26"/>
        <v>398835936.57999998</v>
      </c>
      <c r="AV63" s="76">
        <f t="shared" si="26"/>
        <v>271330509.35000002</v>
      </c>
      <c r="AW63" s="76">
        <f t="shared" si="26"/>
        <v>152264846.55000001</v>
      </c>
      <c r="AX63" s="76">
        <f t="shared" si="26"/>
        <v>450343864.37</v>
      </c>
      <c r="AY63" s="76">
        <f t="shared" si="26"/>
        <v>331144512.04000002</v>
      </c>
      <c r="AZ63" s="76">
        <f t="shared" si="26"/>
        <v>224380432.09</v>
      </c>
      <c r="BA63" s="76">
        <f t="shared" si="26"/>
        <v>130299434.17</v>
      </c>
      <c r="BB63" s="76">
        <f t="shared" si="26"/>
        <v>439515310.91000003</v>
      </c>
      <c r="BC63" s="76">
        <f t="shared" si="26"/>
        <v>322811947.29000002</v>
      </c>
      <c r="BD63" s="76">
        <f t="shared" si="26"/>
        <v>227255482.66</v>
      </c>
      <c r="BE63" s="76">
        <f t="shared" si="26"/>
        <v>132693042.41</v>
      </c>
      <c r="BF63" s="76">
        <f t="shared" si="26"/>
        <v>403756671.35000002</v>
      </c>
      <c r="BG63" s="76">
        <f t="shared" si="26"/>
        <v>299944780.02999997</v>
      </c>
      <c r="BH63" s="76">
        <f t="shared" si="26"/>
        <v>209668828.09999999</v>
      </c>
      <c r="BI63" s="76">
        <f t="shared" si="26"/>
        <v>123795153.15000001</v>
      </c>
      <c r="BJ63" s="76">
        <f t="shared" si="26"/>
        <v>479585510.57999998</v>
      </c>
      <c r="BK63" s="76">
        <f t="shared" si="26"/>
        <v>364898704.38</v>
      </c>
      <c r="BL63" s="76">
        <f t="shared" si="26"/>
        <v>257249053.94</v>
      </c>
      <c r="BM63" s="76">
        <f t="shared" si="26"/>
        <v>149535383.96000001</v>
      </c>
      <c r="BN63" s="76">
        <f t="shared" si="26"/>
        <v>507279280.06</v>
      </c>
      <c r="BO63" s="76">
        <f t="shared" si="26"/>
        <v>406011008.52999997</v>
      </c>
      <c r="BP63" s="76">
        <f t="shared" si="26"/>
        <v>292249245.88</v>
      </c>
      <c r="BQ63" s="76">
        <f t="shared" si="26"/>
        <v>173938225.12</v>
      </c>
      <c r="BR63" s="76">
        <f t="shared" ref="BR63:CJ63" si="27">BR49</f>
        <v>649680863.10000002</v>
      </c>
      <c r="BS63" s="76">
        <f t="shared" si="27"/>
        <v>342143319.51999998</v>
      </c>
      <c r="BT63" s="76">
        <f t="shared" si="27"/>
        <v>649870942.78999996</v>
      </c>
      <c r="BU63" s="76">
        <f t="shared" si="27"/>
        <v>312370113.82999998</v>
      </c>
      <c r="BV63" s="76">
        <f t="shared" si="27"/>
        <v>587005192.25999999</v>
      </c>
      <c r="BW63" s="76">
        <f t="shared" si="27"/>
        <v>318639859.5</v>
      </c>
      <c r="BX63" s="76">
        <f t="shared" si="27"/>
        <v>607433824.57000005</v>
      </c>
      <c r="BY63" s="76">
        <f t="shared" si="27"/>
        <v>312160826.85000002</v>
      </c>
      <c r="BZ63" s="76">
        <f t="shared" si="27"/>
        <v>602599165.12</v>
      </c>
      <c r="CA63" s="76">
        <f t="shared" si="27"/>
        <v>345556667.12</v>
      </c>
      <c r="CB63" s="76">
        <f t="shared" si="27"/>
        <v>612674307.19000006</v>
      </c>
      <c r="CC63" s="76">
        <f t="shared" si="27"/>
        <v>334022343.13999999</v>
      </c>
      <c r="CD63" s="76">
        <f t="shared" si="27"/>
        <v>552412855.38999999</v>
      </c>
      <c r="CE63" s="76">
        <f t="shared" si="27"/>
        <v>0</v>
      </c>
      <c r="CF63" s="76">
        <f t="shared" si="27"/>
        <v>0</v>
      </c>
      <c r="CG63" s="76">
        <f t="shared" si="27"/>
        <v>0</v>
      </c>
      <c r="CH63" s="76">
        <f t="shared" si="27"/>
        <v>0</v>
      </c>
      <c r="CI63" s="76">
        <f t="shared" si="27"/>
        <v>0</v>
      </c>
      <c r="CJ63" s="76">
        <f t="shared" si="27"/>
        <v>0</v>
      </c>
    </row>
    <row r="64" spans="1:89" s="76" customFormat="1">
      <c r="A64" s="146" t="s">
        <v>473</v>
      </c>
      <c r="E64" s="76">
        <f>资产资本表!E22+资产资本表!E23-资产资本表!E37</f>
        <v>-821557506.43000007</v>
      </c>
      <c r="F64" s="76">
        <f>资产资本表!F22+资产资本表!F23-资产资本表!F37</f>
        <v>-765191017.66999996</v>
      </c>
      <c r="G64" s="76">
        <f>资产资本表!G22+资产资本表!G23-资产资本表!G37</f>
        <v>-694768942.10000002</v>
      </c>
      <c r="H64" s="76">
        <f>资产资本表!H22+资产资本表!H23-资产资本表!H37</f>
        <v>-639500465.39999998</v>
      </c>
      <c r="I64" s="76">
        <f>资产资本表!I22+资产资本表!I23-资产资本表!I37</f>
        <v>-507408912.49000001</v>
      </c>
      <c r="J64" s="76">
        <f>资产资本表!J22+资产资本表!J23-资产资本表!J37</f>
        <v>-448684197.92999995</v>
      </c>
      <c r="K64" s="76">
        <f>资产资本表!K22+资产资本表!K23-资产资本表!K37</f>
        <v>-270028388.63</v>
      </c>
      <c r="L64" s="76">
        <f>资产资本表!L22+资产资本表!L23-资产资本表!L37</f>
        <v>-234699836.92999998</v>
      </c>
      <c r="M64" s="76">
        <f>资产资本表!M22+资产资本表!M23-资产资本表!M37</f>
        <v>-239957782.59</v>
      </c>
      <c r="N64" s="76">
        <f>资产资本表!N22+资产资本表!N23-资产资本表!N37</f>
        <v>-254117454.90000001</v>
      </c>
      <c r="O64" s="76">
        <f>资产资本表!O22+资产资本表!O23-资产资本表!O37</f>
        <v>-266719467.55000001</v>
      </c>
      <c r="P64" s="76">
        <f>资产资本表!P22+资产资本表!P23-资产资本表!P37</f>
        <v>-286421401.41000003</v>
      </c>
      <c r="Q64" s="76">
        <f>资产资本表!Q22+资产资本表!Q23-资产资本表!Q37</f>
        <v>-317702034.76999998</v>
      </c>
      <c r="R64" s="76">
        <f>资产资本表!R22+资产资本表!R23-资产资本表!R37</f>
        <v>-350230213</v>
      </c>
      <c r="S64" s="76">
        <f>资产资本表!S22+资产资本表!S23-资产资本表!S37</f>
        <v>-364462150.30000001</v>
      </c>
      <c r="T64" s="76">
        <f>资产资本表!T22+资产资本表!T23-资产资本表!T37</f>
        <v>-384196326.41000003</v>
      </c>
      <c r="U64" s="76">
        <f>资产资本表!U22+资产资本表!U23-资产资本表!U37</f>
        <v>-426049992.11000001</v>
      </c>
      <c r="V64" s="76">
        <f>资产资本表!V22+资产资本表!V23-资产资本表!V37</f>
        <v>-469570555.56</v>
      </c>
      <c r="W64" s="76">
        <f>资产资本表!W22+资产资本表!W23-资产资本表!W37</f>
        <v>-476767822.60000002</v>
      </c>
      <c r="X64" s="76">
        <f>资产资本表!X22+资产资本表!X23-资产资本表!X37</f>
        <v>-485369474.44999999</v>
      </c>
      <c r="Y64" s="76">
        <f>资产资本表!Y22+资产资本表!Y23-资产资本表!Y37</f>
        <v>-548702032.98000002</v>
      </c>
      <c r="Z64" s="76">
        <f>资产资本表!Z22+资产资本表!Z23-资产资本表!Z37</f>
        <v>-519417389.17000002</v>
      </c>
      <c r="AA64" s="76">
        <f>资产资本表!AA22+资产资本表!AA23-资产资本表!AA37</f>
        <v>-465409465.63</v>
      </c>
      <c r="AB64" s="76">
        <f>资产资本表!AB22+资产资本表!AB23-资产资本表!AB37</f>
        <v>-420593704.94999999</v>
      </c>
      <c r="AC64" s="76">
        <f>资产资本表!AC22+资产资本表!AC23-资产资本表!AC37</f>
        <v>-457344200.64999998</v>
      </c>
      <c r="AD64" s="76">
        <f>资产资本表!AD22+资产资本表!AD23-资产资本表!AD37</f>
        <v>-453067092.42000002</v>
      </c>
      <c r="AE64" s="76">
        <f>资产资本表!AE22+资产资本表!AE23-资产资本表!AE37</f>
        <v>-360916477.32999998</v>
      </c>
      <c r="AF64" s="76">
        <f>资产资本表!AF22+资产资本表!AF23-资产资本表!AF37</f>
        <v>-342897767.56</v>
      </c>
      <c r="AG64" s="76">
        <f>资产资本表!AG22+资产资本表!AG23-资产资本表!AG37</f>
        <v>-357386706.51999998</v>
      </c>
      <c r="AH64" s="76">
        <f>资产资本表!AH22+资产资本表!AH23-资产资本表!AH37</f>
        <v>-333120385.28999996</v>
      </c>
      <c r="AI64" s="76">
        <f>资产资本表!AI22+资产资本表!AI23-资产资本表!AI37</f>
        <v>-270502167.04000002</v>
      </c>
      <c r="AJ64" s="76">
        <f>资产资本表!AJ22+资产资本表!AJ23-资产资本表!AJ37</f>
        <v>-241056780.84</v>
      </c>
      <c r="AK64" s="76">
        <f>资产资本表!AK22+资产资本表!AK23-资产资本表!AK37</f>
        <v>-257314556.43000001</v>
      </c>
      <c r="AL64" s="76">
        <f>资产资本表!AL22+资产资本表!AL23-资产资本表!AL37</f>
        <v>-228085057.53</v>
      </c>
      <c r="AM64" s="76">
        <f>资产资本表!AM22+资产资本表!AM23-资产资本表!AM37</f>
        <v>-185499518.69</v>
      </c>
      <c r="AN64" s="76">
        <f>资产资本表!AN22+资产资本表!AN23-资产资本表!AN37</f>
        <v>-153268328.84999999</v>
      </c>
      <c r="AO64" s="76">
        <f>资产资本表!AO22+资产资本表!AO23-资产资本表!AO37</f>
        <v>-173755882.69</v>
      </c>
      <c r="AP64" s="76">
        <f>资产资本表!AP22+资产资本表!AP23-资产资本表!AP37</f>
        <v>-168595634.72</v>
      </c>
      <c r="AQ64" s="76">
        <f>资产资本表!AQ22+资产资本表!AQ23-资产资本表!AQ37</f>
        <v>-109480193.2</v>
      </c>
      <c r="AR64" s="76">
        <f>资产资本表!AR22+资产资本表!AR23-资产资本表!AR37</f>
        <v>-90855216.769999996</v>
      </c>
      <c r="AS64" s="76">
        <f>资产资本表!AS22+资产资本表!AS23-资产资本表!AS37</f>
        <v>-119286772.70999999</v>
      </c>
      <c r="AT64" s="76">
        <f>资产资本表!AT22+资产资本表!AT23-资产资本表!AT37</f>
        <v>-97085230.879999995</v>
      </c>
      <c r="AU64" s="76">
        <f>资产资本表!AU22+资产资本表!AU23-资产资本表!AU37</f>
        <v>-80111605.519999996</v>
      </c>
      <c r="AV64" s="76">
        <f>资产资本表!AV22+资产资本表!AV23-资产资本表!AV37</f>
        <v>-58621965.340000004</v>
      </c>
      <c r="AW64" s="76">
        <f>资产资本表!AW22+资产资本表!AW23-资产资本表!AW37</f>
        <v>-77908461.349999994</v>
      </c>
      <c r="AX64" s="76">
        <f>资产资本表!AX22+资产资本表!AX23-资产资本表!AX37</f>
        <v>-56766451.43</v>
      </c>
      <c r="AY64" s="76">
        <f>资产资本表!AY22+资产资本表!AY23-资产资本表!AY37</f>
        <v>-39715200.490000002</v>
      </c>
      <c r="AZ64" s="76">
        <f>资产资本表!AZ22+资产资本表!AZ23-资产资本表!AZ37</f>
        <v>-50607529.600000001</v>
      </c>
      <c r="BA64" s="76">
        <f>资产资本表!BA22+资产资本表!BA23-资产资本表!BA37</f>
        <v>-59231298.380000003</v>
      </c>
      <c r="BB64" s="76">
        <f>资产资本表!BB22+资产资本表!BB23-资产资本表!BB37</f>
        <v>-56875113</v>
      </c>
      <c r="BC64" s="76">
        <f>资产资本表!BC22+资产资本表!BC23-资产资本表!BC37</f>
        <v>-32573425.439999998</v>
      </c>
      <c r="BD64" s="76">
        <f>资产资本表!BD22+资产资本表!BD23-资产资本表!BD37</f>
        <v>-22491277.309999999</v>
      </c>
      <c r="BE64" s="76">
        <f>资产资本表!BE22+资产资本表!BE23-资产资本表!BE37</f>
        <v>-43394039.550000004</v>
      </c>
      <c r="BF64" s="76">
        <f>资产资本表!BF22+资产资本表!BF23-资产资本表!BF37</f>
        <v>-39307263.960000001</v>
      </c>
      <c r="BG64" s="76">
        <f>资产资本表!BG22+资产资本表!BG23-资产资本表!BG37</f>
        <v>-23482334.130000003</v>
      </c>
      <c r="BH64" s="76">
        <f>资产资本表!BH22+资产资本表!BH23-资产资本表!BH37</f>
        <v>-17139068.410000004</v>
      </c>
      <c r="BI64" s="76">
        <f>资产资本表!BI22+资产资本表!BI23-资产资本表!BI37</f>
        <v>-21060594.480000004</v>
      </c>
      <c r="BJ64" s="76">
        <f>资产资本表!BJ22+资产资本表!BJ23-资产资本表!BJ37</f>
        <v>-21636230.740000002</v>
      </c>
      <c r="BK64" s="76">
        <f>资产资本表!BK22+资产资本表!BK23-资产资本表!BK37</f>
        <v>-34979677.280000001</v>
      </c>
      <c r="BL64" s="76">
        <f>资产资本表!BL22+资产资本表!BL23-资产资本表!BL37</f>
        <v>-16784680.48</v>
      </c>
      <c r="BM64" s="76">
        <f>资产资本表!BM22+资产资本表!BM23-资产资本表!BM37</f>
        <v>-20622243.530000001</v>
      </c>
      <c r="BN64" s="76">
        <f>资产资本表!BN22+资产资本表!BN23-资产资本表!BN37</f>
        <v>-13082234.340000002</v>
      </c>
      <c r="BO64" s="76">
        <f>资产资本表!BO22+资产资本表!BO23-资产资本表!BO37</f>
        <v>-16866416.060000002</v>
      </c>
      <c r="BP64" s="76">
        <f>资产资本表!BP22+资产资本表!BP23-资产资本表!BP37</f>
        <v>-12039059.75</v>
      </c>
      <c r="BQ64" s="76">
        <f>资产资本表!BQ22+资产资本表!BQ23-资产资本表!BQ37</f>
        <v>-2581208.16</v>
      </c>
      <c r="BR64" s="76">
        <f>资产资本表!BR22+资产资本表!BR23-资产资本表!BR37</f>
        <v>-8826070.3399999999</v>
      </c>
      <c r="BS64" s="76">
        <f>资产资本表!BS22+资产资本表!BS23-资产资本表!BS37</f>
        <v>2516163.7200000007</v>
      </c>
      <c r="BT64" s="76">
        <f>资产资本表!BT22+资产资本表!BT23-资产资本表!BT37</f>
        <v>-13792169.92</v>
      </c>
      <c r="BU64" s="76">
        <f>资产资本表!BU22+资产资本表!BU23-资产资本表!BU37</f>
        <v>-5330249.8099999996</v>
      </c>
      <c r="BV64" s="76">
        <f>资产资本表!BV22+资产资本表!BV23-资产资本表!BV37</f>
        <v>-2034609.33</v>
      </c>
      <c r="BW64" s="76">
        <f>资产资本表!BW22+资产资本表!BW23-资产资本表!BW37</f>
        <v>980685.08999999985</v>
      </c>
      <c r="BX64" s="76">
        <f>资产资本表!BX22+资产资本表!BX23-资产资本表!BX37</f>
        <v>19653205.200000003</v>
      </c>
      <c r="BY64" s="76">
        <f>资产资本表!BY22+资产资本表!BY23-资产资本表!BY37</f>
        <v>6268775.3699999992</v>
      </c>
      <c r="BZ64" s="76">
        <f>资产资本表!BZ22+资产资本表!BZ23-资产资本表!BZ37</f>
        <v>20320937.509999998</v>
      </c>
      <c r="CA64" s="76">
        <f>资产资本表!CA22+资产资本表!CA23-资产资本表!CA37</f>
        <v>0</v>
      </c>
      <c r="CB64" s="76">
        <f>资产资本表!CB22+资产资本表!CB23-资产资本表!CB37</f>
        <v>24433205.780000001</v>
      </c>
      <c r="CC64" s="76">
        <f>资产资本表!CC22+资产资本表!CC23-资产资本表!CC37</f>
        <v>19570774.610000003</v>
      </c>
      <c r="CD64" s="76">
        <f>资产资本表!CD22+资产资本表!CD23-资产资本表!CD37</f>
        <v>21626324.07</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4" customFormat="1">
      <c r="A65" s="153" t="s">
        <v>691</v>
      </c>
      <c r="E65" s="154">
        <f>E63/(E64+I64)*2</f>
        <v>-0.63428870942053739</v>
      </c>
      <c r="F65" s="154">
        <f t="shared" ref="F65:BQ65" si="28">F63/(F64+J64)*2</f>
        <v>-2.2512422942001122</v>
      </c>
      <c r="G65" s="154">
        <f t="shared" si="28"/>
        <v>-2.1269495881869065</v>
      </c>
      <c r="H65" s="154">
        <f t="shared" si="28"/>
        <v>-1.5977563860561792</v>
      </c>
      <c r="I65" s="154">
        <f t="shared" si="28"/>
        <v>-0.76065635983303681</v>
      </c>
      <c r="J65" s="154">
        <f t="shared" si="28"/>
        <v>-2.9212676287723753</v>
      </c>
      <c r="K65" s="154">
        <f t="shared" si="28"/>
        <v>-2.8547922883293961</v>
      </c>
      <c r="L65" s="154">
        <f t="shared" si="28"/>
        <v>-2.0182719534331999</v>
      </c>
      <c r="M65" s="154">
        <f t="shared" si="28"/>
        <v>-1.0588880425623355</v>
      </c>
      <c r="N65" s="154">
        <f t="shared" si="28"/>
        <v>-3.7086771089035921</v>
      </c>
      <c r="O65" s="154">
        <f t="shared" si="28"/>
        <v>-2.7172241781090389</v>
      </c>
      <c r="P65" s="154">
        <f t="shared" si="28"/>
        <v>-1.769320328165374</v>
      </c>
      <c r="Q65" s="154">
        <f t="shared" si="28"/>
        <v>-0.90232381891482072</v>
      </c>
      <c r="R65" s="154">
        <f t="shared" si="28"/>
        <v>-2.9637751082959292</v>
      </c>
      <c r="S65" s="154">
        <f t="shared" si="28"/>
        <v>-2.2053921741094915</v>
      </c>
      <c r="T65" s="154">
        <f t="shared" si="28"/>
        <v>-1.451116627714705</v>
      </c>
      <c r="U65" s="154">
        <f t="shared" si="28"/>
        <v>-0.73744095262959863</v>
      </c>
      <c r="V65" s="154">
        <f t="shared" si="28"/>
        <v>-2.8878117582714409</v>
      </c>
      <c r="W65" s="154">
        <f t="shared" si="28"/>
        <v>-2.3143081405584773</v>
      </c>
      <c r="X65" s="154">
        <f t="shared" si="28"/>
        <v>-1.663623284997271</v>
      </c>
      <c r="Y65" s="154">
        <f t="shared" si="28"/>
        <v>-0.80937464687082028</v>
      </c>
      <c r="Z65" s="154">
        <f t="shared" si="28"/>
        <v>-2.7148145884893142</v>
      </c>
      <c r="AA65" s="154">
        <f t="shared" si="28"/>
        <v>-2.4196216187258019</v>
      </c>
      <c r="AB65" s="154">
        <f t="shared" si="28"/>
        <v>-1.8237895021961257</v>
      </c>
      <c r="AC65" s="154">
        <f t="shared" si="28"/>
        <v>-0.97496521267267444</v>
      </c>
      <c r="AD65" s="154">
        <f t="shared" si="28"/>
        <v>-3.0226404155429272</v>
      </c>
      <c r="AE65" s="154">
        <f t="shared" si="28"/>
        <v>-2.7922006074418126</v>
      </c>
      <c r="AF65" s="154">
        <f t="shared" si="28"/>
        <v>-2.1232363389533968</v>
      </c>
      <c r="AG65" s="154">
        <f t="shared" si="28"/>
        <v>-1.1736038057216098</v>
      </c>
      <c r="AH65" s="154">
        <f t="shared" si="28"/>
        <v>-3.2818621402621275</v>
      </c>
      <c r="AI65" s="154">
        <f t="shared" si="28"/>
        <v>-2.8604428552317231</v>
      </c>
      <c r="AJ65" s="154">
        <f t="shared" si="28"/>
        <v>-2.2186928117963238</v>
      </c>
      <c r="AK65" s="154">
        <f t="shared" si="28"/>
        <v>-1.1631530751762396</v>
      </c>
      <c r="AL65" s="154">
        <f t="shared" si="28"/>
        <v>-3.6760994306246073</v>
      </c>
      <c r="AM65" s="154">
        <f t="shared" si="28"/>
        <v>-3.6067179450522313</v>
      </c>
      <c r="AN65" s="154">
        <f t="shared" si="28"/>
        <v>-2.9861121518967391</v>
      </c>
      <c r="AO65" s="154">
        <f t="shared" si="28"/>
        <v>-1.4246712036857965</v>
      </c>
      <c r="AP65" s="154">
        <f t="shared" si="28"/>
        <v>-4.6890617459656454</v>
      </c>
      <c r="AQ65" s="154">
        <f t="shared" si="28"/>
        <v>-4.8343028226321376</v>
      </c>
      <c r="AR65" s="154">
        <f t="shared" si="28"/>
        <v>-4.1792479697689426</v>
      </c>
      <c r="AS65" s="154">
        <f t="shared" si="28"/>
        <v>-1.8992086285718623</v>
      </c>
      <c r="AT65" s="154">
        <f t="shared" si="28"/>
        <v>-7.1160953420971396</v>
      </c>
      <c r="AU65" s="154">
        <f t="shared" si="28"/>
        <v>-6.6568733634895629</v>
      </c>
      <c r="AV65" s="154">
        <f t="shared" si="28"/>
        <v>-4.9680813684809673</v>
      </c>
      <c r="AW65" s="154">
        <f t="shared" si="28"/>
        <v>-2.2205791646387336</v>
      </c>
      <c r="AX65" s="154">
        <f t="shared" si="28"/>
        <v>-7.9256892780176234</v>
      </c>
      <c r="AY65" s="154">
        <f t="shared" si="28"/>
        <v>-9.1617320921457441</v>
      </c>
      <c r="AZ65" s="154">
        <f t="shared" si="28"/>
        <v>-6.1390997083238172</v>
      </c>
      <c r="BA65" s="154">
        <f t="shared" si="28"/>
        <v>-2.5393228767514762</v>
      </c>
      <c r="BB65" s="154">
        <f t="shared" si="28"/>
        <v>-9.1392066780130445</v>
      </c>
      <c r="BC65" s="154">
        <f t="shared" si="28"/>
        <v>-11.517530036744448</v>
      </c>
      <c r="BD65" s="154">
        <f t="shared" si="28"/>
        <v>-11.468761048194056</v>
      </c>
      <c r="BE65" s="154">
        <f t="shared" si="28"/>
        <v>-4.1174089158039076</v>
      </c>
      <c r="BF65" s="154">
        <f t="shared" si="28"/>
        <v>-13.250197526004364</v>
      </c>
      <c r="BG65" s="154">
        <f t="shared" si="28"/>
        <v>-10.261185778452161</v>
      </c>
      <c r="BH65" s="154">
        <f t="shared" si="28"/>
        <v>-12.361182649940314</v>
      </c>
      <c r="BI65" s="154">
        <f t="shared" si="28"/>
        <v>-5.9398620180468846</v>
      </c>
      <c r="BJ65" s="154">
        <f t="shared" si="28"/>
        <v>-27.627114820595629</v>
      </c>
      <c r="BK65" s="154">
        <f t="shared" si="28"/>
        <v>-14.076227575606952</v>
      </c>
      <c r="BL65" s="154">
        <f t="shared" si="28"/>
        <v>-17.849803799734008</v>
      </c>
      <c r="BM65" s="154">
        <f t="shared" si="28"/>
        <v>-12.889063744291573</v>
      </c>
      <c r="BN65" s="154">
        <f t="shared" si="28"/>
        <v>-46.309313976548182</v>
      </c>
      <c r="BO65" s="154">
        <f t="shared" si="28"/>
        <v>-56.585905099143353</v>
      </c>
      <c r="BP65" s="154">
        <f t="shared" si="28"/>
        <v>-22.627590681013057</v>
      </c>
      <c r="BQ65" s="154">
        <f t="shared" si="28"/>
        <v>-43.971218902904695</v>
      </c>
      <c r="BR65" s="154">
        <f t="shared" ref="BR65:CK65" si="29">BR63/(BR64+BV64)*2</f>
        <v>-119.63908021237128</v>
      </c>
      <c r="BS65" s="154">
        <f t="shared" si="29"/>
        <v>195.68665281814111</v>
      </c>
      <c r="BT65" s="154">
        <f t="shared" si="29"/>
        <v>221.75977851817319</v>
      </c>
      <c r="BU65" s="154">
        <f t="shared" si="29"/>
        <v>665.6613887638822</v>
      </c>
      <c r="BV65" s="154">
        <f t="shared" si="29"/>
        <v>64.20153750735102</v>
      </c>
      <c r="BW65" s="154">
        <f t="shared" si="29"/>
        <v>649.83114916124612</v>
      </c>
      <c r="BX65" s="154">
        <f t="shared" si="29"/>
        <v>27.55651054677892</v>
      </c>
      <c r="BY65" s="154">
        <f t="shared" si="29"/>
        <v>24.161475497182785</v>
      </c>
      <c r="BZ65" s="154">
        <f t="shared" si="29"/>
        <v>28.731275531335889</v>
      </c>
      <c r="CA65" s="154" t="e">
        <f t="shared" si="29"/>
        <v>#DIV/0!</v>
      </c>
      <c r="CB65" s="154">
        <f t="shared" si="29"/>
        <v>50.150955442081987</v>
      </c>
      <c r="CC65" s="154">
        <f t="shared" si="29"/>
        <v>34.13481068545196</v>
      </c>
      <c r="CD65" s="154">
        <f t="shared" si="29"/>
        <v>51.08707828495978</v>
      </c>
      <c r="CE65" s="154" t="e">
        <f t="shared" si="29"/>
        <v>#DIV/0!</v>
      </c>
      <c r="CF65" s="154" t="e">
        <f t="shared" si="29"/>
        <v>#DIV/0!</v>
      </c>
      <c r="CG65" s="154" t="e">
        <f t="shared" si="29"/>
        <v>#DIV/0!</v>
      </c>
      <c r="CH65" s="154" t="e">
        <f t="shared" si="29"/>
        <v>#DIV/0!</v>
      </c>
      <c r="CI65" s="154" t="e">
        <f t="shared" si="29"/>
        <v>#DIV/0!</v>
      </c>
      <c r="CJ65" s="154" t="e">
        <f t="shared" si="29"/>
        <v>#DIV/0!</v>
      </c>
      <c r="CK65" s="154" t="e">
        <f t="shared" si="29"/>
        <v>#DIV/0!</v>
      </c>
    </row>
    <row r="66" spans="1:89" s="83" customFormat="1">
      <c r="A66" s="147" t="s">
        <v>474</v>
      </c>
      <c r="E66" s="83">
        <f>E62/E65</f>
        <v>-575.44773315206953</v>
      </c>
      <c r="F66" s="83">
        <f t="shared" ref="F66:BQ66" si="30">F62/F65</f>
        <v>-162.13270376998136</v>
      </c>
      <c r="G66" s="83">
        <f t="shared" si="30"/>
        <v>-171.60726423757885</v>
      </c>
      <c r="H66" s="83">
        <f t="shared" si="30"/>
        <v>-228.44533946814477</v>
      </c>
      <c r="I66" s="83">
        <f t="shared" si="30"/>
        <v>-479.84874547044751</v>
      </c>
      <c r="J66" s="83">
        <f t="shared" si="30"/>
        <v>-124.9457586169147</v>
      </c>
      <c r="K66" s="83">
        <f t="shared" si="30"/>
        <v>-127.85518634478146</v>
      </c>
      <c r="L66" s="83">
        <f t="shared" si="30"/>
        <v>-180.84777890269615</v>
      </c>
      <c r="M66" s="83">
        <f t="shared" si="30"/>
        <v>-344.70121989172702</v>
      </c>
      <c r="N66" s="83">
        <f t="shared" si="30"/>
        <v>-98.417842611244765</v>
      </c>
      <c r="O66" s="83">
        <f t="shared" si="30"/>
        <v>-134.32826151797659</v>
      </c>
      <c r="P66" s="83">
        <f t="shared" si="30"/>
        <v>-206.29390517344711</v>
      </c>
      <c r="Q66" s="83">
        <f t="shared" si="30"/>
        <v>-404.51109939552197</v>
      </c>
      <c r="R66" s="83">
        <f t="shared" si="30"/>
        <v>-123.15374367586976</v>
      </c>
      <c r="S66" s="83">
        <f t="shared" si="30"/>
        <v>-165.50344391576624</v>
      </c>
      <c r="T66" s="83">
        <f t="shared" si="30"/>
        <v>-251.53043733970665</v>
      </c>
      <c r="U66" s="83">
        <f t="shared" si="30"/>
        <v>-494.95488241935482</v>
      </c>
      <c r="V66" s="83">
        <f t="shared" si="30"/>
        <v>-126.3932799478863</v>
      </c>
      <c r="W66" s="83">
        <f t="shared" si="30"/>
        <v>-157.7145210714767</v>
      </c>
      <c r="X66" s="83">
        <f t="shared" si="30"/>
        <v>-219.40063191685775</v>
      </c>
      <c r="Y66" s="83">
        <f t="shared" si="30"/>
        <v>-450.96544772084462</v>
      </c>
      <c r="Z66" s="83">
        <f t="shared" si="30"/>
        <v>-134.44748733397219</v>
      </c>
      <c r="AA66" s="83">
        <f t="shared" si="30"/>
        <v>-150.85003257336277</v>
      </c>
      <c r="AB66" s="83">
        <f t="shared" si="30"/>
        <v>-200.13274534176412</v>
      </c>
      <c r="AC66" s="83">
        <f t="shared" si="30"/>
        <v>-374.37233170548171</v>
      </c>
      <c r="AD66" s="83">
        <f t="shared" si="30"/>
        <v>-120.75534956890948</v>
      </c>
      <c r="AE66" s="83">
        <f t="shared" si="30"/>
        <v>-130.72126659782137</v>
      </c>
      <c r="AF66" s="83">
        <f t="shared" si="30"/>
        <v>-171.90738181314231</v>
      </c>
      <c r="AG66" s="83">
        <f t="shared" si="30"/>
        <v>-311.00785309363721</v>
      </c>
      <c r="AH66" s="83">
        <f t="shared" si="30"/>
        <v>-111.2173468599284</v>
      </c>
      <c r="AI66" s="83">
        <f t="shared" si="30"/>
        <v>-127.6026190603383</v>
      </c>
      <c r="AJ66" s="83">
        <f t="shared" si="30"/>
        <v>-164.51128252607646</v>
      </c>
      <c r="AK66" s="83">
        <f t="shared" si="30"/>
        <v>-313.80220522109323</v>
      </c>
      <c r="AL66" s="83">
        <f t="shared" si="30"/>
        <v>-99.290023811456791</v>
      </c>
      <c r="AM66" s="83">
        <f t="shared" si="30"/>
        <v>-101.2000399146028</v>
      </c>
      <c r="AN66" s="83">
        <f t="shared" si="30"/>
        <v>-122.23251553634944</v>
      </c>
      <c r="AO66" s="83">
        <f t="shared" si="30"/>
        <v>-256.1994648700001</v>
      </c>
      <c r="AP66" s="83">
        <f t="shared" si="30"/>
        <v>-77.840732277419278</v>
      </c>
      <c r="AQ66" s="83">
        <f t="shared" si="30"/>
        <v>-75.502096867251709</v>
      </c>
      <c r="AR66" s="83">
        <f t="shared" si="30"/>
        <v>-87.336286968437463</v>
      </c>
      <c r="AS66" s="83">
        <f t="shared" si="30"/>
        <v>-192.18531050718062</v>
      </c>
      <c r="AT66" s="83">
        <f t="shared" si="30"/>
        <v>-51.292173931502319</v>
      </c>
      <c r="AU66" s="83">
        <f t="shared" si="30"/>
        <v>-54.830545823792775</v>
      </c>
      <c r="AV66" s="83">
        <f t="shared" si="30"/>
        <v>-73.469006026284518</v>
      </c>
      <c r="AW66" s="83">
        <f t="shared" si="30"/>
        <v>-164.37153235173307</v>
      </c>
      <c r="AX66" s="83">
        <f t="shared" si="30"/>
        <v>-46.052776887475197</v>
      </c>
      <c r="AY66" s="83">
        <f t="shared" si="30"/>
        <v>-39.839628176085895</v>
      </c>
      <c r="AZ66" s="83">
        <f t="shared" si="30"/>
        <v>-59.454971794171655</v>
      </c>
      <c r="BA66" s="83">
        <f t="shared" si="30"/>
        <v>-143.73910594108455</v>
      </c>
      <c r="BB66" s="83">
        <f t="shared" si="30"/>
        <v>-39.937820957491979</v>
      </c>
      <c r="BC66" s="83">
        <f t="shared" si="30"/>
        <v>-31.690822497144634</v>
      </c>
      <c r="BD66" s="83">
        <f t="shared" si="30"/>
        <v>-31.825582420472109</v>
      </c>
      <c r="BE66" s="83">
        <f t="shared" si="30"/>
        <v>-88.647984075376982</v>
      </c>
      <c r="BF66" s="83">
        <f t="shared" si="30"/>
        <v>-27.54675915462121</v>
      </c>
      <c r="BG66" s="83">
        <f t="shared" si="30"/>
        <v>-35.570937694791262</v>
      </c>
      <c r="BH66" s="83">
        <f t="shared" si="30"/>
        <v>-29.527918997440135</v>
      </c>
      <c r="BI66" s="83">
        <f t="shared" si="30"/>
        <v>-61.449238869696416</v>
      </c>
      <c r="BJ66" s="83">
        <f t="shared" si="30"/>
        <v>-13.211658270153407</v>
      </c>
      <c r="BK66" s="83">
        <f t="shared" si="30"/>
        <v>-25.930242889260875</v>
      </c>
      <c r="BL66" s="83">
        <f t="shared" si="30"/>
        <v>-20.448404032622427</v>
      </c>
      <c r="BM66" s="83">
        <f t="shared" si="30"/>
        <v>-28.318581336961312</v>
      </c>
      <c r="BN66" s="83">
        <f t="shared" si="30"/>
        <v>-7.8817837851116117</v>
      </c>
      <c r="BO66" s="83">
        <f t="shared" si="30"/>
        <v>-6.450369563948632</v>
      </c>
      <c r="BP66" s="83">
        <f t="shared" si="30"/>
        <v>-16.130749629755041</v>
      </c>
      <c r="BQ66" s="83">
        <f t="shared" si="30"/>
        <v>-8.3008842853771441</v>
      </c>
      <c r="BR66" s="83">
        <f t="shared" ref="BR66:CJ66" si="31">BR62/BR65</f>
        <v>-3.0508425787969</v>
      </c>
      <c r="BS66" s="83">
        <f t="shared" si="31"/>
        <v>1.8652268549925481</v>
      </c>
      <c r="BT66" s="83">
        <f t="shared" si="31"/>
        <v>1.645925164784056</v>
      </c>
      <c r="BU66" s="83">
        <f t="shared" si="31"/>
        <v>0.54832683127046999</v>
      </c>
      <c r="BV66" s="83">
        <f t="shared" si="31"/>
        <v>5.6852221017013465</v>
      </c>
      <c r="BW66" s="83">
        <f t="shared" si="31"/>
        <v>0.56168437058013443</v>
      </c>
      <c r="BX66" s="83">
        <f t="shared" si="31"/>
        <v>13.245508693141296</v>
      </c>
      <c r="BY66" s="83">
        <f t="shared" si="31"/>
        <v>15.106693299527953</v>
      </c>
      <c r="BZ66" s="83">
        <f t="shared" si="31"/>
        <v>12.703926061406888</v>
      </c>
      <c r="CA66" s="83" t="e">
        <f t="shared" si="31"/>
        <v>#DIV/0!</v>
      </c>
      <c r="CB66" s="83">
        <f t="shared" si="31"/>
        <v>7.2780268448031631</v>
      </c>
      <c r="CC66" s="83">
        <f t="shared" si="31"/>
        <v>10.692896567185612</v>
      </c>
      <c r="CD66" s="83">
        <f t="shared" si="31"/>
        <v>7.1446638221128671</v>
      </c>
      <c r="CE66" s="83" t="e">
        <f t="shared" si="31"/>
        <v>#DIV/0!</v>
      </c>
      <c r="CF66" s="83" t="e">
        <f t="shared" si="31"/>
        <v>#DIV/0!</v>
      </c>
      <c r="CG66" s="83" t="e">
        <f t="shared" si="31"/>
        <v>#DIV/0!</v>
      </c>
      <c r="CH66" s="83" t="e">
        <f t="shared" si="31"/>
        <v>#DIV/0!</v>
      </c>
      <c r="CI66" s="83" t="e">
        <f t="shared" si="31"/>
        <v>#DIV/0!</v>
      </c>
      <c r="CJ66" s="83" t="e">
        <f t="shared" si="31"/>
        <v>#DIV/0!</v>
      </c>
    </row>
    <row r="67" spans="1:89" s="76" customFormat="1">
      <c r="A67" s="146" t="s">
        <v>475</v>
      </c>
      <c r="E67" s="76">
        <f>股权价值增加表!E5</f>
        <v>263688083.88999999</v>
      </c>
      <c r="F67" s="76">
        <f>股权价值增加表!F5</f>
        <v>900085415.95000005</v>
      </c>
      <c r="G67" s="76">
        <f>股权价值增加表!G5</f>
        <v>680910529.57000005</v>
      </c>
      <c r="H67" s="76">
        <f>股权价值增加表!H5</f>
        <v>461637531.44999999</v>
      </c>
      <c r="I67" s="76">
        <f>股权价值增加表!I5</f>
        <v>223631303.81</v>
      </c>
      <c r="J67" s="76">
        <f>股权价值增加表!J5</f>
        <v>772490154.46000004</v>
      </c>
      <c r="K67" s="76">
        <f>股权价值增加表!K5</f>
        <v>573439463.30999994</v>
      </c>
      <c r="L67" s="76">
        <f>股权价值增加表!L5</f>
        <v>394363248.07999998</v>
      </c>
      <c r="M67" s="76">
        <f>股权价值增加表!M5</f>
        <v>224168272.72999999</v>
      </c>
      <c r="N67" s="76">
        <f>股权价值增加表!N5</f>
        <v>844167795.64999998</v>
      </c>
      <c r="O67" s="76">
        <f>股权价值增加表!O5</f>
        <v>631605745.25</v>
      </c>
      <c r="P67" s="76">
        <f>股权价值增加表!P5</f>
        <v>438234823.49000001</v>
      </c>
      <c r="Q67" s="76">
        <f>股权价值增加表!Q5</f>
        <v>250642805.96000001</v>
      </c>
      <c r="R67" s="76">
        <f>股权价值增加表!R5</f>
        <v>929336217.23000002</v>
      </c>
      <c r="S67" s="76">
        <f>股权价值增加表!S5</f>
        <v>693968455.54999995</v>
      </c>
      <c r="T67" s="76">
        <f>股权价值增加表!T5</f>
        <v>471604028.91000003</v>
      </c>
      <c r="U67" s="76">
        <f>股权价值增加表!U5</f>
        <v>271801418.05000001</v>
      </c>
      <c r="V67" s="76">
        <f>股权价值增加表!V5</f>
        <v>1119633795.79</v>
      </c>
      <c r="W67" s="76">
        <f>股权价值增加表!W5</f>
        <v>839204328.77999997</v>
      </c>
      <c r="X67" s="76">
        <f>股权价值增加表!X5</f>
        <v>580317509.42999995</v>
      </c>
      <c r="Y67" s="76">
        <f>股权价值增加表!Y5</f>
        <v>312435103.45999998</v>
      </c>
      <c r="Z67" s="76">
        <f>股权价值增加表!Z5</f>
        <v>1069338346.86</v>
      </c>
      <c r="AA67" s="76">
        <f>股权价值增加表!AA5</f>
        <v>797821138.41999996</v>
      </c>
      <c r="AB67" s="76">
        <f>股权价值增加表!AB5</f>
        <v>556927629.21000004</v>
      </c>
      <c r="AC67" s="76">
        <f>股权价值增加表!AC5</f>
        <v>323352462.49000001</v>
      </c>
      <c r="AD67" s="76">
        <f>股权价值增加表!AD5</f>
        <v>960325577.27999997</v>
      </c>
      <c r="AE67" s="76">
        <f>股权价值增加表!AE5</f>
        <v>701202875.5</v>
      </c>
      <c r="AF67" s="76">
        <f>股权价值增加表!AF5</f>
        <v>497118229.79000002</v>
      </c>
      <c r="AG67" s="76">
        <f>股权价值增加表!AG5</f>
        <v>290174039.55000001</v>
      </c>
      <c r="AH67" s="76">
        <f>股权价值增加表!AH5</f>
        <v>730427935.96000004</v>
      </c>
      <c r="AI67" s="76">
        <f>股权价值增加表!AI5</f>
        <v>509425921.22000003</v>
      </c>
      <c r="AJ67" s="76">
        <f>股权价值增加表!AJ5</f>
        <v>343856277.77999997</v>
      </c>
      <c r="AK67" s="76">
        <f>股权价值增加表!AK5</f>
        <v>195030198.22999999</v>
      </c>
      <c r="AL67" s="76">
        <f>股权价值增加表!AL5</f>
        <v>570395109.64999998</v>
      </c>
      <c r="AM67" s="76">
        <f>股权价值增加表!AM5</f>
        <v>412711422.69999999</v>
      </c>
      <c r="AN67" s="76">
        <f>股权价值增加表!AN5</f>
        <v>283640792.91000003</v>
      </c>
      <c r="AO67" s="76">
        <f>股权价值增加表!AO5</f>
        <v>162914977.18000001</v>
      </c>
      <c r="AP67" s="76">
        <f>股权价值增加表!AP5</f>
        <v>473076544.41000003</v>
      </c>
      <c r="AQ67" s="76">
        <f>股权价值增加表!AQ5</f>
        <v>345463912.06999999</v>
      </c>
      <c r="AR67" s="76">
        <f>股权价值增加表!AR5</f>
        <v>235488980.74000001</v>
      </c>
      <c r="AS67" s="76">
        <f>股权价值增加表!AS5</f>
        <v>142727403.27000001</v>
      </c>
      <c r="AT67" s="76">
        <f>股权价值增加表!AT5</f>
        <v>411588157.97000003</v>
      </c>
      <c r="AU67" s="76">
        <f>股权价值增加表!AU5</f>
        <v>294666651.83999997</v>
      </c>
      <c r="AV67" s="76">
        <f>股权价值增加表!AV5</f>
        <v>201837807.18000001</v>
      </c>
      <c r="AW67" s="76">
        <f>股权价值增加表!AW5</f>
        <v>114234848.56999999</v>
      </c>
      <c r="AX67" s="76">
        <f>股权价值增加表!AX5</f>
        <v>346565490.01999998</v>
      </c>
      <c r="AY67" s="76">
        <f>股权价值增加表!AY5</f>
        <v>254753350.65000001</v>
      </c>
      <c r="AZ67" s="76">
        <f>股权价值增加表!AZ5</f>
        <v>172510142.87</v>
      </c>
      <c r="BA67" s="76">
        <f>股权价值增加表!BA5</f>
        <v>100494315.39</v>
      </c>
      <c r="BB67" s="76">
        <f>股权价值增加表!BB5</f>
        <v>338479924.23000002</v>
      </c>
      <c r="BC67" s="76">
        <f>股权价值增加表!BC5</f>
        <v>246871437.91</v>
      </c>
      <c r="BD67" s="76">
        <f>股权价值增加表!BD5</f>
        <v>174264210.16</v>
      </c>
      <c r="BE67" s="76">
        <f>股权价值增加表!BE5</f>
        <v>102238954.23999999</v>
      </c>
      <c r="BF67" s="76">
        <f>股权价值增加表!BF5</f>
        <v>312399287.14999998</v>
      </c>
      <c r="BG67" s="76">
        <f>股权价值增加表!BG5</f>
        <v>229256420.13999999</v>
      </c>
      <c r="BH67" s="76">
        <f>股权价值增加表!BH5</f>
        <v>159789254.65000001</v>
      </c>
      <c r="BI67" s="76">
        <f>股权价值增加表!BI5</f>
        <v>95341748.280000001</v>
      </c>
      <c r="BJ67" s="76">
        <f>股权价值增加表!BJ5</f>
        <v>391635877.38999999</v>
      </c>
      <c r="BK67" s="76">
        <f>股权价值增加表!BK5</f>
        <v>298646455.82999998</v>
      </c>
      <c r="BL67" s="76">
        <f>股权价值增加表!BL5</f>
        <v>212376683.41999999</v>
      </c>
      <c r="BM67" s="76">
        <f>股权价值增加表!BM5</f>
        <v>122759882.84999999</v>
      </c>
      <c r="BN67" s="76">
        <f>股权价值增加表!BN5</f>
        <v>432871684.63</v>
      </c>
      <c r="BO67" s="76">
        <f>股权价值增加表!BO5</f>
        <v>342824117.12</v>
      </c>
      <c r="BP67" s="76">
        <f>股权价值增加表!BP5</f>
        <v>245805576.74000001</v>
      </c>
      <c r="BQ67" s="76">
        <f>股权价值增加表!BQ5</f>
        <v>146503334.08000001</v>
      </c>
      <c r="BR67" s="76">
        <f>股权价值增加表!BR5</f>
        <v>546957779.86000001</v>
      </c>
      <c r="BS67" s="76">
        <f>股权价值增加表!BS5</f>
        <v>282374903.05000001</v>
      </c>
      <c r="BT67" s="76">
        <f>股权价值增加表!BT5</f>
        <v>542540850.66999996</v>
      </c>
      <c r="BU67" s="76">
        <f>股权价值增加表!BU5</f>
        <v>257209472.91999999</v>
      </c>
      <c r="BV67" s="76">
        <f>股权价值增加表!BV5</f>
        <v>478910059.79000002</v>
      </c>
      <c r="BW67" s="76">
        <f>股权价值增加表!BW5</f>
        <v>258255305.94999999</v>
      </c>
      <c r="BX67" s="76">
        <f>股权价值增加表!BX5</f>
        <v>490035966.43000001</v>
      </c>
      <c r="BY67" s="76">
        <f>股权价值增加表!BY5</f>
        <v>251721971.47</v>
      </c>
      <c r="BZ67" s="76">
        <f>股权价值增加表!BZ5</f>
        <v>485235735.23000002</v>
      </c>
      <c r="CA67" s="76">
        <f>股权价值增加表!CA5</f>
        <v>272066119.88999999</v>
      </c>
      <c r="CB67" s="76">
        <f>股权价值增加表!CB5</f>
        <v>493733173.69999999</v>
      </c>
      <c r="CC67" s="76">
        <f>股权价值增加表!CC5</f>
        <v>272228569.94999999</v>
      </c>
      <c r="CD67" s="76">
        <f>股权价值增加表!CD5</f>
        <v>448944744.41000003</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c r="A68" s="146" t="s">
        <v>476</v>
      </c>
      <c r="E68" s="76">
        <f>资产资本表!E26</f>
        <v>1461413165.3099999</v>
      </c>
      <c r="F68" s="76">
        <f>资产资本表!F26</f>
        <v>1411011214.03</v>
      </c>
      <c r="G68" s="76">
        <f>资产资本表!G26</f>
        <v>1229352842.8199999</v>
      </c>
      <c r="H68" s="76">
        <f>资产资本表!H26</f>
        <v>1101743277.96</v>
      </c>
      <c r="I68" s="76">
        <f>资产资本表!I26</f>
        <v>1069750780.67</v>
      </c>
      <c r="J68" s="76">
        <f>资产资本表!J26</f>
        <v>1027982028.71</v>
      </c>
      <c r="K68" s="76">
        <f>资产资本表!K26</f>
        <v>835109492.42999995</v>
      </c>
      <c r="L68" s="76">
        <f>资产资本表!L26</f>
        <v>776846328.10000002</v>
      </c>
      <c r="M68" s="76">
        <f>资产资本表!M26</f>
        <v>719192643.84000003</v>
      </c>
      <c r="N68" s="76">
        <f>资产资本表!N26</f>
        <v>614275629.07000005</v>
      </c>
      <c r="O68" s="76">
        <f>资产资本表!O26</f>
        <v>557125843.02999997</v>
      </c>
      <c r="P68" s="76">
        <f>资产资本表!P26</f>
        <v>505870511.77999997</v>
      </c>
      <c r="Q68" s="76">
        <f>资产资本表!Q26</f>
        <v>476261187.5</v>
      </c>
      <c r="R68" s="76">
        <f>资产资本表!R26</f>
        <v>419086735.13</v>
      </c>
      <c r="S68" s="76">
        <f>资产资本表!S26</f>
        <v>390509384.93000001</v>
      </c>
      <c r="T68" s="76">
        <f>资产资本表!T26</f>
        <v>308600397.57999998</v>
      </c>
      <c r="U68" s="76">
        <f>资产资本表!U26</f>
        <v>300415448.56</v>
      </c>
      <c r="V68" s="76">
        <f>资产资本表!V26</f>
        <v>272453534.61000001</v>
      </c>
      <c r="W68" s="76">
        <f>资产资本表!W26</f>
        <v>256863905.50999999</v>
      </c>
      <c r="X68" s="76">
        <f>资产资本表!X26</f>
        <v>237447648.44999999</v>
      </c>
      <c r="Y68" s="76">
        <f>资产资本表!Y26</f>
        <v>236669877.18000001</v>
      </c>
      <c r="Z68" s="76">
        <f>资产资本表!Z26</f>
        <v>227259184.93000001</v>
      </c>
      <c r="AA68" s="76">
        <f>资产资本表!AA26</f>
        <v>237850811.77000001</v>
      </c>
      <c r="AB68" s="76">
        <f>资产资本表!AB26</f>
        <v>215231795.5</v>
      </c>
      <c r="AC68" s="76">
        <f>资产资本表!AC26</f>
        <v>200788327.71000001</v>
      </c>
      <c r="AD68" s="76">
        <f>资产资本表!AD26</f>
        <v>204794937.12</v>
      </c>
      <c r="AE68" s="76">
        <f>资产资本表!AE26</f>
        <v>169615513.09999999</v>
      </c>
      <c r="AF68" s="76">
        <f>资产资本表!AF26</f>
        <v>159523141.62</v>
      </c>
      <c r="AG68" s="76">
        <f>资产资本表!AG26</f>
        <v>159603146.58000001</v>
      </c>
      <c r="AH68" s="76">
        <f>资产资本表!AH26</f>
        <v>161849164.44999999</v>
      </c>
      <c r="AI68" s="76">
        <f>资产资本表!AI26</f>
        <v>149864377.43000001</v>
      </c>
      <c r="AJ68" s="76">
        <f>资产资本表!AJ26</f>
        <v>38256840.189999998</v>
      </c>
      <c r="AK68" s="76">
        <f>资产资本表!AK26</f>
        <v>36252336.479999997</v>
      </c>
      <c r="AL68" s="76">
        <f>资产资本表!AL26</f>
        <v>35161708.869999997</v>
      </c>
      <c r="AM68" s="76">
        <f>资产资本表!AM26</f>
        <v>35103595.109999999</v>
      </c>
      <c r="AN68" s="76">
        <f>资产资本表!AN26</f>
        <v>30890425.940000001</v>
      </c>
      <c r="AO68" s="76">
        <f>资产资本表!AO26</f>
        <v>29457909.289999999</v>
      </c>
      <c r="AP68" s="76">
        <f>资产资本表!AP26</f>
        <v>36369276.450000003</v>
      </c>
      <c r="AQ68" s="76">
        <f>资产资本表!AQ26</f>
        <v>27992038.949999999</v>
      </c>
      <c r="AR68" s="76">
        <f>资产资本表!AR26</f>
        <v>26816045.329999998</v>
      </c>
      <c r="AS68" s="76">
        <f>资产资本表!AS26</f>
        <v>26481975.859999999</v>
      </c>
      <c r="AT68" s="76">
        <f>资产资本表!AT26</f>
        <v>21973207.600000001</v>
      </c>
      <c r="AU68" s="76">
        <f>资产资本表!AU26</f>
        <v>18570646.609999999</v>
      </c>
      <c r="AV68" s="76">
        <f>资产资本表!AV26</f>
        <v>11679930.49</v>
      </c>
      <c r="AW68" s="76">
        <f>资产资本表!AW26</f>
        <v>20922970.390000001</v>
      </c>
      <c r="AX68" s="76">
        <f>资产资本表!AX26</f>
        <v>14794056.880000001</v>
      </c>
      <c r="AY68" s="76">
        <f>资产资本表!AY26</f>
        <v>14470479.880000001</v>
      </c>
      <c r="AZ68" s="76">
        <f>资产资本表!AZ26</f>
        <v>14457049.42</v>
      </c>
      <c r="BA68" s="76">
        <f>资产资本表!BA26</f>
        <v>15129424.6</v>
      </c>
      <c r="BB68" s="76">
        <f>资产资本表!BB26</f>
        <v>12950103.810000001</v>
      </c>
      <c r="BC68" s="76">
        <f>资产资本表!BC26</f>
        <v>148100642.63999999</v>
      </c>
      <c r="BD68" s="76">
        <f>资产资本表!BD26</f>
        <v>138947027.86000001</v>
      </c>
      <c r="BE68" s="76">
        <f>资产资本表!BE26</f>
        <v>154071365.47</v>
      </c>
      <c r="BF68" s="76">
        <f>资产资本表!BF26</f>
        <v>19152237.68</v>
      </c>
      <c r="BG68" s="76">
        <f>资产资本表!BG26</f>
        <v>100766764.43000001</v>
      </c>
      <c r="BH68" s="76">
        <f>资产资本表!BH26</f>
        <v>116461515.73999999</v>
      </c>
      <c r="BI68" s="76">
        <f>资产资本表!BI26</f>
        <v>131457343.79000001</v>
      </c>
      <c r="BJ68" s="76">
        <f>资产资本表!BJ26</f>
        <v>139525445.55000001</v>
      </c>
      <c r="BK68" s="76">
        <f>资产资本表!BK26</f>
        <v>117801556.81</v>
      </c>
      <c r="BL68" s="76">
        <f>资产资本表!BL26</f>
        <v>163469678.34999999</v>
      </c>
      <c r="BM68" s="76">
        <f>资产资本表!BM26</f>
        <v>110501318.98</v>
      </c>
      <c r="BN68" s="76">
        <f>资产资本表!BN26</f>
        <v>160277455.80000001</v>
      </c>
      <c r="BO68" s="76">
        <f>资产资本表!BO26</f>
        <v>251009548.19</v>
      </c>
      <c r="BP68" s="76">
        <f>资产资本表!BP26</f>
        <v>133264477.09999999</v>
      </c>
      <c r="BQ68" s="76">
        <f>资产资本表!BQ26</f>
        <v>237604636.19</v>
      </c>
      <c r="BR68" s="76">
        <f>资产资本表!BR26</f>
        <v>256056475.31</v>
      </c>
      <c r="BS68" s="76">
        <f>资产资本表!BS26</f>
        <v>105432166.69</v>
      </c>
      <c r="BT68" s="76">
        <f>资产资本表!BT26</f>
        <v>170337083.46000001</v>
      </c>
      <c r="BU68" s="76">
        <f>资产资本表!BU26</f>
        <v>48627044.57</v>
      </c>
      <c r="BV68" s="76">
        <f>资产资本表!BV26</f>
        <v>224233519.30000001</v>
      </c>
      <c r="BW68" s="76">
        <f>资产资本表!BW26</f>
        <v>26863098.899999999</v>
      </c>
      <c r="BX68" s="76">
        <f>资产资本表!BX26</f>
        <v>30705758.27</v>
      </c>
      <c r="BY68" s="76">
        <f>资产资本表!BY26</f>
        <v>59854819.060000002</v>
      </c>
      <c r="BZ68" s="76">
        <f>资产资本表!BZ26</f>
        <v>53191769.899999999</v>
      </c>
      <c r="CA68" s="76">
        <f>资产资本表!CA26</f>
        <v>0</v>
      </c>
      <c r="CB68" s="76">
        <f>资产资本表!CB26</f>
        <v>73020337.180000007</v>
      </c>
      <c r="CC68" s="76">
        <f>资产资本表!CC26</f>
        <v>68087726.290000007</v>
      </c>
      <c r="CD68" s="76">
        <f>资产资本表!CD26</f>
        <v>63583545.560000002</v>
      </c>
      <c r="CE68" s="76">
        <f>资产资本表!CE26</f>
        <v>0</v>
      </c>
      <c r="CF68" s="76">
        <f>资产资本表!CF26</f>
        <v>0</v>
      </c>
      <c r="CG68" s="76">
        <f>资产资本表!CG26</f>
        <v>0</v>
      </c>
      <c r="CH68" s="76">
        <f>资产资本表!CH26</f>
        <v>0</v>
      </c>
      <c r="CI68" s="76">
        <f>资产资本表!CI26</f>
        <v>0</v>
      </c>
      <c r="CJ68" s="76">
        <f>资产资本表!CJ26</f>
        <v>0</v>
      </c>
    </row>
    <row r="69" spans="1:89" s="154" customFormat="1">
      <c r="A69" s="153" t="s">
        <v>477</v>
      </c>
      <c r="E69" s="154">
        <f>E67/(E68+I68)*2</f>
        <v>0.20835322366912659</v>
      </c>
      <c r="F69" s="154">
        <f t="shared" ref="F69:BQ69" si="32">F67/(F68+J68)*2</f>
        <v>0.73807946670555857</v>
      </c>
      <c r="G69" s="154">
        <f t="shared" si="32"/>
        <v>0.65964926358178766</v>
      </c>
      <c r="H69" s="154">
        <f t="shared" si="32"/>
        <v>0.49147246419424279</v>
      </c>
      <c r="I69" s="154">
        <f t="shared" si="32"/>
        <v>0.25001495379458821</v>
      </c>
      <c r="J69" s="154">
        <f t="shared" si="32"/>
        <v>0.94076608600412959</v>
      </c>
      <c r="K69" s="154">
        <f t="shared" si="32"/>
        <v>0.82376800631989888</v>
      </c>
      <c r="L69" s="154">
        <f t="shared" si="32"/>
        <v>0.61488745733921013</v>
      </c>
      <c r="M69" s="154">
        <f t="shared" si="32"/>
        <v>0.375034596658119</v>
      </c>
      <c r="N69" s="154">
        <f t="shared" si="32"/>
        <v>1.6338272514957148</v>
      </c>
      <c r="O69" s="154">
        <f t="shared" si="32"/>
        <v>1.3330144904166865</v>
      </c>
      <c r="P69" s="154">
        <f t="shared" si="32"/>
        <v>1.0761214880820211</v>
      </c>
      <c r="Q69" s="154">
        <f t="shared" si="32"/>
        <v>0.64542383360850142</v>
      </c>
      <c r="R69" s="154">
        <f t="shared" si="32"/>
        <v>2.6877284169710167</v>
      </c>
      <c r="S69" s="154">
        <f t="shared" si="32"/>
        <v>2.1439514598395943</v>
      </c>
      <c r="T69" s="154">
        <f t="shared" si="32"/>
        <v>1.7273352861117648</v>
      </c>
      <c r="U69" s="154">
        <f t="shared" si="32"/>
        <v>1.01213496263563</v>
      </c>
      <c r="V69" s="154">
        <f t="shared" si="32"/>
        <v>4.4811098537601968</v>
      </c>
      <c r="W69" s="154">
        <f t="shared" si="32"/>
        <v>3.3926798595927958</v>
      </c>
      <c r="X69" s="154">
        <f t="shared" si="32"/>
        <v>2.5639225159695922</v>
      </c>
      <c r="Y69" s="154">
        <f t="shared" si="32"/>
        <v>1.4284112171975953</v>
      </c>
      <c r="Z69" s="154">
        <f t="shared" si="32"/>
        <v>4.9500203436839305</v>
      </c>
      <c r="AA69" s="154">
        <f t="shared" si="32"/>
        <v>3.9160101815753272</v>
      </c>
      <c r="AB69" s="154">
        <f t="shared" si="32"/>
        <v>2.9722230398884197</v>
      </c>
      <c r="AC69" s="154">
        <f t="shared" si="32"/>
        <v>1.7944512318280013</v>
      </c>
      <c r="AD69" s="154">
        <f t="shared" si="32"/>
        <v>5.2384618935245779</v>
      </c>
      <c r="AE69" s="154">
        <f t="shared" si="32"/>
        <v>4.3896526591188074</v>
      </c>
      <c r="AF69" s="154">
        <f t="shared" si="32"/>
        <v>5.0269822581697206</v>
      </c>
      <c r="AG69" s="154">
        <f t="shared" si="32"/>
        <v>2.9631444064408008</v>
      </c>
      <c r="AH69" s="154">
        <f t="shared" si="32"/>
        <v>7.4151027671816223</v>
      </c>
      <c r="AI69" s="154">
        <f t="shared" si="32"/>
        <v>5.5082608542928666</v>
      </c>
      <c r="AJ69" s="154">
        <f t="shared" si="32"/>
        <v>9.9456217729139009</v>
      </c>
      <c r="AK69" s="154">
        <f t="shared" si="32"/>
        <v>5.9360666192802771</v>
      </c>
      <c r="AL69" s="154">
        <f t="shared" si="32"/>
        <v>15.948196633900359</v>
      </c>
      <c r="AM69" s="154">
        <f t="shared" si="32"/>
        <v>13.082091299931696</v>
      </c>
      <c r="AN69" s="154">
        <f t="shared" si="32"/>
        <v>9.8304674213360563</v>
      </c>
      <c r="AO69" s="154">
        <f t="shared" si="32"/>
        <v>5.8246446785920876</v>
      </c>
      <c r="AP69" s="154">
        <f t="shared" si="32"/>
        <v>16.217223250369983</v>
      </c>
      <c r="AQ69" s="154">
        <f t="shared" si="32"/>
        <v>14.838659236046006</v>
      </c>
      <c r="AR69" s="154">
        <f t="shared" si="32"/>
        <v>12.234472602596309</v>
      </c>
      <c r="AS69" s="154">
        <f t="shared" si="32"/>
        <v>6.0216249383470197</v>
      </c>
      <c r="AT69" s="154">
        <f t="shared" si="32"/>
        <v>22.388837668023324</v>
      </c>
      <c r="AU69" s="154">
        <f t="shared" si="32"/>
        <v>17.836356271277964</v>
      </c>
      <c r="AV69" s="154">
        <f t="shared" si="32"/>
        <v>15.444615856537956</v>
      </c>
      <c r="AW69" s="154">
        <f t="shared" si="32"/>
        <v>6.3371572735562101</v>
      </c>
      <c r="AX69" s="154">
        <f t="shared" si="32"/>
        <v>24.982950026303353</v>
      </c>
      <c r="AY69" s="154">
        <f t="shared" si="32"/>
        <v>3.13405415059073</v>
      </c>
      <c r="AZ69" s="154">
        <f t="shared" si="32"/>
        <v>2.2490946254984703</v>
      </c>
      <c r="BA69" s="154">
        <f t="shared" si="32"/>
        <v>1.187870521744308</v>
      </c>
      <c r="BB69" s="154">
        <f t="shared" si="32"/>
        <v>21.087553649968974</v>
      </c>
      <c r="BC69" s="154">
        <f t="shared" si="32"/>
        <v>1.9839595776441823</v>
      </c>
      <c r="BD69" s="154">
        <f t="shared" si="32"/>
        <v>1.3645918629324973</v>
      </c>
      <c r="BE69" s="154">
        <f t="shared" si="32"/>
        <v>0.71613782379341817</v>
      </c>
      <c r="BF69" s="154">
        <f t="shared" si="32"/>
        <v>3.9375327492925853</v>
      </c>
      <c r="BG69" s="154">
        <f t="shared" si="32"/>
        <v>2.0978009881703201</v>
      </c>
      <c r="BH69" s="154">
        <f t="shared" si="32"/>
        <v>1.1416323584046626</v>
      </c>
      <c r="BI69" s="154">
        <f t="shared" si="32"/>
        <v>0.78808294928154343</v>
      </c>
      <c r="BJ69" s="154">
        <f t="shared" si="32"/>
        <v>2.6126223303809262</v>
      </c>
      <c r="BK69" s="154">
        <f t="shared" si="32"/>
        <v>1.6195090211830796</v>
      </c>
      <c r="BL69" s="154">
        <f t="shared" si="32"/>
        <v>1.4314272861371746</v>
      </c>
      <c r="BM69" s="154">
        <f t="shared" si="32"/>
        <v>0.70530182564701793</v>
      </c>
      <c r="BN69" s="154">
        <f t="shared" si="32"/>
        <v>2.0794446586465254</v>
      </c>
      <c r="BO69" s="154">
        <f t="shared" si="32"/>
        <v>1.923591447400681</v>
      </c>
      <c r="BP69" s="154">
        <f t="shared" si="32"/>
        <v>1.6192642507278685</v>
      </c>
      <c r="BQ69" s="154">
        <f t="shared" si="32"/>
        <v>1.0236695930443869</v>
      </c>
      <c r="BR69" s="154">
        <f t="shared" ref="BR69:CJ69" si="33">BR67/(BR68+BV68)*2</f>
        <v>2.2776147161014038</v>
      </c>
      <c r="BS69" s="154">
        <f t="shared" si="33"/>
        <v>4.2688587802547078</v>
      </c>
      <c r="BT69" s="154">
        <f t="shared" si="33"/>
        <v>5.3972660354515964</v>
      </c>
      <c r="BU69" s="154">
        <f t="shared" si="33"/>
        <v>4.7419810890651082</v>
      </c>
      <c r="BV69" s="154">
        <f t="shared" si="33"/>
        <v>3.4525335535993382</v>
      </c>
      <c r="BW69" s="154">
        <f t="shared" si="33"/>
        <v>19.227514063911666</v>
      </c>
      <c r="BX69" s="154">
        <f t="shared" si="33"/>
        <v>9.44865348115251</v>
      </c>
      <c r="BY69" s="154">
        <f t="shared" si="33"/>
        <v>3.9349220508531952</v>
      </c>
      <c r="BZ69" s="154">
        <f t="shared" si="33"/>
        <v>8.3105874442482115</v>
      </c>
      <c r="CA69" s="154" t="e">
        <f t="shared" si="33"/>
        <v>#DIV/0!</v>
      </c>
      <c r="CB69" s="154">
        <f t="shared" si="33"/>
        <v>13.523168825772872</v>
      </c>
      <c r="CC69" s="154">
        <f t="shared" si="33"/>
        <v>7.9964065414821173</v>
      </c>
      <c r="CD69" s="154">
        <f t="shared" si="33"/>
        <v>14.12141271632478</v>
      </c>
      <c r="CE69" s="154" t="e">
        <f t="shared" si="33"/>
        <v>#DIV/0!</v>
      </c>
      <c r="CF69" s="154" t="e">
        <f t="shared" si="33"/>
        <v>#DIV/0!</v>
      </c>
      <c r="CG69" s="154" t="e">
        <f t="shared" si="33"/>
        <v>#DIV/0!</v>
      </c>
      <c r="CH69" s="154" t="e">
        <f t="shared" si="33"/>
        <v>#DIV/0!</v>
      </c>
      <c r="CI69" s="154" t="e">
        <f t="shared" si="33"/>
        <v>#DIV/0!</v>
      </c>
      <c r="CJ69" s="154" t="e">
        <f t="shared" si="33"/>
        <v>#DIV/0!</v>
      </c>
    </row>
    <row r="70" spans="1:89" s="83" customFormat="1">
      <c r="A70" s="147" t="s">
        <v>478</v>
      </c>
      <c r="E70" s="83">
        <f>E62/E69</f>
        <v>1751.8327462004374</v>
      </c>
      <c r="F70" s="83">
        <f t="shared" ref="F70:BQ70" si="34">F62/F69</f>
        <v>494.52669592501906</v>
      </c>
      <c r="G70" s="83">
        <f t="shared" si="34"/>
        <v>553.32435000095302</v>
      </c>
      <c r="H70" s="83">
        <f t="shared" si="34"/>
        <v>742.66622566212061</v>
      </c>
      <c r="I70" s="83">
        <f t="shared" si="34"/>
        <v>1459.9126750629616</v>
      </c>
      <c r="J70" s="83">
        <f t="shared" si="34"/>
        <v>387.98167305363279</v>
      </c>
      <c r="K70" s="83">
        <f t="shared" si="34"/>
        <v>443.08591399488915</v>
      </c>
      <c r="L70" s="83">
        <f t="shared" si="34"/>
        <v>593.60456233642662</v>
      </c>
      <c r="M70" s="83">
        <f t="shared" si="34"/>
        <v>973.24354406890484</v>
      </c>
      <c r="N70" s="83">
        <f t="shared" si="34"/>
        <v>223.40183129266239</v>
      </c>
      <c r="O70" s="83">
        <f t="shared" si="34"/>
        <v>273.81547809424399</v>
      </c>
      <c r="P70" s="83">
        <f t="shared" si="34"/>
        <v>339.18103489462146</v>
      </c>
      <c r="Q70" s="83">
        <f t="shared" si="34"/>
        <v>565.51986616193074</v>
      </c>
      <c r="R70" s="83">
        <f t="shared" si="34"/>
        <v>135.80241132076256</v>
      </c>
      <c r="S70" s="83">
        <f t="shared" si="34"/>
        <v>170.24639169177294</v>
      </c>
      <c r="T70" s="83">
        <f t="shared" si="34"/>
        <v>211.30813625744642</v>
      </c>
      <c r="U70" s="83">
        <f t="shared" si="34"/>
        <v>360.62384313800305</v>
      </c>
      <c r="V70" s="83">
        <f t="shared" si="34"/>
        <v>81.453035500506772</v>
      </c>
      <c r="W70" s="83">
        <f t="shared" si="34"/>
        <v>107.58456886757624</v>
      </c>
      <c r="X70" s="83">
        <f t="shared" si="34"/>
        <v>142.35999634410513</v>
      </c>
      <c r="Y70" s="83">
        <f t="shared" si="34"/>
        <v>255.52865701803623</v>
      </c>
      <c r="Z70" s="83">
        <f t="shared" si="34"/>
        <v>73.737070690169674</v>
      </c>
      <c r="AA70" s="83">
        <f t="shared" si="34"/>
        <v>93.207112105405272</v>
      </c>
      <c r="AB70" s="83">
        <f t="shared" si="34"/>
        <v>122.80370453413296</v>
      </c>
      <c r="AC70" s="83">
        <f t="shared" si="34"/>
        <v>203.40480338837392</v>
      </c>
      <c r="AD70" s="83">
        <f t="shared" si="34"/>
        <v>69.676940945430488</v>
      </c>
      <c r="AE70" s="83">
        <f t="shared" si="34"/>
        <v>83.150086884840505</v>
      </c>
      <c r="AF70" s="83">
        <f t="shared" si="34"/>
        <v>72.608173503459554</v>
      </c>
      <c r="AG70" s="83">
        <f t="shared" si="34"/>
        <v>123.17995680757996</v>
      </c>
      <c r="AH70" s="83">
        <f t="shared" si="34"/>
        <v>49.223862630123932</v>
      </c>
      <c r="AI70" s="83">
        <f t="shared" si="34"/>
        <v>66.264109426759816</v>
      </c>
      <c r="AJ70" s="83">
        <f t="shared" si="34"/>
        <v>36.699565731933227</v>
      </c>
      <c r="AK70" s="83">
        <f t="shared" si="34"/>
        <v>61.488528247726222</v>
      </c>
      <c r="AL70" s="83">
        <f t="shared" si="34"/>
        <v>22.886600183003516</v>
      </c>
      <c r="AM70" s="83">
        <f t="shared" si="34"/>
        <v>27.900737858472656</v>
      </c>
      <c r="AN70" s="83">
        <f t="shared" si="34"/>
        <v>37.129465401391151</v>
      </c>
      <c r="AO70" s="83">
        <f t="shared" si="34"/>
        <v>62.66476671813507</v>
      </c>
      <c r="AP70" s="83">
        <f t="shared" si="34"/>
        <v>22.506935642738519</v>
      </c>
      <c r="AQ70" s="83">
        <f t="shared" si="34"/>
        <v>24.597909702875555</v>
      </c>
      <c r="AR70" s="83">
        <f t="shared" si="34"/>
        <v>29.833733897327328</v>
      </c>
      <c r="AS70" s="83">
        <f t="shared" si="34"/>
        <v>60.61486786990011</v>
      </c>
      <c r="AT70" s="83">
        <f t="shared" si="34"/>
        <v>16.302766825689584</v>
      </c>
      <c r="AU70" s="83">
        <f t="shared" si="34"/>
        <v>20.463820886318725</v>
      </c>
      <c r="AV70" s="83">
        <f t="shared" si="34"/>
        <v>23.632831233253988</v>
      </c>
      <c r="AW70" s="83">
        <f t="shared" si="34"/>
        <v>57.596803147537109</v>
      </c>
      <c r="AX70" s="83">
        <f t="shared" si="34"/>
        <v>14.60996398006276</v>
      </c>
      <c r="AY70" s="83">
        <f t="shared" si="34"/>
        <v>116.46256971380092</v>
      </c>
      <c r="AZ70" s="83">
        <f t="shared" si="34"/>
        <v>162.28752488308689</v>
      </c>
      <c r="BA70" s="83">
        <f t="shared" si="34"/>
        <v>307.27254639169092</v>
      </c>
      <c r="BB70" s="83">
        <f t="shared" si="34"/>
        <v>17.308788210269096</v>
      </c>
      <c r="BC70" s="83">
        <f t="shared" si="34"/>
        <v>183.97552254235583</v>
      </c>
      <c r="BD70" s="83">
        <f t="shared" si="34"/>
        <v>267.47924409839129</v>
      </c>
      <c r="BE70" s="83">
        <f t="shared" si="34"/>
        <v>509.67842763363149</v>
      </c>
      <c r="BF70" s="83">
        <f t="shared" si="34"/>
        <v>92.697641706110417</v>
      </c>
      <c r="BG70" s="83">
        <f t="shared" si="34"/>
        <v>173.99171897537772</v>
      </c>
      <c r="BH70" s="83">
        <f t="shared" si="34"/>
        <v>319.71763704215385</v>
      </c>
      <c r="BI70" s="83">
        <f t="shared" si="34"/>
        <v>463.14921586966523</v>
      </c>
      <c r="BJ70" s="83">
        <f t="shared" si="34"/>
        <v>139.70637690552931</v>
      </c>
      <c r="BK70" s="83">
        <f t="shared" si="34"/>
        <v>225.37694772046476</v>
      </c>
      <c r="BL70" s="83">
        <f t="shared" si="34"/>
        <v>254.99024891790543</v>
      </c>
      <c r="BM70" s="83">
        <f t="shared" si="34"/>
        <v>517.50893975804252</v>
      </c>
      <c r="BN70" s="83">
        <f t="shared" si="34"/>
        <v>175.52763353537486</v>
      </c>
      <c r="BO70" s="83">
        <f t="shared" si="34"/>
        <v>189.74923209043104</v>
      </c>
      <c r="BP70" s="83">
        <f t="shared" si="34"/>
        <v>225.41101604381768</v>
      </c>
      <c r="BQ70" s="83">
        <f t="shared" si="34"/>
        <v>356.56036135106086</v>
      </c>
      <c r="BR70" s="83">
        <f t="shared" ref="BR70:CJ70" si="35">BR62/BR69</f>
        <v>160.25537480929654</v>
      </c>
      <c r="BS70" s="83">
        <f t="shared" si="35"/>
        <v>85.502945585429217</v>
      </c>
      <c r="BT70" s="83">
        <f t="shared" si="35"/>
        <v>67.626831362864252</v>
      </c>
      <c r="BU70" s="83">
        <f t="shared" si="35"/>
        <v>76.972048842978523</v>
      </c>
      <c r="BV70" s="83">
        <f t="shared" si="35"/>
        <v>105.7194649475542</v>
      </c>
      <c r="BW70" s="83">
        <f t="shared" si="35"/>
        <v>18.983213263386581</v>
      </c>
      <c r="BX70" s="83">
        <f t="shared" si="35"/>
        <v>38.629842943026283</v>
      </c>
      <c r="BY70" s="83">
        <f t="shared" si="35"/>
        <v>92.759143709303814</v>
      </c>
      <c r="BZ70" s="83">
        <f t="shared" si="35"/>
        <v>43.919879605215854</v>
      </c>
      <c r="CA70" s="83" t="e">
        <f t="shared" si="35"/>
        <v>#DIV/0!</v>
      </c>
      <c r="CB70" s="83">
        <f t="shared" si="35"/>
        <v>26.990715319945703</v>
      </c>
      <c r="CC70" s="83">
        <f t="shared" si="35"/>
        <v>45.645503152763418</v>
      </c>
      <c r="CD70" s="83">
        <f t="shared" si="35"/>
        <v>25.847272318445093</v>
      </c>
      <c r="CE70" s="83" t="e">
        <f t="shared" si="35"/>
        <v>#DIV/0!</v>
      </c>
      <c r="CF70" s="83" t="e">
        <f t="shared" si="35"/>
        <v>#DIV/0!</v>
      </c>
      <c r="CG70" s="83" t="e">
        <f t="shared" si="35"/>
        <v>#DIV/0!</v>
      </c>
      <c r="CH70" s="83" t="e">
        <f t="shared" si="35"/>
        <v>#DIV/0!</v>
      </c>
      <c r="CI70" s="83" t="e">
        <f t="shared" si="35"/>
        <v>#DIV/0!</v>
      </c>
      <c r="CJ70" s="83" t="e">
        <f t="shared" si="35"/>
        <v>#DIV/0!</v>
      </c>
    </row>
    <row r="71" spans="1:89" s="76" customFormat="1">
      <c r="A71" s="146" t="s">
        <v>479</v>
      </c>
      <c r="E71" s="76">
        <f>资产资本表!E35+资产资本表!E36-资产资本表!E24</f>
        <v>76988447.350000009</v>
      </c>
      <c r="F71" s="76">
        <f>资产资本表!F35+资产资本表!F36-资产资本表!F24</f>
        <v>199649201.59999999</v>
      </c>
      <c r="G71" s="76">
        <f>资产资本表!G35+资产资本表!G36-资产资本表!G24</f>
        <v>63238594.280000009</v>
      </c>
      <c r="H71" s="76">
        <f>资产资本表!H35+资产资本表!H36-资产资本表!H24</f>
        <v>64881406.850000001</v>
      </c>
      <c r="I71" s="76">
        <f>资产资本表!I35+资产资本表!I36-资产资本表!I24</f>
        <v>68423103.429999992</v>
      </c>
      <c r="J71" s="76">
        <f>资产资本表!J35+资产资本表!J36-资产资本表!J24</f>
        <v>199983465.51999998</v>
      </c>
      <c r="K71" s="76">
        <f>资产资本表!K35+资产资本表!K36-资产资本表!K24</f>
        <v>68967327.939999998</v>
      </c>
      <c r="L71" s="76">
        <f>资产资本表!L35+资产资本表!L36-资产资本表!L24</f>
        <v>68702229.290000007</v>
      </c>
      <c r="M71" s="76">
        <f>资产资本表!M35+资产资本表!M36-资产资本表!M24</f>
        <v>72442913.680000007</v>
      </c>
      <c r="N71" s="76">
        <f>资产资本表!N35+资产资本表!N36-资产资本表!N24</f>
        <v>92776515.810000002</v>
      </c>
      <c r="O71" s="76">
        <f>资产资本表!O35+资产资本表!O36-资产资本表!O24</f>
        <v>70139940.719999999</v>
      </c>
      <c r="P71" s="76">
        <f>资产资本表!P35+资产资本表!P36-资产资本表!P24</f>
        <v>73655635.090000004</v>
      </c>
      <c r="Q71" s="76">
        <f>资产资本表!Q35+资产资本表!Q36-资产资本表!Q24</f>
        <v>81231561.5</v>
      </c>
      <c r="R71" s="76">
        <f>资产资本表!R35+资产资本表!R36-资产资本表!R24</f>
        <v>95995546.799999997</v>
      </c>
      <c r="S71" s="76">
        <f>资产资本表!S35+资产资本表!S36-资产资本表!S24</f>
        <v>80735658.140000001</v>
      </c>
      <c r="T71" s="76">
        <f>资产资本表!T35+资产资本表!T36-资产资本表!T24</f>
        <v>73408942.739999995</v>
      </c>
      <c r="U71" s="76">
        <f>资产资本表!U35+资产资本表!U36-资产资本表!U24</f>
        <v>74123163.670000002</v>
      </c>
      <c r="V71" s="76">
        <f>资产资本表!V35+资产资本表!V36-资产资本表!V24</f>
        <v>89169002.939999998</v>
      </c>
      <c r="W71" s="76">
        <f>资产资本表!W35+资产资本表!W36-资产资本表!W24</f>
        <v>61274446.060000002</v>
      </c>
      <c r="X71" s="76">
        <f>资产资本表!X35+资产资本表!X36-资产资本表!X24</f>
        <v>42332156.899999999</v>
      </c>
      <c r="Y71" s="76">
        <f>资产资本表!Y35+资产资本表!Y36-资产资本表!Y24</f>
        <v>95518182.789999992</v>
      </c>
      <c r="Z71" s="76">
        <f>资产资本表!Z35+资产资本表!Z36-资产资本表!Z24</f>
        <v>103765904.33</v>
      </c>
      <c r="AA71" s="76">
        <f>资产资本表!AA35+资产资本表!AA36-资产资本表!AA24</f>
        <v>97182284.390000001</v>
      </c>
      <c r="AB71" s="76">
        <f>资产资本表!AB35+资产资本表!AB36-资产资本表!AB24</f>
        <v>86693156.110000014</v>
      </c>
      <c r="AC71" s="76">
        <f>资产资本表!AC35+资产资本表!AC36-资产资本表!AC24</f>
        <v>92747658.629999995</v>
      </c>
      <c r="AD71" s="76">
        <f>资产资本表!AD35+资产资本表!AD36-资产资本表!AD24</f>
        <v>103350863.81</v>
      </c>
      <c r="AE71" s="76">
        <f>资产资本表!AE35+资产资本表!AE36-资产资本表!AE24</f>
        <v>82085404.910000011</v>
      </c>
      <c r="AF71" s="76">
        <f>资产资本表!AF35+资产资本表!AF36-资产资本表!AF24</f>
        <v>65796942.970000006</v>
      </c>
      <c r="AG71" s="76">
        <f>资产资本表!AG35+资产资本表!AG36-资产资本表!AG24</f>
        <v>69958530.969999999</v>
      </c>
      <c r="AH71" s="76">
        <f>资产资本表!AH35+资产资本表!AH36-资产资本表!AH24</f>
        <v>93924804.769999996</v>
      </c>
      <c r="AI71" s="76">
        <f>资产资本表!AI35+资产资本表!AI36-资产资本表!AI24</f>
        <v>64245165.120000005</v>
      </c>
      <c r="AJ71" s="76">
        <f>资产资本表!AJ35+资产资本表!AJ36-资产资本表!AJ24</f>
        <v>69920737.689999998</v>
      </c>
      <c r="AK71" s="76">
        <f>资产资本表!AK35+资产资本表!AK36-资产资本表!AK24</f>
        <v>59660442.170000002</v>
      </c>
      <c r="AL71" s="76">
        <f>资产资本表!AL35+资产资本表!AL36-资产资本表!AL24</f>
        <v>63457059.719999999</v>
      </c>
      <c r="AM71" s="76">
        <f>资产资本表!AM35+资产资本表!AM36-资产资本表!AM24</f>
        <v>52698188.419999994</v>
      </c>
      <c r="AN71" s="76">
        <f>资产资本表!AN35+资产资本表!AN36-资产资本表!AN24</f>
        <v>51438131.909999996</v>
      </c>
      <c r="AO71" s="76">
        <f>资产资本表!AO35+资产资本表!AO36-资产资本表!AO24</f>
        <v>54616605.57</v>
      </c>
      <c r="AP71" s="76">
        <f>资产资本表!AP35+资产资本表!AP36-资产资本表!AP24</f>
        <v>48480497.939999998</v>
      </c>
      <c r="AQ71" s="76">
        <f>资产资本表!AQ35+资产资本表!AQ36-资产资本表!AQ24</f>
        <v>19289734.77</v>
      </c>
      <c r="AR71" s="76">
        <f>资产资本表!AR35+资产资本表!AR36-资产资本表!AR24</f>
        <v>20517152.040000003</v>
      </c>
      <c r="AS71" s="76">
        <f>资产资本表!AS35+资产资本表!AS36-资产资本表!AS24</f>
        <v>22346283.740000002</v>
      </c>
      <c r="AT71" s="76">
        <f>资产资本表!AT35+资产资本表!AT36-资产资本表!AT24</f>
        <v>53782855.019999996</v>
      </c>
      <c r="AU71" s="76">
        <f>资产资本表!AU35+资产资本表!AU36-资产资本表!AU24</f>
        <v>33542104.459999997</v>
      </c>
      <c r="AV71" s="76">
        <f>资产资本表!AV35+资产资本表!AV36-资产资本表!AV24</f>
        <v>34379435.109999999</v>
      </c>
      <c r="AW71" s="76">
        <f>资产资本表!AW35+资产资本表!AW36-资产资本表!AW24</f>
        <v>73724168.719999999</v>
      </c>
      <c r="AX71" s="76">
        <f>资产资本表!AX35+资产资本表!AX36-资产资本表!AX24</f>
        <v>56280187.910000004</v>
      </c>
      <c r="AY71" s="76">
        <f>资产资本表!AY35+资产资本表!AY36-资产资本表!AY24</f>
        <v>52977996.789999999</v>
      </c>
      <c r="AZ71" s="76">
        <f>资产资本表!AZ35+资产资本表!AZ36-资产资本表!AZ24</f>
        <v>59576541.140000001</v>
      </c>
      <c r="BA71" s="76">
        <f>资产资本表!BA35+资产资本表!BA36-资产资本表!BA24</f>
        <v>70989646.960000008</v>
      </c>
      <c r="BB71" s="76">
        <f>资产资本表!BB35+资产资本表!BB36-资产资本表!BB24</f>
        <v>57541355.719999999</v>
      </c>
      <c r="BC71" s="76">
        <f>资产资本表!BC35+资产资本表!BC36-资产资本表!BC24</f>
        <v>20252720.190000001</v>
      </c>
      <c r="BD71" s="76">
        <f>资产资本表!BD35+资产资本表!BD36-资产资本表!BD24</f>
        <v>24568902.469999999</v>
      </c>
      <c r="BE71" s="76">
        <f>资产资本表!BE35+资产资本表!BE36-资产资本表!BE24</f>
        <v>22342761.739999998</v>
      </c>
      <c r="BF71" s="76">
        <f>资产资本表!BF35+资产资本表!BF36-资产资本表!BF24</f>
        <v>40484916.159999996</v>
      </c>
      <c r="BG71" s="76">
        <f>资产资本表!BG35+资产资本表!BG36-资产资本表!BG24</f>
        <v>1900736.5499999989</v>
      </c>
      <c r="BH71" s="76">
        <f>资产资本表!BH35+资产资本表!BH36-资产资本表!BH24</f>
        <v>11183424.060000001</v>
      </c>
      <c r="BI71" s="76">
        <f>资产资本表!BI35+资产资本表!BI36-资产资本表!BI24</f>
        <v>16970502.919999998</v>
      </c>
      <c r="BJ71" s="76">
        <f>资产资本表!BJ35+资产资本表!BJ36-资产资本表!BJ24</f>
        <v>29042376.43</v>
      </c>
      <c r="BK71" s="76">
        <f>资产资本表!BK35+资产资本表!BK36-资产资本表!BK24</f>
        <v>38035711.959999993</v>
      </c>
      <c r="BL71" s="76">
        <f>资产资本表!BL35+资产资本表!BL36-资产资本表!BL24</f>
        <v>47916061.280000001</v>
      </c>
      <c r="BM71" s="76">
        <f>资产资本表!BM35+资产资本表!BM36-资产资本表!BM24</f>
        <v>53930114.019999996</v>
      </c>
      <c r="BN71" s="76">
        <f>资产资本表!BN35+资产资本表!BN36-资产资本表!BN24</f>
        <v>65684648.739999995</v>
      </c>
      <c r="BO71" s="76">
        <f>资产资本表!BO35+资产资本表!BO36-资产资本表!BO24</f>
        <v>1781810.4199999981</v>
      </c>
      <c r="BP71" s="76">
        <f>资产资本表!BP35+资产资本表!BP36-资产资本表!BP24</f>
        <v>57288880.880000003</v>
      </c>
      <c r="BQ71" s="76">
        <f>资产资本表!BQ35+资产资本表!BQ36-资产资本表!BQ24</f>
        <v>79740796.849999994</v>
      </c>
      <c r="BR71" s="76">
        <f>资产资本表!BR35+资产资本表!BR36-资产资本表!BR24</f>
        <v>107489941.73999999</v>
      </c>
      <c r="BS71" s="76">
        <f>资产资本表!BS35+资产资本表!BS36-资产资本表!BS24</f>
        <v>-385872.21000000089</v>
      </c>
      <c r="BT71" s="76">
        <f>资产资本表!BT35+资产资本表!BT36-资产资本表!BT24</f>
        <v>10225089.480000004</v>
      </c>
      <c r="BU71" s="76">
        <f>资产资本表!BU35+资产资本表!BU36-资产资本表!BU24</f>
        <v>29778511.649999999</v>
      </c>
      <c r="BV71" s="76">
        <f>资产资本表!BV35+资产资本表!BV36-资产资本表!BV24</f>
        <v>13786920.810000002</v>
      </c>
      <c r="BW71" s="76">
        <f>资产资本表!BW35+资产资本表!BW36-资产资本表!BW24</f>
        <v>-29749356.810000002</v>
      </c>
      <c r="BX71" s="76">
        <f>资产资本表!BX35+资产资本表!BX36-资产资本表!BX24</f>
        <v>14513512.82</v>
      </c>
      <c r="BY71" s="76">
        <f>资产资本表!BY35+资产资本表!BY36-资产资本表!BY24</f>
        <v>40778179.590000004</v>
      </c>
      <c r="BZ71" s="76">
        <f>资产资本表!BZ35+资产资本表!BZ36-资产资本表!BZ24</f>
        <v>18081716.280000001</v>
      </c>
      <c r="CA71" s="76">
        <f>资产资本表!CA35+资产资本表!CA36-资产资本表!CA24</f>
        <v>0</v>
      </c>
      <c r="CB71" s="76">
        <f>资产资本表!CB35+资产资本表!CB36-资产资本表!CB24</f>
        <v>49379934.25</v>
      </c>
      <c r="CC71" s="76">
        <f>资产资本表!CC35+资产资本表!CC36-资产资本表!CC24</f>
        <v>24834742.390000001</v>
      </c>
      <c r="CD71" s="76">
        <f>资产资本表!CD35+资产资本表!CD36-资产资本表!CD24</f>
        <v>48403062.920000002</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4" customFormat="1">
      <c r="A72" s="153" t="s">
        <v>480</v>
      </c>
      <c r="E72" s="154">
        <f>E67/(E71+I71)*2</f>
        <v>3.6267831884819954</v>
      </c>
      <c r="F72" s="154">
        <f t="shared" ref="F72:BQ72" si="36">F67/(F71+J71)*2</f>
        <v>4.5045637657029989</v>
      </c>
      <c r="G72" s="154">
        <f t="shared" si="36"/>
        <v>10.300756851677443</v>
      </c>
      <c r="H72" s="154">
        <f t="shared" si="36"/>
        <v>6.9115880475987161</v>
      </c>
      <c r="I72" s="154">
        <f t="shared" si="36"/>
        <v>3.1750923096713937</v>
      </c>
      <c r="J72" s="154">
        <f t="shared" si="36"/>
        <v>5.2772933715229788</v>
      </c>
      <c r="K72" s="154">
        <f t="shared" si="36"/>
        <v>8.2445650588047421</v>
      </c>
      <c r="L72" s="154">
        <f t="shared" si="36"/>
        <v>5.5404490619122333</v>
      </c>
      <c r="M72" s="154">
        <f t="shared" si="36"/>
        <v>2.9174431533594647</v>
      </c>
      <c r="N72" s="154">
        <f t="shared" si="36"/>
        <v>8.9437789043396414</v>
      </c>
      <c r="O72" s="154">
        <f t="shared" si="36"/>
        <v>8.3725367126605743</v>
      </c>
      <c r="P72" s="154">
        <f t="shared" si="36"/>
        <v>5.9597603985451846</v>
      </c>
      <c r="Q72" s="154">
        <f t="shared" si="36"/>
        <v>3.2267162223193289</v>
      </c>
      <c r="R72" s="154">
        <f t="shared" si="36"/>
        <v>10.037949688911116</v>
      </c>
      <c r="S72" s="154">
        <f t="shared" si="36"/>
        <v>9.7735081522459719</v>
      </c>
      <c r="T72" s="154">
        <f t="shared" si="36"/>
        <v>8.149292349508908</v>
      </c>
      <c r="U72" s="154">
        <f t="shared" si="36"/>
        <v>3.2044242010786981</v>
      </c>
      <c r="V72" s="154">
        <f t="shared" si="36"/>
        <v>11.606337200796375</v>
      </c>
      <c r="W72" s="154">
        <f t="shared" si="36"/>
        <v>10.592220682539017</v>
      </c>
      <c r="X72" s="154">
        <f t="shared" si="36"/>
        <v>8.9954055664259123</v>
      </c>
      <c r="Y72" s="154">
        <f t="shared" si="36"/>
        <v>3.319084344812103</v>
      </c>
      <c r="Z72" s="154">
        <f t="shared" si="36"/>
        <v>10.325946628688063</v>
      </c>
      <c r="AA72" s="154">
        <f t="shared" si="36"/>
        <v>8.9008916390378214</v>
      </c>
      <c r="AB72" s="154">
        <f t="shared" si="36"/>
        <v>7.3044431418176501</v>
      </c>
      <c r="AC72" s="154">
        <f t="shared" si="36"/>
        <v>3.9746793073445561</v>
      </c>
      <c r="AD72" s="154">
        <f t="shared" si="36"/>
        <v>9.7358745170397434</v>
      </c>
      <c r="AE72" s="154">
        <f t="shared" si="36"/>
        <v>9.5838193667426097</v>
      </c>
      <c r="AF72" s="154">
        <f t="shared" si="36"/>
        <v>7.3257696030833426</v>
      </c>
      <c r="AG72" s="154">
        <f t="shared" si="36"/>
        <v>4.47733896543967</v>
      </c>
      <c r="AH72" s="154">
        <f t="shared" si="36"/>
        <v>9.282237674931233</v>
      </c>
      <c r="AI72" s="154">
        <f t="shared" si="36"/>
        <v>8.7123535592085268</v>
      </c>
      <c r="AJ72" s="154">
        <f t="shared" si="36"/>
        <v>5.6667679735869916</v>
      </c>
      <c r="AK72" s="154">
        <f t="shared" si="36"/>
        <v>3.4132873063666698</v>
      </c>
      <c r="AL72" s="154">
        <f t="shared" si="36"/>
        <v>10.191308825631562</v>
      </c>
      <c r="AM72" s="154">
        <f t="shared" si="36"/>
        <v>11.466129439815001</v>
      </c>
      <c r="AN72" s="154">
        <f t="shared" si="36"/>
        <v>7.8838072019032044</v>
      </c>
      <c r="AO72" s="154">
        <f t="shared" si="36"/>
        <v>4.2335982612033254</v>
      </c>
      <c r="AP72" s="154">
        <f t="shared" si="36"/>
        <v>9.2521226953128064</v>
      </c>
      <c r="AQ72" s="154">
        <f t="shared" si="36"/>
        <v>13.077868085040356</v>
      </c>
      <c r="AR72" s="154">
        <f t="shared" si="36"/>
        <v>8.5793668774544205</v>
      </c>
      <c r="AS72" s="154">
        <f t="shared" si="36"/>
        <v>2.9713069859731562</v>
      </c>
      <c r="AT72" s="154">
        <f t="shared" si="36"/>
        <v>7.4791346307183186</v>
      </c>
      <c r="AU72" s="154">
        <f t="shared" si="36"/>
        <v>6.811518885965242</v>
      </c>
      <c r="AV72" s="154">
        <f t="shared" si="36"/>
        <v>4.2964336114808876</v>
      </c>
      <c r="AW72" s="154">
        <f t="shared" si="36"/>
        <v>1.578769076514478</v>
      </c>
      <c r="AX72" s="154">
        <f t="shared" si="36"/>
        <v>6.0896290626066607</v>
      </c>
      <c r="AY72" s="154">
        <f t="shared" si="36"/>
        <v>6.957554456815588</v>
      </c>
      <c r="AZ72" s="154">
        <f t="shared" si="36"/>
        <v>4.1002848275316142</v>
      </c>
      <c r="BA72" s="154">
        <f t="shared" si="36"/>
        <v>2.1534709494752384</v>
      </c>
      <c r="BB72" s="154">
        <f t="shared" si="36"/>
        <v>6.9059022186287811</v>
      </c>
      <c r="BC72" s="154">
        <f t="shared" si="36"/>
        <v>22.287396572675906</v>
      </c>
      <c r="BD72" s="154">
        <f t="shared" si="36"/>
        <v>9.7484123173787758</v>
      </c>
      <c r="BE72" s="154">
        <f t="shared" si="36"/>
        <v>5.2012446752622354</v>
      </c>
      <c r="BF72" s="154">
        <f t="shared" si="36"/>
        <v>8.9863786007663951</v>
      </c>
      <c r="BG72" s="154">
        <f t="shared" si="36"/>
        <v>11.481061971877381</v>
      </c>
      <c r="BH72" s="154">
        <f t="shared" si="36"/>
        <v>5.4074668749052766</v>
      </c>
      <c r="BI72" s="154">
        <f t="shared" si="36"/>
        <v>2.6894476351505778</v>
      </c>
      <c r="BJ72" s="154">
        <f t="shared" si="36"/>
        <v>8.2687253545048716</v>
      </c>
      <c r="BK72" s="154">
        <f t="shared" si="36"/>
        <v>15.000755344838209</v>
      </c>
      <c r="BL72" s="154">
        <f t="shared" si="36"/>
        <v>4.0373898613433727</v>
      </c>
      <c r="BM72" s="154">
        <f t="shared" si="36"/>
        <v>1.8367479064968535</v>
      </c>
      <c r="BN72" s="154">
        <f t="shared" si="36"/>
        <v>4.9992517196683375</v>
      </c>
      <c r="BO72" s="154">
        <f t="shared" si="36"/>
        <v>491.17377067857569</v>
      </c>
      <c r="BP72" s="154">
        <f t="shared" si="36"/>
        <v>7.2816211349831201</v>
      </c>
      <c r="BQ72" s="154">
        <f t="shared" si="36"/>
        <v>2.6753882230730119</v>
      </c>
      <c r="BR72" s="154">
        <f t="shared" ref="BR72:CJ72" si="37">BR67/(BR71+BV71)*2</f>
        <v>9.0199856486970109</v>
      </c>
      <c r="BS72" s="154">
        <f t="shared" si="37"/>
        <v>-18.740518139921537</v>
      </c>
      <c r="BT72" s="154">
        <f t="shared" si="37"/>
        <v>43.861883876115336</v>
      </c>
      <c r="BU72" s="154">
        <f t="shared" si="37"/>
        <v>7.2908598291577134</v>
      </c>
      <c r="BV72" s="154">
        <f t="shared" si="37"/>
        <v>30.055258305368589</v>
      </c>
      <c r="BW72" s="154">
        <f t="shared" si="37"/>
        <v>-17.362076605514346</v>
      </c>
      <c r="BX72" s="154">
        <f t="shared" si="37"/>
        <v>15.339161961104692</v>
      </c>
      <c r="BY72" s="154">
        <f t="shared" si="37"/>
        <v>7.6729389234251562</v>
      </c>
      <c r="BZ72" s="154">
        <f t="shared" si="37"/>
        <v>14.596896946000536</v>
      </c>
      <c r="CA72" s="154" t="e">
        <f t="shared" si="37"/>
        <v>#DIV/0!</v>
      </c>
      <c r="CB72" s="154">
        <f t="shared" si="37"/>
        <v>19.997320012632457</v>
      </c>
      <c r="CC72" s="154">
        <f t="shared" si="37"/>
        <v>21.923204652174366</v>
      </c>
      <c r="CD72" s="154">
        <f t="shared" si="37"/>
        <v>18.550261794465797</v>
      </c>
      <c r="CE72" s="154" t="e">
        <f t="shared" si="37"/>
        <v>#DIV/0!</v>
      </c>
      <c r="CF72" s="154" t="e">
        <f t="shared" si="37"/>
        <v>#DIV/0!</v>
      </c>
      <c r="CG72" s="154" t="e">
        <f t="shared" si="37"/>
        <v>#DIV/0!</v>
      </c>
      <c r="CH72" s="154" t="e">
        <f t="shared" si="37"/>
        <v>#DIV/0!</v>
      </c>
      <c r="CI72" s="154" t="e">
        <f t="shared" si="37"/>
        <v>#DIV/0!</v>
      </c>
      <c r="CJ72" s="154" t="e">
        <f t="shared" si="37"/>
        <v>#DIV/0!</v>
      </c>
    </row>
    <row r="73" spans="1:89" s="83" customFormat="1">
      <c r="A73" s="147" t="s">
        <v>481</v>
      </c>
      <c r="E73" s="83">
        <f>E62/E72</f>
        <v>100.6401488677828</v>
      </c>
      <c r="F73" s="83">
        <f t="shared" ref="F73:BQ73" si="38">F62/F72</f>
        <v>81.028933984473582</v>
      </c>
      <c r="G73" s="83">
        <f t="shared" si="38"/>
        <v>35.434289465881434</v>
      </c>
      <c r="H73" s="83">
        <f t="shared" si="38"/>
        <v>52.809860409260281</v>
      </c>
      <c r="I73" s="83">
        <f t="shared" si="38"/>
        <v>114.95728766316583</v>
      </c>
      <c r="J73" s="83">
        <f t="shared" si="38"/>
        <v>69.164242785817365</v>
      </c>
      <c r="K73" s="83">
        <f t="shared" si="38"/>
        <v>44.271589513409211</v>
      </c>
      <c r="L73" s="83">
        <f t="shared" si="38"/>
        <v>65.879136496207352</v>
      </c>
      <c r="M73" s="83">
        <f t="shared" si="38"/>
        <v>125.1095499769032</v>
      </c>
      <c r="N73" s="83">
        <f t="shared" si="38"/>
        <v>40.810490051682415</v>
      </c>
      <c r="O73" s="83">
        <f t="shared" si="38"/>
        <v>43.594911856052349</v>
      </c>
      <c r="P73" s="83">
        <f t="shared" si="38"/>
        <v>61.244072847139762</v>
      </c>
      <c r="Q73" s="83">
        <f t="shared" si="38"/>
        <v>113.11809742526472</v>
      </c>
      <c r="R73" s="83">
        <f t="shared" si="38"/>
        <v>36.362007313427171</v>
      </c>
      <c r="S73" s="83">
        <f t="shared" si="38"/>
        <v>37.345853128093239</v>
      </c>
      <c r="T73" s="83">
        <f t="shared" si="38"/>
        <v>44.789165039832639</v>
      </c>
      <c r="U73" s="83">
        <f t="shared" si="38"/>
        <v>113.90501915355991</v>
      </c>
      <c r="V73" s="83">
        <f t="shared" si="38"/>
        <v>31.448336687560253</v>
      </c>
      <c r="W73" s="83">
        <f t="shared" si="38"/>
        <v>34.459251835801759</v>
      </c>
      <c r="X73" s="83">
        <f t="shared" si="38"/>
        <v>40.576269441625982</v>
      </c>
      <c r="Y73" s="83">
        <f t="shared" si="38"/>
        <v>109.9700887597248</v>
      </c>
      <c r="Z73" s="83">
        <f t="shared" si="38"/>
        <v>35.347848785692797</v>
      </c>
      <c r="AA73" s="83">
        <f t="shared" si="38"/>
        <v>41.007127690350828</v>
      </c>
      <c r="AB73" s="83">
        <f t="shared" si="38"/>
        <v>49.969586033244525</v>
      </c>
      <c r="AC73" s="83">
        <f t="shared" si="38"/>
        <v>91.831308082023071</v>
      </c>
      <c r="AD73" s="83">
        <f t="shared" si="38"/>
        <v>37.490212036029881</v>
      </c>
      <c r="AE73" s="83">
        <f t="shared" si="38"/>
        <v>38.085024981439922</v>
      </c>
      <c r="AF73" s="83">
        <f t="shared" si="38"/>
        <v>49.824116751689161</v>
      </c>
      <c r="AG73" s="83">
        <f t="shared" si="38"/>
        <v>81.521636583116589</v>
      </c>
      <c r="AH73" s="83">
        <f t="shared" si="38"/>
        <v>39.322414786443623</v>
      </c>
      <c r="AI73" s="83">
        <f t="shared" si="38"/>
        <v>41.89453487160344</v>
      </c>
      <c r="AJ73" s="83">
        <f t="shared" si="38"/>
        <v>64.410613192789626</v>
      </c>
      <c r="AK73" s="83">
        <f t="shared" si="38"/>
        <v>106.93503571152067</v>
      </c>
      <c r="AL73" s="83">
        <f t="shared" si="38"/>
        <v>35.814830680237058</v>
      </c>
      <c r="AM73" s="83">
        <f t="shared" si="38"/>
        <v>31.832886757110344</v>
      </c>
      <c r="AN73" s="83">
        <f t="shared" si="38"/>
        <v>46.297428469824396</v>
      </c>
      <c r="AO73" s="83">
        <f t="shared" si="38"/>
        <v>86.215076981880472</v>
      </c>
      <c r="AP73" s="83">
        <f t="shared" si="38"/>
        <v>39.450406357549895</v>
      </c>
      <c r="AQ73" s="83">
        <f t="shared" si="38"/>
        <v>27.909747798841916</v>
      </c>
      <c r="AR73" s="83">
        <f t="shared" si="38"/>
        <v>42.543931879073455</v>
      </c>
      <c r="AS73" s="83">
        <f t="shared" si="38"/>
        <v>122.84156491506245</v>
      </c>
      <c r="AT73" s="83">
        <f t="shared" si="38"/>
        <v>48.802437450566963</v>
      </c>
      <c r="AU73" s="83">
        <f t="shared" si="38"/>
        <v>53.585698888989697</v>
      </c>
      <c r="AV73" s="83">
        <f t="shared" si="38"/>
        <v>84.954181306246781</v>
      </c>
      <c r="AW73" s="83">
        <f t="shared" si="38"/>
        <v>231.19277254012823</v>
      </c>
      <c r="AX73" s="83">
        <f t="shared" si="38"/>
        <v>59.937969332365547</v>
      </c>
      <c r="AY73" s="83">
        <f t="shared" si="38"/>
        <v>52.460962004034002</v>
      </c>
      <c r="AZ73" s="83">
        <f t="shared" si="38"/>
        <v>89.018206137579782</v>
      </c>
      <c r="BA73" s="83">
        <f t="shared" si="38"/>
        <v>169.49381188027814</v>
      </c>
      <c r="BB73" s="83">
        <f t="shared" si="38"/>
        <v>52.853340294249563</v>
      </c>
      <c r="BC73" s="83">
        <f t="shared" si="38"/>
        <v>16.3769688760995</v>
      </c>
      <c r="BD73" s="83">
        <f t="shared" si="38"/>
        <v>37.441994461939608</v>
      </c>
      <c r="BE73" s="83">
        <f t="shared" si="38"/>
        <v>70.175510438104411</v>
      </c>
      <c r="BF73" s="83">
        <f t="shared" si="38"/>
        <v>40.617028974148866</v>
      </c>
      <c r="BG73" s="83">
        <f t="shared" si="38"/>
        <v>31.791484175772226</v>
      </c>
      <c r="BH73" s="83">
        <f t="shared" si="38"/>
        <v>67.499257682719275</v>
      </c>
      <c r="BI73" s="83">
        <f t="shared" si="38"/>
        <v>135.71560019593548</v>
      </c>
      <c r="BJ73" s="83">
        <f t="shared" si="38"/>
        <v>44.142232853476614</v>
      </c>
      <c r="BK73" s="83">
        <f t="shared" si="38"/>
        <v>24.332108057851716</v>
      </c>
      <c r="BL73" s="83">
        <f t="shared" si="38"/>
        <v>90.404942929775046</v>
      </c>
      <c r="BM73" s="83">
        <f t="shared" si="38"/>
        <v>198.72079271681221</v>
      </c>
      <c r="BN73" s="83">
        <f t="shared" si="38"/>
        <v>73.010926528063479</v>
      </c>
      <c r="BO73" s="83">
        <f t="shared" si="38"/>
        <v>0.74311785724172175</v>
      </c>
      <c r="BP73" s="83">
        <f t="shared" si="38"/>
        <v>50.126200365798915</v>
      </c>
      <c r="BQ73" s="83">
        <f t="shared" si="38"/>
        <v>136.42879820288388</v>
      </c>
      <c r="BR73" s="83">
        <f t="shared" ref="BR73:CJ73" si="39">BR62/BR72</f>
        <v>40.465696312136188</v>
      </c>
      <c r="BS73" s="83">
        <f t="shared" si="39"/>
        <v>-19.476515925270366</v>
      </c>
      <c r="BT73" s="83">
        <f t="shared" si="39"/>
        <v>8.3215759959356888</v>
      </c>
      <c r="BU73" s="83">
        <f t="shared" si="39"/>
        <v>50.062682393136491</v>
      </c>
      <c r="BV73" s="83">
        <f t="shared" si="39"/>
        <v>12.144297556571066</v>
      </c>
      <c r="BW73" s="83">
        <f t="shared" si="39"/>
        <v>-21.022830868288693</v>
      </c>
      <c r="BX73" s="83">
        <f t="shared" si="39"/>
        <v>23.795302567736467</v>
      </c>
      <c r="BY73" s="83">
        <f t="shared" si="39"/>
        <v>47.569777844271705</v>
      </c>
      <c r="BZ73" s="83">
        <f t="shared" si="39"/>
        <v>25.005314578178744</v>
      </c>
      <c r="CA73" s="83" t="e">
        <f t="shared" si="39"/>
        <v>#DIV/0!</v>
      </c>
      <c r="CB73" s="83">
        <f t="shared" si="39"/>
        <v>18.252445816210709</v>
      </c>
      <c r="CC73" s="83">
        <f t="shared" si="39"/>
        <v>16.649025805805216</v>
      </c>
      <c r="CD73" s="83">
        <f t="shared" si="39"/>
        <v>19.676272175786355</v>
      </c>
      <c r="CE73" s="83" t="e">
        <f t="shared" si="39"/>
        <v>#DIV/0!</v>
      </c>
      <c r="CF73" s="83" t="e">
        <f t="shared" si="39"/>
        <v>#DIV/0!</v>
      </c>
      <c r="CG73" s="83" t="e">
        <f t="shared" si="39"/>
        <v>#DIV/0!</v>
      </c>
      <c r="CH73" s="83" t="e">
        <f t="shared" si="39"/>
        <v>#DIV/0!</v>
      </c>
      <c r="CI73" s="83" t="e">
        <f t="shared" si="39"/>
        <v>#DIV/0!</v>
      </c>
      <c r="CJ73" s="83" t="e">
        <f t="shared" si="39"/>
        <v>#DIV/0!</v>
      </c>
    </row>
    <row r="74" spans="1:89" s="255" customFormat="1">
      <c r="A74" s="254" t="s">
        <v>482</v>
      </c>
      <c r="E74" s="255">
        <f>E66+E70</f>
        <v>1176.3850130483679</v>
      </c>
      <c r="F74" s="255">
        <f t="shared" ref="F74:BQ74" si="40">F66+F70</f>
        <v>332.39399215503772</v>
      </c>
      <c r="G74" s="255">
        <f t="shared" si="40"/>
        <v>381.71708576337414</v>
      </c>
      <c r="H74" s="255">
        <f t="shared" si="40"/>
        <v>514.22088619397584</v>
      </c>
      <c r="I74" s="255">
        <f t="shared" si="40"/>
        <v>980.06392959251411</v>
      </c>
      <c r="J74" s="255">
        <f t="shared" si="40"/>
        <v>263.03591443671809</v>
      </c>
      <c r="K74" s="255">
        <f t="shared" si="40"/>
        <v>315.23072765010772</v>
      </c>
      <c r="L74" s="255">
        <f t="shared" si="40"/>
        <v>412.75678343373045</v>
      </c>
      <c r="M74" s="255">
        <f t="shared" si="40"/>
        <v>628.54232417717776</v>
      </c>
      <c r="N74" s="255">
        <f t="shared" si="40"/>
        <v>124.98398868141763</v>
      </c>
      <c r="O74" s="255">
        <f t="shared" si="40"/>
        <v>139.4872165762674</v>
      </c>
      <c r="P74" s="255">
        <f t="shared" si="40"/>
        <v>132.88712972117435</v>
      </c>
      <c r="Q74" s="255">
        <f t="shared" si="40"/>
        <v>161.00876676640877</v>
      </c>
      <c r="R74" s="255">
        <f t="shared" si="40"/>
        <v>12.648667644892797</v>
      </c>
      <c r="S74" s="255">
        <f t="shared" si="40"/>
        <v>4.7429477760067016</v>
      </c>
      <c r="T74" s="255">
        <f t="shared" si="40"/>
        <v>-40.22230108226023</v>
      </c>
      <c r="U74" s="255">
        <f t="shared" si="40"/>
        <v>-134.33103928135176</v>
      </c>
      <c r="V74" s="255">
        <f t="shared" si="40"/>
        <v>-44.940244447379527</v>
      </c>
      <c r="W74" s="255">
        <f t="shared" si="40"/>
        <v>-50.129952203900459</v>
      </c>
      <c r="X74" s="255">
        <f t="shared" si="40"/>
        <v>-77.04063557275262</v>
      </c>
      <c r="Y74" s="255">
        <f t="shared" si="40"/>
        <v>-195.43679070280839</v>
      </c>
      <c r="Z74" s="255">
        <f t="shared" si="40"/>
        <v>-60.710416643802517</v>
      </c>
      <c r="AA74" s="255">
        <f t="shared" si="40"/>
        <v>-57.642920467957495</v>
      </c>
      <c r="AB74" s="255">
        <f t="shared" si="40"/>
        <v>-77.329040807631159</v>
      </c>
      <c r="AC74" s="255">
        <f t="shared" si="40"/>
        <v>-170.96752831710779</v>
      </c>
      <c r="AD74" s="255">
        <f t="shared" si="40"/>
        <v>-51.078408623478992</v>
      </c>
      <c r="AE74" s="255">
        <f t="shared" si="40"/>
        <v>-47.571179712980864</v>
      </c>
      <c r="AF74" s="255">
        <f t="shared" si="40"/>
        <v>-99.299208309682754</v>
      </c>
      <c r="AG74" s="255">
        <f t="shared" si="40"/>
        <v>-187.82789628605724</v>
      </c>
      <c r="AH74" s="255">
        <f t="shared" si="40"/>
        <v>-61.993484229804466</v>
      </c>
      <c r="AI74" s="255">
        <f t="shared" si="40"/>
        <v>-61.338509633578482</v>
      </c>
      <c r="AJ74" s="255">
        <f t="shared" si="40"/>
        <v>-127.81171679414322</v>
      </c>
      <c r="AK74" s="255">
        <f t="shared" si="40"/>
        <v>-252.31367697336702</v>
      </c>
      <c r="AL74" s="255">
        <f t="shared" si="40"/>
        <v>-76.403423628453282</v>
      </c>
      <c r="AM74" s="255">
        <f t="shared" si="40"/>
        <v>-73.299302056130145</v>
      </c>
      <c r="AN74" s="255">
        <f t="shared" si="40"/>
        <v>-85.103050134958295</v>
      </c>
      <c r="AO74" s="255">
        <f t="shared" si="40"/>
        <v>-193.53469815186503</v>
      </c>
      <c r="AP74" s="255">
        <f t="shared" si="40"/>
        <v>-55.333796634680759</v>
      </c>
      <c r="AQ74" s="255">
        <f t="shared" si="40"/>
        <v>-50.904187164376154</v>
      </c>
      <c r="AR74" s="255">
        <f t="shared" si="40"/>
        <v>-57.502553071110135</v>
      </c>
      <c r="AS74" s="255">
        <f t="shared" si="40"/>
        <v>-131.57044263728051</v>
      </c>
      <c r="AT74" s="255">
        <f t="shared" si="40"/>
        <v>-34.989407105812731</v>
      </c>
      <c r="AU74" s="255">
        <f t="shared" si="40"/>
        <v>-34.366724937474046</v>
      </c>
      <c r="AV74" s="255">
        <f t="shared" si="40"/>
        <v>-49.83617479303053</v>
      </c>
      <c r="AW74" s="255">
        <f t="shared" si="40"/>
        <v>-106.77472920419595</v>
      </c>
      <c r="AX74" s="255">
        <f t="shared" si="40"/>
        <v>-31.442812907412439</v>
      </c>
      <c r="AY74" s="255">
        <f t="shared" si="40"/>
        <v>76.622941537715022</v>
      </c>
      <c r="AZ74" s="255">
        <f t="shared" si="40"/>
        <v>102.83255308891523</v>
      </c>
      <c r="BA74" s="255">
        <f t="shared" si="40"/>
        <v>163.53344045060638</v>
      </c>
      <c r="BB74" s="255">
        <f t="shared" si="40"/>
        <v>-22.629032747222883</v>
      </c>
      <c r="BC74" s="255">
        <f t="shared" si="40"/>
        <v>152.2847000452112</v>
      </c>
      <c r="BD74" s="255">
        <f t="shared" si="40"/>
        <v>235.65366167791919</v>
      </c>
      <c r="BE74" s="255">
        <f t="shared" si="40"/>
        <v>421.03044355825449</v>
      </c>
      <c r="BF74" s="255">
        <f t="shared" si="40"/>
        <v>65.150882551489204</v>
      </c>
      <c r="BG74" s="255">
        <f t="shared" si="40"/>
        <v>138.42078128058645</v>
      </c>
      <c r="BH74" s="255">
        <f t="shared" si="40"/>
        <v>290.18971804471374</v>
      </c>
      <c r="BI74" s="255">
        <f t="shared" si="40"/>
        <v>401.69997699996884</v>
      </c>
      <c r="BJ74" s="255">
        <f t="shared" si="40"/>
        <v>126.4947186353759</v>
      </c>
      <c r="BK74" s="255">
        <f t="shared" si="40"/>
        <v>199.44670483120387</v>
      </c>
      <c r="BL74" s="255">
        <f t="shared" si="40"/>
        <v>234.54184488528301</v>
      </c>
      <c r="BM74" s="255">
        <f t="shared" si="40"/>
        <v>489.19035842108121</v>
      </c>
      <c r="BN74" s="255">
        <f t="shared" si="40"/>
        <v>167.64584975026324</v>
      </c>
      <c r="BO74" s="255">
        <f t="shared" si="40"/>
        <v>183.2988625264824</v>
      </c>
      <c r="BP74" s="255">
        <f t="shared" si="40"/>
        <v>209.28026641406265</v>
      </c>
      <c r="BQ74" s="255">
        <f t="shared" si="40"/>
        <v>348.25947706568371</v>
      </c>
      <c r="BR74" s="255">
        <f t="shared" ref="BR74:CK74" si="41">BR66+BR70</f>
        <v>157.20453223049964</v>
      </c>
      <c r="BS74" s="255">
        <f t="shared" si="41"/>
        <v>87.368172440421759</v>
      </c>
      <c r="BT74" s="255">
        <f t="shared" si="41"/>
        <v>69.272756527648312</v>
      </c>
      <c r="BU74" s="255">
        <f t="shared" si="41"/>
        <v>77.520375674248996</v>
      </c>
      <c r="BV74" s="255">
        <f t="shared" si="41"/>
        <v>111.40468704925554</v>
      </c>
      <c r="BW74" s="255">
        <f t="shared" si="41"/>
        <v>19.544897633966716</v>
      </c>
      <c r="BX74" s="255">
        <f t="shared" si="41"/>
        <v>51.875351636167579</v>
      </c>
      <c r="BY74" s="255">
        <f t="shared" si="41"/>
        <v>107.86583700883176</v>
      </c>
      <c r="BZ74" s="255">
        <f t="shared" si="41"/>
        <v>56.623805666622744</v>
      </c>
      <c r="CA74" s="255" t="e">
        <f t="shared" si="41"/>
        <v>#DIV/0!</v>
      </c>
      <c r="CB74" s="255">
        <f t="shared" si="41"/>
        <v>34.268742164748865</v>
      </c>
      <c r="CC74" s="255">
        <f t="shared" si="41"/>
        <v>56.338399719949031</v>
      </c>
      <c r="CD74" s="255">
        <f t="shared" si="41"/>
        <v>32.991936140557961</v>
      </c>
      <c r="CE74" s="255" t="e">
        <f t="shared" si="41"/>
        <v>#DIV/0!</v>
      </c>
      <c r="CF74" s="255" t="e">
        <f t="shared" si="41"/>
        <v>#DIV/0!</v>
      </c>
      <c r="CG74" s="255" t="e">
        <f t="shared" si="41"/>
        <v>#DIV/0!</v>
      </c>
      <c r="CH74" s="255" t="e">
        <f t="shared" si="41"/>
        <v>#DIV/0!</v>
      </c>
      <c r="CI74" s="255" t="e">
        <f t="shared" si="41"/>
        <v>#DIV/0!</v>
      </c>
      <c r="CJ74" s="255" t="e">
        <f t="shared" si="41"/>
        <v>#DIV/0!</v>
      </c>
      <c r="CK74" s="255">
        <f t="shared" si="41"/>
        <v>0</v>
      </c>
    </row>
    <row r="75" spans="1:89" s="255" customFormat="1">
      <c r="A75" s="254" t="s">
        <v>483</v>
      </c>
      <c r="E75" s="255">
        <f>E74-E73</f>
        <v>1075.7448641805852</v>
      </c>
      <c r="F75" s="255">
        <f t="shared" ref="F75:BQ75" si="42">F74-F73</f>
        <v>251.36505817056414</v>
      </c>
      <c r="G75" s="255">
        <f t="shared" si="42"/>
        <v>346.28279629749272</v>
      </c>
      <c r="H75" s="255">
        <f t="shared" si="42"/>
        <v>461.41102578471555</v>
      </c>
      <c r="I75" s="255">
        <f t="shared" si="42"/>
        <v>865.10664192934826</v>
      </c>
      <c r="J75" s="255">
        <f t="shared" si="42"/>
        <v>193.87167165090074</v>
      </c>
      <c r="K75" s="255">
        <f t="shared" si="42"/>
        <v>270.95913813669853</v>
      </c>
      <c r="L75" s="255">
        <f t="shared" si="42"/>
        <v>346.87764693752308</v>
      </c>
      <c r="M75" s="255">
        <f t="shared" si="42"/>
        <v>503.43277420027459</v>
      </c>
      <c r="N75" s="255">
        <f t="shared" si="42"/>
        <v>84.173498629735207</v>
      </c>
      <c r="O75" s="255">
        <f t="shared" si="42"/>
        <v>95.892304720215051</v>
      </c>
      <c r="P75" s="255">
        <f t="shared" si="42"/>
        <v>71.643056874034585</v>
      </c>
      <c r="Q75" s="255">
        <f t="shared" si="42"/>
        <v>47.890669341144047</v>
      </c>
      <c r="R75" s="255">
        <f t="shared" si="42"/>
        <v>-23.713339668534374</v>
      </c>
      <c r="S75" s="255">
        <f t="shared" si="42"/>
        <v>-32.602905352086538</v>
      </c>
      <c r="T75" s="255">
        <f t="shared" si="42"/>
        <v>-85.01146612209287</v>
      </c>
      <c r="U75" s="255">
        <f t="shared" si="42"/>
        <v>-248.23605843491168</v>
      </c>
      <c r="V75" s="255">
        <f t="shared" si="42"/>
        <v>-76.388581134939784</v>
      </c>
      <c r="W75" s="255">
        <f t="shared" si="42"/>
        <v>-84.589204039702224</v>
      </c>
      <c r="X75" s="255">
        <f t="shared" si="42"/>
        <v>-117.6169050143786</v>
      </c>
      <c r="Y75" s="255">
        <f t="shared" si="42"/>
        <v>-305.4068794625332</v>
      </c>
      <c r="Z75" s="255">
        <f t="shared" si="42"/>
        <v>-96.058265429495322</v>
      </c>
      <c r="AA75" s="255">
        <f t="shared" si="42"/>
        <v>-98.650048158308323</v>
      </c>
      <c r="AB75" s="255">
        <f t="shared" si="42"/>
        <v>-127.29862684087568</v>
      </c>
      <c r="AC75" s="255">
        <f t="shared" si="42"/>
        <v>-262.79883639913089</v>
      </c>
      <c r="AD75" s="255">
        <f t="shared" si="42"/>
        <v>-88.568620659508866</v>
      </c>
      <c r="AE75" s="255">
        <f t="shared" si="42"/>
        <v>-85.656204694420779</v>
      </c>
      <c r="AF75" s="255">
        <f t="shared" si="42"/>
        <v>-149.12332506137193</v>
      </c>
      <c r="AG75" s="255">
        <f t="shared" si="42"/>
        <v>-269.3495328691738</v>
      </c>
      <c r="AH75" s="255">
        <f t="shared" si="42"/>
        <v>-101.3158990162481</v>
      </c>
      <c r="AI75" s="255">
        <f t="shared" si="42"/>
        <v>-103.23304450518192</v>
      </c>
      <c r="AJ75" s="255">
        <f t="shared" si="42"/>
        <v>-192.22232998693283</v>
      </c>
      <c r="AK75" s="255">
        <f t="shared" si="42"/>
        <v>-359.24871268488766</v>
      </c>
      <c r="AL75" s="255">
        <f t="shared" si="42"/>
        <v>-112.21825430869035</v>
      </c>
      <c r="AM75" s="255">
        <f t="shared" si="42"/>
        <v>-105.13218881324049</v>
      </c>
      <c r="AN75" s="255">
        <f t="shared" si="42"/>
        <v>-131.40047860478268</v>
      </c>
      <c r="AO75" s="255">
        <f t="shared" si="42"/>
        <v>-279.74977513374552</v>
      </c>
      <c r="AP75" s="255">
        <f t="shared" si="42"/>
        <v>-94.784202992230661</v>
      </c>
      <c r="AQ75" s="255">
        <f t="shared" si="42"/>
        <v>-78.813934963218074</v>
      </c>
      <c r="AR75" s="255">
        <f t="shared" si="42"/>
        <v>-100.04648495018358</v>
      </c>
      <c r="AS75" s="255">
        <f t="shared" si="42"/>
        <v>-254.41200755234297</v>
      </c>
      <c r="AT75" s="255">
        <f t="shared" si="42"/>
        <v>-83.791844556379687</v>
      </c>
      <c r="AU75" s="255">
        <f t="shared" si="42"/>
        <v>-87.952423826463743</v>
      </c>
      <c r="AV75" s="255">
        <f t="shared" si="42"/>
        <v>-134.79035609927732</v>
      </c>
      <c r="AW75" s="255">
        <f t="shared" si="42"/>
        <v>-337.96750174432418</v>
      </c>
      <c r="AX75" s="255">
        <f t="shared" si="42"/>
        <v>-91.380782239777986</v>
      </c>
      <c r="AY75" s="255">
        <f t="shared" si="42"/>
        <v>24.16197953368102</v>
      </c>
      <c r="AZ75" s="255">
        <f t="shared" si="42"/>
        <v>13.814346951335452</v>
      </c>
      <c r="BA75" s="255">
        <f t="shared" si="42"/>
        <v>-5.9603714296717669</v>
      </c>
      <c r="BB75" s="255">
        <f t="shared" si="42"/>
        <v>-75.482373041472442</v>
      </c>
      <c r="BC75" s="255">
        <f t="shared" si="42"/>
        <v>135.90773116911168</v>
      </c>
      <c r="BD75" s="255">
        <f t="shared" si="42"/>
        <v>198.21166721597959</v>
      </c>
      <c r="BE75" s="255">
        <f t="shared" si="42"/>
        <v>350.85493312015006</v>
      </c>
      <c r="BF75" s="255">
        <f t="shared" si="42"/>
        <v>24.533853577340338</v>
      </c>
      <c r="BG75" s="255">
        <f t="shared" si="42"/>
        <v>106.62929710481423</v>
      </c>
      <c r="BH75" s="255">
        <f t="shared" si="42"/>
        <v>222.69046036199447</v>
      </c>
      <c r="BI75" s="255">
        <f t="shared" si="42"/>
        <v>265.98437680403333</v>
      </c>
      <c r="BJ75" s="255">
        <f t="shared" si="42"/>
        <v>82.35248578189929</v>
      </c>
      <c r="BK75" s="255">
        <f t="shared" si="42"/>
        <v>175.11459677335216</v>
      </c>
      <c r="BL75" s="255">
        <f t="shared" si="42"/>
        <v>144.13690195550797</v>
      </c>
      <c r="BM75" s="255">
        <f t="shared" si="42"/>
        <v>290.46956570426903</v>
      </c>
      <c r="BN75" s="255">
        <f t="shared" si="42"/>
        <v>94.63492322219976</v>
      </c>
      <c r="BO75" s="255">
        <f t="shared" si="42"/>
        <v>182.55574466924068</v>
      </c>
      <c r="BP75" s="255">
        <f t="shared" si="42"/>
        <v>159.15406604826373</v>
      </c>
      <c r="BQ75" s="255">
        <f t="shared" si="42"/>
        <v>211.83067886279983</v>
      </c>
      <c r="BR75" s="255">
        <f t="shared" ref="BR75:CJ75" si="43">BR74-BR73</f>
        <v>116.73883591836345</v>
      </c>
      <c r="BS75" s="255">
        <f t="shared" si="43"/>
        <v>106.84468836569212</v>
      </c>
      <c r="BT75" s="255">
        <f t="shared" si="43"/>
        <v>60.951180531712623</v>
      </c>
      <c r="BU75" s="255">
        <f t="shared" si="43"/>
        <v>27.457693281112505</v>
      </c>
      <c r="BV75" s="255">
        <f t="shared" si="43"/>
        <v>99.260389492684482</v>
      </c>
      <c r="BW75" s="255">
        <f t="shared" si="43"/>
        <v>40.567728502255406</v>
      </c>
      <c r="BX75" s="255">
        <f t="shared" si="43"/>
        <v>28.080049068431112</v>
      </c>
      <c r="BY75" s="255">
        <f t="shared" si="43"/>
        <v>60.296059164560056</v>
      </c>
      <c r="BZ75" s="255">
        <f t="shared" si="43"/>
        <v>31.618491088443999</v>
      </c>
      <c r="CA75" s="255" t="e">
        <f t="shared" si="43"/>
        <v>#DIV/0!</v>
      </c>
      <c r="CB75" s="255">
        <f t="shared" si="43"/>
        <v>16.016296348538155</v>
      </c>
      <c r="CC75" s="255">
        <f t="shared" si="43"/>
        <v>39.689373914143815</v>
      </c>
      <c r="CD75" s="255">
        <f t="shared" si="43"/>
        <v>13.315663964771606</v>
      </c>
      <c r="CE75" s="255" t="e">
        <f t="shared" si="43"/>
        <v>#DIV/0!</v>
      </c>
      <c r="CF75" s="255" t="e">
        <f t="shared" si="43"/>
        <v>#DIV/0!</v>
      </c>
      <c r="CG75" s="255" t="e">
        <f t="shared" si="43"/>
        <v>#DIV/0!</v>
      </c>
      <c r="CH75" s="255" t="e">
        <f t="shared" si="43"/>
        <v>#DIV/0!</v>
      </c>
      <c r="CI75" s="255" t="e">
        <f t="shared" si="43"/>
        <v>#DIV/0!</v>
      </c>
      <c r="CJ75" s="255" t="e">
        <f t="shared" si="43"/>
        <v>#DIV/0!</v>
      </c>
    </row>
    <row r="76" spans="1:89" s="120" customFormat="1">
      <c r="A76" s="148" t="s">
        <v>484</v>
      </c>
      <c r="E76" s="120">
        <f>E71-E64-E68</f>
        <v>-562867211.52999985</v>
      </c>
      <c r="F76" s="120">
        <f t="shared" ref="F76:BQ76" si="44">F71-F64-F68</f>
        <v>-446170994.75999999</v>
      </c>
      <c r="G76" s="120">
        <f t="shared" si="44"/>
        <v>-471345306.43999994</v>
      </c>
      <c r="H76" s="120">
        <f t="shared" si="44"/>
        <v>-397361405.71000004</v>
      </c>
      <c r="I76" s="120">
        <f t="shared" si="44"/>
        <v>-493918764.75</v>
      </c>
      <c r="J76" s="120">
        <f t="shared" si="44"/>
        <v>-379314365.26000011</v>
      </c>
      <c r="K76" s="120">
        <f t="shared" si="44"/>
        <v>-496113775.85999995</v>
      </c>
      <c r="L76" s="120">
        <f t="shared" si="44"/>
        <v>-473444261.88000005</v>
      </c>
      <c r="M76" s="120">
        <f t="shared" si="44"/>
        <v>-406791947.57000005</v>
      </c>
      <c r="N76" s="120">
        <f t="shared" si="44"/>
        <v>-267381658.36000001</v>
      </c>
      <c r="O76" s="120">
        <f t="shared" si="44"/>
        <v>-220266434.75999999</v>
      </c>
      <c r="P76" s="120">
        <f t="shared" si="44"/>
        <v>-145793475.27999997</v>
      </c>
      <c r="Q76" s="120">
        <f t="shared" si="44"/>
        <v>-77327591.230000019</v>
      </c>
      <c r="R76" s="120">
        <f t="shared" si="44"/>
        <v>27139024.670000017</v>
      </c>
      <c r="S76" s="120">
        <f t="shared" si="44"/>
        <v>54688423.50999999</v>
      </c>
      <c r="T76" s="120">
        <f t="shared" si="44"/>
        <v>149004871.57000005</v>
      </c>
      <c r="U76" s="120">
        <f t="shared" si="44"/>
        <v>199757707.22000003</v>
      </c>
      <c r="V76" s="120">
        <f t="shared" si="44"/>
        <v>286286023.88999999</v>
      </c>
      <c r="W76" s="120">
        <f t="shared" si="44"/>
        <v>281178363.1500001</v>
      </c>
      <c r="X76" s="120">
        <f t="shared" si="44"/>
        <v>290253982.89999998</v>
      </c>
      <c r="Y76" s="120">
        <f t="shared" si="44"/>
        <v>407550338.58999997</v>
      </c>
      <c r="Z76" s="120">
        <f t="shared" si="44"/>
        <v>395924108.56999999</v>
      </c>
      <c r="AA76" s="120">
        <f t="shared" si="44"/>
        <v>324740938.25</v>
      </c>
      <c r="AB76" s="120">
        <f t="shared" si="44"/>
        <v>292055065.56</v>
      </c>
      <c r="AC76" s="120">
        <f t="shared" si="44"/>
        <v>349303531.56999993</v>
      </c>
      <c r="AD76" s="120">
        <f t="shared" si="44"/>
        <v>351623019.11000001</v>
      </c>
      <c r="AE76" s="120">
        <f t="shared" si="44"/>
        <v>273386369.13999999</v>
      </c>
      <c r="AF76" s="120">
        <f t="shared" si="44"/>
        <v>249171568.91000003</v>
      </c>
      <c r="AG76" s="120">
        <f t="shared" si="44"/>
        <v>267742090.91</v>
      </c>
      <c r="AH76" s="120">
        <f t="shared" si="44"/>
        <v>265196025.60999995</v>
      </c>
      <c r="AI76" s="120">
        <f t="shared" si="44"/>
        <v>184882954.73000002</v>
      </c>
      <c r="AJ76" s="120">
        <f t="shared" si="44"/>
        <v>272720678.33999997</v>
      </c>
      <c r="AK76" s="120">
        <f t="shared" si="44"/>
        <v>280722662.12</v>
      </c>
      <c r="AL76" s="120">
        <f t="shared" si="44"/>
        <v>256380408.38</v>
      </c>
      <c r="AM76" s="120">
        <f t="shared" si="44"/>
        <v>203094112</v>
      </c>
      <c r="AN76" s="120">
        <f t="shared" si="44"/>
        <v>173816034.81999999</v>
      </c>
      <c r="AO76" s="120">
        <f t="shared" si="44"/>
        <v>198914578.97</v>
      </c>
      <c r="AP76" s="120">
        <f t="shared" si="44"/>
        <v>180706856.20999998</v>
      </c>
      <c r="AQ76" s="120">
        <f t="shared" si="44"/>
        <v>100777889.02</v>
      </c>
      <c r="AR76" s="120">
        <f t="shared" si="44"/>
        <v>84556323.480000004</v>
      </c>
      <c r="AS76" s="120">
        <f t="shared" si="44"/>
        <v>115151080.58999999</v>
      </c>
      <c r="AT76" s="120">
        <f t="shared" si="44"/>
        <v>128894878.29999998</v>
      </c>
      <c r="AU76" s="120">
        <f t="shared" si="44"/>
        <v>95083063.36999999</v>
      </c>
      <c r="AV76" s="120">
        <f t="shared" si="44"/>
        <v>81321469.960000008</v>
      </c>
      <c r="AW76" s="120">
        <f t="shared" si="44"/>
        <v>130709659.67999999</v>
      </c>
      <c r="AX76" s="120">
        <f t="shared" si="44"/>
        <v>98252582.460000008</v>
      </c>
      <c r="AY76" s="120">
        <f t="shared" si="44"/>
        <v>78222717.400000006</v>
      </c>
      <c r="AZ76" s="120">
        <f t="shared" si="44"/>
        <v>95727021.320000008</v>
      </c>
      <c r="BA76" s="120">
        <f t="shared" si="44"/>
        <v>115091520.74000001</v>
      </c>
      <c r="BB76" s="120">
        <f t="shared" si="44"/>
        <v>101466364.91</v>
      </c>
      <c r="BC76" s="120">
        <f t="shared" si="44"/>
        <v>-95274497.00999999</v>
      </c>
      <c r="BD76" s="120">
        <f t="shared" si="44"/>
        <v>-91886848.080000013</v>
      </c>
      <c r="BE76" s="120">
        <f t="shared" si="44"/>
        <v>-88334564.179999992</v>
      </c>
      <c r="BF76" s="120">
        <f t="shared" si="44"/>
        <v>60639942.440000005</v>
      </c>
      <c r="BG76" s="120">
        <f t="shared" si="44"/>
        <v>-75383693.75</v>
      </c>
      <c r="BH76" s="120">
        <f t="shared" si="44"/>
        <v>-88139023.269999981</v>
      </c>
      <c r="BI76" s="120">
        <f t="shared" si="44"/>
        <v>-93426246.390000001</v>
      </c>
      <c r="BJ76" s="120">
        <f t="shared" si="44"/>
        <v>-88846838.38000001</v>
      </c>
      <c r="BK76" s="120">
        <f t="shared" si="44"/>
        <v>-44786167.570000008</v>
      </c>
      <c r="BL76" s="120">
        <f t="shared" si="44"/>
        <v>-98768936.589999989</v>
      </c>
      <c r="BM76" s="120">
        <f t="shared" si="44"/>
        <v>-35948961.430000007</v>
      </c>
      <c r="BN76" s="120">
        <f t="shared" si="44"/>
        <v>-81510572.720000014</v>
      </c>
      <c r="BO76" s="120">
        <f t="shared" si="44"/>
        <v>-232361321.71000001</v>
      </c>
      <c r="BP76" s="120">
        <f t="shared" si="44"/>
        <v>-63936536.469999999</v>
      </c>
      <c r="BQ76" s="120">
        <f t="shared" si="44"/>
        <v>-155282631.18000001</v>
      </c>
      <c r="BR76" s="120">
        <f t="shared" ref="BR76:CJ76" si="45">BR71-BR64-BR68</f>
        <v>-139740463.23000002</v>
      </c>
      <c r="BS76" s="120">
        <f t="shared" si="45"/>
        <v>-108334202.62</v>
      </c>
      <c r="BT76" s="120">
        <f t="shared" si="45"/>
        <v>-146319824.06</v>
      </c>
      <c r="BU76" s="120">
        <f t="shared" si="45"/>
        <v>-13518283.109999999</v>
      </c>
      <c r="BV76" s="120">
        <f t="shared" si="45"/>
        <v>-208411989.16</v>
      </c>
      <c r="BW76" s="120">
        <f t="shared" si="45"/>
        <v>-57593140.799999997</v>
      </c>
      <c r="BX76" s="120">
        <f t="shared" si="45"/>
        <v>-35845450.650000006</v>
      </c>
      <c r="BY76" s="120">
        <f t="shared" si="45"/>
        <v>-25345414.839999996</v>
      </c>
      <c r="BZ76" s="120">
        <f t="shared" si="45"/>
        <v>-55430991.129999995</v>
      </c>
      <c r="CA76" s="120">
        <f t="shared" si="45"/>
        <v>0</v>
      </c>
      <c r="CB76" s="120">
        <f t="shared" si="45"/>
        <v>-48073608.710000008</v>
      </c>
      <c r="CC76" s="120">
        <f t="shared" si="45"/>
        <v>-62823758.510000005</v>
      </c>
      <c r="CD76" s="120">
        <f t="shared" si="45"/>
        <v>-36806806.710000001</v>
      </c>
      <c r="CE76" s="120">
        <f t="shared" si="45"/>
        <v>0</v>
      </c>
      <c r="CF76" s="120">
        <f t="shared" si="45"/>
        <v>0</v>
      </c>
      <c r="CG76" s="120">
        <f t="shared" si="45"/>
        <v>0</v>
      </c>
      <c r="CH76" s="120">
        <f t="shared" si="45"/>
        <v>0</v>
      </c>
      <c r="CI76" s="120">
        <f t="shared" si="45"/>
        <v>0</v>
      </c>
      <c r="CJ76" s="120">
        <f t="shared" si="45"/>
        <v>0</v>
      </c>
    </row>
    <row r="77" spans="1:89" s="16" customFormat="1" ht="262.14999999999998" customHeight="1">
      <c r="A77" s="277" t="s">
        <v>690</v>
      </c>
      <c r="B77" s="276"/>
      <c r="C77" s="276"/>
      <c r="D77" s="276"/>
      <c r="E77" s="276"/>
      <c r="F77" s="276"/>
      <c r="G77" s="276"/>
      <c r="H77" s="276"/>
      <c r="I77" s="276"/>
      <c r="J77" s="276"/>
      <c r="K77" s="276"/>
      <c r="L77" s="276"/>
      <c r="M77" s="276"/>
      <c r="N77" s="276"/>
      <c r="O77" s="276"/>
      <c r="P77" s="276"/>
      <c r="Q77" s="276"/>
      <c r="R77" s="276"/>
      <c r="S77" s="276"/>
      <c r="T77" s="276"/>
      <c r="U77" s="276"/>
      <c r="V77" s="276"/>
      <c r="W77" s="276"/>
      <c r="X77" s="276"/>
      <c r="Y77" s="276"/>
      <c r="Z77" s="276"/>
      <c r="AA77" s="276"/>
      <c r="AB77" s="276"/>
      <c r="AC77" s="276"/>
      <c r="AD77" s="276"/>
      <c r="AE77" s="276"/>
      <c r="AF77" s="276"/>
      <c r="AG77" s="276"/>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9" customFormat="1">
      <c r="A80" s="248" t="s">
        <v>578</v>
      </c>
      <c r="B80" s="1">
        <v>43465</v>
      </c>
      <c r="C80" s="1">
        <v>43373</v>
      </c>
      <c r="D80" s="1">
        <v>43281</v>
      </c>
      <c r="E80" s="1">
        <v>43190</v>
      </c>
      <c r="F80" s="1">
        <v>43100</v>
      </c>
      <c r="G80" s="1">
        <v>43008</v>
      </c>
      <c r="H80" s="1">
        <v>42916</v>
      </c>
      <c r="I80" s="1">
        <v>42825</v>
      </c>
      <c r="J80" s="1">
        <v>42735</v>
      </c>
      <c r="K80" s="1">
        <v>42643</v>
      </c>
      <c r="L80" s="1">
        <v>42551</v>
      </c>
      <c r="M80" s="1">
        <v>42460</v>
      </c>
      <c r="N80" s="1">
        <v>42369</v>
      </c>
      <c r="O80" s="1">
        <v>42277</v>
      </c>
      <c r="P80" s="1">
        <v>42185</v>
      </c>
      <c r="Q80" s="1">
        <v>42094</v>
      </c>
      <c r="R80" s="1">
        <v>42004</v>
      </c>
      <c r="S80" s="1">
        <v>41912</v>
      </c>
      <c r="T80" s="1">
        <v>41820</v>
      </c>
      <c r="U80" s="1">
        <v>41729</v>
      </c>
      <c r="V80" s="1">
        <v>41639</v>
      </c>
      <c r="W80" s="1">
        <v>41547</v>
      </c>
      <c r="X80" s="1">
        <v>41455</v>
      </c>
      <c r="Y80" s="1">
        <v>41364</v>
      </c>
      <c r="Z80" s="1">
        <v>41274</v>
      </c>
      <c r="AA80" s="1">
        <v>41182</v>
      </c>
      <c r="AB80" s="1">
        <v>41090</v>
      </c>
      <c r="AC80" s="1">
        <v>40999</v>
      </c>
      <c r="AD80" s="1">
        <v>40908</v>
      </c>
      <c r="AE80" s="1">
        <v>40816</v>
      </c>
      <c r="AF80" s="1">
        <v>40724</v>
      </c>
      <c r="AG80" s="1">
        <v>40633</v>
      </c>
      <c r="AH80" s="1">
        <v>40543</v>
      </c>
      <c r="AI80" s="1">
        <v>40451</v>
      </c>
      <c r="AJ80" s="1">
        <v>40359</v>
      </c>
      <c r="AK80" s="1">
        <v>40268</v>
      </c>
      <c r="AL80" s="1">
        <v>40178</v>
      </c>
      <c r="AM80" s="1">
        <v>40086</v>
      </c>
      <c r="AN80" s="1">
        <v>39994</v>
      </c>
      <c r="AO80" s="1">
        <v>39903</v>
      </c>
      <c r="AP80" s="1">
        <v>39813</v>
      </c>
      <c r="AQ80" s="1">
        <v>39721</v>
      </c>
      <c r="AR80" s="1">
        <v>39629</v>
      </c>
      <c r="AS80" s="1">
        <v>39538</v>
      </c>
      <c r="AT80" s="1">
        <v>39447</v>
      </c>
      <c r="AU80" s="1">
        <v>39355</v>
      </c>
      <c r="AV80" s="1">
        <v>39263</v>
      </c>
      <c r="AW80" s="1">
        <v>39172</v>
      </c>
      <c r="AX80" s="1">
        <v>39082</v>
      </c>
      <c r="AY80" s="1">
        <v>38990</v>
      </c>
      <c r="AZ80" s="1">
        <v>38898</v>
      </c>
      <c r="BA80" s="1">
        <v>38807</v>
      </c>
      <c r="BB80" s="1">
        <v>38717</v>
      </c>
      <c r="BC80" s="1">
        <v>38625</v>
      </c>
      <c r="BD80" s="1">
        <v>38533</v>
      </c>
      <c r="BE80" s="1">
        <v>38442</v>
      </c>
      <c r="BF80" s="1">
        <v>38352</v>
      </c>
      <c r="BG80" s="1">
        <v>38260</v>
      </c>
      <c r="BH80" s="1">
        <v>38168</v>
      </c>
      <c r="BI80" s="1">
        <v>38077</v>
      </c>
      <c r="BJ80" s="1">
        <v>37986</v>
      </c>
      <c r="BK80" s="1">
        <v>37894</v>
      </c>
      <c r="BL80" s="1">
        <v>37802</v>
      </c>
      <c r="BM80" s="1">
        <v>37711</v>
      </c>
      <c r="BN80" s="1">
        <v>37621</v>
      </c>
      <c r="BO80" s="1">
        <v>37529</v>
      </c>
      <c r="BP80" s="1">
        <v>37437</v>
      </c>
      <c r="BQ80" s="1">
        <v>37346</v>
      </c>
      <c r="BR80" s="1">
        <v>37256</v>
      </c>
      <c r="BS80" s="1">
        <v>37072</v>
      </c>
      <c r="BT80" s="1">
        <v>36891</v>
      </c>
      <c r="BU80" s="1">
        <v>36707</v>
      </c>
      <c r="BV80" s="1">
        <v>36525</v>
      </c>
      <c r="BW80" s="1">
        <v>36341</v>
      </c>
      <c r="BX80" s="1">
        <v>36160</v>
      </c>
      <c r="BY80" s="1">
        <v>35976</v>
      </c>
      <c r="BZ80" s="1">
        <v>35795</v>
      </c>
      <c r="CA80" s="1">
        <v>35611</v>
      </c>
      <c r="CB80" s="1">
        <v>35430</v>
      </c>
      <c r="CC80" s="1">
        <v>35246</v>
      </c>
      <c r="CD80" s="1">
        <v>35064</v>
      </c>
      <c r="CE80" s="1">
        <v>25569</v>
      </c>
      <c r="CF80" s="1"/>
      <c r="CG80" s="1"/>
      <c r="CH80" s="1"/>
      <c r="CI80" s="1"/>
      <c r="CJ80" s="1"/>
      <c r="CK80" s="1"/>
    </row>
    <row r="81" spans="1:89" s="76" customFormat="1">
      <c r="A81" s="70" t="s">
        <v>579</v>
      </c>
      <c r="E81" s="76">
        <f>股权价值增加表!E4</f>
        <v>421474197.36000001</v>
      </c>
      <c r="F81" s="76">
        <f>股权价值增加表!F4</f>
        <v>1366363612.6199999</v>
      </c>
      <c r="G81" s="76">
        <f>股权价值增加表!G4</f>
        <v>1026037642.64</v>
      </c>
      <c r="H81" s="76">
        <f>股权价值增加表!H4</f>
        <v>698379557.87</v>
      </c>
      <c r="I81" s="76">
        <f>股权价值增加表!I4</f>
        <v>284244614.87</v>
      </c>
      <c r="J81" s="76">
        <f>股权价值增加表!J4</f>
        <v>1026535858.9299999</v>
      </c>
      <c r="K81" s="76">
        <f>股权价值增加表!K4</f>
        <v>766151820.29999995</v>
      </c>
      <c r="L81" s="76">
        <f>股权价值增加表!L4</f>
        <v>525882189.83999997</v>
      </c>
      <c r="M81" s="76">
        <f>股权价值增加表!M4</f>
        <v>295249656.20999998</v>
      </c>
      <c r="N81" s="76">
        <f>股权价值增加表!N4</f>
        <v>1120665180.8800001</v>
      </c>
      <c r="O81" s="76">
        <f>股权价值增加表!O4</f>
        <v>857530976.39999998</v>
      </c>
      <c r="P81" s="76">
        <f>股权价值增加表!P4</f>
        <v>593268789.13</v>
      </c>
      <c r="Q81" s="76">
        <f>股权价值增加表!Q4</f>
        <v>335552584.61000001</v>
      </c>
      <c r="R81" s="76">
        <f>股权价值增加表!R4</f>
        <v>1214852555.8099999</v>
      </c>
      <c r="S81" s="76">
        <f>股权价值增加表!S4</f>
        <v>927620999.42999995</v>
      </c>
      <c r="T81" s="76">
        <f>股权价值增加表!T4</f>
        <v>630920696.25999999</v>
      </c>
      <c r="U81" s="76">
        <f>股权价值增加表!U4</f>
        <v>359411030.98000002</v>
      </c>
      <c r="V81" s="76">
        <f>股权价值增加表!V4</f>
        <v>1428005507.79</v>
      </c>
      <c r="W81" s="76">
        <f>股权价值增加表!W4</f>
        <v>1090244284</v>
      </c>
      <c r="X81" s="76">
        <f>股权价值增加表!X4</f>
        <v>753590720.29999995</v>
      </c>
      <c r="Y81" s="76">
        <f>股权价值增加表!Y4</f>
        <v>407134157.54000002</v>
      </c>
      <c r="Z81" s="76">
        <f>股权价值增加表!Z4</f>
        <v>1320057528.8499999</v>
      </c>
      <c r="AA81" s="76">
        <f>股权价值增加表!AA4</f>
        <v>999698057.85000002</v>
      </c>
      <c r="AB81" s="76">
        <f>股权价值增加表!AB4</f>
        <v>696223866.28999996</v>
      </c>
      <c r="AC81" s="76">
        <f>股权价值增加表!AC4</f>
        <v>397167146.08999997</v>
      </c>
      <c r="AD81" s="76">
        <f>股权价值增加表!AD4</f>
        <v>1188181022.1600001</v>
      </c>
      <c r="AE81" s="76">
        <f>股权价值增加表!AE4</f>
        <v>881523761.17999995</v>
      </c>
      <c r="AF81" s="76">
        <f>股权价值增加表!AF4</f>
        <v>619936758.73000002</v>
      </c>
      <c r="AG81" s="76">
        <f>股权价值增加表!AG4</f>
        <v>360707870.79000002</v>
      </c>
      <c r="AH81" s="76">
        <f>股权价值增加表!AH4</f>
        <v>920899447.85000002</v>
      </c>
      <c r="AI81" s="76">
        <f>股权价值增加表!AI4</f>
        <v>652183381.96000004</v>
      </c>
      <c r="AJ81" s="76">
        <f>股权价值增加表!AJ4</f>
        <v>437443143.19</v>
      </c>
      <c r="AK81" s="76">
        <f>股权价值增加表!AK4</f>
        <v>250700453.44</v>
      </c>
      <c r="AL81" s="76">
        <f>股权价值增加表!AL4</f>
        <v>729118833.46000004</v>
      </c>
      <c r="AM81" s="76">
        <f>股权价值增加表!AM4</f>
        <v>531954310.14999998</v>
      </c>
      <c r="AN81" s="76">
        <f>股权价值增加表!AN4</f>
        <v>364490143.06999999</v>
      </c>
      <c r="AO81" s="76">
        <f>股权价值增加表!AO4</f>
        <v>208744716.30000001</v>
      </c>
      <c r="AP81" s="76">
        <f>股权价值增加表!AP4</f>
        <v>622896991.75999999</v>
      </c>
      <c r="AQ81" s="76">
        <f>股权价值增加表!AQ4</f>
        <v>458272083.85000002</v>
      </c>
      <c r="AR81" s="76">
        <f>股权价值增加表!AR4</f>
        <v>312351104.93000001</v>
      </c>
      <c r="AS81" s="76">
        <f>股权价值增加表!AS4</f>
        <v>187257445.02000001</v>
      </c>
      <c r="AT81" s="76">
        <f>股权价值增加表!AT4</f>
        <v>547411619.92999995</v>
      </c>
      <c r="AU81" s="76">
        <f>股权价值增加表!AU4</f>
        <v>398835936.57999998</v>
      </c>
      <c r="AV81" s="76">
        <f>股权价值增加表!AV4</f>
        <v>271330509.35000002</v>
      </c>
      <c r="AW81" s="76">
        <f>股权价值增加表!AW4</f>
        <v>152264846.55000001</v>
      </c>
      <c r="AX81" s="76">
        <f>股权价值增加表!AX4</f>
        <v>450343864.37</v>
      </c>
      <c r="AY81" s="76">
        <f>股权价值增加表!AY4</f>
        <v>331144512.04000002</v>
      </c>
      <c r="AZ81" s="76">
        <f>股权价值增加表!AZ4</f>
        <v>224380432.09</v>
      </c>
      <c r="BA81" s="76">
        <f>股权价值增加表!BA4</f>
        <v>130299434.17</v>
      </c>
      <c r="BB81" s="76">
        <f>股权价值增加表!BB4</f>
        <v>439515310.91000003</v>
      </c>
      <c r="BC81" s="76">
        <f>股权价值增加表!BC4</f>
        <v>322811947.29000002</v>
      </c>
      <c r="BD81" s="76">
        <f>股权价值增加表!BD4</f>
        <v>227255482.66</v>
      </c>
      <c r="BE81" s="76">
        <f>股权价值增加表!BE4</f>
        <v>132693042.41</v>
      </c>
      <c r="BF81" s="76">
        <f>股权价值增加表!BF4</f>
        <v>403756671.35000002</v>
      </c>
      <c r="BG81" s="76">
        <f>股权价值增加表!BG4</f>
        <v>299944780.02999997</v>
      </c>
      <c r="BH81" s="76">
        <f>股权价值增加表!BH4</f>
        <v>209668828.09999999</v>
      </c>
      <c r="BI81" s="76">
        <f>股权价值增加表!BI4</f>
        <v>123795153.15000001</v>
      </c>
      <c r="BJ81" s="76">
        <f>股权价值增加表!BJ4</f>
        <v>479585510.57999998</v>
      </c>
      <c r="BK81" s="76">
        <f>股权价值增加表!BK4</f>
        <v>364898704.38</v>
      </c>
      <c r="BL81" s="76">
        <f>股权价值增加表!BL4</f>
        <v>257249053.94</v>
      </c>
      <c r="BM81" s="76">
        <f>股权价值增加表!BM4</f>
        <v>149535383.96000001</v>
      </c>
      <c r="BN81" s="76">
        <f>股权价值增加表!BN4</f>
        <v>507279280.06</v>
      </c>
      <c r="BO81" s="76">
        <f>股权价值增加表!BO4</f>
        <v>406011008.52999997</v>
      </c>
      <c r="BP81" s="76">
        <f>股权价值增加表!BP4</f>
        <v>292249245.88</v>
      </c>
      <c r="BQ81" s="76">
        <f>股权价值增加表!BQ4</f>
        <v>173938225.12</v>
      </c>
      <c r="BR81" s="76">
        <f>股权价值增加表!BR4</f>
        <v>649680863.10000002</v>
      </c>
      <c r="BS81" s="76">
        <f>股权价值增加表!BS4</f>
        <v>342143319.51999998</v>
      </c>
      <c r="BT81" s="76">
        <f>股权价值增加表!BT4</f>
        <v>649870942.78999996</v>
      </c>
      <c r="BU81" s="76">
        <f>股权价值增加表!BU4</f>
        <v>312370113.82999998</v>
      </c>
      <c r="BV81" s="76">
        <f>股权价值增加表!BV4</f>
        <v>587005192.25999999</v>
      </c>
      <c r="BW81" s="76">
        <f>股权价值增加表!BW4</f>
        <v>318639859.5</v>
      </c>
      <c r="BX81" s="76">
        <f>股权价值增加表!BX4</f>
        <v>607433824.57000005</v>
      </c>
      <c r="BY81" s="76">
        <f>股权价值增加表!BY4</f>
        <v>312160826.85000002</v>
      </c>
      <c r="BZ81" s="76">
        <f>股权价值增加表!BZ4</f>
        <v>602599165.12</v>
      </c>
      <c r="CA81" s="76">
        <f>股权价值增加表!CA4</f>
        <v>345556667.12</v>
      </c>
      <c r="CB81" s="76">
        <f>股权价值增加表!CB4</f>
        <v>612674307.19000006</v>
      </c>
      <c r="CC81" s="76">
        <f>股权价值增加表!CC4</f>
        <v>334022343.13999999</v>
      </c>
      <c r="CD81" s="76">
        <f>股权价值增加表!CD4</f>
        <v>552412855.38999999</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c r="A82" s="70" t="s">
        <v>580</v>
      </c>
      <c r="E82" s="76">
        <f>投资和筹资活动现金流表!E34</f>
        <v>2831964060.0700002</v>
      </c>
      <c r="F82" s="76">
        <f>投资和筹资活动现金流表!F34</f>
        <v>2842822030.3400002</v>
      </c>
      <c r="G82" s="76">
        <f>投资和筹资活动现金流表!G34</f>
        <v>2832235697.23</v>
      </c>
      <c r="H82" s="76">
        <f>投资和筹资活动现金流表!H34</f>
        <v>2850724187.73</v>
      </c>
      <c r="I82" s="76">
        <f>投资和筹资活动现金流表!I34</f>
        <v>704025408.16999996</v>
      </c>
      <c r="J82" s="76">
        <f>投资和筹资活动现金流表!J34</f>
        <v>716694386.05999994</v>
      </c>
      <c r="K82" s="76">
        <f>投资和筹资活动现金流表!K34</f>
        <v>725753217.44000006</v>
      </c>
      <c r="L82" s="76">
        <f>投资和筹资活动现金流表!L34</f>
        <v>736345981.13</v>
      </c>
      <c r="M82" s="76">
        <f>投资和筹资活动现金流表!M34</f>
        <v>744159166.98000002</v>
      </c>
      <c r="N82" s="76">
        <f>投资和筹资活动现金流表!N34</f>
        <v>746611113.21000004</v>
      </c>
      <c r="O82" s="76">
        <f>投资和筹资活动现金流表!O34</f>
        <v>744509895.52999997</v>
      </c>
      <c r="P82" s="76">
        <f>投资和筹资活动现金流表!P34</f>
        <v>753832683.76999998</v>
      </c>
      <c r="Q82" s="76">
        <f>投资和筹资活动现金流表!Q34</f>
        <v>762829581.35000002</v>
      </c>
      <c r="R82" s="76">
        <f>投资和筹资活动现金流表!R34</f>
        <v>774435286.65999997</v>
      </c>
      <c r="S82" s="76">
        <f>投资和筹资活动现金流表!S34</f>
        <v>779414170.62</v>
      </c>
      <c r="T82" s="76">
        <f>投资和筹资活动现金流表!T34</f>
        <v>870238614.16999996</v>
      </c>
      <c r="U82" s="76">
        <f>投资和筹资活动现金流表!U34</f>
        <v>875183125.90999997</v>
      </c>
      <c r="V82" s="76">
        <f>投资和筹资活动现金流表!V34</f>
        <v>886233622.49000001</v>
      </c>
      <c r="W82" s="76">
        <f>投资和筹资活动现金流表!W34</f>
        <v>898158771.94000006</v>
      </c>
      <c r="X82" s="76">
        <f>投资和筹资活动现金流表!X34</f>
        <v>886969405.13</v>
      </c>
      <c r="Y82" s="76">
        <f>投资和筹资活动现金流表!AZ34</f>
        <v>570624871.21000004</v>
      </c>
      <c r="Z82" s="76">
        <f>投资和筹资活动现金流表!BA34</f>
        <v>553872874.29999995</v>
      </c>
      <c r="AA82" s="76">
        <f>投资和筹资活动现金流表!BB34</f>
        <v>561943882.90999997</v>
      </c>
      <c r="AB82" s="76">
        <f>投资和筹资活动现金流表!BC34</f>
        <v>554668237.75999999</v>
      </c>
      <c r="AC82" s="76">
        <f>投资和筹资活动现金流表!BD34</f>
        <v>559647854.07000005</v>
      </c>
      <c r="AD82" s="76">
        <f>投资和筹资活动现金流表!BE34</f>
        <v>565592937.50999999</v>
      </c>
      <c r="AE82" s="76">
        <f>投资和筹资活动现金流表!BF34</f>
        <v>576541627.67999995</v>
      </c>
      <c r="AF82" s="76">
        <f>投资和筹资活动现金流表!BG34</f>
        <v>589199859.85000002</v>
      </c>
      <c r="AG82" s="76">
        <f>投资和筹资活动现金流表!BH34</f>
        <v>598733880.47000003</v>
      </c>
      <c r="AH82" s="76">
        <f>投资和筹资活动现金流表!BI34</f>
        <v>608943590.55999994</v>
      </c>
      <c r="AI82" s="76">
        <f>投资和筹资活动现金流表!BJ34</f>
        <v>619102546.64999998</v>
      </c>
      <c r="AJ82" s="76">
        <f>投资和筹资活动现金流表!BK34</f>
        <v>632873137.55999994</v>
      </c>
      <c r="AK82" s="76">
        <f>投资和筹资活动现金流表!BL34</f>
        <v>644889483.28999996</v>
      </c>
      <c r="AL82" s="76">
        <f>投资和筹资活动现金流表!BM34</f>
        <v>654638390.74000001</v>
      </c>
      <c r="AM82" s="76">
        <f>投资和筹资活动现金流表!BN34</f>
        <v>669888459.54999995</v>
      </c>
      <c r="AN82" s="76">
        <f>投资和筹资活动现金流表!BO34</f>
        <v>669185119.58000004</v>
      </c>
      <c r="AO82" s="76">
        <f>投资和筹资活动现金流表!BP34</f>
        <v>684068757.95000005</v>
      </c>
      <c r="AP82" s="76">
        <f>投资和筹资活动现金流表!BQ34</f>
        <v>680205135.78999996</v>
      </c>
      <c r="AQ82" s="76">
        <f>投资和筹资活动现金流表!BR34</f>
        <v>724962033.58000004</v>
      </c>
      <c r="AR82" s="76">
        <f>投资和筹资活动现金流表!BS34</f>
        <v>725458553.65999997</v>
      </c>
      <c r="AS82" s="76">
        <f>投资和筹资活动现金流表!AS34</f>
        <v>659789754.47000003</v>
      </c>
      <c r="AT82" s="76">
        <f>投资和筹资活动现金流表!AT34</f>
        <v>663456993.64999998</v>
      </c>
      <c r="AU82" s="76">
        <f>投资和筹资活动现金流表!AU34</f>
        <v>555920448.25</v>
      </c>
      <c r="AV82" s="76">
        <f>投资和筹资活动现金流表!AV34</f>
        <v>553868650.51999998</v>
      </c>
      <c r="AW82" s="76">
        <f>投资和筹资活动现金流表!AW34</f>
        <v>569189944.65999997</v>
      </c>
      <c r="AX82" s="76">
        <f>投资和筹资活动现金流表!AX34</f>
        <v>559857502.71000004</v>
      </c>
      <c r="AY82" s="76">
        <f>投资和筹资活动现金流表!AY34</f>
        <v>574320867.63999999</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4" customFormat="1">
      <c r="A83" s="250" t="s">
        <v>581</v>
      </c>
      <c r="E83" s="154">
        <f>E81/E82</f>
        <v>0.14882752337951</v>
      </c>
      <c r="F83" s="154">
        <f t="shared" ref="F83:BQ83" si="46">F81/F82</f>
        <v>0.48063635290478718</v>
      </c>
      <c r="G83" s="154">
        <f t="shared" si="46"/>
        <v>0.36227127694333189</v>
      </c>
      <c r="H83" s="154">
        <f t="shared" si="46"/>
        <v>0.24498320843382324</v>
      </c>
      <c r="I83" s="154">
        <f t="shared" si="46"/>
        <v>0.40374198370034381</v>
      </c>
      <c r="J83" s="154">
        <f t="shared" si="46"/>
        <v>1.4323202175104812</v>
      </c>
      <c r="K83" s="154">
        <f t="shared" si="46"/>
        <v>1.0556643799699583</v>
      </c>
      <c r="L83" s="154">
        <f t="shared" si="46"/>
        <v>0.71417812185649288</v>
      </c>
      <c r="M83" s="154">
        <f t="shared" si="46"/>
        <v>0.39675605611122583</v>
      </c>
      <c r="N83" s="154">
        <f t="shared" si="46"/>
        <v>1.5010025447676258</v>
      </c>
      <c r="O83" s="154">
        <f t="shared" si="46"/>
        <v>1.1518060156736303</v>
      </c>
      <c r="P83" s="154">
        <f t="shared" si="46"/>
        <v>0.7870032726134899</v>
      </c>
      <c r="Q83" s="154">
        <f t="shared" si="46"/>
        <v>0.43987883114884402</v>
      </c>
      <c r="R83" s="154">
        <f t="shared" si="46"/>
        <v>1.5686947337452046</v>
      </c>
      <c r="S83" s="154">
        <f t="shared" si="46"/>
        <v>1.1901515707523074</v>
      </c>
      <c r="T83" s="154">
        <f t="shared" si="46"/>
        <v>0.72499735818060407</v>
      </c>
      <c r="U83" s="154">
        <f t="shared" si="46"/>
        <v>0.41066951628699511</v>
      </c>
      <c r="V83" s="154">
        <f t="shared" si="46"/>
        <v>1.611319489073112</v>
      </c>
      <c r="W83" s="154">
        <f t="shared" si="46"/>
        <v>1.2138658754566301</v>
      </c>
      <c r="X83" s="154">
        <f t="shared" si="46"/>
        <v>0.84962425529158903</v>
      </c>
      <c r="Y83" s="154">
        <f t="shared" si="46"/>
        <v>0.71348827939567228</v>
      </c>
      <c r="Z83" s="154">
        <f t="shared" si="46"/>
        <v>2.3833222208585778</v>
      </c>
      <c r="AA83" s="154">
        <f t="shared" si="46"/>
        <v>1.7789998045233817</v>
      </c>
      <c r="AB83" s="154">
        <f t="shared" si="46"/>
        <v>1.2552077420219072</v>
      </c>
      <c r="AC83" s="154">
        <f t="shared" si="46"/>
        <v>0.70967331189002081</v>
      </c>
      <c r="AD83" s="154">
        <f t="shared" si="46"/>
        <v>2.1007706132097739</v>
      </c>
      <c r="AE83" s="154">
        <f t="shared" si="46"/>
        <v>1.5289854519737738</v>
      </c>
      <c r="AF83" s="154">
        <f t="shared" si="46"/>
        <v>1.0521671863394961</v>
      </c>
      <c r="AG83" s="154">
        <f t="shared" si="46"/>
        <v>0.60245107643958284</v>
      </c>
      <c r="AH83" s="154">
        <f t="shared" si="46"/>
        <v>1.5122902385804202</v>
      </c>
      <c r="AI83" s="154">
        <f t="shared" si="46"/>
        <v>1.0534335313091545</v>
      </c>
      <c r="AJ83" s="154">
        <f t="shared" si="46"/>
        <v>0.69120194432099424</v>
      </c>
      <c r="AK83" s="154">
        <f t="shared" si="46"/>
        <v>0.38874948333939979</v>
      </c>
      <c r="AL83" s="154">
        <f t="shared" si="46"/>
        <v>1.1137734110518751</v>
      </c>
      <c r="AM83" s="154">
        <f t="shared" si="46"/>
        <v>0.79409385632250218</v>
      </c>
      <c r="AN83" s="154">
        <f t="shared" si="46"/>
        <v>0.54467759728244491</v>
      </c>
      <c r="AO83" s="154">
        <f t="shared" si="46"/>
        <v>0.30515165891446483</v>
      </c>
      <c r="AP83" s="154">
        <f t="shared" si="46"/>
        <v>0.91574873370598497</v>
      </c>
      <c r="AQ83" s="154">
        <f t="shared" si="46"/>
        <v>0.63213252918496377</v>
      </c>
      <c r="AR83" s="154">
        <f t="shared" si="46"/>
        <v>0.43055678832948097</v>
      </c>
      <c r="AS83" s="154">
        <f t="shared" si="46"/>
        <v>0.28381381152306817</v>
      </c>
      <c r="AT83" s="154">
        <f t="shared" si="46"/>
        <v>0.82508983275377368</v>
      </c>
      <c r="AU83" s="154">
        <f t="shared" si="46"/>
        <v>0.71743347062607354</v>
      </c>
      <c r="AV83" s="154">
        <f t="shared" si="46"/>
        <v>0.4898824100177202</v>
      </c>
      <c r="AW83" s="154">
        <f t="shared" si="46"/>
        <v>0.26751148360667881</v>
      </c>
      <c r="AX83" s="154">
        <f t="shared" si="46"/>
        <v>0.80439015676328829</v>
      </c>
      <c r="AY83" s="154">
        <f t="shared" si="46"/>
        <v>0.57658450301612663</v>
      </c>
      <c r="AZ83" s="154" t="e">
        <f t="shared" si="46"/>
        <v>#REF!</v>
      </c>
      <c r="BA83" s="154" t="e">
        <f t="shared" si="46"/>
        <v>#REF!</v>
      </c>
      <c r="BB83" s="154" t="e">
        <f t="shared" si="46"/>
        <v>#REF!</v>
      </c>
      <c r="BC83" s="154" t="e">
        <f t="shared" si="46"/>
        <v>#REF!</v>
      </c>
      <c r="BD83" s="154" t="e">
        <f t="shared" si="46"/>
        <v>#REF!</v>
      </c>
      <c r="BE83" s="154" t="e">
        <f t="shared" si="46"/>
        <v>#REF!</v>
      </c>
      <c r="BF83" s="154" t="e">
        <f t="shared" si="46"/>
        <v>#REF!</v>
      </c>
      <c r="BG83" s="154" t="e">
        <f t="shared" si="46"/>
        <v>#REF!</v>
      </c>
      <c r="BH83" s="154" t="e">
        <f t="shared" si="46"/>
        <v>#REF!</v>
      </c>
      <c r="BI83" s="154" t="e">
        <f t="shared" si="46"/>
        <v>#REF!</v>
      </c>
      <c r="BJ83" s="154" t="e">
        <f t="shared" si="46"/>
        <v>#REF!</v>
      </c>
      <c r="BK83" s="154" t="e">
        <f t="shared" si="46"/>
        <v>#REF!</v>
      </c>
      <c r="BL83" s="154" t="e">
        <f t="shared" si="46"/>
        <v>#REF!</v>
      </c>
      <c r="BM83" s="154" t="e">
        <f t="shared" si="46"/>
        <v>#REF!</v>
      </c>
      <c r="BN83" s="154" t="e">
        <f t="shared" si="46"/>
        <v>#REF!</v>
      </c>
      <c r="BO83" s="154" t="e">
        <f t="shared" si="46"/>
        <v>#REF!</v>
      </c>
      <c r="BP83" s="154" t="e">
        <f t="shared" si="46"/>
        <v>#REF!</v>
      </c>
      <c r="BQ83" s="154" t="e">
        <f t="shared" si="46"/>
        <v>#REF!</v>
      </c>
      <c r="BR83" s="154" t="e">
        <f t="shared" ref="BR83:CK83" si="47">BR81/BR82</f>
        <v>#REF!</v>
      </c>
      <c r="BS83" s="154" t="e">
        <f t="shared" si="47"/>
        <v>#REF!</v>
      </c>
      <c r="BT83" s="154" t="e">
        <f t="shared" si="47"/>
        <v>#DIV/0!</v>
      </c>
      <c r="BU83" s="154" t="e">
        <f t="shared" si="47"/>
        <v>#DIV/0!</v>
      </c>
      <c r="BV83" s="154" t="e">
        <f t="shared" si="47"/>
        <v>#DIV/0!</v>
      </c>
      <c r="BW83" s="154" t="e">
        <f t="shared" si="47"/>
        <v>#DIV/0!</v>
      </c>
      <c r="BX83" s="154" t="e">
        <f t="shared" si="47"/>
        <v>#DIV/0!</v>
      </c>
      <c r="BY83" s="154" t="e">
        <f t="shared" si="47"/>
        <v>#DIV/0!</v>
      </c>
      <c r="BZ83" s="154" t="e">
        <f t="shared" si="47"/>
        <v>#DIV/0!</v>
      </c>
      <c r="CA83" s="154" t="e">
        <f t="shared" si="47"/>
        <v>#DIV/0!</v>
      </c>
      <c r="CB83" s="154" t="e">
        <f t="shared" si="47"/>
        <v>#DIV/0!</v>
      </c>
      <c r="CC83" s="154" t="e">
        <f t="shared" si="47"/>
        <v>#DIV/0!</v>
      </c>
      <c r="CD83" s="154" t="e">
        <f t="shared" si="47"/>
        <v>#DIV/0!</v>
      </c>
      <c r="CE83" s="154" t="e">
        <f t="shared" si="47"/>
        <v>#DIV/0!</v>
      </c>
      <c r="CF83" s="154" t="e">
        <f t="shared" si="47"/>
        <v>#DIV/0!</v>
      </c>
      <c r="CG83" s="154" t="e">
        <f t="shared" si="47"/>
        <v>#DIV/0!</v>
      </c>
      <c r="CH83" s="154" t="e">
        <f t="shared" si="47"/>
        <v>#DIV/0!</v>
      </c>
      <c r="CI83" s="154" t="e">
        <f t="shared" si="47"/>
        <v>#DIV/0!</v>
      </c>
      <c r="CJ83" s="154" t="e">
        <f t="shared" si="47"/>
        <v>#DIV/0!</v>
      </c>
      <c r="CK83" s="154" t="e">
        <f t="shared" si="47"/>
        <v>#DIV/0!</v>
      </c>
    </row>
    <row r="84" spans="1:89" s="76" customFormat="1">
      <c r="A84" s="70" t="s">
        <v>582</v>
      </c>
      <c r="E84" s="76">
        <f>资产资本表!E52</f>
        <v>361085244.20999998</v>
      </c>
      <c r="F84" s="76">
        <f>资产资本表!F52</f>
        <v>354036109.56999999</v>
      </c>
      <c r="G84" s="76">
        <f>资产资本表!G52</f>
        <v>322558164.68000001</v>
      </c>
      <c r="H84" s="76">
        <f>资产资本表!H52</f>
        <v>322807488.62</v>
      </c>
      <c r="I84" s="76">
        <f>资产资本表!I52</f>
        <v>318604026.31</v>
      </c>
      <c r="J84" s="76">
        <f>资产资本表!J52</f>
        <v>327003617.43000001</v>
      </c>
      <c r="K84" s="76">
        <f>资产资本表!K52</f>
        <v>320676525.25</v>
      </c>
      <c r="L84" s="76">
        <f>资产资本表!L52</f>
        <v>329227340.44999999</v>
      </c>
      <c r="M84" s="76">
        <f>资产资本表!M52</f>
        <v>323076242.56</v>
      </c>
      <c r="N84" s="76">
        <f>资产资本表!N52</f>
        <v>328628245.25</v>
      </c>
      <c r="O84" s="76">
        <f>资产资本表!O52</f>
        <v>320456063.94999999</v>
      </c>
      <c r="P84" s="76">
        <f>资产资本表!P52</f>
        <v>321986570.60000002</v>
      </c>
      <c r="Q84" s="76">
        <f>资产资本表!Q52</f>
        <v>328259275.70999998</v>
      </c>
      <c r="R84" s="76">
        <f>资产资本表!R52</f>
        <v>336520891.97000003</v>
      </c>
      <c r="S84" s="76">
        <f>资产资本表!S52</f>
        <v>327435109.08999997</v>
      </c>
      <c r="T84" s="76">
        <f>资产资本表!T52</f>
        <v>335438245.37</v>
      </c>
      <c r="U84" s="76">
        <f>资产资本表!U52</f>
        <v>344436785.00999999</v>
      </c>
      <c r="V84" s="76">
        <f>资产资本表!V52</f>
        <v>353155697.79000002</v>
      </c>
      <c r="W84" s="76">
        <f>资产资本表!W52</f>
        <v>366426406.51999998</v>
      </c>
      <c r="X84" s="76">
        <f>资产资本表!X52</f>
        <v>377322915.33999997</v>
      </c>
      <c r="Y84" s="76">
        <f>资产资本表!Y52</f>
        <v>389402307.66000003</v>
      </c>
      <c r="Z84" s="76">
        <f>资产资本表!Z52</f>
        <v>401320837.57999998</v>
      </c>
      <c r="AA84" s="76">
        <f>资产资本表!AA52</f>
        <v>389284954.92000002</v>
      </c>
      <c r="AB84" s="76">
        <f>资产资本表!AB52</f>
        <v>387635851.69</v>
      </c>
      <c r="AC84" s="76">
        <f>资产资本表!AC52</f>
        <v>398816761.32999998</v>
      </c>
      <c r="AD84" s="76">
        <f>资产资本表!AD52</f>
        <v>407633965.42000002</v>
      </c>
      <c r="AE84" s="76">
        <f>资产资本表!AE52</f>
        <v>410133303.29000002</v>
      </c>
      <c r="AF84" s="76">
        <f>资产资本表!AF52</f>
        <v>419096893.50999999</v>
      </c>
      <c r="AG84" s="76">
        <f>资产资本表!AG52</f>
        <v>434679837.60000002</v>
      </c>
      <c r="AH84" s="76">
        <f>资产资本表!AH52</f>
        <v>444821253.72000003</v>
      </c>
      <c r="AI84" s="76">
        <f>资产资本表!AI52</f>
        <v>435890836.63</v>
      </c>
      <c r="AJ84" s="76">
        <f>资产资本表!AJ52</f>
        <v>447916590.14999998</v>
      </c>
      <c r="AK84" s="76">
        <f>资产资本表!AK52</f>
        <v>442331343.55000001</v>
      </c>
      <c r="AL84" s="76">
        <f>资产资本表!AL52</f>
        <v>453225182.27999997</v>
      </c>
      <c r="AM84" s="76">
        <f>资产资本表!AM52</f>
        <v>391153499.26999998</v>
      </c>
      <c r="AN84" s="76">
        <f>资产资本表!AN52</f>
        <v>399120561.67000002</v>
      </c>
      <c r="AO84" s="76">
        <f>资产资本表!AO52</f>
        <v>403463865.64999998</v>
      </c>
      <c r="AP84" s="76">
        <f>资产资本表!AP52</f>
        <v>413787887.83999997</v>
      </c>
      <c r="AQ84" s="76">
        <f>资产资本表!AQ52</f>
        <v>410598349.97000003</v>
      </c>
      <c r="AR84" s="76">
        <f>资产资本表!AR52</f>
        <v>417606342.80000001</v>
      </c>
      <c r="AS84" s="76">
        <f>资产资本表!AS52</f>
        <v>380079423.11000001</v>
      </c>
      <c r="AT84" s="76">
        <f>资产资本表!AT52</f>
        <v>388327565.99000001</v>
      </c>
      <c r="AU84" s="76">
        <f>资产资本表!AU52</f>
        <v>353906559.25999999</v>
      </c>
      <c r="AV84" s="76">
        <f>资产资本表!AV52</f>
        <v>349659322.42000002</v>
      </c>
      <c r="AW84" s="76">
        <f>资产资本表!AW52</f>
        <v>361883616.62</v>
      </c>
      <c r="AX84" s="76">
        <f>资产资本表!AX52</f>
        <v>443472892.14999998</v>
      </c>
      <c r="AY84" s="76">
        <f>资产资本表!AY52</f>
        <v>426157738.35000002</v>
      </c>
      <c r="AZ84" s="76">
        <f>资产资本表!AZ52</f>
        <v>422819482.04000002</v>
      </c>
      <c r="BA84" s="76">
        <f>资产资本表!BA52</f>
        <v>438470205.35000002</v>
      </c>
      <c r="BB84" s="76">
        <f>资产资本表!BB52</f>
        <v>446037080.16000003</v>
      </c>
      <c r="BC84" s="76">
        <f>资产资本表!BC52</f>
        <v>456807895.63999999</v>
      </c>
      <c r="BD84" s="76">
        <f>资产资本表!BD52</f>
        <v>461190584.85000002</v>
      </c>
      <c r="BE84" s="76">
        <f>资产资本表!BE52</f>
        <v>468462959.25999999</v>
      </c>
      <c r="BF84" s="76">
        <f>资产资本表!BF52</f>
        <v>477411166.18000001</v>
      </c>
      <c r="BG84" s="76">
        <f>资产资本表!BG52</f>
        <v>485780317.68000001</v>
      </c>
      <c r="BH84" s="76">
        <f>资产资本表!BH52</f>
        <v>494473246.20999998</v>
      </c>
      <c r="BI84" s="76">
        <f>资产资本表!BI52</f>
        <v>503771912.18000001</v>
      </c>
      <c r="BJ84" s="76">
        <f>资产资本表!BJ52</f>
        <v>560156019.73000002</v>
      </c>
      <c r="BK84" s="76">
        <f>资产资本表!BK52</f>
        <v>571589880.60000002</v>
      </c>
      <c r="BL84" s="76">
        <f>资产资本表!BL52</f>
        <v>582928165.77999997</v>
      </c>
      <c r="BM84" s="76">
        <f>资产资本表!BM52</f>
        <v>590073578.08000004</v>
      </c>
      <c r="BN84" s="76">
        <f>资产资本表!BN52</f>
        <v>597862948.45000005</v>
      </c>
      <c r="BO84" s="76">
        <f>资产资本表!BO52</f>
        <v>544959480.72000003</v>
      </c>
      <c r="BP84" s="76">
        <f>资产资本表!BP52</f>
        <v>553172889.63</v>
      </c>
      <c r="BQ84" s="76">
        <f>资产资本表!BQ52</f>
        <v>550848838.5</v>
      </c>
      <c r="BR84" s="76">
        <f>资产资本表!BR52</f>
        <v>557448679.74000001</v>
      </c>
      <c r="BS84" s="76">
        <f>资产资本表!BS52</f>
        <v>582619952.15999997</v>
      </c>
      <c r="BT84" s="76">
        <f>资产资本表!BT52</f>
        <v>546688844.14999998</v>
      </c>
      <c r="BU84" s="76">
        <f>资产资本表!BU52</f>
        <v>608021177.13999999</v>
      </c>
      <c r="BV84" s="76">
        <f>资产资本表!BV52</f>
        <v>602188029.63999999</v>
      </c>
      <c r="BW84" s="76">
        <f>资产资本表!BW52</f>
        <v>525147874.16000003</v>
      </c>
      <c r="BX84" s="76">
        <f>资产资本表!BX52</f>
        <v>545946851.88</v>
      </c>
      <c r="BY84" s="76">
        <f>资产资本表!BY52</f>
        <v>452952384.62</v>
      </c>
      <c r="BZ84" s="76">
        <f>资产资本表!BZ52</f>
        <v>455582934.73000002</v>
      </c>
      <c r="CA84" s="76">
        <f>资产资本表!CA52</f>
        <v>276363958.02999997</v>
      </c>
      <c r="CB84" s="76">
        <f>资产资本表!CB52</f>
        <v>267500667.56</v>
      </c>
      <c r="CC84" s="76">
        <f>资产资本表!CC52</f>
        <v>274260696.44</v>
      </c>
      <c r="CD84" s="76">
        <f>资产资本表!CD52</f>
        <v>301262988.81</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4" customFormat="1">
      <c r="A85" s="250" t="s">
        <v>583</v>
      </c>
      <c r="E85" s="154">
        <f>E81/E84</f>
        <v>1.1672429270327065</v>
      </c>
      <c r="F85" s="154">
        <f t="shared" ref="F85:BQ85" si="48">F81/F84</f>
        <v>3.8593905414889398</v>
      </c>
      <c r="G85" s="154">
        <f t="shared" si="48"/>
        <v>3.1809383701631</v>
      </c>
      <c r="H85" s="154">
        <f t="shared" si="48"/>
        <v>2.1634552558107254</v>
      </c>
      <c r="I85" s="154">
        <f t="shared" si="48"/>
        <v>0.89215638032593958</v>
      </c>
      <c r="J85" s="154">
        <f t="shared" si="48"/>
        <v>3.1392186636887747</v>
      </c>
      <c r="K85" s="154">
        <f t="shared" si="48"/>
        <v>2.3891733880511103</v>
      </c>
      <c r="L85" s="154">
        <f t="shared" si="48"/>
        <v>1.5973223521509634</v>
      </c>
      <c r="M85" s="154">
        <f t="shared" si="48"/>
        <v>0.91386990844790383</v>
      </c>
      <c r="N85" s="154">
        <f t="shared" si="48"/>
        <v>3.4101304348549455</v>
      </c>
      <c r="O85" s="154">
        <f t="shared" si="48"/>
        <v>2.675970508499407</v>
      </c>
      <c r="P85" s="154">
        <f t="shared" si="48"/>
        <v>1.8425265004825637</v>
      </c>
      <c r="Q85" s="154">
        <f t="shared" si="48"/>
        <v>1.0222181349916926</v>
      </c>
      <c r="R85" s="154">
        <f t="shared" si="48"/>
        <v>3.6100360625405119</v>
      </c>
      <c r="S85" s="154">
        <f t="shared" si="48"/>
        <v>2.8329918621372725</v>
      </c>
      <c r="T85" s="154">
        <f t="shared" si="48"/>
        <v>1.8808847976296579</v>
      </c>
      <c r="U85" s="154">
        <f t="shared" si="48"/>
        <v>1.0434745840795294</v>
      </c>
      <c r="V85" s="154">
        <f t="shared" si="48"/>
        <v>4.043557888846939</v>
      </c>
      <c r="W85" s="154">
        <f t="shared" si="48"/>
        <v>2.9753431101055026</v>
      </c>
      <c r="X85" s="154">
        <f t="shared" si="48"/>
        <v>1.9972036938730602</v>
      </c>
      <c r="Y85" s="154">
        <f t="shared" si="48"/>
        <v>1.0455360677920846</v>
      </c>
      <c r="Z85" s="154">
        <f t="shared" si="48"/>
        <v>3.2892823029326439</v>
      </c>
      <c r="AA85" s="154">
        <f t="shared" si="48"/>
        <v>2.5680367176158732</v>
      </c>
      <c r="AB85" s="154">
        <f t="shared" si="48"/>
        <v>1.7960770740235448</v>
      </c>
      <c r="AC85" s="154">
        <f t="shared" si="48"/>
        <v>0.99586372640282528</v>
      </c>
      <c r="AD85" s="154">
        <f t="shared" si="48"/>
        <v>2.914823402745093</v>
      </c>
      <c r="AE85" s="154">
        <f t="shared" si="48"/>
        <v>2.149359133015067</v>
      </c>
      <c r="AF85" s="154">
        <f t="shared" si="48"/>
        <v>1.4792206010832858</v>
      </c>
      <c r="AG85" s="154">
        <f t="shared" si="48"/>
        <v>0.82982425129626025</v>
      </c>
      <c r="AH85" s="154">
        <f t="shared" si="48"/>
        <v>2.070268540787116</v>
      </c>
      <c r="AI85" s="154">
        <f t="shared" si="48"/>
        <v>1.4962080575086671</v>
      </c>
      <c r="AJ85" s="154">
        <f t="shared" si="48"/>
        <v>0.97661741674606739</v>
      </c>
      <c r="AK85" s="154">
        <f t="shared" si="48"/>
        <v>0.56677071859290806</v>
      </c>
      <c r="AL85" s="154">
        <f t="shared" si="48"/>
        <v>1.6087341612222124</v>
      </c>
      <c r="AM85" s="154">
        <f t="shared" si="48"/>
        <v>1.3599630609026201</v>
      </c>
      <c r="AN85" s="154">
        <f t="shared" si="48"/>
        <v>0.91323318835015799</v>
      </c>
      <c r="AO85" s="154">
        <f t="shared" si="48"/>
        <v>0.51738144124431584</v>
      </c>
      <c r="AP85" s="154">
        <f t="shared" si="48"/>
        <v>1.505353370809289</v>
      </c>
      <c r="AQ85" s="154">
        <f t="shared" si="48"/>
        <v>1.1161079529021078</v>
      </c>
      <c r="AR85" s="154">
        <f t="shared" si="48"/>
        <v>0.74795584481721145</v>
      </c>
      <c r="AS85" s="154">
        <f t="shared" si="48"/>
        <v>0.49267977594726359</v>
      </c>
      <c r="AT85" s="154">
        <f t="shared" si="48"/>
        <v>1.4096645921451185</v>
      </c>
      <c r="AU85" s="154">
        <f t="shared" si="48"/>
        <v>1.1269526550000795</v>
      </c>
      <c r="AV85" s="154">
        <f t="shared" si="48"/>
        <v>0.77598534331107061</v>
      </c>
      <c r="AW85" s="154">
        <f t="shared" si="48"/>
        <v>0.42075639668951204</v>
      </c>
      <c r="AX85" s="154">
        <f t="shared" si="48"/>
        <v>1.0154935562953777</v>
      </c>
      <c r="AY85" s="154">
        <f t="shared" si="48"/>
        <v>0.77704681210794679</v>
      </c>
      <c r="AZ85" s="154">
        <f t="shared" si="48"/>
        <v>0.53067666373228495</v>
      </c>
      <c r="BA85" s="154">
        <f t="shared" si="48"/>
        <v>0.29716827410426006</v>
      </c>
      <c r="BB85" s="154">
        <f t="shared" si="48"/>
        <v>0.98537841462046039</v>
      </c>
      <c r="BC85" s="154">
        <f t="shared" si="48"/>
        <v>0.70666893101252537</v>
      </c>
      <c r="BD85" s="154">
        <f t="shared" si="48"/>
        <v>0.49275828719251441</v>
      </c>
      <c r="BE85" s="154">
        <f t="shared" si="48"/>
        <v>0.28325194081428856</v>
      </c>
      <c r="BF85" s="154">
        <f t="shared" si="48"/>
        <v>0.84572104708118667</v>
      </c>
      <c r="BG85" s="154">
        <f t="shared" si="48"/>
        <v>0.61744942953325621</v>
      </c>
      <c r="BH85" s="154">
        <f t="shared" si="48"/>
        <v>0.42402461550155301</v>
      </c>
      <c r="BI85" s="154">
        <f t="shared" si="48"/>
        <v>0.2457365132055386</v>
      </c>
      <c r="BJ85" s="154">
        <f t="shared" si="48"/>
        <v>0.85616416442541188</v>
      </c>
      <c r="BK85" s="154">
        <f t="shared" si="48"/>
        <v>0.63839252017016901</v>
      </c>
      <c r="BL85" s="154">
        <f t="shared" si="48"/>
        <v>0.44130489662612576</v>
      </c>
      <c r="BM85" s="154">
        <f t="shared" si="48"/>
        <v>0.25341819989053388</v>
      </c>
      <c r="BN85" s="154">
        <f t="shared" si="48"/>
        <v>0.84848756955947124</v>
      </c>
      <c r="BO85" s="154">
        <f t="shared" si="48"/>
        <v>0.74502971852802446</v>
      </c>
      <c r="BP85" s="154">
        <f t="shared" si="48"/>
        <v>0.52831447700822132</v>
      </c>
      <c r="BQ85" s="154">
        <f t="shared" si="48"/>
        <v>0.31576398634813496</v>
      </c>
      <c r="BR85" s="154">
        <f t="shared" ref="BR85:CK85" si="49">BR81/BR84</f>
        <v>1.1654541246792764</v>
      </c>
      <c r="BS85" s="154">
        <f t="shared" si="49"/>
        <v>0.58724957539051126</v>
      </c>
      <c r="BT85" s="154">
        <f t="shared" si="49"/>
        <v>1.1887400844998568</v>
      </c>
      <c r="BU85" s="154">
        <f t="shared" si="49"/>
        <v>0.51374874029770046</v>
      </c>
      <c r="BV85" s="154">
        <f t="shared" si="49"/>
        <v>0.97478721490183617</v>
      </c>
      <c r="BW85" s="154">
        <f t="shared" si="49"/>
        <v>0.60676216200947253</v>
      </c>
      <c r="BX85" s="154">
        <f t="shared" si="49"/>
        <v>1.1126244660597751</v>
      </c>
      <c r="BY85" s="154">
        <f t="shared" si="49"/>
        <v>0.68916918742327482</v>
      </c>
      <c r="BZ85" s="154">
        <f t="shared" si="49"/>
        <v>1.3226991600928353</v>
      </c>
      <c r="CA85" s="154">
        <f t="shared" si="49"/>
        <v>1.2503680638503845</v>
      </c>
      <c r="CB85" s="154">
        <f t="shared" si="49"/>
        <v>2.2903655261068763</v>
      </c>
      <c r="CC85" s="154">
        <f t="shared" si="49"/>
        <v>1.2179008785280834</v>
      </c>
      <c r="CD85" s="154">
        <f t="shared" si="49"/>
        <v>1.8336565589156879</v>
      </c>
      <c r="CE85" s="154" t="e">
        <f t="shared" si="49"/>
        <v>#DIV/0!</v>
      </c>
      <c r="CF85" s="154" t="e">
        <f t="shared" si="49"/>
        <v>#DIV/0!</v>
      </c>
      <c r="CG85" s="154" t="e">
        <f t="shared" si="49"/>
        <v>#DIV/0!</v>
      </c>
      <c r="CH85" s="154" t="e">
        <f t="shared" si="49"/>
        <v>#DIV/0!</v>
      </c>
      <c r="CI85" s="154" t="e">
        <f t="shared" si="49"/>
        <v>#DIV/0!</v>
      </c>
      <c r="CJ85" s="154" t="e">
        <f t="shared" si="49"/>
        <v>#DIV/0!</v>
      </c>
      <c r="CK85" s="154" t="e">
        <f t="shared" si="49"/>
        <v>#DIV/0!</v>
      </c>
    </row>
    <row r="86" spans="1:89" s="76" customFormat="1">
      <c r="A86" s="70" t="s">
        <v>584</v>
      </c>
      <c r="E86" s="76">
        <f>资产资本表!E53</f>
        <v>13295137.5</v>
      </c>
      <c r="F86" s="76">
        <f>资产资本表!F53</f>
        <v>4240524.93</v>
      </c>
      <c r="G86" s="76">
        <f>资产资本表!G53</f>
        <v>13845931.77</v>
      </c>
      <c r="H86" s="76">
        <f>资产资本表!H53</f>
        <v>5279235.6399999997</v>
      </c>
      <c r="I86" s="76">
        <f>资产资本表!I53</f>
        <v>1694174.76</v>
      </c>
      <c r="J86" s="76">
        <f>资产资本表!J53</f>
        <v>0</v>
      </c>
      <c r="K86" s="76">
        <f>资产资本表!K53</f>
        <v>11015383.699999999</v>
      </c>
      <c r="L86" s="76">
        <f>资产资本表!L53</f>
        <v>9165383.6999999993</v>
      </c>
      <c r="M86" s="76">
        <f>资产资本表!M53</f>
        <v>17648263.43</v>
      </c>
      <c r="N86" s="76">
        <f>资产资本表!N53</f>
        <v>8786395.7100000009</v>
      </c>
      <c r="O86" s="76">
        <f>资产资本表!O53</f>
        <v>11194632.539999999</v>
      </c>
      <c r="P86" s="76">
        <f>资产资本表!P53</f>
        <v>12480542.33</v>
      </c>
      <c r="Q86" s="76">
        <f>资产资本表!Q53</f>
        <v>10658691.460000001</v>
      </c>
      <c r="R86" s="76">
        <f>资产资本表!R53</f>
        <v>7752792.2999999998</v>
      </c>
      <c r="S86" s="76">
        <f>资产资本表!S53</f>
        <v>15360592.300000001</v>
      </c>
      <c r="T86" s="76">
        <f>资产资本表!T53</f>
        <v>9161400</v>
      </c>
      <c r="U86" s="76">
        <f>资产资本表!U53</f>
        <v>6436400</v>
      </c>
      <c r="V86" s="76">
        <f>资产资本表!V53</f>
        <v>3065000</v>
      </c>
      <c r="W86" s="76">
        <f>资产资本表!W53</f>
        <v>3065000</v>
      </c>
      <c r="X86" s="76">
        <f>资产资本表!X53</f>
        <v>2572100</v>
      </c>
      <c r="Y86" s="76">
        <f>资产资本表!Y53</f>
        <v>1992000</v>
      </c>
      <c r="Z86" s="76">
        <f>资产资本表!Z53</f>
        <v>1457000</v>
      </c>
      <c r="AA86" s="76">
        <f>资产资本表!AA53</f>
        <v>9082293.8000000007</v>
      </c>
      <c r="AB86" s="76">
        <f>资产资本表!AB53</f>
        <v>6104472</v>
      </c>
      <c r="AC86" s="76">
        <f>资产资本表!AC53</f>
        <v>2310702</v>
      </c>
      <c r="AD86" s="76">
        <f>资产资本表!AD53</f>
        <v>510000</v>
      </c>
      <c r="AE86" s="76">
        <f>资产资本表!AE53</f>
        <v>11444402.699999999</v>
      </c>
      <c r="AF86" s="76">
        <f>资产资本表!AF53</f>
        <v>10563539.199999999</v>
      </c>
      <c r="AG86" s="76">
        <f>资产资本表!AG53</f>
        <v>6157101.1600000001</v>
      </c>
      <c r="AH86" s="76">
        <f>资产资本表!AH53</f>
        <v>2221101.16</v>
      </c>
      <c r="AI86" s="76">
        <f>资产资本表!AI53</f>
        <v>12531889.359999999</v>
      </c>
      <c r="AJ86" s="76">
        <f>资产资本表!AJ53</f>
        <v>7046651.7599999998</v>
      </c>
      <c r="AK86" s="76">
        <f>资产资本表!AK53</f>
        <v>14915852.460000001</v>
      </c>
      <c r="AL86" s="76">
        <f>资产资本表!AL53</f>
        <v>5511385.2000000002</v>
      </c>
      <c r="AM86" s="76">
        <f>资产资本表!AM53</f>
        <v>72089640.959999993</v>
      </c>
      <c r="AN86" s="76">
        <f>资产资本表!AN53</f>
        <v>54988676.399999999</v>
      </c>
      <c r="AO86" s="76">
        <f>资产资本表!AO53</f>
        <v>59305703.469999999</v>
      </c>
      <c r="AP86" s="76">
        <f>资产资本表!AP53</f>
        <v>51184470.469999999</v>
      </c>
      <c r="AQ86" s="76">
        <f>资产资本表!AQ53</f>
        <v>52584682.520000003</v>
      </c>
      <c r="AR86" s="76">
        <f>资产资本表!AR53</f>
        <v>45907986.479999997</v>
      </c>
      <c r="AS86" s="76">
        <f>资产资本表!AS53</f>
        <v>18790976.57</v>
      </c>
      <c r="AT86" s="76">
        <f>资产资本表!AT53</f>
        <v>14559437.800000001</v>
      </c>
      <c r="AU86" s="76">
        <f>资产资本表!AU53</f>
        <v>24504525.34</v>
      </c>
      <c r="AV86" s="76">
        <f>资产资本表!AV53</f>
        <v>24213414.940000001</v>
      </c>
      <c r="AW86" s="76">
        <f>资产资本表!AW53</f>
        <v>22899523.719999999</v>
      </c>
      <c r="AX86" s="76">
        <f>资产资本表!AX53</f>
        <v>6813401.1600000001</v>
      </c>
      <c r="AY86" s="76">
        <f>资产资本表!AY53</f>
        <v>24760000.390000001</v>
      </c>
      <c r="AZ86" s="76">
        <f>资产资本表!AZ53</f>
        <v>23918597.289999999</v>
      </c>
      <c r="BA86" s="76">
        <f>资产资本表!BA53</f>
        <v>23458804.600000001</v>
      </c>
      <c r="BB86" s="76">
        <f>资产资本表!BB53</f>
        <v>22085658.379999999</v>
      </c>
      <c r="BC86" s="76">
        <f>资产资本表!BC53</f>
        <v>1320726.26</v>
      </c>
      <c r="BD86" s="76">
        <f>资产资本表!BD53</f>
        <v>1320726.26</v>
      </c>
      <c r="BE86" s="76">
        <f>资产资本表!BE53</f>
        <v>469712.38</v>
      </c>
      <c r="BF86" s="76">
        <f>资产资本表!BF53</f>
        <v>0</v>
      </c>
      <c r="BG86" s="76">
        <f>资产资本表!BG53</f>
        <v>0</v>
      </c>
      <c r="BH86" s="76">
        <f>资产资本表!BH53</f>
        <v>0</v>
      </c>
      <c r="BI86" s="76">
        <f>资产资本表!BI53</f>
        <v>0</v>
      </c>
      <c r="BJ86" s="76">
        <f>资产资本表!BJ53</f>
        <v>0</v>
      </c>
      <c r="BK86" s="76">
        <f>资产资本表!BK53</f>
        <v>161553.98000000001</v>
      </c>
      <c r="BL86" s="76">
        <f>资产资本表!BL53</f>
        <v>161553.98000000001</v>
      </c>
      <c r="BM86" s="76">
        <f>资产资本表!BM53</f>
        <v>161553.98000000001</v>
      </c>
      <c r="BN86" s="76">
        <f>资产资本表!BN53</f>
        <v>161553.98000000001</v>
      </c>
      <c r="BO86" s="76">
        <f>资产资本表!BO53</f>
        <v>311553.98</v>
      </c>
      <c r="BP86" s="76">
        <f>资产资本表!BP53</f>
        <v>311553.98</v>
      </c>
      <c r="BQ86" s="76">
        <f>资产资本表!BQ53</f>
        <v>1874169.98</v>
      </c>
      <c r="BR86" s="76">
        <f>资产资本表!BR53</f>
        <v>153774.91</v>
      </c>
      <c r="BS86" s="76">
        <f>资产资本表!BS53</f>
        <v>1059117.55</v>
      </c>
      <c r="BT86" s="76">
        <f>资产资本表!BT53</f>
        <v>803293.46</v>
      </c>
      <c r="BU86" s="76">
        <f>资产资本表!BU53</f>
        <v>4079355.67</v>
      </c>
      <c r="BV86" s="76">
        <f>资产资本表!BV53</f>
        <v>1252398.69</v>
      </c>
      <c r="BW86" s="76">
        <f>资产资本表!BW53</f>
        <v>43120564.700000003</v>
      </c>
      <c r="BX86" s="76">
        <f>资产资本表!BX53</f>
        <v>32901968.989999998</v>
      </c>
      <c r="BY86" s="76">
        <f>资产资本表!BY53</f>
        <v>110065348.44</v>
      </c>
      <c r="BZ86" s="76">
        <f>资产资本表!BZ53</f>
        <v>67433266.379999995</v>
      </c>
      <c r="CA86" s="76">
        <f>资产资本表!CA53</f>
        <v>170086258.68000001</v>
      </c>
      <c r="CB86" s="76">
        <f>资产资本表!CB53</f>
        <v>119189647.17</v>
      </c>
      <c r="CC86" s="76">
        <f>资产资本表!CC53</f>
        <v>57961134.200000003</v>
      </c>
      <c r="CD86" s="76">
        <f>资产资本表!CD53</f>
        <v>16252537.6</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c r="A87" s="253" t="s">
        <v>585</v>
      </c>
      <c r="E87" s="54">
        <f>E81/E86</f>
        <v>31.701379347148535</v>
      </c>
      <c r="F87" s="54">
        <f t="shared" ref="F87:BQ87" si="50">F81/F86</f>
        <v>322.21567734539883</v>
      </c>
      <c r="G87" s="54">
        <f t="shared" si="50"/>
        <v>74.103907175327649</v>
      </c>
      <c r="H87" s="54">
        <f t="shared" si="50"/>
        <v>132.28800635047995</v>
      </c>
      <c r="I87" s="54">
        <f t="shared" si="50"/>
        <v>167.77762340763476</v>
      </c>
      <c r="J87" s="54" t="e">
        <f t="shared" si="50"/>
        <v>#DIV/0!</v>
      </c>
      <c r="K87" s="54">
        <f t="shared" si="50"/>
        <v>69.552894494269864</v>
      </c>
      <c r="L87" s="54">
        <f t="shared" si="50"/>
        <v>57.376996648814604</v>
      </c>
      <c r="M87" s="54">
        <f t="shared" si="50"/>
        <v>16.729671867211017</v>
      </c>
      <c r="N87" s="54">
        <f t="shared" si="50"/>
        <v>127.54549395089786</v>
      </c>
      <c r="O87" s="54">
        <f t="shared" si="50"/>
        <v>76.601976289612097</v>
      </c>
      <c r="P87" s="54">
        <f t="shared" si="50"/>
        <v>47.535497532341608</v>
      </c>
      <c r="Q87" s="54">
        <f t="shared" si="50"/>
        <v>31.481592826780258</v>
      </c>
      <c r="R87" s="54">
        <f t="shared" si="50"/>
        <v>156.69871045171686</v>
      </c>
      <c r="S87" s="54">
        <f t="shared" si="50"/>
        <v>60.389663452626102</v>
      </c>
      <c r="T87" s="54">
        <f t="shared" si="50"/>
        <v>68.867279701792299</v>
      </c>
      <c r="U87" s="54">
        <f t="shared" si="50"/>
        <v>55.840381421291411</v>
      </c>
      <c r="V87" s="54">
        <f t="shared" si="50"/>
        <v>465.90718035562804</v>
      </c>
      <c r="W87" s="54">
        <f t="shared" si="50"/>
        <v>355.70775986949428</v>
      </c>
      <c r="X87" s="54">
        <f t="shared" si="50"/>
        <v>292.986555849306</v>
      </c>
      <c r="Y87" s="54">
        <f t="shared" si="50"/>
        <v>204.38461723895583</v>
      </c>
      <c r="Z87" s="54">
        <f t="shared" si="50"/>
        <v>906.01065809883312</v>
      </c>
      <c r="AA87" s="54">
        <f t="shared" si="50"/>
        <v>110.07109876251745</v>
      </c>
      <c r="AB87" s="54">
        <f t="shared" si="50"/>
        <v>114.05144724883658</v>
      </c>
      <c r="AC87" s="54">
        <f t="shared" si="50"/>
        <v>171.88159532903853</v>
      </c>
      <c r="AD87" s="54">
        <f t="shared" si="50"/>
        <v>2329.7667101176471</v>
      </c>
      <c r="AE87" s="54">
        <f t="shared" si="50"/>
        <v>77.026629024509944</v>
      </c>
      <c r="AF87" s="54">
        <f t="shared" si="50"/>
        <v>58.686463598298573</v>
      </c>
      <c r="AG87" s="54">
        <f t="shared" si="50"/>
        <v>58.584041648261632</v>
      </c>
      <c r="AH87" s="54">
        <f t="shared" si="50"/>
        <v>414.61391513117752</v>
      </c>
      <c r="AI87" s="54">
        <f t="shared" si="50"/>
        <v>52.041903916074794</v>
      </c>
      <c r="AJ87" s="54">
        <f t="shared" si="50"/>
        <v>62.078155425974963</v>
      </c>
      <c r="AK87" s="54">
        <f t="shared" si="50"/>
        <v>16.807651732430717</v>
      </c>
      <c r="AL87" s="54">
        <f t="shared" si="50"/>
        <v>132.29320887605533</v>
      </c>
      <c r="AM87" s="54">
        <f t="shared" si="50"/>
        <v>7.3790672704995535</v>
      </c>
      <c r="AN87" s="54">
        <f t="shared" si="50"/>
        <v>6.6284582014416333</v>
      </c>
      <c r="AO87" s="54">
        <f t="shared" si="50"/>
        <v>3.5198084515698271</v>
      </c>
      <c r="AP87" s="54">
        <f t="shared" si="50"/>
        <v>12.169648060051523</v>
      </c>
      <c r="AQ87" s="54">
        <f t="shared" si="50"/>
        <v>8.7149348800518336</v>
      </c>
      <c r="AR87" s="54">
        <f t="shared" si="50"/>
        <v>6.8038511134893067</v>
      </c>
      <c r="AS87" s="54">
        <f t="shared" si="50"/>
        <v>9.9652854295480608</v>
      </c>
      <c r="AT87" s="54">
        <f t="shared" si="50"/>
        <v>37.598403691796392</v>
      </c>
      <c r="AU87" s="54">
        <f t="shared" si="50"/>
        <v>16.276011514043063</v>
      </c>
      <c r="AV87" s="54">
        <f t="shared" si="50"/>
        <v>11.205792740195779</v>
      </c>
      <c r="AW87" s="54">
        <f t="shared" si="50"/>
        <v>6.649258229637975</v>
      </c>
      <c r="AX87" s="54">
        <f t="shared" si="50"/>
        <v>66.09677806935413</v>
      </c>
      <c r="AY87" s="54">
        <f t="shared" si="50"/>
        <v>13.374172327305041</v>
      </c>
      <c r="AZ87" s="54">
        <f t="shared" si="50"/>
        <v>9.3810029647436739</v>
      </c>
      <c r="BA87" s="54">
        <f t="shared" si="50"/>
        <v>5.5543936015392701</v>
      </c>
      <c r="BB87" s="54">
        <f t="shared" si="50"/>
        <v>19.90048489149908</v>
      </c>
      <c r="BC87" s="54">
        <f t="shared" si="50"/>
        <v>244.42002636488806</v>
      </c>
      <c r="BD87" s="54">
        <f t="shared" si="50"/>
        <v>172.06857283204167</v>
      </c>
      <c r="BE87" s="54">
        <f t="shared" si="50"/>
        <v>282.49849920923947</v>
      </c>
      <c r="BF87" s="54" t="e">
        <f t="shared" si="50"/>
        <v>#DIV/0!</v>
      </c>
      <c r="BG87" s="54" t="e">
        <f t="shared" si="50"/>
        <v>#DIV/0!</v>
      </c>
      <c r="BH87" s="54" t="e">
        <f t="shared" si="50"/>
        <v>#DIV/0!</v>
      </c>
      <c r="BI87" s="54" t="e">
        <f t="shared" si="50"/>
        <v>#DIV/0!</v>
      </c>
      <c r="BJ87" s="54" t="e">
        <f t="shared" si="50"/>
        <v>#DIV/0!</v>
      </c>
      <c r="BK87" s="54">
        <f t="shared" si="50"/>
        <v>2258.6797575646233</v>
      </c>
      <c r="BL87" s="54">
        <f t="shared" si="50"/>
        <v>1592.3411725294541</v>
      </c>
      <c r="BM87" s="54">
        <f t="shared" si="50"/>
        <v>925.60631412485168</v>
      </c>
      <c r="BN87" s="54">
        <f t="shared" si="50"/>
        <v>3139.9986559291201</v>
      </c>
      <c r="BO87" s="54">
        <f t="shared" si="50"/>
        <v>1303.1802980979412</v>
      </c>
      <c r="BP87" s="54">
        <f t="shared" si="50"/>
        <v>938.03727328407103</v>
      </c>
      <c r="BQ87" s="54">
        <f t="shared" si="50"/>
        <v>92.808137456134048</v>
      </c>
      <c r="BR87" s="54">
        <f t="shared" ref="BR87:CK87" si="51">BR81/BR86</f>
        <v>4224.8820896724965</v>
      </c>
      <c r="BS87" s="54">
        <f t="shared" si="51"/>
        <v>323.04565203361983</v>
      </c>
      <c r="BT87" s="54">
        <f t="shared" si="51"/>
        <v>809.00813357798279</v>
      </c>
      <c r="BU87" s="54">
        <f t="shared" si="51"/>
        <v>76.57339518767678</v>
      </c>
      <c r="BV87" s="54">
        <f t="shared" si="51"/>
        <v>468.70473192526259</v>
      </c>
      <c r="BW87" s="54">
        <f t="shared" si="51"/>
        <v>7.3895103581516866</v>
      </c>
      <c r="BX87" s="54">
        <f t="shared" si="51"/>
        <v>18.461929277078202</v>
      </c>
      <c r="BY87" s="54">
        <f t="shared" si="51"/>
        <v>2.8361408133838641</v>
      </c>
      <c r="BZ87" s="54">
        <f t="shared" si="51"/>
        <v>8.9362298086560532</v>
      </c>
      <c r="CA87" s="54">
        <f t="shared" si="51"/>
        <v>2.0316554070962884</v>
      </c>
      <c r="CB87" s="54">
        <f t="shared" si="51"/>
        <v>5.1403315785987997</v>
      </c>
      <c r="CC87" s="54">
        <f t="shared" si="51"/>
        <v>5.7628676137949002</v>
      </c>
      <c r="CD87" s="54">
        <f t="shared" si="51"/>
        <v>33.989329481077469</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c r="A89" s="70" t="s">
        <v>587</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c r="A92" s="70" t="s">
        <v>590</v>
      </c>
      <c r="E92" s="76">
        <f>资产资本表!E58</f>
        <v>707112.74</v>
      </c>
      <c r="F92" s="76">
        <f>资产资本表!F58</f>
        <v>741268.01</v>
      </c>
      <c r="G92" s="76">
        <f>资产资本表!G58</f>
        <v>775423.28</v>
      </c>
      <c r="H92" s="76">
        <f>资产资本表!H58</f>
        <v>809578.55</v>
      </c>
      <c r="I92" s="76">
        <f>资产资本表!I58</f>
        <v>843733.82</v>
      </c>
      <c r="J92" s="76">
        <f>资产资本表!J58</f>
        <v>877889.09</v>
      </c>
      <c r="K92" s="76">
        <f>资产资本表!K58</f>
        <v>912044.36</v>
      </c>
      <c r="L92" s="76">
        <f>资产资本表!L58</f>
        <v>772246.5</v>
      </c>
      <c r="M92" s="76">
        <f>资产资本表!M58</f>
        <v>797846.7</v>
      </c>
      <c r="N92" s="76">
        <f>资产资本表!N58</f>
        <v>823446.9</v>
      </c>
      <c r="O92" s="76">
        <f>资产资本表!O58</f>
        <v>1115713.7</v>
      </c>
      <c r="P92" s="76">
        <f>资产资本表!P58</f>
        <v>1142980.55</v>
      </c>
      <c r="Q92" s="76">
        <f>资产资本表!Q58</f>
        <v>1176307.24</v>
      </c>
      <c r="R92" s="76">
        <f>资产资本表!R58</f>
        <v>1076317.69</v>
      </c>
      <c r="S92" s="76">
        <f>资产资本表!S58</f>
        <v>1086219.8700000001</v>
      </c>
      <c r="T92" s="76">
        <f>资产资本表!T58</f>
        <v>1106879.8799999999</v>
      </c>
      <c r="U92" s="76">
        <f>资产资本表!U58</f>
        <v>1127539.8899999999</v>
      </c>
      <c r="V92" s="76">
        <f>资产资本表!V58</f>
        <v>1148199.8999999999</v>
      </c>
      <c r="W92" s="76">
        <f>资产资本表!W58</f>
        <v>839999.9</v>
      </c>
      <c r="X92" s="76">
        <f>资产资本表!X58</f>
        <v>855960.1</v>
      </c>
      <c r="Y92" s="76">
        <f>资产资本表!Y58</f>
        <v>879420.1</v>
      </c>
      <c r="Z92" s="76">
        <f>资产资本表!Z58</f>
        <v>917039.93</v>
      </c>
      <c r="AA92" s="76">
        <f>资产资本表!AA58</f>
        <v>955219.94</v>
      </c>
      <c r="AB92" s="76">
        <f>资产资本表!AB58</f>
        <v>993399.95</v>
      </c>
      <c r="AC92" s="76">
        <f>资产资本表!AC58</f>
        <v>1031579.96</v>
      </c>
      <c r="AD92" s="76">
        <f>资产资本表!AD58</f>
        <v>1069759.97</v>
      </c>
      <c r="AE92" s="76">
        <f>资产资本表!AE58</f>
        <v>1107939.98</v>
      </c>
      <c r="AF92" s="76">
        <f>资产资本表!AF58</f>
        <v>1146119.99</v>
      </c>
      <c r="AG92" s="76">
        <f>资产资本表!AG58</f>
        <v>1184300</v>
      </c>
      <c r="AH92" s="76">
        <f>资产资本表!AH58</f>
        <v>1222480</v>
      </c>
      <c r="AI92" s="76">
        <f>资产资本表!AI58</f>
        <v>360660</v>
      </c>
      <c r="AJ92" s="76">
        <f>资产资本表!AJ58</f>
        <v>393840</v>
      </c>
      <c r="AK92" s="76">
        <f>资产资本表!AK58</f>
        <v>427020</v>
      </c>
      <c r="AL92" s="76">
        <f>资产资本表!AL58</f>
        <v>460200</v>
      </c>
      <c r="AM92" s="76">
        <f>资产资本表!AM58</f>
        <v>493380</v>
      </c>
      <c r="AN92" s="76">
        <f>资产资本表!AN58</f>
        <v>526560</v>
      </c>
      <c r="AO92" s="76">
        <f>资产资本表!AO58</f>
        <v>565050.72</v>
      </c>
      <c r="AP92" s="76">
        <f>资产资本表!AP58</f>
        <v>596505.36</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3688441.7</v>
      </c>
      <c r="AY92" s="76">
        <f>资产资本表!AY58</f>
        <v>19932848.829999998</v>
      </c>
      <c r="AZ92" s="76">
        <f>资产资本表!AZ58</f>
        <v>20097890.079999998</v>
      </c>
      <c r="BA92" s="76">
        <f>资产资本表!BA58</f>
        <v>20097094.93</v>
      </c>
      <c r="BB92" s="76">
        <f>资产资本表!BB58</f>
        <v>20427972.579999998</v>
      </c>
      <c r="BC92" s="76">
        <f>资产资本表!BC58</f>
        <v>23412232.27</v>
      </c>
      <c r="BD92" s="76">
        <f>资产资本表!BD58</f>
        <v>23743109.920000002</v>
      </c>
      <c r="BE92" s="76">
        <f>资产资本表!BE58</f>
        <v>24073987.57</v>
      </c>
      <c r="BF92" s="76">
        <f>资产资本表!BF58</f>
        <v>24404865.219999999</v>
      </c>
      <c r="BG92" s="76">
        <f>资产资本表!BG58</f>
        <v>25319437.489999998</v>
      </c>
      <c r="BH92" s="76">
        <f>资产资本表!BH58</f>
        <v>25725315.140000001</v>
      </c>
      <c r="BI92" s="76">
        <f>资产资本表!BI58</f>
        <v>26212436.649999999</v>
      </c>
      <c r="BJ92" s="76">
        <f>资产资本表!BJ58</f>
        <v>54745606.859999999</v>
      </c>
      <c r="BK92" s="76">
        <f>资产资本表!BK58</f>
        <v>56790302.009999998</v>
      </c>
      <c r="BL92" s="76">
        <f>资产资本表!BL58</f>
        <v>57393797.159999996</v>
      </c>
      <c r="BM92" s="76">
        <f>资产资本表!BM58</f>
        <v>57997292.310000002</v>
      </c>
      <c r="BN92" s="76">
        <f>资产资本表!BN58</f>
        <v>65468182.5</v>
      </c>
      <c r="BO92" s="76">
        <f>资产资本表!BO58</f>
        <v>66285969.609999999</v>
      </c>
      <c r="BP92" s="76">
        <f>资产资本表!BP58</f>
        <v>66889464.759999998</v>
      </c>
      <c r="BQ92" s="76">
        <f>资产资本表!BQ58</f>
        <v>60690188.140000001</v>
      </c>
      <c r="BR92" s="76">
        <f>资产资本表!BR58</f>
        <v>60998568.060000002</v>
      </c>
      <c r="BS92" s="76">
        <f>资产资本表!BS58</f>
        <v>59086216.090000004</v>
      </c>
      <c r="BT92" s="76">
        <f>资产资本表!BT58</f>
        <v>61114385.240000002</v>
      </c>
      <c r="BU92" s="76">
        <f>资产资本表!BU58</f>
        <v>43480921.039999999</v>
      </c>
      <c r="BV92" s="76">
        <f>资产资本表!BV58</f>
        <v>43838500.609999999</v>
      </c>
      <c r="BW92" s="76">
        <f>资产资本表!BW58</f>
        <v>27063866.300000001</v>
      </c>
      <c r="BX92" s="76">
        <f>资产资本表!BX58</f>
        <v>6169487.54</v>
      </c>
      <c r="BY92" s="76">
        <f>资产资本表!BY58</f>
        <v>6263108.7800000003</v>
      </c>
      <c r="BZ92" s="76">
        <f>资产资本表!BZ58</f>
        <v>6356730.0199999996</v>
      </c>
      <c r="CA92" s="76">
        <f>资产资本表!CA58</f>
        <v>0</v>
      </c>
      <c r="CB92" s="76">
        <f>资产资本表!CB58</f>
        <v>6543972.5</v>
      </c>
      <c r="CC92" s="76">
        <f>资产资本表!CC58</f>
        <v>6653197.29</v>
      </c>
      <c r="CD92" s="76">
        <f>资产资本表!CD58</f>
        <v>6731215</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4" customFormat="1">
      <c r="A93" s="250" t="s">
        <v>689</v>
      </c>
      <c r="E93" s="154">
        <f>E81/E92</f>
        <v>596.04950316692077</v>
      </c>
      <c r="F93" s="154">
        <f t="shared" ref="F93:BQ93" si="52">F81/F92</f>
        <v>1843.2788062984127</v>
      </c>
      <c r="G93" s="154">
        <f t="shared" si="52"/>
        <v>1323.1968514538278</v>
      </c>
      <c r="H93" s="154">
        <f t="shared" si="52"/>
        <v>862.64582710349725</v>
      </c>
      <c r="I93" s="154">
        <f t="shared" si="52"/>
        <v>336.88896679523884</v>
      </c>
      <c r="J93" s="154">
        <f t="shared" si="52"/>
        <v>1169.32294822117</v>
      </c>
      <c r="K93" s="154">
        <f t="shared" si="52"/>
        <v>840.03789059119879</v>
      </c>
      <c r="L93" s="154">
        <f t="shared" si="52"/>
        <v>680.97711008078375</v>
      </c>
      <c r="M93" s="154">
        <f t="shared" si="52"/>
        <v>370.05812797120046</v>
      </c>
      <c r="N93" s="154">
        <f t="shared" si="52"/>
        <v>1360.9440765154379</v>
      </c>
      <c r="O93" s="154">
        <f t="shared" si="52"/>
        <v>768.5941083272528</v>
      </c>
      <c r="P93" s="154">
        <f t="shared" si="52"/>
        <v>519.0541423736388</v>
      </c>
      <c r="Q93" s="154">
        <f t="shared" si="52"/>
        <v>285.25930403182764</v>
      </c>
      <c r="R93" s="154">
        <f t="shared" si="52"/>
        <v>1128.7118729879837</v>
      </c>
      <c r="S93" s="154">
        <f t="shared" si="52"/>
        <v>853.99008529460968</v>
      </c>
      <c r="T93" s="154">
        <f t="shared" si="52"/>
        <v>569.99924532009743</v>
      </c>
      <c r="U93" s="154">
        <f t="shared" si="52"/>
        <v>318.75682108240096</v>
      </c>
      <c r="V93" s="154">
        <f t="shared" si="52"/>
        <v>1243.6906742371254</v>
      </c>
      <c r="W93" s="154">
        <f t="shared" si="52"/>
        <v>1297.910016417859</v>
      </c>
      <c r="X93" s="154">
        <f t="shared" si="52"/>
        <v>880.40402852889986</v>
      </c>
      <c r="Y93" s="154">
        <f t="shared" si="52"/>
        <v>462.95753024066659</v>
      </c>
      <c r="Z93" s="154">
        <f t="shared" si="52"/>
        <v>1439.4766091046874</v>
      </c>
      <c r="AA93" s="154">
        <f t="shared" si="52"/>
        <v>1046.5632217120594</v>
      </c>
      <c r="AB93" s="154">
        <f t="shared" si="52"/>
        <v>700.84950808584199</v>
      </c>
      <c r="AC93" s="154">
        <f t="shared" si="52"/>
        <v>385.0085902114655</v>
      </c>
      <c r="AD93" s="154">
        <f t="shared" si="52"/>
        <v>1110.698713244991</v>
      </c>
      <c r="AE93" s="154">
        <f t="shared" si="52"/>
        <v>795.64216211423286</v>
      </c>
      <c r="AF93" s="154">
        <f t="shared" si="52"/>
        <v>540.90039798538021</v>
      </c>
      <c r="AG93" s="154">
        <f t="shared" si="52"/>
        <v>304.57474524191508</v>
      </c>
      <c r="AH93" s="154">
        <f t="shared" si="52"/>
        <v>753.30430587821479</v>
      </c>
      <c r="AI93" s="154">
        <f t="shared" si="52"/>
        <v>1808.3052790994288</v>
      </c>
      <c r="AJ93" s="154">
        <f t="shared" si="52"/>
        <v>1110.7128356439164</v>
      </c>
      <c r="AK93" s="154">
        <f t="shared" si="52"/>
        <v>587.09300135825015</v>
      </c>
      <c r="AL93" s="154">
        <f t="shared" si="52"/>
        <v>1584.352093568014</v>
      </c>
      <c r="AM93" s="154">
        <f t="shared" si="52"/>
        <v>1078.1837734606186</v>
      </c>
      <c r="AN93" s="154">
        <f t="shared" si="52"/>
        <v>692.21008635293219</v>
      </c>
      <c r="AO93" s="154">
        <f t="shared" si="52"/>
        <v>369.42651148201355</v>
      </c>
      <c r="AP93" s="154">
        <f t="shared" si="52"/>
        <v>1044.2437462087516</v>
      </c>
      <c r="AQ93" s="154" t="e">
        <f t="shared" si="52"/>
        <v>#DIV/0!</v>
      </c>
      <c r="AR93" s="154" t="e">
        <f t="shared" si="52"/>
        <v>#DIV/0!</v>
      </c>
      <c r="AS93" s="154" t="e">
        <f t="shared" si="52"/>
        <v>#DIV/0!</v>
      </c>
      <c r="AT93" s="154" t="e">
        <f t="shared" si="52"/>
        <v>#DIV/0!</v>
      </c>
      <c r="AU93" s="154" t="e">
        <f t="shared" si="52"/>
        <v>#DIV/0!</v>
      </c>
      <c r="AV93" s="154" t="e">
        <f t="shared" si="52"/>
        <v>#DIV/0!</v>
      </c>
      <c r="AW93" s="154" t="e">
        <f t="shared" si="52"/>
        <v>#DIV/0!</v>
      </c>
      <c r="AX93" s="154">
        <f t="shared" si="52"/>
        <v>122.095969246308</v>
      </c>
      <c r="AY93" s="154">
        <f t="shared" si="52"/>
        <v>16.613004737266152</v>
      </c>
      <c r="AZ93" s="154">
        <f t="shared" si="52"/>
        <v>11.16437751409973</v>
      </c>
      <c r="BA93" s="154">
        <f t="shared" si="52"/>
        <v>6.4834959790877598</v>
      </c>
      <c r="BB93" s="154">
        <f t="shared" si="52"/>
        <v>21.515366206253251</v>
      </c>
      <c r="BC93" s="154">
        <f t="shared" si="52"/>
        <v>13.788174641665641</v>
      </c>
      <c r="BD93" s="154">
        <f t="shared" si="52"/>
        <v>9.5714286555431993</v>
      </c>
      <c r="BE93" s="154">
        <f t="shared" si="52"/>
        <v>5.5118846441275284</v>
      </c>
      <c r="BF93" s="154">
        <f t="shared" si="52"/>
        <v>16.544105763760495</v>
      </c>
      <c r="BG93" s="154">
        <f t="shared" si="52"/>
        <v>11.846423529293027</v>
      </c>
      <c r="BH93" s="154">
        <f t="shared" si="52"/>
        <v>8.150291919028362</v>
      </c>
      <c r="BI93" s="154">
        <f t="shared" si="52"/>
        <v>4.7227640376576749</v>
      </c>
      <c r="BJ93" s="154">
        <f t="shared" si="52"/>
        <v>8.7602556275690908</v>
      </c>
      <c r="BK93" s="154">
        <f t="shared" si="52"/>
        <v>6.4253700273639378</v>
      </c>
      <c r="BL93" s="154">
        <f t="shared" si="52"/>
        <v>4.4821751943481276</v>
      </c>
      <c r="BM93" s="154">
        <f t="shared" si="52"/>
        <v>2.5783166421067012</v>
      </c>
      <c r="BN93" s="154">
        <f t="shared" si="52"/>
        <v>7.7484857634469995</v>
      </c>
      <c r="BO93" s="154">
        <f t="shared" si="52"/>
        <v>6.125142483678002</v>
      </c>
      <c r="BP93" s="154">
        <f t="shared" si="52"/>
        <v>4.3691371567793658</v>
      </c>
      <c r="BQ93" s="154">
        <f t="shared" si="52"/>
        <v>2.8660024041902732</v>
      </c>
      <c r="BR93" s="154">
        <f t="shared" ref="BR93:CK93" si="53">BR81/BR92</f>
        <v>10.65075597284439</v>
      </c>
      <c r="BS93" s="154">
        <f t="shared" si="53"/>
        <v>5.7905776027161391</v>
      </c>
      <c r="BT93" s="154">
        <f t="shared" si="53"/>
        <v>10.633682073998065</v>
      </c>
      <c r="BU93" s="154">
        <f t="shared" si="53"/>
        <v>7.1840730683381127</v>
      </c>
      <c r="BV93" s="154">
        <f t="shared" si="53"/>
        <v>13.390174939653347</v>
      </c>
      <c r="BW93" s="154">
        <f t="shared" si="53"/>
        <v>11.773626723096839</v>
      </c>
      <c r="BX93" s="154">
        <f t="shared" si="53"/>
        <v>98.457743958747031</v>
      </c>
      <c r="BY93" s="154">
        <f t="shared" si="53"/>
        <v>49.841195134088032</v>
      </c>
      <c r="BZ93" s="154">
        <f t="shared" si="53"/>
        <v>94.797036089948662</v>
      </c>
      <c r="CA93" s="154" t="e">
        <f t="shared" si="53"/>
        <v>#DIV/0!</v>
      </c>
      <c r="CB93" s="154">
        <f t="shared" si="53"/>
        <v>93.62421788752934</v>
      </c>
      <c r="CC93" s="154">
        <f t="shared" si="53"/>
        <v>50.204785546048342</v>
      </c>
      <c r="CD93" s="154">
        <f t="shared" si="53"/>
        <v>82.06733188436263</v>
      </c>
      <c r="CE93" s="154" t="e">
        <f t="shared" si="53"/>
        <v>#DIV/0!</v>
      </c>
      <c r="CF93" s="154" t="e">
        <f t="shared" si="53"/>
        <v>#DIV/0!</v>
      </c>
      <c r="CG93" s="154" t="e">
        <f t="shared" si="53"/>
        <v>#DIV/0!</v>
      </c>
      <c r="CH93" s="154" t="e">
        <f t="shared" si="53"/>
        <v>#DIV/0!</v>
      </c>
      <c r="CI93" s="154" t="e">
        <f t="shared" si="53"/>
        <v>#DIV/0!</v>
      </c>
      <c r="CJ93" s="154" t="e">
        <f t="shared" si="53"/>
        <v>#DIV/0!</v>
      </c>
      <c r="CK93" s="154" t="e">
        <f t="shared" si="53"/>
        <v>#DIV/0!</v>
      </c>
    </row>
    <row r="94" spans="1:89" s="76" customFormat="1">
      <c r="A94" s="70" t="s">
        <v>591</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c r="A95" s="70" t="s">
        <v>592</v>
      </c>
      <c r="E95" s="76">
        <f>资产资本表!E60</f>
        <v>0</v>
      </c>
      <c r="F95" s="76">
        <f>资产资本表!F60</f>
        <v>0</v>
      </c>
      <c r="G95" s="76">
        <f>资产资本表!G60</f>
        <v>0</v>
      </c>
      <c r="H95" s="76">
        <f>资产资本表!H60</f>
        <v>0</v>
      </c>
      <c r="I95" s="76">
        <f>资产资本表!I60</f>
        <v>0</v>
      </c>
      <c r="J95" s="76">
        <f>资产资本表!J60</f>
        <v>0</v>
      </c>
      <c r="K95" s="76">
        <f>资产资本表!K60</f>
        <v>0</v>
      </c>
      <c r="L95" s="76">
        <f>资产资本表!L60</f>
        <v>0</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c r="A96" s="70" t="s">
        <v>593</v>
      </c>
      <c r="E96" s="76">
        <f>资产资本表!E61</f>
        <v>22189654.199999999</v>
      </c>
      <c r="F96" s="76">
        <f>资产资本表!F61</f>
        <v>22078345.879999999</v>
      </c>
      <c r="G96" s="76">
        <f>资产资本表!G61</f>
        <v>23934901.100000001</v>
      </c>
      <c r="H96" s="76">
        <f>资产资本表!H61</f>
        <v>24851078.219999999</v>
      </c>
      <c r="I96" s="76">
        <f>资产资本表!I61</f>
        <v>3144273.55</v>
      </c>
      <c r="J96" s="76">
        <f>资产资本表!J61</f>
        <v>3793555.37</v>
      </c>
      <c r="K96" s="76">
        <f>资产资本表!K61</f>
        <v>2020933.66</v>
      </c>
      <c r="L96" s="76">
        <f>资产资本表!L61</f>
        <v>2504128.73</v>
      </c>
      <c r="M96" s="76">
        <f>资产资本表!M61</f>
        <v>2794490.39</v>
      </c>
      <c r="N96" s="76">
        <f>资产资本表!N61</f>
        <v>3306240.93</v>
      </c>
      <c r="O96" s="76">
        <f>资产资本表!O61</f>
        <v>10795613.380000001</v>
      </c>
      <c r="P96" s="76">
        <f>资产资本表!P61</f>
        <v>12385387.960000001</v>
      </c>
      <c r="Q96" s="76">
        <f>资产资本表!Q61</f>
        <v>12008774.24</v>
      </c>
      <c r="R96" s="76">
        <f>资产资本表!R61</f>
        <v>13469421.630000001</v>
      </c>
      <c r="S96" s="76">
        <f>资产资本表!S61</f>
        <v>1612477.95</v>
      </c>
      <c r="T96" s="76">
        <f>资产资本表!T61</f>
        <v>1933387.14</v>
      </c>
      <c r="U96" s="76">
        <f>资产资本表!U61</f>
        <v>1775268.86</v>
      </c>
      <c r="V96" s="76">
        <f>资产资本表!V61</f>
        <v>2568262.2799999998</v>
      </c>
      <c r="W96" s="76">
        <f>资产资本表!W61</f>
        <v>3470098.63</v>
      </c>
      <c r="X96" s="76">
        <f>资产资本表!X61</f>
        <v>4011432.43</v>
      </c>
      <c r="Y96" s="76">
        <f>资产资本表!Y61</f>
        <v>5064612.55</v>
      </c>
      <c r="Z96" s="76">
        <f>资产资本表!Z61</f>
        <v>5583626.0099999998</v>
      </c>
      <c r="AA96" s="76">
        <f>资产资本表!AA61</f>
        <v>6203202.6100000003</v>
      </c>
      <c r="AB96" s="76">
        <f>资产资本表!AB61</f>
        <v>7409061.4299999997</v>
      </c>
      <c r="AC96" s="76">
        <f>资产资本表!AC61</f>
        <v>8242522.6600000001</v>
      </c>
      <c r="AD96" s="76">
        <f>资产资本表!AD61</f>
        <v>9624165.9800000004</v>
      </c>
      <c r="AE96" s="76">
        <f>资产资本表!AE61</f>
        <v>11123873.6</v>
      </c>
      <c r="AF96" s="76">
        <f>资产资本表!AF61</f>
        <v>9517183.0999999996</v>
      </c>
      <c r="AG96" s="76">
        <f>资产资本表!AG61</f>
        <v>4935724.51</v>
      </c>
      <c r="AH96" s="76">
        <f>资产资本表!AH61</f>
        <v>5409193</v>
      </c>
      <c r="AI96" s="76">
        <f>资产资本表!AI61</f>
        <v>4167094.98</v>
      </c>
      <c r="AJ96" s="76">
        <f>资产资本表!AJ61</f>
        <v>4783672.57</v>
      </c>
      <c r="AK96" s="76">
        <f>资产资本表!AK61</f>
        <v>4989095.93</v>
      </c>
      <c r="AL96" s="76">
        <f>资产资本表!AL61</f>
        <v>4911185.95</v>
      </c>
      <c r="AM96" s="76">
        <f>资产资本表!AM61</f>
        <v>4265878.8899999997</v>
      </c>
      <c r="AN96" s="76">
        <f>资产资本表!AN61</f>
        <v>3558703.96</v>
      </c>
      <c r="AO96" s="76">
        <f>资产资本表!AO61</f>
        <v>3880015.95</v>
      </c>
      <c r="AP96" s="76">
        <f>资产资本表!AP61</f>
        <v>4374661.2</v>
      </c>
      <c r="AQ96" s="76">
        <f>资产资本表!AQ61</f>
        <v>4221467.16</v>
      </c>
      <c r="AR96" s="76">
        <f>资产资本表!AR61</f>
        <v>2971568.44</v>
      </c>
      <c r="AS96" s="76">
        <f>资产资本表!AS61</f>
        <v>2574077</v>
      </c>
      <c r="AT96" s="76">
        <f>资产资本表!AT61</f>
        <v>3210664</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186975.25</v>
      </c>
      <c r="BL96" s="76">
        <f>资产资本表!BL61</f>
        <v>186975.25</v>
      </c>
      <c r="BM96" s="76">
        <f>资产资本表!BM61</f>
        <v>186975.25</v>
      </c>
      <c r="BN96" s="76">
        <f>资产资本表!BN61</f>
        <v>176783.5</v>
      </c>
      <c r="BO96" s="76">
        <f>资产资本表!BO61</f>
        <v>0</v>
      </c>
      <c r="BP96" s="76">
        <f>资产资本表!BP61</f>
        <v>0</v>
      </c>
      <c r="BQ96" s="76">
        <f>资产资本表!BQ61</f>
        <v>0</v>
      </c>
      <c r="BR96" s="76">
        <f>资产资本表!BR61</f>
        <v>219833.3</v>
      </c>
      <c r="BS96" s="76">
        <f>资产资本表!BS61</f>
        <v>48811.95</v>
      </c>
      <c r="BT96" s="76">
        <f>资产资本表!BT61</f>
        <v>65082.57</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c r="A97" s="70" t="s">
        <v>594</v>
      </c>
      <c r="E97" s="76">
        <f>资产资本表!E62</f>
        <v>21906499.629999999</v>
      </c>
      <c r="F97" s="76">
        <f>资产资本表!F62</f>
        <v>21303793.629999999</v>
      </c>
      <c r="G97" s="76">
        <f>资产资本表!G62</f>
        <v>864196.21</v>
      </c>
      <c r="H97" s="76">
        <f>资产资本表!H62</f>
        <v>864196.21</v>
      </c>
      <c r="I97" s="76">
        <f>资产资本表!I62</f>
        <v>545560.12</v>
      </c>
      <c r="J97" s="76">
        <f>资产资本表!J62</f>
        <v>545560.12</v>
      </c>
      <c r="K97" s="76">
        <f>资产资本表!K62</f>
        <v>1238568.3400000001</v>
      </c>
      <c r="L97" s="76">
        <f>资产资本表!L62</f>
        <v>1238568.3400000001</v>
      </c>
      <c r="M97" s="76">
        <f>资产资本表!M62</f>
        <v>1179549.97</v>
      </c>
      <c r="N97" s="76">
        <f>资产资本表!N62</f>
        <v>1179549.97</v>
      </c>
      <c r="O97" s="76">
        <f>资产资本表!O62</f>
        <v>884907.75</v>
      </c>
      <c r="P97" s="76">
        <f>资产资本表!P62</f>
        <v>884907.75</v>
      </c>
      <c r="Q97" s="76">
        <f>资产资本表!Q62</f>
        <v>884907.75</v>
      </c>
      <c r="R97" s="76">
        <f>资产资本表!R62</f>
        <v>884907.75</v>
      </c>
      <c r="S97" s="76">
        <f>资产资本表!S62</f>
        <v>1464642.72</v>
      </c>
      <c r="T97" s="76">
        <f>资产资本表!T62</f>
        <v>1464642.72</v>
      </c>
      <c r="U97" s="76">
        <f>资产资本表!U62</f>
        <v>1464642.72</v>
      </c>
      <c r="V97" s="76">
        <f>资产资本表!V62</f>
        <v>1464642.72</v>
      </c>
      <c r="W97" s="76">
        <f>资产资本表!W62</f>
        <v>1276316.72</v>
      </c>
      <c r="X97" s="76">
        <f>资产资本表!X62</f>
        <v>1276316.72</v>
      </c>
      <c r="Y97" s="76">
        <f>资产资本表!Y62</f>
        <v>1276316.72</v>
      </c>
      <c r="Z97" s="76">
        <f>资产资本表!Z62</f>
        <v>1276316.72</v>
      </c>
      <c r="AA97" s="76">
        <f>资产资本表!AA62</f>
        <v>801277.5</v>
      </c>
      <c r="AB97" s="76">
        <f>资产资本表!AB62</f>
        <v>801277.5</v>
      </c>
      <c r="AC97" s="76">
        <f>资产资本表!AC62</f>
        <v>883600.32</v>
      </c>
      <c r="AD97" s="76">
        <f>资产资本表!AD62</f>
        <v>801277.5</v>
      </c>
      <c r="AE97" s="76">
        <f>资产资本表!AE62</f>
        <v>928123.98</v>
      </c>
      <c r="AF97" s="76">
        <f>资产资本表!AF62</f>
        <v>928123.98</v>
      </c>
      <c r="AG97" s="76">
        <f>资产资本表!AG62</f>
        <v>928123.98</v>
      </c>
      <c r="AH97" s="76">
        <f>资产资本表!AH62</f>
        <v>928123.98</v>
      </c>
      <c r="AI97" s="76">
        <f>资产资本表!AI62</f>
        <v>733784.6</v>
      </c>
      <c r="AJ97" s="76">
        <f>资产资本表!AJ62</f>
        <v>63336.58</v>
      </c>
      <c r="AK97" s="76">
        <f>资产资本表!AK62</f>
        <v>63336.58</v>
      </c>
      <c r="AL97" s="76">
        <f>资产资本表!AL62</f>
        <v>63336.58</v>
      </c>
      <c r="AM97" s="76">
        <f>资产资本表!AM62</f>
        <v>1454524.35</v>
      </c>
      <c r="AN97" s="76">
        <f>资产资本表!AN62</f>
        <v>1454524.35</v>
      </c>
      <c r="AO97" s="76">
        <f>资产资本表!AO62</f>
        <v>1454524.35</v>
      </c>
      <c r="AP97" s="76">
        <f>资产资本表!AP62</f>
        <v>1454524.35</v>
      </c>
      <c r="AQ97" s="76">
        <f>资产资本表!AQ62</f>
        <v>1333373.5</v>
      </c>
      <c r="AR97" s="76">
        <f>资产资本表!AR62</f>
        <v>1333373.5</v>
      </c>
      <c r="AS97" s="76">
        <f>资产资本表!AS62</f>
        <v>1333373.5</v>
      </c>
      <c r="AT97" s="76">
        <f>资产资本表!AT62</f>
        <v>1333373.5</v>
      </c>
      <c r="AU97" s="76">
        <f>资产资本表!AU62</f>
        <v>1824177.03</v>
      </c>
      <c r="AV97" s="76">
        <f>资产资本表!AV62</f>
        <v>3164832.77</v>
      </c>
      <c r="AW97" s="76">
        <f>资产资本表!AW62</f>
        <v>1824177.03</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c r="A98" s="70" t="s">
        <v>595</v>
      </c>
      <c r="E98" s="76">
        <f>资产资本表!E63</f>
        <v>0</v>
      </c>
      <c r="F98" s="76">
        <f>资产资本表!F63</f>
        <v>0</v>
      </c>
      <c r="G98" s="76">
        <f>资产资本表!G63</f>
        <v>0</v>
      </c>
      <c r="H98" s="76">
        <f>资产资本表!H63</f>
        <v>0</v>
      </c>
      <c r="I98" s="76">
        <f>资产资本表!I63</f>
        <v>0</v>
      </c>
      <c r="J98" s="76">
        <f>资产资本表!J63</f>
        <v>0</v>
      </c>
      <c r="K98" s="76">
        <f>资产资本表!K63</f>
        <v>0</v>
      </c>
      <c r="L98" s="76">
        <f>资产资本表!L63</f>
        <v>0</v>
      </c>
      <c r="M98" s="76">
        <f>资产资本表!M63</f>
        <v>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4.25" thickBot="1">
      <c r="A99" s="74" t="s">
        <v>596</v>
      </c>
      <c r="E99" s="93">
        <f>资产资本表!E64</f>
        <v>3750</v>
      </c>
      <c r="F99" s="93">
        <f>资产资本表!F64</f>
        <v>3750</v>
      </c>
      <c r="G99" s="93">
        <f>资产资本表!G64</f>
        <v>1478838.58</v>
      </c>
      <c r="H99" s="93">
        <f>资产资本表!H64</f>
        <v>1399437.77</v>
      </c>
      <c r="I99" s="93">
        <f>资产资本表!I64</f>
        <v>0</v>
      </c>
      <c r="J99" s="93">
        <f>资产资本表!J64</f>
        <v>0</v>
      </c>
      <c r="K99" s="93">
        <f>资产资本表!K64</f>
        <v>0</v>
      </c>
      <c r="L99" s="93">
        <f>资产资本表!L64</f>
        <v>0</v>
      </c>
      <c r="M99" s="93">
        <f>资产资本表!M64</f>
        <v>0</v>
      </c>
      <c r="N99" s="93">
        <f>资产资本表!N64</f>
        <v>0</v>
      </c>
      <c r="O99" s="93">
        <f>资产资本表!O64</f>
        <v>2686257</v>
      </c>
      <c r="P99" s="93">
        <f>资产资本表!P64</f>
        <v>2686257</v>
      </c>
      <c r="Q99" s="93">
        <f>资产资本表!Q64</f>
        <v>2686257</v>
      </c>
      <c r="R99" s="93">
        <f>资产资本表!R64</f>
        <v>2686257</v>
      </c>
      <c r="S99" s="93">
        <f>资产资本表!S64</f>
        <v>15521100</v>
      </c>
      <c r="T99" s="93">
        <f>资产资本表!T64</f>
        <v>12721100</v>
      </c>
      <c r="U99" s="93">
        <f>资产资本表!U64</f>
        <v>6640200</v>
      </c>
      <c r="V99" s="93">
        <f>资产资本表!V64</f>
        <v>6640200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518093.99</v>
      </c>
      <c r="BX99" s="93">
        <f>资产资本表!BX64</f>
        <v>0</v>
      </c>
      <c r="BY99" s="93">
        <f>资产资本表!BY64</f>
        <v>0</v>
      </c>
      <c r="BZ99" s="93">
        <f>资产资本表!BZ64</f>
        <v>0</v>
      </c>
      <c r="CA99" s="93">
        <f>资产资本表!CA64</f>
        <v>0</v>
      </c>
      <c r="CB99" s="93">
        <f>资产资本表!CB64</f>
        <v>363501.8</v>
      </c>
      <c r="CC99" s="93">
        <f>资产资本表!CC64</f>
        <v>309600.21000000002</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6" customFormat="1">
      <c r="A100" s="88" t="s">
        <v>686</v>
      </c>
      <c r="E100" s="196">
        <f>(E84+I84)/2</f>
        <v>339844635.25999999</v>
      </c>
      <c r="F100" s="196">
        <f t="shared" ref="F100:BQ100" si="54">(F84+J84)/2</f>
        <v>340519863.5</v>
      </c>
      <c r="G100" s="196">
        <f t="shared" si="54"/>
        <v>321617344.96500003</v>
      </c>
      <c r="H100" s="196">
        <f t="shared" si="54"/>
        <v>326017414.53499997</v>
      </c>
      <c r="I100" s="196">
        <f t="shared" si="54"/>
        <v>320840134.435</v>
      </c>
      <c r="J100" s="196">
        <f t="shared" si="54"/>
        <v>327815931.34000003</v>
      </c>
      <c r="K100" s="196">
        <f t="shared" si="54"/>
        <v>320566294.60000002</v>
      </c>
      <c r="L100" s="196">
        <f t="shared" si="54"/>
        <v>325606955.52499998</v>
      </c>
      <c r="M100" s="196">
        <f t="shared" si="54"/>
        <v>325667759.13499999</v>
      </c>
      <c r="N100" s="196">
        <f t="shared" si="54"/>
        <v>332574568.61000001</v>
      </c>
      <c r="O100" s="196">
        <f t="shared" si="54"/>
        <v>323945586.51999998</v>
      </c>
      <c r="P100" s="196">
        <f t="shared" si="54"/>
        <v>328712407.98500001</v>
      </c>
      <c r="Q100" s="196">
        <f t="shared" si="54"/>
        <v>336348030.36000001</v>
      </c>
      <c r="R100" s="196">
        <f t="shared" si="54"/>
        <v>344838294.88</v>
      </c>
      <c r="S100" s="196">
        <f t="shared" si="54"/>
        <v>346930757.80499995</v>
      </c>
      <c r="T100" s="196">
        <f t="shared" si="54"/>
        <v>356380580.35500002</v>
      </c>
      <c r="U100" s="196">
        <f t="shared" si="54"/>
        <v>366919546.33500004</v>
      </c>
      <c r="V100" s="196">
        <f t="shared" si="54"/>
        <v>377238267.685</v>
      </c>
      <c r="W100" s="196">
        <f t="shared" si="54"/>
        <v>377855680.72000003</v>
      </c>
      <c r="X100" s="196">
        <f t="shared" si="54"/>
        <v>382479383.51499999</v>
      </c>
      <c r="Y100" s="196">
        <f t="shared" si="54"/>
        <v>394109534.495</v>
      </c>
      <c r="Z100" s="196">
        <f t="shared" si="54"/>
        <v>404477401.5</v>
      </c>
      <c r="AA100" s="196">
        <f t="shared" si="54"/>
        <v>399709129.10500002</v>
      </c>
      <c r="AB100" s="196">
        <f t="shared" si="54"/>
        <v>403366372.60000002</v>
      </c>
      <c r="AC100" s="196">
        <f t="shared" si="54"/>
        <v>416748299.46500003</v>
      </c>
      <c r="AD100" s="196">
        <f t="shared" si="54"/>
        <v>426227609.57000005</v>
      </c>
      <c r="AE100" s="196">
        <f t="shared" si="54"/>
        <v>423012069.96000004</v>
      </c>
      <c r="AF100" s="196">
        <f t="shared" si="54"/>
        <v>433506741.82999998</v>
      </c>
      <c r="AG100" s="196">
        <f t="shared" si="54"/>
        <v>438505590.57500005</v>
      </c>
      <c r="AH100" s="196">
        <f t="shared" si="54"/>
        <v>449023218</v>
      </c>
      <c r="AI100" s="196">
        <f t="shared" si="54"/>
        <v>413522167.94999999</v>
      </c>
      <c r="AJ100" s="196">
        <f t="shared" si="54"/>
        <v>423518575.90999997</v>
      </c>
      <c r="AK100" s="196">
        <f t="shared" si="54"/>
        <v>422897604.60000002</v>
      </c>
      <c r="AL100" s="196">
        <f t="shared" si="54"/>
        <v>433506535.05999994</v>
      </c>
      <c r="AM100" s="196">
        <f t="shared" si="54"/>
        <v>400875924.62</v>
      </c>
      <c r="AN100" s="196">
        <f t="shared" si="54"/>
        <v>408363452.23500001</v>
      </c>
      <c r="AO100" s="196">
        <f t="shared" si="54"/>
        <v>391771644.38</v>
      </c>
      <c r="AP100" s="196">
        <f t="shared" si="54"/>
        <v>401057726.91499996</v>
      </c>
      <c r="AQ100" s="196">
        <f t="shared" si="54"/>
        <v>382252454.61500001</v>
      </c>
      <c r="AR100" s="196">
        <f t="shared" si="54"/>
        <v>383632832.61000001</v>
      </c>
      <c r="AS100" s="196">
        <f t="shared" si="54"/>
        <v>370981519.86500001</v>
      </c>
      <c r="AT100" s="196">
        <f t="shared" si="54"/>
        <v>415900229.06999999</v>
      </c>
      <c r="AU100" s="196">
        <f t="shared" si="54"/>
        <v>390032148.80500001</v>
      </c>
      <c r="AV100" s="196">
        <f t="shared" si="54"/>
        <v>386239402.23000002</v>
      </c>
      <c r="AW100" s="196">
        <f t="shared" si="54"/>
        <v>400176910.98500001</v>
      </c>
      <c r="AX100" s="196">
        <f t="shared" si="54"/>
        <v>444754986.15499997</v>
      </c>
      <c r="AY100" s="196">
        <f t="shared" si="54"/>
        <v>441482816.995</v>
      </c>
      <c r="AZ100" s="196">
        <f t="shared" si="54"/>
        <v>442005033.44500005</v>
      </c>
      <c r="BA100" s="196">
        <f t="shared" si="54"/>
        <v>453466582.30500001</v>
      </c>
      <c r="BB100" s="196">
        <f t="shared" si="54"/>
        <v>461724123.17000002</v>
      </c>
      <c r="BC100" s="196">
        <f t="shared" si="54"/>
        <v>471294106.65999997</v>
      </c>
      <c r="BD100" s="196">
        <f t="shared" si="54"/>
        <v>477831915.52999997</v>
      </c>
      <c r="BE100" s="196">
        <f t="shared" si="54"/>
        <v>486117435.72000003</v>
      </c>
      <c r="BF100" s="196">
        <f t="shared" si="54"/>
        <v>518783592.95500004</v>
      </c>
      <c r="BG100" s="196">
        <f t="shared" si="54"/>
        <v>528685099.13999999</v>
      </c>
      <c r="BH100" s="196">
        <f t="shared" si="54"/>
        <v>538700705.995</v>
      </c>
      <c r="BI100" s="196">
        <f t="shared" si="54"/>
        <v>546922745.13</v>
      </c>
      <c r="BJ100" s="196">
        <f t="shared" si="54"/>
        <v>579009484.09000003</v>
      </c>
      <c r="BK100" s="196">
        <f t="shared" si="54"/>
        <v>558274680.66000009</v>
      </c>
      <c r="BL100" s="196">
        <f t="shared" si="54"/>
        <v>568050527.70499992</v>
      </c>
      <c r="BM100" s="196">
        <f t="shared" si="54"/>
        <v>570461208.28999996</v>
      </c>
      <c r="BN100" s="196">
        <f t="shared" si="54"/>
        <v>577655814.09500003</v>
      </c>
      <c r="BO100" s="196">
        <f t="shared" si="54"/>
        <v>563789716.44000006</v>
      </c>
      <c r="BP100" s="196">
        <f t="shared" si="54"/>
        <v>549930866.88999999</v>
      </c>
      <c r="BQ100" s="196">
        <f t="shared" si="54"/>
        <v>579435007.81999993</v>
      </c>
      <c r="BR100" s="196">
        <f t="shared" ref="BR100:CK100" si="55">(BR84+BV84)/2</f>
        <v>579818354.69000006</v>
      </c>
      <c r="BS100" s="196">
        <f t="shared" si="55"/>
        <v>553883913.15999997</v>
      </c>
      <c r="BT100" s="196">
        <f t="shared" si="55"/>
        <v>546317848.01499999</v>
      </c>
      <c r="BU100" s="196">
        <f t="shared" si="55"/>
        <v>530486780.88</v>
      </c>
      <c r="BV100" s="196">
        <f t="shared" si="55"/>
        <v>528885482.185</v>
      </c>
      <c r="BW100" s="196">
        <f t="shared" si="55"/>
        <v>400755916.09500003</v>
      </c>
      <c r="BX100" s="196">
        <f t="shared" si="55"/>
        <v>406723759.72000003</v>
      </c>
      <c r="BY100" s="196">
        <f t="shared" si="55"/>
        <v>363606540.52999997</v>
      </c>
      <c r="BZ100" s="196">
        <f t="shared" si="55"/>
        <v>378422961.76999998</v>
      </c>
      <c r="CA100" s="196">
        <f t="shared" si="55"/>
        <v>138181979.01499999</v>
      </c>
      <c r="CB100" s="196">
        <f t="shared" si="55"/>
        <v>133750333.78</v>
      </c>
      <c r="CC100" s="196">
        <f t="shared" si="55"/>
        <v>137130348.22</v>
      </c>
      <c r="CD100" s="196">
        <f t="shared" si="55"/>
        <v>150631494.405</v>
      </c>
      <c r="CE100" s="196">
        <f t="shared" si="55"/>
        <v>0</v>
      </c>
      <c r="CF100" s="196">
        <f t="shared" si="55"/>
        <v>0</v>
      </c>
      <c r="CG100" s="196">
        <f t="shared" si="55"/>
        <v>0</v>
      </c>
      <c r="CH100" s="196">
        <f t="shared" si="55"/>
        <v>0</v>
      </c>
      <c r="CI100" s="196">
        <f t="shared" si="55"/>
        <v>0</v>
      </c>
      <c r="CJ100" s="196">
        <f t="shared" si="55"/>
        <v>0</v>
      </c>
      <c r="CK100" s="196">
        <f t="shared" si="55"/>
        <v>0</v>
      </c>
    </row>
    <row r="101" spans="1:89" s="251" customFormat="1" ht="14.25" thickBot="1">
      <c r="A101" s="252" t="s">
        <v>687</v>
      </c>
      <c r="E101" s="251">
        <f>E100/E84</f>
        <v>0.94117563846600483</v>
      </c>
      <c r="F101" s="251">
        <f t="shared" ref="F101:BQ101" si="56">F100/F84</f>
        <v>0.9618224082102349</v>
      </c>
      <c r="G101" s="251">
        <f t="shared" si="56"/>
        <v>0.99708325561706579</v>
      </c>
      <c r="H101" s="251">
        <f t="shared" si="56"/>
        <v>1.0099437777256108</v>
      </c>
      <c r="I101" s="251">
        <f t="shared" si="56"/>
        <v>1.0070184553249313</v>
      </c>
      <c r="J101" s="251">
        <f t="shared" si="56"/>
        <v>1.0024841129171114</v>
      </c>
      <c r="K101" s="251">
        <f t="shared" si="56"/>
        <v>0.99965625594229557</v>
      </c>
      <c r="L101" s="251">
        <f t="shared" si="56"/>
        <v>0.98900338920804232</v>
      </c>
      <c r="M101" s="251">
        <f t="shared" si="56"/>
        <v>1.0080213777233054</v>
      </c>
      <c r="N101" s="251">
        <f t="shared" si="56"/>
        <v>1.0120084728474812</v>
      </c>
      <c r="O101" s="251">
        <f t="shared" si="56"/>
        <v>1.0108892386899704</v>
      </c>
      <c r="P101" s="251">
        <f t="shared" si="56"/>
        <v>1.020888564925136</v>
      </c>
      <c r="Q101" s="251">
        <f t="shared" si="56"/>
        <v>1.0246413589760859</v>
      </c>
      <c r="R101" s="251">
        <f t="shared" si="56"/>
        <v>1.0247158589807299</v>
      </c>
      <c r="S101" s="251">
        <f t="shared" si="56"/>
        <v>1.0595404957311445</v>
      </c>
      <c r="T101" s="251">
        <f t="shared" si="56"/>
        <v>1.0624327585600739</v>
      </c>
      <c r="U101" s="251">
        <f t="shared" si="56"/>
        <v>1.0652739843810448</v>
      </c>
      <c r="V101" s="251">
        <f t="shared" si="56"/>
        <v>1.068192499924836</v>
      </c>
      <c r="W101" s="251">
        <f t="shared" si="56"/>
        <v>1.0311911859970611</v>
      </c>
      <c r="X101" s="251">
        <f t="shared" si="56"/>
        <v>1.0136659290103109</v>
      </c>
      <c r="Y101" s="251">
        <f t="shared" si="56"/>
        <v>1.0120883383133672</v>
      </c>
      <c r="Z101" s="251">
        <f t="shared" si="56"/>
        <v>1.007865437386791</v>
      </c>
      <c r="AA101" s="251">
        <f t="shared" si="56"/>
        <v>1.0267777473885222</v>
      </c>
      <c r="AB101" s="251">
        <f t="shared" si="56"/>
        <v>1.0405806656980223</v>
      </c>
      <c r="AC101" s="251">
        <f t="shared" si="56"/>
        <v>1.0449618468271011</v>
      </c>
      <c r="AD101" s="251">
        <f t="shared" si="56"/>
        <v>1.045613579160025</v>
      </c>
      <c r="AE101" s="251">
        <f t="shared" si="56"/>
        <v>1.0314014164826151</v>
      </c>
      <c r="AF101" s="251">
        <f t="shared" si="56"/>
        <v>1.0343830950387518</v>
      </c>
      <c r="AG101" s="251">
        <f t="shared" si="56"/>
        <v>1.0088013122396549</v>
      </c>
      <c r="AH101" s="251">
        <f t="shared" si="56"/>
        <v>1.0094464107658061</v>
      </c>
      <c r="AI101" s="251">
        <f t="shared" si="56"/>
        <v>0.94868286552445391</v>
      </c>
      <c r="AJ101" s="251">
        <f t="shared" si="56"/>
        <v>0.94553000541500476</v>
      </c>
      <c r="AK101" s="251">
        <f t="shared" si="56"/>
        <v>0.95606520036759901</v>
      </c>
      <c r="AL101" s="251">
        <f t="shared" si="56"/>
        <v>0.95649260457946494</v>
      </c>
      <c r="AM101" s="251">
        <f t="shared" si="56"/>
        <v>1.0248557800662521</v>
      </c>
      <c r="AN101" s="251">
        <f t="shared" si="56"/>
        <v>1.0231581418063902</v>
      </c>
      <c r="AO101" s="251">
        <f t="shared" si="56"/>
        <v>0.97102040042380688</v>
      </c>
      <c r="AP101" s="251">
        <f t="shared" si="56"/>
        <v>0.96923505665800835</v>
      </c>
      <c r="AQ101" s="251">
        <f t="shared" si="56"/>
        <v>0.93096441971315502</v>
      </c>
      <c r="AR101" s="251">
        <f t="shared" si="56"/>
        <v>0.9186470445774082</v>
      </c>
      <c r="AS101" s="251">
        <f t="shared" si="56"/>
        <v>0.97606315235232566</v>
      </c>
      <c r="AT101" s="251">
        <f t="shared" si="56"/>
        <v>1.0710036203834934</v>
      </c>
      <c r="AU101" s="251">
        <f t="shared" si="56"/>
        <v>1.1020766318107715</v>
      </c>
      <c r="AV101" s="251">
        <f t="shared" si="56"/>
        <v>1.1046163435793115</v>
      </c>
      <c r="AW101" s="251">
        <f t="shared" si="56"/>
        <v>1.1058166012671702</v>
      </c>
      <c r="AX101" s="251">
        <f t="shared" si="56"/>
        <v>1.0028910312844248</v>
      </c>
      <c r="AY101" s="251">
        <f t="shared" si="56"/>
        <v>1.035961047438293</v>
      </c>
      <c r="AZ101" s="251">
        <f t="shared" si="56"/>
        <v>1.0453752776774488</v>
      </c>
      <c r="BA101" s="251">
        <f t="shared" si="56"/>
        <v>1.0342015871820285</v>
      </c>
      <c r="BB101" s="251">
        <f t="shared" si="56"/>
        <v>1.0351698181782842</v>
      </c>
      <c r="BC101" s="251">
        <f t="shared" si="56"/>
        <v>1.0317118227558313</v>
      </c>
      <c r="BD101" s="251">
        <f t="shared" si="56"/>
        <v>1.036083413726697</v>
      </c>
      <c r="BE101" s="251">
        <f t="shared" si="56"/>
        <v>1.0376859602472897</v>
      </c>
      <c r="BF101" s="251">
        <f t="shared" si="56"/>
        <v>1.0866599478726924</v>
      </c>
      <c r="BG101" s="251">
        <f t="shared" si="56"/>
        <v>1.0883213664664422</v>
      </c>
      <c r="BH101" s="251">
        <f t="shared" si="56"/>
        <v>1.0894435849138273</v>
      </c>
      <c r="BI101" s="251">
        <f t="shared" si="56"/>
        <v>1.0856554958835856</v>
      </c>
      <c r="BJ101" s="251">
        <f t="shared" si="56"/>
        <v>1.0336575234326457</v>
      </c>
      <c r="BK101" s="251">
        <f t="shared" si="56"/>
        <v>0.97670497608176177</v>
      </c>
      <c r="BL101" s="251">
        <f t="shared" si="56"/>
        <v>0.97447775052163987</v>
      </c>
      <c r="BM101" s="251">
        <f t="shared" si="56"/>
        <v>0.96676284023118708</v>
      </c>
      <c r="BN101" s="251">
        <f t="shared" si="56"/>
        <v>0.96620105927723343</v>
      </c>
      <c r="BO101" s="251">
        <f t="shared" si="56"/>
        <v>1.0345534601859234</v>
      </c>
      <c r="BP101" s="251">
        <f t="shared" si="56"/>
        <v>0.99413922337703775</v>
      </c>
      <c r="BQ101" s="251">
        <f t="shared" si="56"/>
        <v>1.05189476190572</v>
      </c>
      <c r="BR101" s="251">
        <f t="shared" ref="BR101:CK101" si="57">BR100/BR84</f>
        <v>1.0401286715046729</v>
      </c>
      <c r="BS101" s="251">
        <f t="shared" si="57"/>
        <v>0.95067790093101989</v>
      </c>
      <c r="BT101" s="251">
        <f t="shared" si="57"/>
        <v>0.99932137606433724</v>
      </c>
      <c r="BU101" s="251">
        <f t="shared" si="57"/>
        <v>0.87248076354066317</v>
      </c>
      <c r="BV101" s="251">
        <f t="shared" si="57"/>
        <v>0.87827299141296167</v>
      </c>
      <c r="BW101" s="251">
        <f t="shared" si="57"/>
        <v>0.76312965512052944</v>
      </c>
      <c r="BX101" s="251">
        <f t="shared" si="57"/>
        <v>0.74498782861266244</v>
      </c>
      <c r="BY101" s="251">
        <f t="shared" si="57"/>
        <v>0.80274782267686728</v>
      </c>
      <c r="BZ101" s="251">
        <f t="shared" si="57"/>
        <v>0.83063462856498638</v>
      </c>
      <c r="CA101" s="251">
        <f t="shared" si="57"/>
        <v>0.5</v>
      </c>
      <c r="CB101" s="251">
        <f t="shared" si="57"/>
        <v>0.5</v>
      </c>
      <c r="CC101" s="251">
        <f t="shared" si="57"/>
        <v>0.5</v>
      </c>
      <c r="CD101" s="251">
        <f t="shared" si="57"/>
        <v>0.5</v>
      </c>
      <c r="CE101" s="251" t="e">
        <f t="shared" si="57"/>
        <v>#DIV/0!</v>
      </c>
      <c r="CF101" s="251" t="e">
        <f t="shared" si="57"/>
        <v>#DIV/0!</v>
      </c>
      <c r="CG101" s="251" t="e">
        <f t="shared" si="57"/>
        <v>#DIV/0!</v>
      </c>
      <c r="CH101" s="251" t="e">
        <f t="shared" si="57"/>
        <v>#DIV/0!</v>
      </c>
      <c r="CI101" s="251" t="e">
        <f t="shared" si="57"/>
        <v>#DIV/0!</v>
      </c>
      <c r="CJ101" s="251" t="e">
        <f t="shared" si="57"/>
        <v>#DIV/0!</v>
      </c>
      <c r="CK101" s="251" t="e">
        <f t="shared" si="57"/>
        <v>#DIV/0!</v>
      </c>
    </row>
    <row r="102" spans="1:89" ht="204.75" customHeight="1">
      <c r="A102" s="286" t="s">
        <v>688</v>
      </c>
      <c r="B102" s="287"/>
      <c r="C102" s="287"/>
      <c r="D102" s="287"/>
      <c r="E102" s="287"/>
      <c r="F102" s="287"/>
      <c r="G102" s="287"/>
      <c r="H102" s="287"/>
      <c r="I102" s="287"/>
      <c r="J102" s="287"/>
      <c r="K102" s="287"/>
      <c r="L102" s="287"/>
      <c r="M102" s="287"/>
      <c r="N102" s="287"/>
      <c r="O102" s="287"/>
      <c r="P102" s="287"/>
      <c r="Q102" s="287"/>
      <c r="R102" s="287"/>
      <c r="S102" s="287"/>
      <c r="T102" s="287"/>
      <c r="U102" s="287"/>
      <c r="V102" s="287"/>
      <c r="W102" s="287"/>
      <c r="X102" s="287"/>
      <c r="Y102" s="287"/>
      <c r="Z102" s="287"/>
      <c r="AA102" s="287"/>
      <c r="AB102" s="287"/>
      <c r="AC102" s="287"/>
      <c r="AD102" s="287"/>
      <c r="AE102" s="287"/>
      <c r="AF102" s="287"/>
      <c r="AG102" s="287"/>
      <c r="AH102" s="287"/>
      <c r="AI102" s="287"/>
      <c r="AJ102" s="287"/>
      <c r="AK102" s="287"/>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41"/>
  <sheetViews>
    <sheetView tabSelected="1" topLeftCell="A11" workbookViewId="0">
      <selection activeCell="E27" sqref="E27:CL27"/>
    </sheetView>
  </sheetViews>
  <sheetFormatPr defaultRowHeight="13.5"/>
  <cols>
    <col min="1" max="1" width="65.75" style="17" bestFit="1" customWidth="1"/>
    <col min="2" max="2" width="9.5" bestFit="1" customWidth="1"/>
    <col min="3" max="4" width="9.5" hidden="1" customWidth="1"/>
    <col min="5" max="5" width="20.5" hidden="1" customWidth="1"/>
    <col min="6" max="6" width="19.5" bestFit="1" customWidth="1"/>
    <col min="7" max="7" width="19.5" hidden="1" customWidth="1"/>
    <col min="8" max="8" width="18.25" hidden="1" customWidth="1"/>
    <col min="9" max="9" width="20.75" hidden="1" customWidth="1"/>
    <col min="10" max="10" width="19.5" bestFit="1" customWidth="1"/>
    <col min="11" max="11" width="19.5" hidden="1" customWidth="1"/>
    <col min="12" max="13" width="20.75" hidden="1" customWidth="1"/>
    <col min="14" max="14" width="20.75" bestFit="1" customWidth="1"/>
    <col min="15" max="16" width="20.75" hidden="1" customWidth="1"/>
    <col min="17" max="17" width="19.5" hidden="1" customWidth="1"/>
    <col min="18" max="18" width="20.75" bestFit="1" customWidth="1"/>
    <col min="19" max="20" width="20.75" hidden="1" customWidth="1"/>
    <col min="21" max="21" width="19.5" hidden="1" customWidth="1"/>
    <col min="22" max="22" width="19.5" bestFit="1" customWidth="1"/>
    <col min="23" max="24" width="19.5" hidden="1" customWidth="1"/>
    <col min="25" max="25" width="18.25" hidden="1" customWidth="1"/>
    <col min="26" max="26" width="19.375" bestFit="1" customWidth="1"/>
    <col min="27" max="27" width="19.375" hidden="1" customWidth="1"/>
    <col min="28" max="28" width="19.5" hidden="1" customWidth="1"/>
    <col min="29" max="29" width="18.25" hidden="1" customWidth="1"/>
    <col min="30" max="30" width="19.5" bestFit="1" customWidth="1"/>
    <col min="31" max="31" width="19.5" hidden="1" customWidth="1"/>
    <col min="32" max="33" width="18.25" hidden="1" customWidth="1"/>
    <col min="34" max="34" width="19.5" bestFit="1" customWidth="1"/>
    <col min="35" max="37" width="18.25" hidden="1" customWidth="1"/>
    <col min="38" max="38" width="19.5" bestFit="1" customWidth="1"/>
    <col min="39" max="41" width="18.25" hidden="1" customWidth="1"/>
    <col min="42" max="42" width="18.25" bestFit="1" customWidth="1"/>
    <col min="43" max="43" width="18.25" hidden="1" customWidth="1"/>
    <col min="44" max="44" width="19.5" hidden="1" customWidth="1"/>
    <col min="45" max="45" width="18.25" hidden="1" customWidth="1"/>
    <col min="46" max="46" width="18.25" bestFit="1" customWidth="1"/>
    <col min="47" max="49" width="18.25" hidden="1" customWidth="1"/>
    <col min="50" max="50" width="18.25" bestFit="1" customWidth="1"/>
    <col min="51" max="53" width="18.25" hidden="1" customWidth="1"/>
    <col min="54" max="54" width="18.25" bestFit="1" customWidth="1"/>
    <col min="55" max="55" width="18.25" hidden="1" customWidth="1"/>
    <col min="56" max="56" width="19.5" hidden="1" customWidth="1"/>
    <col min="57" max="57" width="18.25" hidden="1" customWidth="1"/>
    <col min="58" max="58" width="18.25" bestFit="1" customWidth="1"/>
    <col min="59" max="61" width="18.25" hidden="1" customWidth="1"/>
    <col min="62" max="62" width="18.25" bestFit="1" customWidth="1"/>
    <col min="63" max="65" width="18.25" hidden="1" customWidth="1"/>
    <col min="66" max="66" width="19.5" bestFit="1" customWidth="1"/>
    <col min="67" max="67" width="18.25" hidden="1" customWidth="1"/>
    <col min="68" max="68" width="19.5" bestFit="1" customWidth="1"/>
    <col min="69" max="69" width="18.25" hidden="1" customWidth="1"/>
    <col min="70" max="70" width="18.25" bestFit="1" customWidth="1"/>
    <col min="71" max="71" width="18.25" hidden="1" customWidth="1"/>
    <col min="72" max="73" width="18.25" bestFit="1" customWidth="1"/>
    <col min="74" max="74" width="18.375" hidden="1" customWidth="1"/>
    <col min="75" max="75" width="17.25" hidden="1" customWidth="1"/>
    <col min="76" max="82" width="17.25" bestFit="1" customWidth="1"/>
    <col min="83" max="84" width="9.625" bestFit="1" customWidth="1"/>
    <col min="85" max="86" width="16.125" bestFit="1" customWidth="1"/>
    <col min="87" max="87" width="17.25" bestFit="1" customWidth="1"/>
    <col min="88" max="88" width="16.125" bestFit="1" customWidth="1"/>
    <col min="89" max="90" width="9.625" bestFit="1" customWidth="1"/>
  </cols>
  <sheetData>
    <row r="1" spans="1:90" ht="14.45">
      <c r="A1" s="17">
        <v>600738</v>
      </c>
      <c r="B1" s="1">
        <v>43465</v>
      </c>
      <c r="C1" s="1">
        <v>43373</v>
      </c>
      <c r="D1" s="1">
        <v>43281</v>
      </c>
      <c r="E1" s="1">
        <v>43190</v>
      </c>
      <c r="F1" s="1">
        <v>43100</v>
      </c>
      <c r="G1" s="1">
        <v>43008</v>
      </c>
      <c r="H1" s="1">
        <v>42916</v>
      </c>
      <c r="I1" s="1">
        <v>42825</v>
      </c>
      <c r="J1" s="1">
        <v>42735</v>
      </c>
      <c r="K1" s="1">
        <v>42643</v>
      </c>
      <c r="L1" s="1">
        <v>42551</v>
      </c>
      <c r="M1" s="1">
        <v>42460</v>
      </c>
      <c r="N1" s="1">
        <v>42369</v>
      </c>
      <c r="O1" s="1">
        <v>42277</v>
      </c>
      <c r="P1" s="1">
        <v>42185</v>
      </c>
      <c r="Q1" s="1">
        <v>42094</v>
      </c>
      <c r="R1" s="1">
        <v>42004</v>
      </c>
      <c r="S1" s="1">
        <v>41912</v>
      </c>
      <c r="T1" s="1">
        <v>41820</v>
      </c>
      <c r="U1" s="1">
        <v>41729</v>
      </c>
      <c r="V1" s="1">
        <v>41639</v>
      </c>
      <c r="W1" s="1">
        <v>41547</v>
      </c>
      <c r="X1" s="1">
        <v>41455</v>
      </c>
      <c r="Y1" s="1">
        <v>41364</v>
      </c>
      <c r="Z1" s="1">
        <v>41274</v>
      </c>
      <c r="AA1" s="1">
        <v>41182</v>
      </c>
      <c r="AB1" s="1">
        <v>41090</v>
      </c>
      <c r="AC1" s="1">
        <v>40999</v>
      </c>
      <c r="AD1" s="1">
        <v>40908</v>
      </c>
      <c r="AE1" s="1">
        <v>40816</v>
      </c>
      <c r="AF1" s="1">
        <v>40724</v>
      </c>
      <c r="AG1" s="1">
        <v>40633</v>
      </c>
      <c r="AH1" s="1">
        <v>40543</v>
      </c>
      <c r="AI1" s="1">
        <v>40451</v>
      </c>
      <c r="AJ1" s="1">
        <v>40359</v>
      </c>
      <c r="AK1" s="1">
        <v>40268</v>
      </c>
      <c r="AL1" s="1">
        <v>40178</v>
      </c>
      <c r="AM1" s="1">
        <v>40086</v>
      </c>
      <c r="AN1" s="1">
        <v>39994</v>
      </c>
      <c r="AO1" s="1">
        <v>39903</v>
      </c>
      <c r="AP1" s="1">
        <v>39813</v>
      </c>
      <c r="AQ1" s="1">
        <v>39721</v>
      </c>
      <c r="AR1" s="1">
        <v>39629</v>
      </c>
      <c r="AS1" s="1">
        <v>39538</v>
      </c>
      <c r="AT1" s="1">
        <v>39447</v>
      </c>
      <c r="AU1" s="1">
        <v>39355</v>
      </c>
      <c r="AV1" s="1">
        <v>39263</v>
      </c>
      <c r="AW1" s="1">
        <v>39172</v>
      </c>
      <c r="AX1" s="1">
        <v>39082</v>
      </c>
      <c r="AY1" s="1">
        <v>38990</v>
      </c>
      <c r="AZ1" s="1">
        <v>38898</v>
      </c>
      <c r="BA1" s="1">
        <v>38807</v>
      </c>
      <c r="BB1" s="1">
        <v>38717</v>
      </c>
      <c r="BC1" s="1">
        <v>38625</v>
      </c>
      <c r="BD1" s="1">
        <v>38533</v>
      </c>
      <c r="BE1" s="1">
        <v>38442</v>
      </c>
      <c r="BF1" s="1">
        <v>38352</v>
      </c>
      <c r="BG1" s="1">
        <v>38260</v>
      </c>
      <c r="BH1" s="1">
        <v>38168</v>
      </c>
      <c r="BI1" s="1">
        <v>38077</v>
      </c>
      <c r="BJ1" s="1">
        <v>37986</v>
      </c>
      <c r="BK1" s="1">
        <v>37894</v>
      </c>
      <c r="BL1" s="1">
        <v>37802</v>
      </c>
      <c r="BM1" s="1">
        <v>37711</v>
      </c>
      <c r="BN1" s="1">
        <v>37621</v>
      </c>
      <c r="BO1" s="1">
        <v>37437</v>
      </c>
      <c r="BP1" s="1">
        <v>37256</v>
      </c>
      <c r="BQ1" s="1">
        <v>37072</v>
      </c>
      <c r="BR1" s="1">
        <v>36891</v>
      </c>
      <c r="BS1" s="1">
        <v>36707</v>
      </c>
      <c r="BT1" s="1">
        <v>36525</v>
      </c>
      <c r="BU1" s="1">
        <v>36160</v>
      </c>
      <c r="BV1" s="1">
        <v>35976</v>
      </c>
      <c r="BW1" s="1">
        <v>25569</v>
      </c>
      <c r="BX1" s="40"/>
      <c r="BY1" s="40"/>
      <c r="BZ1" s="40"/>
      <c r="CA1" s="40"/>
      <c r="CB1" s="40"/>
      <c r="CC1" s="40"/>
      <c r="CD1" s="40"/>
      <c r="CE1" s="40"/>
      <c r="CF1" s="40"/>
      <c r="CG1" s="40"/>
      <c r="CH1" s="40"/>
      <c r="CI1" s="40"/>
      <c r="CJ1" s="40"/>
      <c r="CK1" s="40"/>
      <c r="CL1" s="40"/>
    </row>
    <row r="2" spans="1:90" s="26" customFormat="1">
      <c r="A2" s="17" t="s">
        <v>485</v>
      </c>
      <c r="E2" s="26">
        <f>现金流量表!E4</f>
        <v>502129074.5</v>
      </c>
      <c r="F2" s="26">
        <f>现金流量表!F4</f>
        <v>1854695286.51</v>
      </c>
      <c r="G2" s="26">
        <f>现金流量表!G4</f>
        <v>1415745837.46</v>
      </c>
      <c r="H2" s="26">
        <f>现金流量表!H4</f>
        <v>992885418.52999997</v>
      </c>
      <c r="I2" s="26">
        <f>现金流量表!I4</f>
        <v>379287796.31999999</v>
      </c>
      <c r="J2" s="26">
        <f>现金流量表!J4</f>
        <v>1352379046.9000001</v>
      </c>
      <c r="K2" s="26">
        <f>现金流量表!K4</f>
        <v>902730926.16999996</v>
      </c>
      <c r="L2" s="26">
        <f>现金流量表!L4</f>
        <v>551603610.97000003</v>
      </c>
      <c r="M2" s="26">
        <f>现金流量表!M4</f>
        <v>313949469.05000001</v>
      </c>
      <c r="N2" s="26">
        <f>现金流量表!N4</f>
        <v>1187969733.3399999</v>
      </c>
      <c r="O2" s="26">
        <f>现金流量表!O4</f>
        <v>898431218.70000005</v>
      </c>
      <c r="P2" s="26">
        <f>现金流量表!P4</f>
        <v>594780250.76999998</v>
      </c>
      <c r="Q2" s="26">
        <f>现金流量表!Q4</f>
        <v>336274637.14999998</v>
      </c>
      <c r="R2" s="26">
        <f>现金流量表!R4</f>
        <v>1269794497.3399999</v>
      </c>
      <c r="S2" s="26">
        <f>现金流量表!S4</f>
        <v>966469664.73000002</v>
      </c>
      <c r="T2" s="26">
        <f>现金流量表!T4</f>
        <v>623054859.25</v>
      </c>
      <c r="U2" s="26">
        <f>现金流量表!U4</f>
        <v>355580427.99000001</v>
      </c>
      <c r="V2" s="26">
        <f>现金流量表!V4</f>
        <v>1549930391.8900001</v>
      </c>
      <c r="W2" s="26">
        <f>现金流量表!W4</f>
        <v>1181608398.8800001</v>
      </c>
      <c r="X2" s="26">
        <f>现金流量表!X4</f>
        <v>804235621.72000003</v>
      </c>
      <c r="Y2" s="26">
        <f>现金流量表!Y4</f>
        <v>479853655.19999999</v>
      </c>
      <c r="Z2" s="26">
        <f>现金流量表!Z4</f>
        <v>1588293330.6400001</v>
      </c>
      <c r="AA2" s="26">
        <f>现金流量表!AA4</f>
        <v>1164008880.4000001</v>
      </c>
      <c r="AB2" s="26">
        <f>现金流量表!AB4</f>
        <v>770117632.57000005</v>
      </c>
      <c r="AC2" s="26">
        <f>现金流量表!AC4</f>
        <v>463274652.42000002</v>
      </c>
      <c r="AD2" s="26">
        <f>现金流量表!AD4</f>
        <v>1491876696.71</v>
      </c>
      <c r="AE2" s="26">
        <f>现金流量表!AE4</f>
        <v>1042254980.58</v>
      </c>
      <c r="AF2" s="26">
        <f>现金流量表!AF4</f>
        <v>723669659.73000002</v>
      </c>
      <c r="AG2" s="26">
        <f>现金流量表!AG4</f>
        <v>440220999.01999998</v>
      </c>
      <c r="AH2" s="26">
        <f>现金流量表!AH4</f>
        <v>1167944105.49</v>
      </c>
      <c r="AI2" s="26">
        <f>现金流量表!AI4</f>
        <v>790906852.47000003</v>
      </c>
      <c r="AJ2" s="26">
        <f>现金流量表!AJ4</f>
        <v>516242600.10000002</v>
      </c>
      <c r="AK2" s="26">
        <f>现金流量表!AK4</f>
        <v>315802120.52999997</v>
      </c>
      <c r="AL2" s="26">
        <f>现金流量表!AL4</f>
        <v>896334541.71000004</v>
      </c>
      <c r="AM2" s="26">
        <f>现金流量表!AM4</f>
        <v>628122786.38</v>
      </c>
      <c r="AN2" s="26">
        <f>现金流量表!AN4</f>
        <v>404840640.72000003</v>
      </c>
      <c r="AO2" s="26">
        <f>现金流量表!AO4</f>
        <v>246176806.00999999</v>
      </c>
      <c r="AP2" s="26">
        <f>现金流量表!AP4</f>
        <v>785787795.63999999</v>
      </c>
      <c r="AQ2" s="26">
        <f>现金流量表!AQ4</f>
        <v>536274470.64999998</v>
      </c>
      <c r="AR2" s="26">
        <f>现金流量表!AR4</f>
        <v>353416959.31</v>
      </c>
      <c r="AS2" s="26">
        <f>现金流量表!AS4</f>
        <v>237834482.71000001</v>
      </c>
      <c r="AT2" s="26">
        <f>现金流量表!AT4</f>
        <v>665661981.5</v>
      </c>
      <c r="AU2" s="26">
        <f>现金流量表!AU4</f>
        <v>480540722.01999998</v>
      </c>
      <c r="AV2" s="26">
        <f>现金流量表!AV4</f>
        <v>312698625.39999998</v>
      </c>
      <c r="AW2" s="26">
        <f>现金流量表!AW4</f>
        <v>196936331.5</v>
      </c>
      <c r="AX2" s="26">
        <f>现金流量表!AX4</f>
        <v>542731181.20000005</v>
      </c>
      <c r="AY2" s="26">
        <f>现金流量表!AY4</f>
        <v>379473755.38</v>
      </c>
      <c r="AZ2" s="26">
        <f>现金流量表!AZ4</f>
        <v>262300275.38999999</v>
      </c>
      <c r="BA2" s="26">
        <f>现金流量表!BA4</f>
        <v>157319141.09999999</v>
      </c>
      <c r="BB2" s="26">
        <f>现金流量表!BB4</f>
        <v>548411846.47000003</v>
      </c>
      <c r="BC2" s="26">
        <f>现金流量表!BC4</f>
        <v>385593744.38999999</v>
      </c>
      <c r="BD2" s="26">
        <f>现金流量表!BD4</f>
        <v>259027204.63999999</v>
      </c>
      <c r="BE2" s="26">
        <f>现金流量表!BE4</f>
        <v>167388533.16</v>
      </c>
      <c r="BF2" s="26">
        <f>现金流量表!BF4</f>
        <v>508655500.73000002</v>
      </c>
      <c r="BG2" s="26">
        <f>现金流量表!BG4</f>
        <v>368786800.36000001</v>
      </c>
      <c r="BH2" s="26">
        <f>现金流量表!BH4</f>
        <v>250667333.13</v>
      </c>
      <c r="BI2" s="26">
        <f>现金流量表!BI4</f>
        <v>150106785.18000001</v>
      </c>
      <c r="BJ2" s="26">
        <f>现金流量表!BJ4</f>
        <v>591677194.90999997</v>
      </c>
      <c r="BK2" s="26">
        <f>现金流量表!BK4</f>
        <v>463615838.31999999</v>
      </c>
      <c r="BL2" s="26">
        <f>现金流量表!BL4</f>
        <v>311532812.50999999</v>
      </c>
      <c r="BM2" s="26">
        <f>现金流量表!BM4</f>
        <v>182650685.00999999</v>
      </c>
      <c r="BN2" s="26">
        <f>现金流量表!BN4</f>
        <v>624585951.97000003</v>
      </c>
      <c r="BO2" s="26">
        <f>现金流量表!BO4</f>
        <v>343319999.75999999</v>
      </c>
      <c r="BP2" s="26">
        <f>现金流量表!BP4</f>
        <v>775324123.12</v>
      </c>
      <c r="BQ2" s="26">
        <f>现金流量表!BQ4</f>
        <v>392138915.56</v>
      </c>
      <c r="BR2" s="26">
        <f>现金流量表!BR4</f>
        <v>724909129.05999994</v>
      </c>
      <c r="BS2" s="26">
        <f>现金流量表!BS4</f>
        <v>329810414.02999997</v>
      </c>
      <c r="BT2" s="26">
        <f>现金流量表!BT4</f>
        <v>699908397.16999996</v>
      </c>
      <c r="BU2" s="26">
        <f>现金流量表!BU4</f>
        <v>615396993.21000004</v>
      </c>
      <c r="BV2" s="26">
        <f>现金流量表!BV4</f>
        <v>325789207.05000001</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486</v>
      </c>
      <c r="E3" s="26">
        <f>利润表!E3</f>
        <v>421474197.36000001</v>
      </c>
      <c r="F3" s="26">
        <f>利润表!F3</f>
        <v>1366363612.6199999</v>
      </c>
      <c r="G3" s="26">
        <f>利润表!G3</f>
        <v>1026037642.64</v>
      </c>
      <c r="H3" s="26">
        <f>利润表!H3</f>
        <v>698379557.87</v>
      </c>
      <c r="I3" s="26">
        <f>利润表!I3</f>
        <v>284244614.87</v>
      </c>
      <c r="J3" s="26">
        <f>利润表!J3</f>
        <v>1026535858.9299999</v>
      </c>
      <c r="K3" s="26">
        <f>利润表!K3</f>
        <v>766151820.29999995</v>
      </c>
      <c r="L3" s="26">
        <f>利润表!L3</f>
        <v>525882189.83999997</v>
      </c>
      <c r="M3" s="26">
        <f>利润表!M3</f>
        <v>295249656.20999998</v>
      </c>
      <c r="N3" s="26">
        <f>利润表!N3</f>
        <v>1120665180.8800001</v>
      </c>
      <c r="O3" s="26">
        <f>利润表!O3</f>
        <v>857530976.39999998</v>
      </c>
      <c r="P3" s="26">
        <f>利润表!P3</f>
        <v>593268789.13</v>
      </c>
      <c r="Q3" s="26">
        <f>利润表!Q3</f>
        <v>335552584.61000001</v>
      </c>
      <c r="R3" s="26">
        <f>利润表!R3</f>
        <v>1214852555.8099999</v>
      </c>
      <c r="S3" s="26">
        <f>利润表!S3</f>
        <v>927620999.42999995</v>
      </c>
      <c r="T3" s="26">
        <f>利润表!T3</f>
        <v>630920696.25999999</v>
      </c>
      <c r="U3" s="26">
        <f>利润表!U3</f>
        <v>359411030.98000002</v>
      </c>
      <c r="V3" s="26">
        <f>利润表!V3</f>
        <v>1428005507.79</v>
      </c>
      <c r="W3" s="26">
        <f>利润表!W3</f>
        <v>1090244284</v>
      </c>
      <c r="X3" s="26">
        <f>利润表!X3</f>
        <v>753590720.29999995</v>
      </c>
      <c r="Y3" s="26">
        <f>利润表!Y3</f>
        <v>407134157.54000002</v>
      </c>
      <c r="Z3" s="26">
        <f>利润表!Z3</f>
        <v>1320057528.8499999</v>
      </c>
      <c r="AA3" s="26">
        <f>利润表!AA3</f>
        <v>999698057.85000002</v>
      </c>
      <c r="AB3" s="26">
        <f>利润表!AB3</f>
        <v>696223866.28999996</v>
      </c>
      <c r="AC3" s="26">
        <f>利润表!AC3</f>
        <v>397167146.08999997</v>
      </c>
      <c r="AD3" s="26">
        <f>利润表!AD3</f>
        <v>1188181022.1600001</v>
      </c>
      <c r="AE3" s="26">
        <f>利润表!AE3</f>
        <v>881523761.17999995</v>
      </c>
      <c r="AF3" s="26">
        <f>利润表!AF3</f>
        <v>619936758.73000002</v>
      </c>
      <c r="AG3" s="26">
        <f>利润表!AG3</f>
        <v>360707870.79000002</v>
      </c>
      <c r="AH3" s="26">
        <f>利润表!AH3</f>
        <v>920899447.85000002</v>
      </c>
      <c r="AI3" s="26">
        <f>利润表!AI3</f>
        <v>652183381.96000004</v>
      </c>
      <c r="AJ3" s="26">
        <f>利润表!AJ3</f>
        <v>437443143.19</v>
      </c>
      <c r="AK3" s="26">
        <f>利润表!AK3</f>
        <v>250700453.44</v>
      </c>
      <c r="AL3" s="26">
        <f>利润表!AL3</f>
        <v>729118833.46000004</v>
      </c>
      <c r="AM3" s="26">
        <f>利润表!AM3</f>
        <v>531954310.14999998</v>
      </c>
      <c r="AN3" s="26">
        <f>利润表!AN3</f>
        <v>364490143.06999999</v>
      </c>
      <c r="AO3" s="26">
        <f>利润表!AO3</f>
        <v>208744716.30000001</v>
      </c>
      <c r="AP3" s="26">
        <f>利润表!AP3</f>
        <v>622896991.75999999</v>
      </c>
      <c r="AQ3" s="26">
        <f>利润表!AQ3</f>
        <v>458272083.85000002</v>
      </c>
      <c r="AR3" s="26">
        <f>利润表!AR3</f>
        <v>312351104.93000001</v>
      </c>
      <c r="AS3" s="26">
        <f>利润表!AS3</f>
        <v>187257445.02000001</v>
      </c>
      <c r="AT3" s="26">
        <f>利润表!AT3</f>
        <v>547411619.92999995</v>
      </c>
      <c r="AU3" s="26">
        <f>利润表!AU3</f>
        <v>398835936.57999998</v>
      </c>
      <c r="AV3" s="26">
        <f>利润表!AV3</f>
        <v>271330509.35000002</v>
      </c>
      <c r="AW3" s="26">
        <f>利润表!AW3</f>
        <v>152264846.55000001</v>
      </c>
      <c r="AX3" s="26">
        <f>利润表!AX3</f>
        <v>474726724.01999998</v>
      </c>
      <c r="AY3" s="26">
        <f>利润表!AY3</f>
        <v>348876990.88</v>
      </c>
      <c r="AZ3" s="26">
        <f>利润表!AZ3</f>
        <v>235258204.50999999</v>
      </c>
      <c r="BA3" s="26">
        <f>利润表!BA3</f>
        <v>135305126.25999999</v>
      </c>
      <c r="BB3" s="26">
        <f>利润表!BB3</f>
        <v>463851312.14999998</v>
      </c>
      <c r="BC3" s="26">
        <f>利润表!BC3</f>
        <v>341539825.26999998</v>
      </c>
      <c r="BD3" s="26">
        <f>利润表!BD3</f>
        <v>239959094.81999999</v>
      </c>
      <c r="BE3" s="26">
        <f>利润表!BE3</f>
        <v>139220632.52000001</v>
      </c>
      <c r="BF3" s="26">
        <f>利润表!BF3</f>
        <v>431399446.75999999</v>
      </c>
      <c r="BG3" s="26">
        <f>利润表!BG3</f>
        <v>320044507.77999997</v>
      </c>
      <c r="BH3" s="26">
        <f>利润表!BH3</f>
        <v>223803529.02000001</v>
      </c>
      <c r="BI3" s="26">
        <f>利润表!BI3</f>
        <v>129758814.18000001</v>
      </c>
      <c r="BJ3" s="26">
        <f>利润表!BJ3</f>
        <v>509522146.31999999</v>
      </c>
      <c r="BK3" s="26">
        <f>利润表!BK3</f>
        <v>382973373.33999997</v>
      </c>
      <c r="BL3" s="26">
        <f>利润表!BL3</f>
        <v>269219432.54000002</v>
      </c>
      <c r="BM3" s="26">
        <f>利润表!BM3</f>
        <v>154769319.83000001</v>
      </c>
      <c r="BN3" s="26">
        <f>利润表!BN3</f>
        <v>527062706.30000001</v>
      </c>
      <c r="BO3" s="26">
        <f>利润表!BO3</f>
        <v>418579972.02999997</v>
      </c>
      <c r="BP3" s="26">
        <f>利润表!BP3</f>
        <v>299750814.39999998</v>
      </c>
      <c r="BQ3" s="26">
        <f>利润表!BQ3</f>
        <v>177977777.56999999</v>
      </c>
      <c r="BR3" s="26">
        <f>利润表!BR3</f>
        <v>663361330.98000002</v>
      </c>
      <c r="BS3" s="26">
        <f>利润表!BS3</f>
        <v>353079633.32999998</v>
      </c>
      <c r="BT3" s="26">
        <f>利润表!BT3</f>
        <v>696955338.73000002</v>
      </c>
      <c r="BU3" s="26">
        <f>利润表!BU3</f>
        <v>324344723.62</v>
      </c>
      <c r="BV3" s="26">
        <f>利润表!BV3</f>
        <v>600366245.58000004</v>
      </c>
      <c r="BW3" s="26">
        <f>利润表!BW3</f>
        <v>325165701.39999998</v>
      </c>
      <c r="BX3" s="26">
        <f>利润表!BX3</f>
        <v>621125183.07000005</v>
      </c>
      <c r="BY3" s="26">
        <f>利润表!BY3</f>
        <v>316185990.66000003</v>
      </c>
      <c r="BZ3" s="26">
        <f>利润表!BZ3</f>
        <v>611686321.15999997</v>
      </c>
      <c r="CA3" s="26">
        <f>利润表!CA3</f>
        <v>349517821.69999999</v>
      </c>
      <c r="CB3" s="26">
        <f>利润表!CB3</f>
        <v>619170846.67999995</v>
      </c>
      <c r="CC3" s="26">
        <f>利润表!CC3</f>
        <v>334064206.04000002</v>
      </c>
      <c r="CD3" s="26">
        <f>利润表!CD3</f>
        <v>552520461.17999995</v>
      </c>
      <c r="CE3" s="26">
        <f>利润表!CE3</f>
        <v>0</v>
      </c>
      <c r="CF3" s="26">
        <f>利润表!CF3</f>
        <v>0</v>
      </c>
      <c r="CG3" s="26">
        <f>利润表!CG3</f>
        <v>0</v>
      </c>
      <c r="CH3" s="26">
        <f>利润表!CH3</f>
        <v>0</v>
      </c>
      <c r="CI3" s="26">
        <f>利润表!CI3</f>
        <v>0</v>
      </c>
      <c r="CJ3" s="26">
        <f>利润表!CJ3</f>
        <v>0</v>
      </c>
      <c r="CK3" s="26">
        <f>利润表!CK3</f>
        <v>0</v>
      </c>
    </row>
    <row r="4" spans="1:90" s="63" customFormat="1">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c r="A5" s="20" t="s">
        <v>487</v>
      </c>
      <c r="E5" s="28">
        <f>(E2/(1+E4))/E3</f>
        <v>1.0182596036329259</v>
      </c>
      <c r="F5" s="28">
        <f t="shared" ref="F5:BQ5" si="2">(F2/(1+F4))/F3</f>
        <v>1.1601667608449457</v>
      </c>
      <c r="G5" s="28">
        <f t="shared" si="2"/>
        <v>1.1793321482853227</v>
      </c>
      <c r="H5" s="28">
        <f t="shared" si="2"/>
        <v>1.2151272274145994</v>
      </c>
      <c r="I5" s="28">
        <f t="shared" si="2"/>
        <v>1.14048811035724</v>
      </c>
      <c r="J5" s="28">
        <f t="shared" si="2"/>
        <v>1.1260001462294533</v>
      </c>
      <c r="K5" s="28">
        <f t="shared" si="2"/>
        <v>1.0070652757312168</v>
      </c>
      <c r="L5" s="28">
        <f t="shared" si="2"/>
        <v>0.89650512388635495</v>
      </c>
      <c r="M5" s="28">
        <f t="shared" si="2"/>
        <v>0.908833842431503</v>
      </c>
      <c r="N5" s="28">
        <f t="shared" si="2"/>
        <v>0.906032206378658</v>
      </c>
      <c r="O5" s="28">
        <f t="shared" si="2"/>
        <v>0.89546611334846304</v>
      </c>
      <c r="P5" s="28">
        <f t="shared" si="2"/>
        <v>0.85687836273637774</v>
      </c>
      <c r="Q5" s="28">
        <f t="shared" si="2"/>
        <v>0.85654002671556051</v>
      </c>
      <c r="R5" s="28">
        <f t="shared" si="2"/>
        <v>0.89335486597163449</v>
      </c>
      <c r="S5" s="28">
        <f t="shared" si="2"/>
        <v>0.89049563237007578</v>
      </c>
      <c r="T5" s="28">
        <f t="shared" si="2"/>
        <v>0.84404509771707348</v>
      </c>
      <c r="U5" s="28">
        <f t="shared" si="2"/>
        <v>0.84559145246396328</v>
      </c>
      <c r="V5" s="28">
        <f t="shared" si="2"/>
        <v>0.927676275370519</v>
      </c>
      <c r="W5" s="28">
        <f t="shared" si="2"/>
        <v>0.92632607505094211</v>
      </c>
      <c r="X5" s="28">
        <f t="shared" si="2"/>
        <v>0.9121408408417172</v>
      </c>
      <c r="Y5" s="28">
        <f t="shared" si="2"/>
        <v>1.0073616316274685</v>
      </c>
      <c r="Z5" s="28">
        <f t="shared" si="2"/>
        <v>1.0283761408461556</v>
      </c>
      <c r="AA5" s="28">
        <f t="shared" si="2"/>
        <v>0.99517987170736522</v>
      </c>
      <c r="AB5" s="28">
        <f t="shared" si="2"/>
        <v>0.94541458666917877</v>
      </c>
      <c r="AC5" s="28">
        <f t="shared" si="2"/>
        <v>0.99696373499858604</v>
      </c>
      <c r="AD5" s="28">
        <f t="shared" si="2"/>
        <v>1.0731599512238459</v>
      </c>
      <c r="AE5" s="28">
        <f t="shared" si="2"/>
        <v>1.0105413625215389</v>
      </c>
      <c r="AF5" s="28">
        <f t="shared" si="2"/>
        <v>0.99771640894372438</v>
      </c>
      <c r="AG5" s="28">
        <f t="shared" si="2"/>
        <v>1.0431079956630909</v>
      </c>
      <c r="AH5" s="28">
        <f t="shared" si="2"/>
        <v>1.0839867778569092</v>
      </c>
      <c r="AI5" s="28">
        <f t="shared" si="2"/>
        <v>1.0365010539878059</v>
      </c>
      <c r="AJ5" s="28">
        <f t="shared" si="2"/>
        <v>1.008663636423295</v>
      </c>
      <c r="AK5" s="28">
        <f t="shared" si="2"/>
        <v>1.076648799911055</v>
      </c>
      <c r="AL5" s="28">
        <f t="shared" si="2"/>
        <v>1.0507174739431069</v>
      </c>
      <c r="AM5" s="28">
        <f t="shared" si="2"/>
        <v>1.0092165288118184</v>
      </c>
      <c r="AN5" s="28">
        <f t="shared" si="2"/>
        <v>0.9493196132181092</v>
      </c>
      <c r="AO5" s="28">
        <f t="shared" si="2"/>
        <v>1.0079657594872187</v>
      </c>
      <c r="AP5" s="28">
        <f t="shared" si="2"/>
        <v>1.0782095746671689</v>
      </c>
      <c r="AQ5" s="28">
        <f t="shared" si="2"/>
        <v>1.00017929210986</v>
      </c>
      <c r="AR5" s="28">
        <f t="shared" si="2"/>
        <v>0.96707126186004433</v>
      </c>
      <c r="AS5" s="28">
        <f t="shared" si="2"/>
        <v>1.0855500865552323</v>
      </c>
      <c r="AT5" s="28">
        <f t="shared" si="2"/>
        <v>1.0393309966687734</v>
      </c>
      <c r="AU5" s="28">
        <f t="shared" si="2"/>
        <v>1.0297932762803494</v>
      </c>
      <c r="AV5" s="28">
        <f t="shared" si="2"/>
        <v>0.98501190681954687</v>
      </c>
      <c r="AW5" s="28">
        <f t="shared" si="2"/>
        <v>1.105453127681892</v>
      </c>
      <c r="AX5" s="28">
        <f t="shared" si="2"/>
        <v>0.97713648921290097</v>
      </c>
      <c r="AY5" s="28">
        <f t="shared" si="2"/>
        <v>0.92965873800312648</v>
      </c>
      <c r="AZ5" s="28">
        <f t="shared" si="2"/>
        <v>0.95294559452685579</v>
      </c>
      <c r="BA5" s="28">
        <f t="shared" si="2"/>
        <v>0.99375986760913115</v>
      </c>
      <c r="BB5" s="28">
        <f t="shared" si="2"/>
        <v>1.0105136314768168</v>
      </c>
      <c r="BC5" s="28">
        <f t="shared" si="2"/>
        <v>0.96494545734717951</v>
      </c>
      <c r="BD5" s="28">
        <f t="shared" si="2"/>
        <v>0.9226188045202145</v>
      </c>
      <c r="BE5" s="28">
        <f t="shared" si="2"/>
        <v>1.0276287341132557</v>
      </c>
      <c r="BF5" s="28">
        <f t="shared" si="2"/>
        <v>1.0077627463071026</v>
      </c>
      <c r="BG5" s="28">
        <f t="shared" si="2"/>
        <v>0.98487049709585095</v>
      </c>
      <c r="BH5" s="28">
        <f t="shared" si="2"/>
        <v>0.95729314372272034</v>
      </c>
      <c r="BI5" s="28">
        <f t="shared" si="2"/>
        <v>0.98872973216117899</v>
      </c>
      <c r="BJ5" s="28">
        <f t="shared" si="2"/>
        <v>0.99251231344707291</v>
      </c>
      <c r="BK5" s="28">
        <f t="shared" si="2"/>
        <v>1.0346746819736941</v>
      </c>
      <c r="BL5" s="28">
        <f t="shared" si="2"/>
        <v>0.98903470157228246</v>
      </c>
      <c r="BM5" s="28">
        <f t="shared" si="2"/>
        <v>1.0086734034963651</v>
      </c>
      <c r="BN5" s="28">
        <f t="shared" si="2"/>
        <v>1.012847504864159</v>
      </c>
      <c r="BO5" s="28">
        <f t="shared" si="2"/>
        <v>0.70102708404246927</v>
      </c>
      <c r="BP5" s="28">
        <f t="shared" si="2"/>
        <v>2.2107369150182192</v>
      </c>
      <c r="BQ5" s="28">
        <f t="shared" si="2"/>
        <v>1.8831646898095287</v>
      </c>
      <c r="BR5" s="28">
        <f t="shared" ref="BR5:CL5" si="3">(BR2/(1+BR4))/BR3</f>
        <v>0.934001460821831</v>
      </c>
      <c r="BS5" s="28">
        <f t="shared" si="3"/>
        <v>0.79837299054069399</v>
      </c>
      <c r="BT5" s="28">
        <f t="shared" si="3"/>
        <v>0.85832229417106343</v>
      </c>
      <c r="BU5" s="28">
        <f t="shared" si="3"/>
        <v>1.6216707033383346</v>
      </c>
      <c r="BV5" s="28">
        <f t="shared" si="3"/>
        <v>0.46380407920658889</v>
      </c>
      <c r="BW5" s="28">
        <f t="shared" si="3"/>
        <v>0</v>
      </c>
      <c r="BX5" s="28">
        <f t="shared" si="3"/>
        <v>0</v>
      </c>
      <c r="BY5" s="28">
        <f t="shared" si="3"/>
        <v>0</v>
      </c>
      <c r="BZ5" s="28">
        <f t="shared" si="3"/>
        <v>0</v>
      </c>
      <c r="CA5" s="28">
        <f t="shared" si="3"/>
        <v>0</v>
      </c>
      <c r="CB5" s="28">
        <f t="shared" si="3"/>
        <v>0</v>
      </c>
      <c r="CC5" s="28">
        <f t="shared" si="3"/>
        <v>0</v>
      </c>
      <c r="CD5" s="28">
        <f t="shared" si="3"/>
        <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c r="A6" s="17" t="s">
        <v>488</v>
      </c>
      <c r="E6" s="26">
        <f>现金流量表!E8</f>
        <v>439531256.18000001</v>
      </c>
      <c r="F6" s="26">
        <f>现金流量表!F8</f>
        <v>1281126739.76</v>
      </c>
      <c r="G6" s="26">
        <f>现金流量表!G8</f>
        <v>1007426315.23</v>
      </c>
      <c r="H6" s="26">
        <f>现金流量表!H8</f>
        <v>662275475.14999998</v>
      </c>
      <c r="I6" s="26">
        <f>现金流量表!I8</f>
        <v>423978386.16000003</v>
      </c>
      <c r="J6" s="26">
        <f>现金流量表!J8</f>
        <v>1150685525</v>
      </c>
      <c r="K6" s="26">
        <f>现金流量表!K8</f>
        <v>878845872.04999995</v>
      </c>
      <c r="L6" s="26">
        <f>现金流量表!L8</f>
        <v>613555571.64999998</v>
      </c>
      <c r="M6" s="26">
        <f>现金流量表!M8</f>
        <v>368099711.89999998</v>
      </c>
      <c r="N6" s="26">
        <f>现金流量表!N8</f>
        <v>1145407151.9400001</v>
      </c>
      <c r="O6" s="26">
        <f>现金流量表!O8</f>
        <v>881631679.80999994</v>
      </c>
      <c r="P6" s="26">
        <f>现金流量表!P8</f>
        <v>611363289.32000005</v>
      </c>
      <c r="Q6" s="26">
        <f>现金流量表!Q8</f>
        <v>354006087.24000001</v>
      </c>
      <c r="R6" s="26">
        <f>现金流量表!R8</f>
        <v>1180508640.52</v>
      </c>
      <c r="S6" s="26">
        <f>现金流量表!S8</f>
        <v>927163184.21000004</v>
      </c>
      <c r="T6" s="26">
        <f>现金流量表!T8</f>
        <v>595701156.65999997</v>
      </c>
      <c r="U6" s="26">
        <f>现金流量表!U8</f>
        <v>356201946.75999999</v>
      </c>
      <c r="V6" s="26">
        <f>现金流量表!V8</f>
        <v>1302165024.5599999</v>
      </c>
      <c r="W6" s="26">
        <f>现金流量表!W8</f>
        <v>1028818607.0599999</v>
      </c>
      <c r="X6" s="26">
        <f>现金流量表!X8</f>
        <v>730763348.22000003</v>
      </c>
      <c r="Y6" s="26">
        <f>现金流量表!Y8</f>
        <v>370993061.92000002</v>
      </c>
      <c r="Z6" s="26">
        <f>现金流量表!Z8</f>
        <v>1262229809.75</v>
      </c>
      <c r="AA6" s="26">
        <f>现金流量表!AA8</f>
        <v>975863061.23000002</v>
      </c>
      <c r="AB6" s="26">
        <f>现金流量表!AB8</f>
        <v>674815055.37</v>
      </c>
      <c r="AC6" s="26">
        <f>现金流量表!AC8</f>
        <v>375247379.69</v>
      </c>
      <c r="AD6" s="26">
        <f>现金流量表!AD8</f>
        <v>1133967289.8499999</v>
      </c>
      <c r="AE6" s="26">
        <f>现金流量表!AE8</f>
        <v>839660412.23000002</v>
      </c>
      <c r="AF6" s="26">
        <f>现金流量表!AF8</f>
        <v>600607534.73000002</v>
      </c>
      <c r="AG6" s="26">
        <f>现金流量表!AG8</f>
        <v>357230888.64999998</v>
      </c>
      <c r="AH6" s="26">
        <f>现金流量表!AH8</f>
        <v>833991536.63999999</v>
      </c>
      <c r="AI6" s="26">
        <f>现金流量表!AI8</f>
        <v>609204183.92999995</v>
      </c>
      <c r="AJ6" s="26">
        <f>现金流量表!AJ8</f>
        <v>398858825.10000002</v>
      </c>
      <c r="AK6" s="26">
        <f>现金流量表!AK8</f>
        <v>230084743.34999999</v>
      </c>
      <c r="AL6" s="26">
        <f>现金流量表!AL8</f>
        <v>633888177.98000002</v>
      </c>
      <c r="AM6" s="26">
        <f>现金流量表!AM8</f>
        <v>472223139.20999998</v>
      </c>
      <c r="AN6" s="26">
        <f>现金流量表!AN8</f>
        <v>320278917.93000001</v>
      </c>
      <c r="AO6" s="26">
        <f>现金流量表!AO8</f>
        <v>175494091.50999999</v>
      </c>
      <c r="AP6" s="26">
        <f>现金流量表!AP8</f>
        <v>573718833.36000001</v>
      </c>
      <c r="AQ6" s="26">
        <f>现金流量表!AQ8</f>
        <v>448731688.33999997</v>
      </c>
      <c r="AR6" s="26">
        <f>现金流量表!AR8</f>
        <v>316075206.13999999</v>
      </c>
      <c r="AS6" s="26">
        <f>现金流量表!AS8</f>
        <v>182540350.80000001</v>
      </c>
      <c r="AT6" s="26">
        <f>现金流量表!AT8</f>
        <v>479786211.26999998</v>
      </c>
      <c r="AU6" s="26">
        <f>现金流量表!AU8</f>
        <v>359918115.24000001</v>
      </c>
      <c r="AV6" s="26">
        <f>现金流量表!AV8</f>
        <v>237735816.24000001</v>
      </c>
      <c r="AW6" s="26">
        <f>现金流量表!AW8</f>
        <v>112030979.68000001</v>
      </c>
      <c r="AX6" s="26">
        <f>现金流量表!AX8</f>
        <v>408069482.35000002</v>
      </c>
      <c r="AY6" s="26">
        <f>现金流量表!AY8</f>
        <v>298784790.75999999</v>
      </c>
      <c r="AZ6" s="26">
        <f>现金流量表!AZ8</f>
        <v>199187475.12</v>
      </c>
      <c r="BA6" s="26">
        <f>现金流量表!BA8</f>
        <v>97907364.569999993</v>
      </c>
      <c r="BB6" s="26">
        <f>现金流量表!BB8</f>
        <v>378814562.81</v>
      </c>
      <c r="BC6" s="26">
        <f>现金流量表!BC8</f>
        <v>284420065.81999999</v>
      </c>
      <c r="BD6" s="26">
        <f>现金流量表!BD8</f>
        <v>185445031.47999999</v>
      </c>
      <c r="BE6" s="26">
        <f>现金流量表!BE8</f>
        <v>86615437.290000007</v>
      </c>
      <c r="BF6" s="26">
        <f>现金流量表!BF8</f>
        <v>347260330.43000001</v>
      </c>
      <c r="BG6" s="26">
        <f>现金流量表!BG8</f>
        <v>268459945.08999997</v>
      </c>
      <c r="BH6" s="26">
        <f>现金流量表!BH8</f>
        <v>179464239.71000001</v>
      </c>
      <c r="BI6" s="26">
        <f>现金流量表!BI8</f>
        <v>94461511.959999993</v>
      </c>
      <c r="BJ6" s="26">
        <f>现金流量表!BJ8</f>
        <v>480705470.99000001</v>
      </c>
      <c r="BK6" s="26">
        <f>现金流量表!BK8</f>
        <v>365003437.22000003</v>
      </c>
      <c r="BL6" s="26">
        <f>现金流量表!BL8</f>
        <v>247344128</v>
      </c>
      <c r="BM6" s="26">
        <f>现金流量表!BM8</f>
        <v>123773572.53</v>
      </c>
      <c r="BN6" s="26">
        <f>现金流量表!BN8</f>
        <v>528052949.80000001</v>
      </c>
      <c r="BO6" s="26">
        <f>现金流量表!BO8</f>
        <v>303600456.61000001</v>
      </c>
      <c r="BP6" s="26">
        <f>现金流量表!BP8</f>
        <v>661389882.88999999</v>
      </c>
      <c r="BQ6" s="26">
        <f>现金流量表!BQ8</f>
        <v>326486917.63999999</v>
      </c>
      <c r="BR6" s="26">
        <f>现金流量表!BR8</f>
        <v>614151272.37</v>
      </c>
      <c r="BS6" s="26">
        <f>现金流量表!BS8</f>
        <v>272519552.69999999</v>
      </c>
      <c r="BT6" s="26">
        <f>现金流量表!BT8</f>
        <v>557191361.37</v>
      </c>
      <c r="BU6" s="26">
        <f>现金流量表!BU8</f>
        <v>476770148.50999999</v>
      </c>
      <c r="BV6" s="26">
        <f>现金流量表!BV8</f>
        <v>250710303.86000001</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489</v>
      </c>
      <c r="E7" s="26">
        <f>现金流量表!E9</f>
        <v>54458671.380000003</v>
      </c>
      <c r="F7" s="26">
        <f>现金流量表!F9</f>
        <v>93061732.530000001</v>
      </c>
      <c r="G7" s="26">
        <f>现金流量表!G9</f>
        <v>72143451.189999998</v>
      </c>
      <c r="H7" s="26">
        <f>现金流量表!H9</f>
        <v>52513153.390000001</v>
      </c>
      <c r="I7" s="26">
        <f>现金流量表!I9</f>
        <v>29304776.260000002</v>
      </c>
      <c r="J7" s="26">
        <f>现金流量表!J9</f>
        <v>68753556.260000005</v>
      </c>
      <c r="K7" s="26">
        <f>现金流量表!K9</f>
        <v>55939821.840000004</v>
      </c>
      <c r="L7" s="26">
        <f>现金流量表!L9</f>
        <v>40658910.810000002</v>
      </c>
      <c r="M7" s="26">
        <f>现金流量表!M9</f>
        <v>27874763.530000001</v>
      </c>
      <c r="N7" s="26">
        <f>现金流量表!N9</f>
        <v>69014005.150000006</v>
      </c>
      <c r="O7" s="26">
        <f>现金流量表!O9</f>
        <v>56290320.75</v>
      </c>
      <c r="P7" s="26">
        <f>现金流量表!P9</f>
        <v>42285763.530000001</v>
      </c>
      <c r="Q7" s="26">
        <f>现金流量表!Q9</f>
        <v>28817991.550000001</v>
      </c>
      <c r="R7" s="26">
        <f>现金流量表!R9</f>
        <v>72697490.319999993</v>
      </c>
      <c r="S7" s="26">
        <f>现金流量表!S9</f>
        <v>59601559.210000001</v>
      </c>
      <c r="T7" s="26">
        <f>现金流量表!T9</f>
        <v>44905694.020000003</v>
      </c>
      <c r="U7" s="26">
        <f>现金流量表!U9</f>
        <v>30780348.91</v>
      </c>
      <c r="V7" s="26">
        <f>现金流量表!V9</f>
        <v>70260590.400000006</v>
      </c>
      <c r="W7" s="26">
        <f>现金流量表!W9</f>
        <v>55162839.810000002</v>
      </c>
      <c r="X7" s="26">
        <f>现金流量表!X9</f>
        <v>41702211.619999997</v>
      </c>
      <c r="Y7" s="26">
        <f>现金流量表!Y9</f>
        <v>28236946.879999999</v>
      </c>
      <c r="Z7" s="26">
        <f>现金流量表!Z9</f>
        <v>59420471.670000002</v>
      </c>
      <c r="AA7" s="26">
        <f>现金流量表!AA9</f>
        <v>45580811.670000002</v>
      </c>
      <c r="AB7" s="26">
        <f>现金流量表!AB9</f>
        <v>34241165.640000001</v>
      </c>
      <c r="AC7" s="26">
        <f>现金流量表!AC9</f>
        <v>22083977.649999999</v>
      </c>
      <c r="AD7" s="26">
        <f>现金流量表!AD9</f>
        <v>49878171.299999997</v>
      </c>
      <c r="AE7" s="26">
        <f>现金流量表!AE9</f>
        <v>36563358.68</v>
      </c>
      <c r="AF7" s="26">
        <f>现金流量表!AF9</f>
        <v>28613061.210000001</v>
      </c>
      <c r="AG7" s="26">
        <f>现金流量表!AG9</f>
        <v>20005432.559999999</v>
      </c>
      <c r="AH7" s="26">
        <f>现金流量表!AH9</f>
        <v>33344297.359999999</v>
      </c>
      <c r="AI7" s="26">
        <f>现金流量表!AI9</f>
        <v>27733566.239999998</v>
      </c>
      <c r="AJ7" s="26">
        <f>现金流量表!AJ9</f>
        <v>19499155.859999999</v>
      </c>
      <c r="AK7" s="26">
        <f>现金流量表!AK9</f>
        <v>6399856.75</v>
      </c>
      <c r="AL7" s="26">
        <f>现金流量表!AL9</f>
        <v>27350041.969999999</v>
      </c>
      <c r="AM7" s="26">
        <f>现金流量表!AM9</f>
        <v>21135951.100000001</v>
      </c>
      <c r="AN7" s="26">
        <f>现金流量表!AN9</f>
        <v>15400563.720000001</v>
      </c>
      <c r="AO7" s="26">
        <f>现金流量表!AO9</f>
        <v>10835805.710000001</v>
      </c>
      <c r="AP7" s="26">
        <f>现金流量表!AP9</f>
        <v>27117504.82</v>
      </c>
      <c r="AQ7" s="26">
        <f>现金流量表!AQ9</f>
        <v>21715729.800000001</v>
      </c>
      <c r="AR7" s="26">
        <f>现金流量表!AR9</f>
        <v>15625612.99</v>
      </c>
      <c r="AS7" s="26">
        <f>现金流量表!AS9</f>
        <v>9337333.1600000001</v>
      </c>
      <c r="AT7" s="26">
        <f>现金流量表!AT9</f>
        <v>20840610.649999999</v>
      </c>
      <c r="AU7" s="26">
        <f>现金流量表!AU9</f>
        <v>15890555.119999999</v>
      </c>
      <c r="AV7" s="26">
        <f>现金流量表!AV9</f>
        <v>12027687.859999999</v>
      </c>
      <c r="AW7" s="26">
        <f>现金流量表!AW9</f>
        <v>4395254.9000000004</v>
      </c>
      <c r="AX7" s="26">
        <f>现金流量表!AX9</f>
        <v>19467554.25</v>
      </c>
      <c r="AY7" s="26">
        <f>现金流量表!AY9</f>
        <v>14269693.59</v>
      </c>
      <c r="AZ7" s="26">
        <f>现金流量表!AZ9</f>
        <v>12189055.359999999</v>
      </c>
      <c r="BA7" s="26">
        <f>现金流量表!BA9</f>
        <v>7181619.3200000003</v>
      </c>
      <c r="BB7" s="26">
        <f>现金流量表!BB9</f>
        <v>18777084.699999999</v>
      </c>
      <c r="BC7" s="26">
        <f>现金流量表!BC9</f>
        <v>14430919.35</v>
      </c>
      <c r="BD7" s="26">
        <f>现金流量表!BD9</f>
        <v>10660084.560000001</v>
      </c>
      <c r="BE7" s="26">
        <f>现金流量表!BE9</f>
        <v>6186365.1699999999</v>
      </c>
      <c r="BF7" s="26">
        <f>现金流量表!BF9</f>
        <v>23374549.219999999</v>
      </c>
      <c r="BG7" s="26">
        <f>现金流量表!BG9</f>
        <v>17652779.670000002</v>
      </c>
      <c r="BH7" s="26">
        <f>现金流量表!BH9</f>
        <v>12716130.98</v>
      </c>
      <c r="BI7" s="26">
        <f>现金流量表!BI9</f>
        <v>7862366.46</v>
      </c>
      <c r="BJ7" s="26">
        <f>现金流量表!BJ9</f>
        <v>32128610.73</v>
      </c>
      <c r="BK7" s="26">
        <f>现金流量表!BK9</f>
        <v>26070386</v>
      </c>
      <c r="BL7" s="26">
        <f>现金流量表!BL9</f>
        <v>15967472.49</v>
      </c>
      <c r="BM7" s="26">
        <f>现金流量表!BM9</f>
        <v>9324146.7899999991</v>
      </c>
      <c r="BN7" s="26">
        <f>现金流量表!BN9</f>
        <v>33689194.649999999</v>
      </c>
      <c r="BO7" s="26">
        <f>现金流量表!BO9</f>
        <v>17753274.66</v>
      </c>
      <c r="BP7" s="26">
        <f>现金流量表!BP9</f>
        <v>44120655.490000002</v>
      </c>
      <c r="BQ7" s="26">
        <f>现金流量表!BQ9</f>
        <v>20884668.940000001</v>
      </c>
      <c r="BR7" s="26">
        <f>现金流量表!BR9</f>
        <v>37737492.770000003</v>
      </c>
      <c r="BS7" s="26">
        <f>现金流量表!BS9</f>
        <v>14245120.689999999</v>
      </c>
      <c r="BT7" s="26">
        <f>现金流量表!BT9</f>
        <v>38175300.100000001</v>
      </c>
      <c r="BU7" s="26">
        <f>现金流量表!BU9</f>
        <v>25502732.16</v>
      </c>
      <c r="BV7" s="26">
        <f>现金流量表!BV9</f>
        <v>17062051.84</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c r="A8" s="145" t="s">
        <v>490</v>
      </c>
      <c r="E8" s="58">
        <f>利润表!E6</f>
        <v>263688083.88999999</v>
      </c>
      <c r="F8" s="58">
        <f>利润表!F6</f>
        <v>900085415.95000005</v>
      </c>
      <c r="G8" s="58">
        <f>利润表!G6</f>
        <v>680910529.57000005</v>
      </c>
      <c r="H8" s="58">
        <f>利润表!H6</f>
        <v>461637531.44999999</v>
      </c>
      <c r="I8" s="58">
        <f>利润表!I6</f>
        <v>223631303.81</v>
      </c>
      <c r="J8" s="58">
        <f>利润表!J6</f>
        <v>772490154.46000004</v>
      </c>
      <c r="K8" s="58">
        <f>利润表!K6</f>
        <v>573439463.30999994</v>
      </c>
      <c r="L8" s="58">
        <f>利润表!L6</f>
        <v>394363248.07999998</v>
      </c>
      <c r="M8" s="58">
        <f>利润表!M6</f>
        <v>224168272.72999999</v>
      </c>
      <c r="N8" s="58">
        <f>利润表!N6</f>
        <v>844167795.64999998</v>
      </c>
      <c r="O8" s="58">
        <f>利润表!O6</f>
        <v>631605745.25</v>
      </c>
      <c r="P8" s="58">
        <f>利润表!P6</f>
        <v>438234823.49000001</v>
      </c>
      <c r="Q8" s="58">
        <f>利润表!Q6</f>
        <v>250642805.96000001</v>
      </c>
      <c r="R8" s="58">
        <f>利润表!R6</f>
        <v>929336217.23000002</v>
      </c>
      <c r="S8" s="58">
        <f>利润表!S6</f>
        <v>693968455.54999995</v>
      </c>
      <c r="T8" s="58">
        <f>利润表!T6</f>
        <v>471604028.91000003</v>
      </c>
      <c r="U8" s="58">
        <f>利润表!U6</f>
        <v>271801418.05000001</v>
      </c>
      <c r="V8" s="58">
        <f>利润表!V6</f>
        <v>1119633795.79</v>
      </c>
      <c r="W8" s="58">
        <f>利润表!W6</f>
        <v>839204328.77999997</v>
      </c>
      <c r="X8" s="58">
        <f>利润表!X6</f>
        <v>580317509.42999995</v>
      </c>
      <c r="Y8" s="58">
        <f>利润表!Y6</f>
        <v>312435103.45999998</v>
      </c>
      <c r="Z8" s="58">
        <f>利润表!Z6</f>
        <v>1069338346.86</v>
      </c>
      <c r="AA8" s="58">
        <f>利润表!AA6</f>
        <v>797821138.41999996</v>
      </c>
      <c r="AB8" s="58">
        <f>利润表!AB6</f>
        <v>556927629.21000004</v>
      </c>
      <c r="AC8" s="58">
        <f>利润表!AC6</f>
        <v>323352462.49000001</v>
      </c>
      <c r="AD8" s="58">
        <f>利润表!AD6</f>
        <v>960325577.27999997</v>
      </c>
      <c r="AE8" s="58">
        <f>利润表!AE6</f>
        <v>701202875.5</v>
      </c>
      <c r="AF8" s="58">
        <f>利润表!AF6</f>
        <v>497118229.79000002</v>
      </c>
      <c r="AG8" s="58">
        <f>利润表!AG6</f>
        <v>290174039.55000001</v>
      </c>
      <c r="AH8" s="58">
        <f>利润表!AH6</f>
        <v>730427935.96000004</v>
      </c>
      <c r="AI8" s="58">
        <f>利润表!AI6</f>
        <v>509425921.22000003</v>
      </c>
      <c r="AJ8" s="58">
        <f>利润表!AJ6</f>
        <v>343856277.77999997</v>
      </c>
      <c r="AK8" s="58">
        <f>利润表!AK6</f>
        <v>195030198.22999999</v>
      </c>
      <c r="AL8" s="58">
        <f>利润表!AL6</f>
        <v>570395109.64999998</v>
      </c>
      <c r="AM8" s="58">
        <f>利润表!AM6</f>
        <v>412711422.69999999</v>
      </c>
      <c r="AN8" s="58">
        <f>利润表!AN6</f>
        <v>283640792.91000003</v>
      </c>
      <c r="AO8" s="58">
        <f>利润表!AO6</f>
        <v>162914977.18000001</v>
      </c>
      <c r="AP8" s="58">
        <f>利润表!AP6</f>
        <v>473076544.41000003</v>
      </c>
      <c r="AQ8" s="58">
        <f>利润表!AQ6</f>
        <v>345463912.06999999</v>
      </c>
      <c r="AR8" s="58">
        <f>利润表!AR6</f>
        <v>235488980.74000001</v>
      </c>
      <c r="AS8" s="58">
        <f>利润表!AS6</f>
        <v>142727403.27000001</v>
      </c>
      <c r="AT8" s="58">
        <f>利润表!AT6</f>
        <v>411588157.97000003</v>
      </c>
      <c r="AU8" s="58">
        <f>利润表!AU6</f>
        <v>294666651.83999997</v>
      </c>
      <c r="AV8" s="58">
        <f>利润表!AV6</f>
        <v>201837807.18000001</v>
      </c>
      <c r="AW8" s="58">
        <f>利润表!AW6</f>
        <v>114234848.56999999</v>
      </c>
      <c r="AX8" s="58">
        <f>利润表!AX6</f>
        <v>346565490.01999998</v>
      </c>
      <c r="AY8" s="58">
        <f>利润表!AY6</f>
        <v>254753350.65000001</v>
      </c>
      <c r="AZ8" s="58">
        <f>利润表!AZ6</f>
        <v>172510142.87</v>
      </c>
      <c r="BA8" s="58">
        <f>利润表!BA6</f>
        <v>100494315.39</v>
      </c>
      <c r="BB8" s="58">
        <f>利润表!BB6</f>
        <v>338479924.23000002</v>
      </c>
      <c r="BC8" s="58">
        <f>利润表!BC6</f>
        <v>246871437.91</v>
      </c>
      <c r="BD8" s="58">
        <f>利润表!BD6</f>
        <v>174264210.16</v>
      </c>
      <c r="BE8" s="58">
        <f>利润表!BE6</f>
        <v>102238954.23999999</v>
      </c>
      <c r="BF8" s="58">
        <f>利润表!BF6</f>
        <v>312399287.14999998</v>
      </c>
      <c r="BG8" s="58">
        <f>利润表!BG6</f>
        <v>229256420.13999999</v>
      </c>
      <c r="BH8" s="58">
        <f>利润表!BH6</f>
        <v>159789254.65000001</v>
      </c>
      <c r="BI8" s="58">
        <f>利润表!BI6</f>
        <v>95341748.280000001</v>
      </c>
      <c r="BJ8" s="58">
        <f>利润表!BJ6</f>
        <v>391635877.38999999</v>
      </c>
      <c r="BK8" s="58">
        <f>利润表!BK6</f>
        <v>298646455.82999998</v>
      </c>
      <c r="BL8" s="58">
        <f>利润表!BL6</f>
        <v>212376683.41999999</v>
      </c>
      <c r="BM8" s="58">
        <f>利润表!BM6</f>
        <v>122759882.84999999</v>
      </c>
      <c r="BN8" s="58">
        <f>利润表!BN6</f>
        <v>432871684.63</v>
      </c>
      <c r="BO8" s="58">
        <f>利润表!BO6</f>
        <v>342824117.12</v>
      </c>
      <c r="BP8" s="58">
        <f>利润表!BP6</f>
        <v>245805576.74000001</v>
      </c>
      <c r="BQ8" s="58">
        <f>利润表!BQ6</f>
        <v>146503334.08000001</v>
      </c>
      <c r="BR8" s="58">
        <f>利润表!BR6</f>
        <v>546957779.86000001</v>
      </c>
      <c r="BS8" s="58">
        <f>利润表!BS6</f>
        <v>282374903.05000001</v>
      </c>
      <c r="BT8" s="58">
        <f>利润表!BT6</f>
        <v>542540850.66999996</v>
      </c>
      <c r="BU8" s="58">
        <f>利润表!BU6</f>
        <v>257209472.91999999</v>
      </c>
      <c r="BV8" s="58">
        <f>利润表!BV6</f>
        <v>478910059.79000002</v>
      </c>
      <c r="BW8" s="58">
        <f>利润表!BW6</f>
        <v>258255305.94999999</v>
      </c>
      <c r="BX8" s="58">
        <f>利润表!BX6</f>
        <v>490035966.43000001</v>
      </c>
      <c r="BY8" s="58">
        <f>利润表!BY6</f>
        <v>251721971.47</v>
      </c>
      <c r="BZ8" s="58">
        <f>利润表!BZ6</f>
        <v>485235735.23000002</v>
      </c>
      <c r="CA8" s="58">
        <f>利润表!CA6</f>
        <v>272066119.88999999</v>
      </c>
      <c r="CB8" s="58">
        <f>利润表!CB6</f>
        <v>493733173.69999999</v>
      </c>
      <c r="CC8" s="58">
        <f>利润表!CC6</f>
        <v>272228569.94999999</v>
      </c>
      <c r="CD8" s="58">
        <f>利润表!CD6</f>
        <v>448944744.41000003</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c r="A9" s="145" t="s">
        <v>491</v>
      </c>
      <c r="E9" s="58">
        <f>利润表!E7</f>
        <v>12800345.52</v>
      </c>
      <c r="F9" s="58">
        <f>利润表!F7</f>
        <v>42430471.789999999</v>
      </c>
      <c r="G9" s="58">
        <f>利润表!G7</f>
        <v>31065916.550000001</v>
      </c>
      <c r="H9" s="58">
        <f>利润表!H7</f>
        <v>21073570</v>
      </c>
      <c r="I9" s="58">
        <f>利润表!I7</f>
        <v>5359330.1900000004</v>
      </c>
      <c r="J9" s="58">
        <f>利润表!J7</f>
        <v>23274484.359999999</v>
      </c>
      <c r="K9" s="58">
        <f>利润表!K7</f>
        <v>13966510.32</v>
      </c>
      <c r="L9" s="58">
        <f>利润表!L7</f>
        <v>9757861.6799999997</v>
      </c>
      <c r="M9" s="58">
        <f>利润表!M7</f>
        <v>6003046.9699999997</v>
      </c>
      <c r="N9" s="58">
        <f>利润表!N7</f>
        <v>23690317.800000001</v>
      </c>
      <c r="O9" s="58">
        <f>利润表!O7</f>
        <v>15130726.34</v>
      </c>
      <c r="P9" s="58">
        <f>利润表!P7</f>
        <v>9867909.3200000003</v>
      </c>
      <c r="Q9" s="58">
        <f>利润表!Q7</f>
        <v>5982304.5700000003</v>
      </c>
      <c r="R9" s="58">
        <f>利润表!R7</f>
        <v>24030468.309999999</v>
      </c>
      <c r="S9" s="58">
        <f>利润表!S7</f>
        <v>15172450.869999999</v>
      </c>
      <c r="T9" s="58">
        <f>利润表!T7</f>
        <v>9890700.2300000004</v>
      </c>
      <c r="U9" s="58">
        <f>利润表!U7</f>
        <v>5825629.3600000003</v>
      </c>
      <c r="V9" s="58">
        <f>利润表!V7</f>
        <v>28780411.329999998</v>
      </c>
      <c r="W9" s="58">
        <f>利润表!W7</f>
        <v>19101053.68</v>
      </c>
      <c r="X9" s="58">
        <f>利润表!X7</f>
        <v>13461726.199999999</v>
      </c>
      <c r="Y9" s="58">
        <f>利润表!Y7</f>
        <v>7730018.8200000003</v>
      </c>
      <c r="Z9" s="58">
        <f>利润表!Z7</f>
        <v>17209678.609999999</v>
      </c>
      <c r="AA9" s="58">
        <f>利润表!AA7</f>
        <v>13728246.52</v>
      </c>
      <c r="AB9" s="58">
        <f>利润表!AB7</f>
        <v>9422596.2799999993</v>
      </c>
      <c r="AC9" s="58">
        <f>利润表!AC7</f>
        <v>5781182.8799999999</v>
      </c>
      <c r="AD9" s="58">
        <f>利润表!AD7</f>
        <v>15628811.550000001</v>
      </c>
      <c r="AE9" s="58">
        <f>利润表!AE7</f>
        <v>11267320.65</v>
      </c>
      <c r="AF9" s="58">
        <f>利润表!AF7</f>
        <v>7668773.9199999999</v>
      </c>
      <c r="AG9" s="58">
        <f>利润表!AG7</f>
        <v>4902673.45</v>
      </c>
      <c r="AH9" s="58">
        <f>利润表!AH7</f>
        <v>11789509.08</v>
      </c>
      <c r="AI9" s="58">
        <f>利润表!AI7</f>
        <v>8842980.1199999992</v>
      </c>
      <c r="AJ9" s="58">
        <f>利润表!AJ7</f>
        <v>5332103.5599999996</v>
      </c>
      <c r="AK9" s="58">
        <f>利润表!AK7</f>
        <v>3323646.91</v>
      </c>
      <c r="AL9" s="58">
        <f>利润表!AL7</f>
        <v>9568690.1500000004</v>
      </c>
      <c r="AM9" s="58">
        <f>利润表!AM7</f>
        <v>6292057.3399999999</v>
      </c>
      <c r="AN9" s="58">
        <f>利润表!AN7</f>
        <v>4123443.17</v>
      </c>
      <c r="AO9" s="58">
        <f>利润表!AO7</f>
        <v>3372966.09</v>
      </c>
      <c r="AP9" s="58">
        <f>利润表!AP7</f>
        <v>7321368.1900000004</v>
      </c>
      <c r="AQ9" s="58">
        <f>利润表!AQ7</f>
        <v>5341172.1500000004</v>
      </c>
      <c r="AR9" s="58">
        <f>利润表!AR7</f>
        <v>3476962.36</v>
      </c>
      <c r="AS9" s="58">
        <f>利润表!AS7</f>
        <v>2331810.17</v>
      </c>
      <c r="AT9" s="58">
        <f>利润表!AT7</f>
        <v>7195618.7400000002</v>
      </c>
      <c r="AU9" s="58">
        <f>利润表!AU7</f>
        <v>5182119.78</v>
      </c>
      <c r="AV9" s="58">
        <f>利润表!AV7</f>
        <v>2935967.03</v>
      </c>
      <c r="AW9" s="58">
        <f>利润表!AW7</f>
        <v>2246471.7200000002</v>
      </c>
      <c r="AX9" s="58">
        <f>利润表!AX7</f>
        <v>5199647.32</v>
      </c>
      <c r="AY9" s="58">
        <f>利润表!AY7</f>
        <v>3416238.4</v>
      </c>
      <c r="AZ9" s="58">
        <f>利润表!AZ7</f>
        <v>2411258.54</v>
      </c>
      <c r="BA9" s="58">
        <f>利润表!BA7</f>
        <v>1654427.2</v>
      </c>
      <c r="BB9" s="58">
        <f>利润表!BB7</f>
        <v>5017851.07</v>
      </c>
      <c r="BC9" s="58">
        <f>利润表!BC7</f>
        <v>3680631.68</v>
      </c>
      <c r="BD9" s="58">
        <f>利润表!BD7</f>
        <v>2635277.88</v>
      </c>
      <c r="BE9" s="58">
        <f>利润表!BE7</f>
        <v>1780795.38</v>
      </c>
      <c r="BF9" s="58">
        <f>利润表!BF7</f>
        <v>5122455.41</v>
      </c>
      <c r="BG9" s="58">
        <f>利润表!BG7</f>
        <v>3715857.07</v>
      </c>
      <c r="BH9" s="58">
        <f>利润表!BH7</f>
        <v>2641771.5299999998</v>
      </c>
      <c r="BI9" s="58">
        <f>利润表!BI7</f>
        <v>1657253.28</v>
      </c>
      <c r="BJ9" s="58">
        <f>利润表!BJ7</f>
        <v>3676415.45</v>
      </c>
      <c r="BK9" s="58">
        <f>利润表!BK7</f>
        <v>3630970.25</v>
      </c>
      <c r="BL9" s="58">
        <f>利润表!BL7</f>
        <v>2559888.2799999998</v>
      </c>
      <c r="BM9" s="58">
        <f>利润表!BM7</f>
        <v>1780762.08</v>
      </c>
      <c r="BN9" s="58">
        <f>利润表!BN7</f>
        <v>2056684.82</v>
      </c>
      <c r="BO9" s="58">
        <f>利润表!BO7</f>
        <v>1689950.79</v>
      </c>
      <c r="BP9" s="58">
        <f>利润表!BP7</f>
        <v>1203923.1000000001</v>
      </c>
      <c r="BQ9" s="58">
        <f>利润表!BQ7</f>
        <v>976227.38</v>
      </c>
      <c r="BR9" s="58">
        <f>利润表!BR7</f>
        <v>2853226.08</v>
      </c>
      <c r="BS9" s="58">
        <f>利润表!BS7</f>
        <v>1737263.51</v>
      </c>
      <c r="BT9" s="58">
        <f>利润表!BT7</f>
        <v>3145794.63</v>
      </c>
      <c r="BU9" s="58">
        <f>利润表!BU7</f>
        <v>2023049.19</v>
      </c>
      <c r="BV9" s="58">
        <f>利润表!BV7</f>
        <v>3525065.01</v>
      </c>
      <c r="BW9" s="58">
        <f>利润表!BW7</f>
        <v>1539293.9</v>
      </c>
      <c r="BX9" s="58">
        <f>利润表!BX7</f>
        <v>3927924.23</v>
      </c>
      <c r="BY9" s="58">
        <f>利润表!BY7</f>
        <v>2068186.48</v>
      </c>
      <c r="BZ9" s="58">
        <f>利润表!BZ7</f>
        <v>3867464.78</v>
      </c>
      <c r="CA9" s="58">
        <f>利润表!CA7</f>
        <v>3369202.75</v>
      </c>
      <c r="CB9" s="58">
        <f>利润表!CB7</f>
        <v>3675214.17</v>
      </c>
      <c r="CC9" s="58">
        <f>利润表!CC7</f>
        <v>1800905.27</v>
      </c>
      <c r="CD9" s="58">
        <f>利润表!CD7</f>
        <v>3852709.11</v>
      </c>
      <c r="CE9" s="58">
        <f>利润表!CE7</f>
        <v>0</v>
      </c>
      <c r="CF9" s="58">
        <f>利润表!CF7</f>
        <v>0</v>
      </c>
      <c r="CG9" s="58">
        <f>利润表!CG7</f>
        <v>0</v>
      </c>
      <c r="CH9" s="58">
        <f>利润表!CH7</f>
        <v>0</v>
      </c>
      <c r="CI9" s="58">
        <f>利润表!CI7</f>
        <v>0</v>
      </c>
      <c r="CJ9" s="58">
        <f>利润表!CJ7</f>
        <v>0</v>
      </c>
      <c r="CK9" s="58">
        <f>利润表!CK7</f>
        <v>0</v>
      </c>
    </row>
    <row r="10" spans="1:90" s="58" customFormat="1">
      <c r="A10" s="145" t="s">
        <v>492</v>
      </c>
      <c r="E10" s="58">
        <f>利润表!E8</f>
        <v>20712567.129999999</v>
      </c>
      <c r="F10" s="58">
        <f>利润表!F8</f>
        <v>66215540.450000003</v>
      </c>
      <c r="G10" s="58">
        <f>利润表!G8</f>
        <v>46876708.009999998</v>
      </c>
      <c r="H10" s="58">
        <f>利润表!H8</f>
        <v>28011745.489999998</v>
      </c>
      <c r="I10" s="58">
        <f>利润表!I8</f>
        <v>13466612.890000001</v>
      </c>
      <c r="J10" s="58">
        <f>利润表!J8</f>
        <v>62280920.460000001</v>
      </c>
      <c r="K10" s="58">
        <f>利润表!K8</f>
        <v>46214565.479999997</v>
      </c>
      <c r="L10" s="58">
        <f>利润表!L8</f>
        <v>27667130.350000001</v>
      </c>
      <c r="M10" s="58">
        <f>利润表!M8</f>
        <v>15152146.310000001</v>
      </c>
      <c r="N10" s="58">
        <f>利润表!N8</f>
        <v>69624252.760000005</v>
      </c>
      <c r="O10" s="58">
        <f>利润表!O8</f>
        <v>45203222.68</v>
      </c>
      <c r="P10" s="58">
        <f>利润表!P8</f>
        <v>28914261.550000001</v>
      </c>
      <c r="Q10" s="58">
        <f>利润表!Q8</f>
        <v>15950931.119999999</v>
      </c>
      <c r="R10" s="58">
        <f>利润表!R8</f>
        <v>64788190.049999997</v>
      </c>
      <c r="S10" s="58">
        <f>利润表!S8</f>
        <v>46098673.969999999</v>
      </c>
      <c r="T10" s="58">
        <f>利润表!T8</f>
        <v>30855687.890000001</v>
      </c>
      <c r="U10" s="58">
        <f>利润表!U8</f>
        <v>15652670.6</v>
      </c>
      <c r="V10" s="58">
        <f>利润表!V8</f>
        <v>63818107.130000003</v>
      </c>
      <c r="W10" s="58">
        <f>利润表!W8</f>
        <v>43853462.670000002</v>
      </c>
      <c r="X10" s="58">
        <f>利润表!X8</f>
        <v>31471773.140000001</v>
      </c>
      <c r="Y10" s="58">
        <f>利润表!Y8</f>
        <v>15300488.310000001</v>
      </c>
      <c r="Z10" s="58">
        <f>利润表!Z8</f>
        <v>63764480.609999999</v>
      </c>
      <c r="AA10" s="58">
        <f>利润表!AA8</f>
        <v>59262646.899999999</v>
      </c>
      <c r="AB10" s="58">
        <f>利润表!AB8</f>
        <v>38271496.469999999</v>
      </c>
      <c r="AC10" s="58">
        <f>利润表!AC8</f>
        <v>14157406.01</v>
      </c>
      <c r="AD10" s="58">
        <f>利润表!AD8</f>
        <v>60436077.719999999</v>
      </c>
      <c r="AE10" s="58">
        <f>利润表!AE8</f>
        <v>50918055.979999997</v>
      </c>
      <c r="AF10" s="58">
        <f>利润表!AF8</f>
        <v>31253539.079999998</v>
      </c>
      <c r="AG10" s="58">
        <f>利润表!AG8</f>
        <v>14454602.42</v>
      </c>
      <c r="AH10" s="58">
        <f>利润表!AH8</f>
        <v>47649311.75</v>
      </c>
      <c r="AI10" s="58">
        <f>利润表!AI8</f>
        <v>34910986.399999999</v>
      </c>
      <c r="AJ10" s="58">
        <f>利润表!AJ8</f>
        <v>18536523.66</v>
      </c>
      <c r="AK10" s="58">
        <f>利润表!AK8</f>
        <v>8911029.1199999992</v>
      </c>
      <c r="AL10" s="58">
        <f>利润表!AL8</f>
        <v>37549245.609999999</v>
      </c>
      <c r="AM10" s="58">
        <f>利润表!AM8</f>
        <v>26464347.43</v>
      </c>
      <c r="AN10" s="58">
        <f>利润表!AN8</f>
        <v>16838749.199999999</v>
      </c>
      <c r="AO10" s="58">
        <f>利润表!AO8</f>
        <v>8177405.1900000004</v>
      </c>
      <c r="AP10" s="58">
        <f>利润表!AP8</f>
        <v>35359246.619999997</v>
      </c>
      <c r="AQ10" s="58">
        <f>利润表!AQ8</f>
        <v>29546380.510000002</v>
      </c>
      <c r="AR10" s="58">
        <f>利润表!AR8</f>
        <v>20797279.23</v>
      </c>
      <c r="AS10" s="58">
        <f>利润表!AS8</f>
        <v>11939247.130000001</v>
      </c>
      <c r="AT10" s="58">
        <f>利润表!AT8</f>
        <v>31073852.68</v>
      </c>
      <c r="AU10" s="58">
        <f>利润表!AU8</f>
        <v>25053798.379999999</v>
      </c>
      <c r="AV10" s="58">
        <f>利润表!AV8</f>
        <v>18005819.629999999</v>
      </c>
      <c r="AW10" s="58">
        <f>利润表!AW8</f>
        <v>10251461.49</v>
      </c>
      <c r="AX10" s="58">
        <f>利润表!AX8</f>
        <v>29916910.109999999</v>
      </c>
      <c r="AY10" s="58">
        <f>利润表!AY8</f>
        <v>21485750.23</v>
      </c>
      <c r="AZ10" s="58">
        <f>利润表!AZ8</f>
        <v>13240157.880000001</v>
      </c>
      <c r="BA10" s="58">
        <f>利润表!BA8</f>
        <v>10697604.560000001</v>
      </c>
      <c r="BB10" s="58">
        <f>利润表!BB8</f>
        <v>26039247.969999999</v>
      </c>
      <c r="BC10" s="58">
        <f>利润表!BC8</f>
        <v>22378085.789999999</v>
      </c>
      <c r="BD10" s="58">
        <f>利润表!BD8</f>
        <v>14863945.189999999</v>
      </c>
      <c r="BE10" s="58">
        <f>利润表!BE8</f>
        <v>9278538.8300000001</v>
      </c>
      <c r="BF10" s="58">
        <f>利润表!BF8</f>
        <v>29938251.079999998</v>
      </c>
      <c r="BG10" s="58">
        <f>利润表!BG8</f>
        <v>22679586.149999999</v>
      </c>
      <c r="BH10" s="58">
        <f>利润表!BH8</f>
        <v>16181960.119999999</v>
      </c>
      <c r="BI10" s="58">
        <f>利润表!BI8</f>
        <v>9634115.9900000002</v>
      </c>
      <c r="BJ10" s="58">
        <f>利润表!BJ8</f>
        <v>47001736.799999997</v>
      </c>
      <c r="BK10" s="58">
        <f>利润表!BK8</f>
        <v>37266133.659999996</v>
      </c>
      <c r="BL10" s="58">
        <f>利润表!BL8</f>
        <v>24428900.989999998</v>
      </c>
      <c r="BM10" s="58">
        <f>利润表!BM8</f>
        <v>13408942.65</v>
      </c>
      <c r="BN10" s="58">
        <f>利润表!BN8</f>
        <v>47084408.280000001</v>
      </c>
      <c r="BO10" s="58">
        <f>利润表!BO8</f>
        <v>32276098.66</v>
      </c>
      <c r="BP10" s="58">
        <f>利润表!BP8</f>
        <v>20281494.329999998</v>
      </c>
      <c r="BQ10" s="58">
        <f>利润表!BQ8</f>
        <v>10327723.1</v>
      </c>
      <c r="BR10" s="58">
        <f>利润表!BR8</f>
        <v>60853687.799999997</v>
      </c>
      <c r="BS10" s="58">
        <f>利润表!BS8</f>
        <v>26685880.23</v>
      </c>
      <c r="BT10" s="58">
        <f>利润表!BT8</f>
        <v>45546451.329999998</v>
      </c>
      <c r="BU10" s="58">
        <f>利润表!BU8</f>
        <v>20960763.789999999</v>
      </c>
      <c r="BV10" s="58">
        <f>利润表!BV8</f>
        <v>39169565.539999999</v>
      </c>
      <c r="BW10" s="58">
        <f>利润表!BW8</f>
        <v>19546535.52</v>
      </c>
      <c r="BX10" s="58">
        <f>利润表!BX8</f>
        <v>45565882.829999998</v>
      </c>
      <c r="BY10" s="58">
        <f>利润表!BY8</f>
        <v>24806518.280000001</v>
      </c>
      <c r="BZ10" s="58">
        <f>利润表!BZ8</f>
        <v>40087400.369999997</v>
      </c>
      <c r="CA10" s="58">
        <f>利润表!CA8</f>
        <v>26490963.030000001</v>
      </c>
      <c r="CB10" s="58">
        <f>利润表!CB8</f>
        <v>44131970.909999996</v>
      </c>
      <c r="CC10" s="58">
        <f>利润表!CC8</f>
        <v>23165179.219999999</v>
      </c>
      <c r="CD10" s="58">
        <f>利润表!CD8</f>
        <v>37884747.57</v>
      </c>
      <c r="CE10" s="58">
        <f>利润表!CE8</f>
        <v>0</v>
      </c>
      <c r="CF10" s="58">
        <f>利润表!CF8</f>
        <v>0</v>
      </c>
      <c r="CG10" s="58">
        <f>利润表!CG8</f>
        <v>0</v>
      </c>
      <c r="CH10" s="58">
        <f>利润表!CH8</f>
        <v>0</v>
      </c>
      <c r="CI10" s="58">
        <f>利润表!CI8</f>
        <v>0</v>
      </c>
      <c r="CJ10" s="58">
        <f>利润表!CJ8</f>
        <v>0</v>
      </c>
      <c r="CK10" s="58">
        <f>利润表!CK8</f>
        <v>0</v>
      </c>
    </row>
    <row r="11" spans="1:90" s="58" customFormat="1">
      <c r="A11" s="145" t="s">
        <v>493</v>
      </c>
      <c r="E11" s="58">
        <f>利润表!E9</f>
        <v>25612670.98</v>
      </c>
      <c r="F11" s="58">
        <f>利润表!F9</f>
        <v>84384128.180000007</v>
      </c>
      <c r="G11" s="58">
        <f>利润表!G9</f>
        <v>57346847.810000002</v>
      </c>
      <c r="H11" s="58">
        <f>利润表!H9</f>
        <v>37277852.420000002</v>
      </c>
      <c r="I11" s="58">
        <f>利润表!I9</f>
        <v>14555447.640000001</v>
      </c>
      <c r="J11" s="58">
        <f>利润表!J9</f>
        <v>64452068.909999996</v>
      </c>
      <c r="K11" s="58">
        <f>利润表!K9</f>
        <v>46223440.880000003</v>
      </c>
      <c r="L11" s="58">
        <f>利润表!L9</f>
        <v>31444374.699999999</v>
      </c>
      <c r="M11" s="58">
        <f>利润表!M9</f>
        <v>14148555.98</v>
      </c>
      <c r="N11" s="58">
        <f>利润表!N9</f>
        <v>61449303.18</v>
      </c>
      <c r="O11" s="58">
        <f>利润表!O9</f>
        <v>59754809.289999999</v>
      </c>
      <c r="P11" s="58">
        <f>利润表!P9</f>
        <v>41067936.109999999</v>
      </c>
      <c r="Q11" s="58">
        <f>利润表!Q9</f>
        <v>20156981.18</v>
      </c>
      <c r="R11" s="58">
        <f>利润表!R9</f>
        <v>63743704.719999999</v>
      </c>
      <c r="S11" s="58">
        <f>利润表!S9</f>
        <v>65540424.539999999</v>
      </c>
      <c r="T11" s="58">
        <f>利润表!T9</f>
        <v>43172891.350000001</v>
      </c>
      <c r="U11" s="58">
        <f>利润表!U9</f>
        <v>21104175.649999999</v>
      </c>
      <c r="V11" s="58">
        <f>利润表!V9</f>
        <v>82951078.810000002</v>
      </c>
      <c r="W11" s="58">
        <f>利润表!W9</f>
        <v>78426694.709999993</v>
      </c>
      <c r="X11" s="58">
        <f>利润表!X9</f>
        <v>48526845.359999999</v>
      </c>
      <c r="Y11" s="58">
        <f>利润表!Y9</f>
        <v>22526207.489999998</v>
      </c>
      <c r="Z11" s="58">
        <f>利润表!Z9</f>
        <v>82963341.980000004</v>
      </c>
      <c r="AA11" s="58">
        <f>利润表!AA9</f>
        <v>60323355.079999998</v>
      </c>
      <c r="AB11" s="58">
        <f>利润表!AB9</f>
        <v>36991693.810000002</v>
      </c>
      <c r="AC11" s="58">
        <f>利润表!AC9</f>
        <v>15188285.460000001</v>
      </c>
      <c r="AD11" s="58">
        <f>利润表!AD9</f>
        <v>77159996.150000006</v>
      </c>
      <c r="AE11" s="58">
        <f>利润表!AE9</f>
        <v>55905589.409999996</v>
      </c>
      <c r="AF11" s="58">
        <f>利润表!AF9</f>
        <v>38209677.479999997</v>
      </c>
      <c r="AG11" s="58">
        <f>利润表!AG9</f>
        <v>19261025.420000002</v>
      </c>
      <c r="AH11" s="58">
        <f>利润表!AH9</f>
        <v>66374311.030000001</v>
      </c>
      <c r="AI11" s="58">
        <f>利润表!AI9</f>
        <v>49817196.240000002</v>
      </c>
      <c r="AJ11" s="58">
        <f>利润表!AJ9</f>
        <v>31361864.68</v>
      </c>
      <c r="AK11" s="58">
        <f>利润表!AK9</f>
        <v>13987802.75</v>
      </c>
      <c r="AL11" s="58">
        <f>利润表!AL9</f>
        <v>58817686.049999997</v>
      </c>
      <c r="AM11" s="58">
        <f>利润表!AM9</f>
        <v>45282549.439999998</v>
      </c>
      <c r="AN11" s="58">
        <f>利润表!AN9</f>
        <v>31130407.079999998</v>
      </c>
      <c r="AO11" s="58">
        <f>利润表!AO9</f>
        <v>15497103.26</v>
      </c>
      <c r="AP11" s="58">
        <f>利润表!AP9</f>
        <v>59092367.289999999</v>
      </c>
      <c r="AQ11" s="58">
        <f>利润表!AQ9</f>
        <v>47169075.32</v>
      </c>
      <c r="AR11" s="58">
        <f>利润表!AR9</f>
        <v>32011562</v>
      </c>
      <c r="AS11" s="58">
        <f>利润表!AS9</f>
        <v>17011146.690000001</v>
      </c>
      <c r="AT11" s="58">
        <f>利润表!AT9</f>
        <v>45952383.909999996</v>
      </c>
      <c r="AU11" s="58">
        <f>利润表!AU9</f>
        <v>39037662.549999997</v>
      </c>
      <c r="AV11" s="58">
        <f>利润表!AV9</f>
        <v>28468155.370000001</v>
      </c>
      <c r="AW11" s="58">
        <f>利润表!AW9</f>
        <v>14850206.6</v>
      </c>
      <c r="AX11" s="58">
        <f>利润表!AX9</f>
        <v>42803164.68</v>
      </c>
      <c r="AY11" s="58">
        <f>利润表!AY9</f>
        <v>33142935.989999998</v>
      </c>
      <c r="AZ11" s="58">
        <f>利润表!AZ9</f>
        <v>23610816.350000001</v>
      </c>
      <c r="BA11" s="58">
        <f>利润表!BA9</f>
        <v>12232547.9</v>
      </c>
      <c r="BB11" s="58">
        <f>利润表!BB9</f>
        <v>60972431.299999997</v>
      </c>
      <c r="BC11" s="58">
        <f>利润表!BC9</f>
        <v>42313573.93</v>
      </c>
      <c r="BD11" s="58">
        <f>利润表!BD9</f>
        <v>27500901.300000001</v>
      </c>
      <c r="BE11" s="58">
        <f>利润表!BE9</f>
        <v>13542487.130000001</v>
      </c>
      <c r="BF11" s="58">
        <f>利润表!BF9</f>
        <v>48811133.219999999</v>
      </c>
      <c r="BG11" s="58">
        <f>利润表!BG9</f>
        <v>39534278.719999999</v>
      </c>
      <c r="BH11" s="58">
        <f>利润表!BH9</f>
        <v>27499425.07</v>
      </c>
      <c r="BI11" s="58">
        <f>利润表!BI9</f>
        <v>14230238.140000001</v>
      </c>
      <c r="BJ11" s="58">
        <f>利润表!BJ9</f>
        <v>70523342.989999995</v>
      </c>
      <c r="BK11" s="58">
        <f>利润表!BK9</f>
        <v>50737604.200000003</v>
      </c>
      <c r="BL11" s="58">
        <f>利润表!BL9</f>
        <v>31771093.350000001</v>
      </c>
      <c r="BM11" s="58">
        <f>利润表!BM9</f>
        <v>15123876.210000001</v>
      </c>
      <c r="BN11" s="58">
        <f>利润表!BN9</f>
        <v>73257484.609999999</v>
      </c>
      <c r="BO11" s="58">
        <f>利润表!BO9</f>
        <v>39435887.899999999</v>
      </c>
      <c r="BP11" s="58">
        <f>利润表!BP9</f>
        <v>26357771.5</v>
      </c>
      <c r="BQ11" s="58">
        <f>利润表!BQ9</f>
        <v>12689598.439999999</v>
      </c>
      <c r="BR11" s="58">
        <f>利润表!BR9</f>
        <v>55394007.729999997</v>
      </c>
      <c r="BS11" s="58">
        <f>利润表!BS9</f>
        <v>22345575.27</v>
      </c>
      <c r="BT11" s="58">
        <f>利润表!BT9</f>
        <v>51040446.840000004</v>
      </c>
      <c r="BU11" s="58">
        <f>利润表!BU9</f>
        <v>22970148.93</v>
      </c>
      <c r="BV11" s="58">
        <f>利润表!BV9</f>
        <v>43363937.810000002</v>
      </c>
      <c r="BW11" s="58">
        <f>利润表!BW9</f>
        <v>21568347.190000001</v>
      </c>
      <c r="BX11" s="58">
        <f>利润表!BX9</f>
        <v>35930573.810000002</v>
      </c>
      <c r="BY11" s="58">
        <f>利润表!BY9</f>
        <v>16553940.880000001</v>
      </c>
      <c r="BZ11" s="58">
        <f>利润表!BZ9</f>
        <v>34373576.189999998</v>
      </c>
      <c r="CA11" s="58">
        <f>利润表!CA9</f>
        <v>20225424.899999999</v>
      </c>
      <c r="CB11" s="58">
        <f>利润表!CB9</f>
        <v>36344082.829999998</v>
      </c>
      <c r="CC11" s="58">
        <f>利润表!CC9</f>
        <v>17172787.5</v>
      </c>
      <c r="CD11" s="58">
        <f>利润表!CD9</f>
        <v>27213721.469999999</v>
      </c>
      <c r="CE11" s="58">
        <f>利润表!CE9</f>
        <v>0</v>
      </c>
      <c r="CF11" s="58">
        <f>利润表!CF9</f>
        <v>0</v>
      </c>
      <c r="CG11" s="58">
        <f>利润表!CG9</f>
        <v>0</v>
      </c>
      <c r="CH11" s="58">
        <f>利润表!CH9</f>
        <v>0</v>
      </c>
      <c r="CI11" s="58">
        <f>利润表!CI9</f>
        <v>0</v>
      </c>
      <c r="CJ11" s="58">
        <f>利润表!CJ9</f>
        <v>0</v>
      </c>
      <c r="CK11" s="58">
        <f>利润表!CK9</f>
        <v>0</v>
      </c>
    </row>
    <row r="12" spans="1:90" s="58" customFormat="1">
      <c r="A12" s="145" t="s">
        <v>494</v>
      </c>
      <c r="E12" s="58">
        <f>SUM(E8:E11)</f>
        <v>322813667.51999998</v>
      </c>
      <c r="F12" s="58">
        <f t="shared" ref="F12:BQ12" si="4">SUM(F8:F11)</f>
        <v>1093115556.3700001</v>
      </c>
      <c r="G12" s="58">
        <f t="shared" si="4"/>
        <v>816200001.94000006</v>
      </c>
      <c r="H12" s="58">
        <f t="shared" si="4"/>
        <v>548000699.36000001</v>
      </c>
      <c r="I12" s="58">
        <f t="shared" si="4"/>
        <v>257012694.52999997</v>
      </c>
      <c r="J12" s="58">
        <f t="shared" si="4"/>
        <v>922497628.19000006</v>
      </c>
      <c r="K12" s="58">
        <f t="shared" si="4"/>
        <v>679843979.99000001</v>
      </c>
      <c r="L12" s="58">
        <f t="shared" si="4"/>
        <v>463232614.81</v>
      </c>
      <c r="M12" s="58">
        <f t="shared" si="4"/>
        <v>259472021.98999998</v>
      </c>
      <c r="N12" s="58">
        <f t="shared" si="4"/>
        <v>998931669.38999987</v>
      </c>
      <c r="O12" s="58">
        <f t="shared" si="4"/>
        <v>751694503.55999994</v>
      </c>
      <c r="P12" s="58">
        <f t="shared" si="4"/>
        <v>518084930.47000003</v>
      </c>
      <c r="Q12" s="58">
        <f t="shared" si="4"/>
        <v>292733022.82999998</v>
      </c>
      <c r="R12" s="58">
        <f t="shared" si="4"/>
        <v>1081898580.3099999</v>
      </c>
      <c r="S12" s="58">
        <f t="shared" si="4"/>
        <v>820780004.92999995</v>
      </c>
      <c r="T12" s="58">
        <f t="shared" si="4"/>
        <v>555523308.38</v>
      </c>
      <c r="U12" s="58">
        <f t="shared" si="4"/>
        <v>314383893.66000003</v>
      </c>
      <c r="V12" s="58">
        <f t="shared" si="4"/>
        <v>1295183393.0599999</v>
      </c>
      <c r="W12" s="58">
        <f t="shared" si="4"/>
        <v>980585539.83999991</v>
      </c>
      <c r="X12" s="58">
        <f t="shared" si="4"/>
        <v>673777854.13</v>
      </c>
      <c r="Y12" s="58">
        <f t="shared" si="4"/>
        <v>357991818.07999998</v>
      </c>
      <c r="Z12" s="58">
        <f t="shared" si="4"/>
        <v>1233275848.0599999</v>
      </c>
      <c r="AA12" s="58">
        <f t="shared" si="4"/>
        <v>931135386.91999996</v>
      </c>
      <c r="AB12" s="58">
        <f t="shared" si="4"/>
        <v>641613415.76999998</v>
      </c>
      <c r="AC12" s="58">
        <f t="shared" si="4"/>
        <v>358479336.83999997</v>
      </c>
      <c r="AD12" s="58">
        <f t="shared" si="4"/>
        <v>1113550462.7</v>
      </c>
      <c r="AE12" s="58">
        <f t="shared" si="4"/>
        <v>819293841.53999996</v>
      </c>
      <c r="AF12" s="58">
        <f t="shared" si="4"/>
        <v>574250220.26999998</v>
      </c>
      <c r="AG12" s="58">
        <f t="shared" si="4"/>
        <v>328792340.84000003</v>
      </c>
      <c r="AH12" s="58">
        <f t="shared" si="4"/>
        <v>856241067.82000005</v>
      </c>
      <c r="AI12" s="58">
        <f t="shared" si="4"/>
        <v>602997083.98000002</v>
      </c>
      <c r="AJ12" s="58">
        <f t="shared" si="4"/>
        <v>399086769.68000001</v>
      </c>
      <c r="AK12" s="58">
        <f t="shared" si="4"/>
        <v>221252677.00999999</v>
      </c>
      <c r="AL12" s="58">
        <f t="shared" si="4"/>
        <v>676330731.45999992</v>
      </c>
      <c r="AM12" s="58">
        <f t="shared" si="4"/>
        <v>490750376.90999997</v>
      </c>
      <c r="AN12" s="58">
        <f t="shared" si="4"/>
        <v>335733392.36000001</v>
      </c>
      <c r="AO12" s="58">
        <f t="shared" si="4"/>
        <v>189962451.72</v>
      </c>
      <c r="AP12" s="58">
        <f t="shared" si="4"/>
        <v>574849526.50999999</v>
      </c>
      <c r="AQ12" s="58">
        <f t="shared" si="4"/>
        <v>427520540.04999995</v>
      </c>
      <c r="AR12" s="58">
        <f t="shared" si="4"/>
        <v>291774784.33000004</v>
      </c>
      <c r="AS12" s="58">
        <f t="shared" si="4"/>
        <v>174009607.25999999</v>
      </c>
      <c r="AT12" s="58">
        <f t="shared" si="4"/>
        <v>495810013.30000007</v>
      </c>
      <c r="AU12" s="58">
        <f t="shared" si="4"/>
        <v>363940232.54999995</v>
      </c>
      <c r="AV12" s="58">
        <f t="shared" si="4"/>
        <v>251247749.21000001</v>
      </c>
      <c r="AW12" s="58">
        <f t="shared" si="4"/>
        <v>141582988.38</v>
      </c>
      <c r="AX12" s="58">
        <f t="shared" si="4"/>
        <v>424485212.13</v>
      </c>
      <c r="AY12" s="58">
        <f t="shared" si="4"/>
        <v>312798275.27000004</v>
      </c>
      <c r="AZ12" s="58">
        <f t="shared" si="4"/>
        <v>211772375.63999999</v>
      </c>
      <c r="BA12" s="58">
        <f t="shared" si="4"/>
        <v>125078895.05000001</v>
      </c>
      <c r="BB12" s="58">
        <f t="shared" si="4"/>
        <v>430509454.56999999</v>
      </c>
      <c r="BC12" s="58">
        <f t="shared" si="4"/>
        <v>315243729.31</v>
      </c>
      <c r="BD12" s="58">
        <f t="shared" si="4"/>
        <v>219264334.53</v>
      </c>
      <c r="BE12" s="58">
        <f t="shared" si="4"/>
        <v>126840775.57999998</v>
      </c>
      <c r="BF12" s="58">
        <f t="shared" si="4"/>
        <v>396271126.86000001</v>
      </c>
      <c r="BG12" s="58">
        <f t="shared" si="4"/>
        <v>295186142.07999998</v>
      </c>
      <c r="BH12" s="58">
        <f t="shared" si="4"/>
        <v>206112411.37</v>
      </c>
      <c r="BI12" s="58">
        <f t="shared" si="4"/>
        <v>120863355.69</v>
      </c>
      <c r="BJ12" s="58">
        <f t="shared" si="4"/>
        <v>512837372.63</v>
      </c>
      <c r="BK12" s="58">
        <f t="shared" si="4"/>
        <v>390281163.94</v>
      </c>
      <c r="BL12" s="58">
        <f t="shared" si="4"/>
        <v>271136566.04000002</v>
      </c>
      <c r="BM12" s="58">
        <f t="shared" si="4"/>
        <v>153073463.78999999</v>
      </c>
      <c r="BN12" s="58">
        <f t="shared" si="4"/>
        <v>555270262.34000003</v>
      </c>
      <c r="BO12" s="58">
        <f t="shared" si="4"/>
        <v>416226054.47000003</v>
      </c>
      <c r="BP12" s="58">
        <f t="shared" si="4"/>
        <v>293648765.67000002</v>
      </c>
      <c r="BQ12" s="58">
        <f t="shared" si="4"/>
        <v>170496883</v>
      </c>
      <c r="BR12" s="58">
        <f t="shared" ref="BR12:CL12" si="5">SUM(BR8:BR11)</f>
        <v>666058701.47000003</v>
      </c>
      <c r="BS12" s="58">
        <f t="shared" si="5"/>
        <v>333143622.06</v>
      </c>
      <c r="BT12" s="58">
        <f t="shared" si="5"/>
        <v>642273543.47000003</v>
      </c>
      <c r="BU12" s="58">
        <f t="shared" si="5"/>
        <v>303163434.82999998</v>
      </c>
      <c r="BV12" s="58">
        <f t="shared" si="5"/>
        <v>564968628.1500001</v>
      </c>
      <c r="BW12" s="58">
        <f t="shared" si="5"/>
        <v>300909482.56</v>
      </c>
      <c r="BX12" s="58">
        <f t="shared" si="5"/>
        <v>575460347.29999995</v>
      </c>
      <c r="BY12" s="58">
        <f t="shared" si="5"/>
        <v>295150617.11000001</v>
      </c>
      <c r="BZ12" s="58">
        <f t="shared" si="5"/>
        <v>563564176.56999993</v>
      </c>
      <c r="CA12" s="58">
        <f t="shared" si="5"/>
        <v>322151710.56999993</v>
      </c>
      <c r="CB12" s="58">
        <f t="shared" si="5"/>
        <v>577884441.61000001</v>
      </c>
      <c r="CC12" s="58">
        <f t="shared" si="5"/>
        <v>314367441.93999994</v>
      </c>
      <c r="CD12" s="58">
        <f t="shared" si="5"/>
        <v>517895922.56000006</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c r="A13" s="20" t="s">
        <v>495</v>
      </c>
      <c r="E13" s="28">
        <f>(E6/(1+E4)+E7)/E12</f>
        <v>1.3324293701973997</v>
      </c>
      <c r="F13" s="28">
        <f t="shared" ref="F13:BQ13" si="6">(F6/(1+F4)+F7)/F12</f>
        <v>1.0868401287126688</v>
      </c>
      <c r="G13" s="28">
        <f t="shared" si="6"/>
        <v>1.1433369047379809</v>
      </c>
      <c r="H13" s="28">
        <f t="shared" si="6"/>
        <v>1.1287587201449292</v>
      </c>
      <c r="I13" s="28">
        <f t="shared" si="6"/>
        <v>1.5239693354521133</v>
      </c>
      <c r="J13" s="28">
        <f t="shared" si="6"/>
        <v>1.1406484155780166</v>
      </c>
      <c r="K13" s="28">
        <f t="shared" si="6"/>
        <v>1.1871696500766613</v>
      </c>
      <c r="L13" s="28">
        <f t="shared" si="6"/>
        <v>1.2198307378194742</v>
      </c>
      <c r="M13" s="28">
        <f t="shared" si="6"/>
        <v>1.3199492541791957</v>
      </c>
      <c r="N13" s="28">
        <f t="shared" si="6"/>
        <v>1.0491152788594142</v>
      </c>
      <c r="O13" s="28">
        <f t="shared" si="6"/>
        <v>1.0773281794394785</v>
      </c>
      <c r="P13" s="28">
        <f t="shared" si="6"/>
        <v>1.0902044360412759</v>
      </c>
      <c r="Q13" s="28">
        <f t="shared" si="6"/>
        <v>1.1320461684836332</v>
      </c>
      <c r="R13" s="28">
        <f t="shared" si="6"/>
        <v>0.99979725830146748</v>
      </c>
      <c r="S13" s="28">
        <f t="shared" si="6"/>
        <v>1.0380963474787863</v>
      </c>
      <c r="T13" s="28">
        <f t="shared" si="6"/>
        <v>0.9973514583560843</v>
      </c>
      <c r="U13" s="28">
        <f t="shared" si="6"/>
        <v>1.0662965374887214</v>
      </c>
      <c r="V13" s="28">
        <f t="shared" si="6"/>
        <v>0.91355568346001659</v>
      </c>
      <c r="W13" s="28">
        <f t="shared" si="6"/>
        <v>0.95299690300226558</v>
      </c>
      <c r="X13" s="28">
        <f t="shared" si="6"/>
        <v>0.9888812252341227</v>
      </c>
      <c r="Y13" s="28">
        <f t="shared" si="6"/>
        <v>0.96461711288033347</v>
      </c>
      <c r="Z13" s="28">
        <f t="shared" si="6"/>
        <v>0.92294791200422954</v>
      </c>
      <c r="AA13" s="28">
        <f t="shared" si="6"/>
        <v>0.94470881091092096</v>
      </c>
      <c r="AB13" s="28">
        <f t="shared" si="6"/>
        <v>0.95229643771783568</v>
      </c>
      <c r="AC13" s="28">
        <f t="shared" si="6"/>
        <v>0.95628450112957186</v>
      </c>
      <c r="AD13" s="28">
        <f t="shared" si="6"/>
        <v>0.91516371935822705</v>
      </c>
      <c r="AE13" s="28">
        <f t="shared" si="6"/>
        <v>0.92057549127156479</v>
      </c>
      <c r="AF13" s="28">
        <f t="shared" si="6"/>
        <v>0.94375729491003046</v>
      </c>
      <c r="AG13" s="28">
        <f t="shared" si="6"/>
        <v>0.98947249678488236</v>
      </c>
      <c r="AH13" s="28">
        <f t="shared" si="6"/>
        <v>0.87143399748299077</v>
      </c>
      <c r="AI13" s="28">
        <f t="shared" si="6"/>
        <v>0.90949179938405378</v>
      </c>
      <c r="AJ13" s="28">
        <f t="shared" si="6"/>
        <v>0.9030721185443753</v>
      </c>
      <c r="AK13" s="28">
        <f t="shared" si="6"/>
        <v>0.91774475359543051</v>
      </c>
      <c r="AL13" s="28">
        <f t="shared" si="6"/>
        <v>0.84150369486490473</v>
      </c>
      <c r="AM13" s="28">
        <f t="shared" si="6"/>
        <v>0.86550207962489845</v>
      </c>
      <c r="AN13" s="28">
        <f t="shared" si="6"/>
        <v>0.86122868680096498</v>
      </c>
      <c r="AO13" s="28">
        <f t="shared" si="6"/>
        <v>0.84664497779596781</v>
      </c>
      <c r="AP13" s="28">
        <f t="shared" si="6"/>
        <v>0.90019293430133385</v>
      </c>
      <c r="AQ13" s="28">
        <f t="shared" si="6"/>
        <v>0.94790085947253111</v>
      </c>
      <c r="AR13" s="28">
        <f t="shared" si="6"/>
        <v>0.97943817346598472</v>
      </c>
      <c r="AS13" s="28">
        <f t="shared" si="6"/>
        <v>0.95026205512369055</v>
      </c>
      <c r="AT13" s="28">
        <f t="shared" si="6"/>
        <v>0.86911172412207871</v>
      </c>
      <c r="AU13" s="28">
        <f t="shared" si="6"/>
        <v>0.88891759388954861</v>
      </c>
      <c r="AV13" s="28">
        <f t="shared" si="6"/>
        <v>0.85660744770869868</v>
      </c>
      <c r="AW13" s="28">
        <f t="shared" si="6"/>
        <v>0.70734648372217179</v>
      </c>
      <c r="AX13" s="28">
        <f t="shared" si="6"/>
        <v>0.86750934795604651</v>
      </c>
      <c r="AY13" s="28">
        <f t="shared" si="6"/>
        <v>0.86202940023067598</v>
      </c>
      <c r="AZ13" s="28">
        <f t="shared" si="6"/>
        <v>0.86146627972336254</v>
      </c>
      <c r="BA13" s="28">
        <f t="shared" si="6"/>
        <v>0.72644651572245544</v>
      </c>
      <c r="BB13" s="28">
        <f t="shared" si="6"/>
        <v>0.79568569672641098</v>
      </c>
      <c r="BC13" s="28">
        <f t="shared" si="6"/>
        <v>0.81690758215585635</v>
      </c>
      <c r="BD13" s="28">
        <f t="shared" si="6"/>
        <v>0.77148940719694759</v>
      </c>
      <c r="BE13" s="28">
        <f t="shared" si="6"/>
        <v>0.63242008009843576</v>
      </c>
      <c r="BF13" s="28">
        <f t="shared" si="6"/>
        <v>0.80797774235855213</v>
      </c>
      <c r="BG13" s="28">
        <f t="shared" si="6"/>
        <v>0.83711830931547615</v>
      </c>
      <c r="BH13" s="28">
        <f t="shared" si="6"/>
        <v>0.80589212917506459</v>
      </c>
      <c r="BI13" s="28">
        <f t="shared" si="6"/>
        <v>0.73304849896598967</v>
      </c>
      <c r="BJ13" s="28">
        <f t="shared" si="6"/>
        <v>0.86379817713506479</v>
      </c>
      <c r="BK13" s="28">
        <f t="shared" si="6"/>
        <v>0.86614258384412401</v>
      </c>
      <c r="BL13" s="28">
        <f t="shared" si="6"/>
        <v>0.83859109605782189</v>
      </c>
      <c r="BM13" s="28">
        <f t="shared" si="6"/>
        <v>0.75201489644666542</v>
      </c>
      <c r="BN13" s="28">
        <f t="shared" si="6"/>
        <v>0.87347825926680889</v>
      </c>
      <c r="BO13" s="28">
        <f t="shared" si="6"/>
        <v>0.66608238824732013</v>
      </c>
      <c r="BP13" s="28">
        <f t="shared" si="6"/>
        <v>2.0753063691452134</v>
      </c>
      <c r="BQ13" s="28">
        <f t="shared" si="6"/>
        <v>1.7591718465349047</v>
      </c>
      <c r="BR13" s="28">
        <f t="shared" ref="BR13:CK13" si="7">(BR6/(1+BR4)+BR7)/BR12</f>
        <v>0.84475003320048803</v>
      </c>
      <c r="BS13" s="28">
        <f t="shared" si="7"/>
        <v>0.74192570092447718</v>
      </c>
      <c r="BT13" s="28">
        <f t="shared" si="7"/>
        <v>0.80091611763376225</v>
      </c>
      <c r="BU13" s="28">
        <f t="shared" si="7"/>
        <v>1.4282678444719299</v>
      </c>
      <c r="BV13" s="28">
        <f t="shared" si="7"/>
        <v>0.40948178589843881</v>
      </c>
      <c r="BW13" s="28">
        <f t="shared" si="7"/>
        <v>0</v>
      </c>
      <c r="BX13" s="28">
        <f t="shared" si="7"/>
        <v>0</v>
      </c>
      <c r="BY13" s="28">
        <f t="shared" si="7"/>
        <v>0</v>
      </c>
      <c r="BZ13" s="28">
        <f t="shared" si="7"/>
        <v>0</v>
      </c>
      <c r="CA13" s="28">
        <f t="shared" si="7"/>
        <v>0</v>
      </c>
      <c r="CB13" s="28">
        <f t="shared" si="7"/>
        <v>0</v>
      </c>
      <c r="CC13" s="28">
        <f t="shared" si="7"/>
        <v>0</v>
      </c>
      <c r="CD13" s="28">
        <f t="shared" si="7"/>
        <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c r="A14" s="20" t="s">
        <v>496</v>
      </c>
      <c r="E14" s="26">
        <f>现金流量表!E13</f>
        <v>-46981553.960000001</v>
      </c>
      <c r="F14" s="26">
        <f>现金流量表!F13</f>
        <v>248058176.34999999</v>
      </c>
      <c r="G14" s="26">
        <f>现金流量表!G13</f>
        <v>134626298.36000001</v>
      </c>
      <c r="H14" s="26">
        <f>现金流量表!H13</f>
        <v>142268625</v>
      </c>
      <c r="I14" s="26">
        <f>现金流量表!I13</f>
        <v>-105809977.56999999</v>
      </c>
      <c r="J14" s="26">
        <f>现金流量表!J13</f>
        <v>35799578.109999999</v>
      </c>
      <c r="K14" s="26">
        <f>现金流量表!K13</f>
        <v>-96287142.159999996</v>
      </c>
      <c r="L14" s="26">
        <f>现金流量表!L13</f>
        <v>-152239637.38</v>
      </c>
      <c r="M14" s="26">
        <f>现金流量表!M13</f>
        <v>-101061475</v>
      </c>
      <c r="N14" s="26">
        <f>现金流量表!N13</f>
        <v>-131339444.51000001</v>
      </c>
      <c r="O14" s="26">
        <f>现金流量表!O13</f>
        <v>-116944059.23999999</v>
      </c>
      <c r="P14" s="26">
        <f>现金流量表!P13</f>
        <v>-108839924.38</v>
      </c>
      <c r="Q14" s="26">
        <f>现金流量表!Q13</f>
        <v>-80876656.739999995</v>
      </c>
      <c r="R14" s="26">
        <f>现金流量表!R13</f>
        <v>-120866925.16</v>
      </c>
      <c r="S14" s="26">
        <f>现金流量表!S13</f>
        <v>-114761840.67</v>
      </c>
      <c r="T14" s="26">
        <f>现金流量表!T13</f>
        <v>-103875653.2</v>
      </c>
      <c r="U14" s="26">
        <f>现金流量表!U13</f>
        <v>-66143518.270000003</v>
      </c>
      <c r="V14" s="26">
        <f>现金流量表!V13</f>
        <v>37254049.869999997</v>
      </c>
      <c r="W14" s="26">
        <f>现金流量表!W13</f>
        <v>-17576097.050000001</v>
      </c>
      <c r="X14" s="26">
        <f>现金流量表!X13</f>
        <v>-45407246.549999997</v>
      </c>
      <c r="Y14" s="26">
        <f>现金流量表!Y13</f>
        <v>53475962.579999998</v>
      </c>
      <c r="Z14" s="26">
        <f>现金流量表!Z13</f>
        <v>151852794.78999999</v>
      </c>
      <c r="AA14" s="26">
        <f>现金流量表!AA13</f>
        <v>57754723.630000003</v>
      </c>
      <c r="AB14" s="26">
        <f>现金流量表!AB13</f>
        <v>-9918579.5700000003</v>
      </c>
      <c r="AC14" s="26">
        <f>现金流量表!AC13</f>
        <v>29361037.379999999</v>
      </c>
      <c r="AD14" s="26">
        <f>现金流量表!AD13</f>
        <v>206100171.59999999</v>
      </c>
      <c r="AE14" s="26">
        <f>现金流量表!AE13</f>
        <v>101709433.54000001</v>
      </c>
      <c r="AF14" s="26">
        <f>现金流量表!AF13</f>
        <v>39493154.609999999</v>
      </c>
      <c r="AG14" s="26">
        <f>现金流量表!AG13</f>
        <v>28589812.98</v>
      </c>
      <c r="AH14" s="26">
        <f>现金流量表!AH13</f>
        <v>196156931.56999999</v>
      </c>
      <c r="AI14" s="26">
        <f>现金流量表!AI13</f>
        <v>76363362.019999996</v>
      </c>
      <c r="AJ14" s="26">
        <f>现金流量表!AJ13</f>
        <v>65377757.979999997</v>
      </c>
      <c r="AK14" s="26">
        <f>现金流量表!AK13</f>
        <v>57322863.579999998</v>
      </c>
      <c r="AL14" s="26">
        <f>现金流量表!AL13</f>
        <v>181686870.59999999</v>
      </c>
      <c r="AM14" s="26">
        <f>现金流量表!AM13</f>
        <v>81439518.959999993</v>
      </c>
      <c r="AN14" s="26">
        <f>现金流量表!AN13</f>
        <v>32421550.559999999</v>
      </c>
      <c r="AO14" s="26">
        <f>现金流量表!AO13</f>
        <v>41255158.579999998</v>
      </c>
      <c r="AP14" s="26">
        <f>现金流量表!AP13</f>
        <v>134513151.40000001</v>
      </c>
      <c r="AQ14" s="26">
        <f>现金流量表!AQ13</f>
        <v>31575329.739999998</v>
      </c>
      <c r="AR14" s="26">
        <f>现金流量表!AR13</f>
        <v>-5920897.2800000003</v>
      </c>
      <c r="AS14" s="26">
        <f>现金流量表!AS13</f>
        <v>28888449.670000002</v>
      </c>
      <c r="AT14" s="26">
        <f>现金流量表!AT13</f>
        <v>114763516.95999999</v>
      </c>
      <c r="AU14" s="26">
        <f>现金流量表!AU13</f>
        <v>71756349.319999993</v>
      </c>
      <c r="AV14" s="26">
        <f>现金流量表!AV13</f>
        <v>32586378.050000001</v>
      </c>
      <c r="AW14" s="26">
        <f>现金流量表!AW13</f>
        <v>59976258.149999999</v>
      </c>
      <c r="AX14" s="26">
        <f>现金流量表!AX13</f>
        <v>65743775.630000003</v>
      </c>
      <c r="AY14" s="26">
        <f>现金流量表!AY13</f>
        <v>27061253.879999999</v>
      </c>
      <c r="AZ14" s="26">
        <f>现金流量表!AZ13</f>
        <v>16960544.280000001</v>
      </c>
      <c r="BA14" s="26">
        <f>现金流量表!BA13</f>
        <v>38864768.850000001</v>
      </c>
      <c r="BB14" s="26">
        <f>现金流量表!BB13</f>
        <v>130890900.17</v>
      </c>
      <c r="BC14" s="26">
        <f>现金流量表!BC13</f>
        <v>48726470.82</v>
      </c>
      <c r="BD14" s="26">
        <f>现金流量表!BD13</f>
        <v>4985636.17</v>
      </c>
      <c r="BE14" s="26">
        <f>现金流量表!BE13</f>
        <v>58852090.149999999</v>
      </c>
      <c r="BF14" s="26">
        <f>现金流量表!BF13</f>
        <v>98879708.400000006</v>
      </c>
      <c r="BG14" s="26">
        <f>现金流量表!BG13</f>
        <v>60521039.539999999</v>
      </c>
      <c r="BH14" s="26">
        <f>现金流量表!BH13</f>
        <v>39837560.990000002</v>
      </c>
      <c r="BI14" s="26">
        <f>现金流量表!BI13</f>
        <v>36808318.25</v>
      </c>
      <c r="BJ14" s="26">
        <f>现金流量表!BJ13</f>
        <v>71491451.959999993</v>
      </c>
      <c r="BK14" s="26">
        <f>现金流量表!BK13</f>
        <v>37050018.390000001</v>
      </c>
      <c r="BL14" s="26">
        <f>现金流量表!BL13</f>
        <v>19105590.190000001</v>
      </c>
      <c r="BM14" s="26">
        <f>现金流量表!BM13</f>
        <v>37973883.119999997</v>
      </c>
      <c r="BN14" s="26">
        <f>现金流量表!BN13</f>
        <v>25134213.100000001</v>
      </c>
      <c r="BO14" s="26">
        <f>现金流量表!BO13</f>
        <v>18542864.75</v>
      </c>
      <c r="BP14" s="26">
        <f>现金流量表!BP13</f>
        <v>-3750423.43</v>
      </c>
      <c r="BQ14" s="26">
        <f>现金流量表!BQ13</f>
        <v>13291694.390000001</v>
      </c>
      <c r="BR14" s="26">
        <f>现金流量表!BR13</f>
        <v>66490108.420000002</v>
      </c>
      <c r="BS14" s="26">
        <f>现金流量表!BS13</f>
        <v>15528529.779999999</v>
      </c>
      <c r="BT14" s="26">
        <f>现金流量表!BT13</f>
        <v>45548517.140000001</v>
      </c>
      <c r="BU14" s="26">
        <f>现金流量表!BU13</f>
        <v>69289211.939999998</v>
      </c>
      <c r="BV14" s="26">
        <f>现金流量表!BV13</f>
        <v>36142489.840000004</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c r="A15" s="17" t="s">
        <v>497</v>
      </c>
      <c r="E15" s="26">
        <f>股权价值增加表!E17</f>
        <v>-2836918081.1787314</v>
      </c>
      <c r="F15" s="26">
        <f>股权价值增加表!F17</f>
        <v>194299217.70028061</v>
      </c>
      <c r="G15" s="26">
        <f>股权价值增加表!G17</f>
        <v>148313266.62492341</v>
      </c>
      <c r="H15" s="26">
        <f>股权价值增加表!H17</f>
        <v>107103099.69842207</v>
      </c>
      <c r="I15" s="26">
        <f>股权价值增加表!I17</f>
        <v>13516869.187008601</v>
      </c>
      <c r="J15" s="26">
        <f>股权价值增加表!J17</f>
        <v>73482725.977686495</v>
      </c>
      <c r="K15" s="26">
        <f>股权价值增加表!K17</f>
        <v>63529517.786928788</v>
      </c>
      <c r="L15" s="26">
        <f>股权价值增加表!L17</f>
        <v>46575946.923508629</v>
      </c>
      <c r="M15" s="26">
        <f>股权价值增加表!M17</f>
        <v>28348500.4650052</v>
      </c>
      <c r="N15" s="26">
        <f>股权价值增加表!N17</f>
        <v>88827789.353709355</v>
      </c>
      <c r="O15" s="26">
        <f>股权价值增加表!O17</f>
        <v>80599898.870277062</v>
      </c>
      <c r="P15" s="26">
        <f>股权价值增加表!P17</f>
        <v>56593946.103152737</v>
      </c>
      <c r="Q15" s="26">
        <f>股权价值增加表!Q17</f>
        <v>29824899.237806797</v>
      </c>
      <c r="R15" s="26">
        <f>股权价值增加表!R17</f>
        <v>98204872.352279171</v>
      </c>
      <c r="S15" s="26">
        <f>股权价值增加表!S17</f>
        <v>81717273.089655757</v>
      </c>
      <c r="T15" s="26">
        <f>股权价值增加表!T17</f>
        <v>56285037.194829717</v>
      </c>
      <c r="U15" s="26">
        <f>股权价值增加表!U17</f>
        <v>-18413653.499927826</v>
      </c>
      <c r="V15" s="26">
        <f>股权价值增加表!V17</f>
        <v>104902113.34233481</v>
      </c>
      <c r="W15" s="26">
        <f>股权价值增加表!W17</f>
        <v>85852753.904070348</v>
      </c>
      <c r="X15" s="26">
        <f>股权价值增加表!X17</f>
        <v>63170807.690435342</v>
      </c>
      <c r="Y15" s="26">
        <f>股权价值增加表!Y17</f>
        <v>35637411.926685475</v>
      </c>
      <c r="Z15" s="26">
        <f>股权价值增加表!Z17</f>
        <v>59668644.208333224</v>
      </c>
      <c r="AA15" s="26">
        <f>股权价值增加表!AA17</f>
        <v>47634991.885566115</v>
      </c>
      <c r="AB15" s="26">
        <f>股权价值增加表!AB17</f>
        <v>39743980.476685144</v>
      </c>
      <c r="AC15" s="26">
        <f>股权价值增加表!AC17</f>
        <v>-84636974.250252753</v>
      </c>
      <c r="AD15" s="26">
        <f>股权价值增加表!AD17</f>
        <v>51024931.092133567</v>
      </c>
      <c r="AE15" s="26">
        <f>股权价值增加表!AE17</f>
        <v>44011116.499925546</v>
      </c>
      <c r="AF15" s="26">
        <f>股权价值增加表!AF17</f>
        <v>31572438.198712084</v>
      </c>
      <c r="AG15" s="26">
        <f>股权价值增加表!AG17</f>
        <v>-99768624.347708687</v>
      </c>
      <c r="AH15" s="26">
        <f>股权价值增加表!AH17</f>
        <v>-154454172.9149251</v>
      </c>
      <c r="AI15" s="26">
        <f>股权价值增加表!AI17</f>
        <v>29545097.188755713</v>
      </c>
      <c r="AJ15" s="26">
        <f>股权价值增加表!AJ17</f>
        <v>9977288.0111183599</v>
      </c>
      <c r="AK15" s="26">
        <f>股权价值增加表!AK17</f>
        <v>18927744.282591857</v>
      </c>
      <c r="AL15" s="26">
        <f>股权价值增加表!AL17</f>
        <v>42308315.378269032</v>
      </c>
      <c r="AM15" s="26">
        <f>股权价值增加表!AM17</f>
        <v>30587944.413164631</v>
      </c>
      <c r="AN15" s="26">
        <f>股权价值增加表!AN17</f>
        <v>21916739.763890926</v>
      </c>
      <c r="AO15" s="26">
        <f>股权价值增加表!AO17</f>
        <v>26186925.010509081</v>
      </c>
      <c r="AP15" s="26">
        <f>股权价值增加表!AP17</f>
        <v>38588776.84162423</v>
      </c>
      <c r="AQ15" s="26">
        <f>股权价值增加表!AQ17</f>
        <v>26196466.970362779</v>
      </c>
      <c r="AR15" s="26">
        <f>股权价值增加表!AR17</f>
        <v>17866527.852721944</v>
      </c>
      <c r="AS15" s="26">
        <f>股权价值增加表!AS17</f>
        <v>14241914.163086072</v>
      </c>
      <c r="AT15" s="26">
        <f>股权价值增加表!AT17</f>
        <v>27969254.020880803</v>
      </c>
      <c r="AU15" s="26">
        <f>股权价值增加表!AU17</f>
        <v>14189006.623987885</v>
      </c>
      <c r="AV15" s="26">
        <f>股权价值增加表!AV17</f>
        <v>4299651.9257128425</v>
      </c>
      <c r="AW15" s="26">
        <f>股权价值增加表!AW17</f>
        <v>8644707.8656850997</v>
      </c>
      <c r="AX15" s="26">
        <f>股权价值增加表!AX17</f>
        <v>18491923.683044471</v>
      </c>
      <c r="AY15" s="26">
        <f>股权价值增加表!AY17</f>
        <v>25085404.902331624</v>
      </c>
      <c r="AZ15" s="26">
        <f>股权价值增加表!AZ17</f>
        <v>19277447.002656948</v>
      </c>
      <c r="BA15" s="26">
        <f>股权价值增加表!BA17</f>
        <v>5510018</v>
      </c>
      <c r="BB15" s="26">
        <f>股权价值增加表!BB17</f>
        <v>913790.61104452086</v>
      </c>
      <c r="BC15" s="26">
        <f>股权价值增加表!BC17</f>
        <v>5908938.4800000191</v>
      </c>
      <c r="BD15" s="26">
        <f>股权价值增加表!BD17</f>
        <v>7603927.0399999954</v>
      </c>
      <c r="BE15" s="26">
        <f>股权价值增加表!BE17</f>
        <v>5363858.3299999982</v>
      </c>
      <c r="BF15" s="26">
        <f>股权价值增加表!BF17</f>
        <v>2043439.4100000542</v>
      </c>
      <c r="BG15" s="26">
        <f>股权价值增加表!BG17</f>
        <v>4543492.9299999876</v>
      </c>
      <c r="BH15" s="26">
        <f>股权价值增加表!BH17</f>
        <v>3485968.909999989</v>
      </c>
      <c r="BI15" s="26">
        <f>股权价值增加表!BI17</f>
        <v>3124972.5100000044</v>
      </c>
      <c r="BJ15" s="26">
        <f>股权价值增加表!BJ17</f>
        <v>-34343798.558610663</v>
      </c>
      <c r="BK15" s="26">
        <f>股权价值增加表!BK17</f>
        <v>-24310487.31311677</v>
      </c>
      <c r="BL15" s="26">
        <f>股权价值增加表!BL17</f>
        <v>-12580874.081055716</v>
      </c>
      <c r="BM15" s="26">
        <f>股权价值增加表!BM17</f>
        <v>-2377322.9405623847</v>
      </c>
      <c r="BN15" s="26">
        <f>股权价值增加表!BN17</f>
        <v>-48245066.557332382</v>
      </c>
      <c r="BO15" s="26">
        <f>股权价值增加表!BO17</f>
        <v>-9912140.4500000291</v>
      </c>
      <c r="BP15" s="26">
        <f>股权价值增加表!BP17</f>
        <v>-957568.19908499159</v>
      </c>
      <c r="BQ15" s="26">
        <f>股权价值增加表!BQ17</f>
        <v>3579810.6599999899</v>
      </c>
      <c r="BR15" s="26">
        <f>股权价值增加表!BR17</f>
        <v>-17774583.791090384</v>
      </c>
      <c r="BS15" s="26">
        <f>股权价值增加表!BS17</f>
        <v>15555719.427280743</v>
      </c>
      <c r="BT15" s="26">
        <f>股权价值增加表!BT17</f>
        <v>-75580368.549267828</v>
      </c>
      <c r="BU15" s="26">
        <f>股权价值增加表!BU17</f>
        <v>-69395801.417522654</v>
      </c>
      <c r="BV15" s="26">
        <f>股权价值增加表!BV17</f>
        <v>-196858551.7410543</v>
      </c>
      <c r="BW15" s="26">
        <f>股权价值增加表!BW17</f>
        <v>12155869.59447482</v>
      </c>
      <c r="BX15" s="26">
        <f>股权价值增加表!BX17</f>
        <v>-5078368.6340550184</v>
      </c>
      <c r="BY15" s="26">
        <f>股权价值增加表!BY17</f>
        <v>12991252.922389891</v>
      </c>
      <c r="BZ15" s="26">
        <f>股权价值增加表!BZ17</f>
        <v>23069476.793895841</v>
      </c>
      <c r="CA15" s="26">
        <f>股权价值增加表!CA17</f>
        <v>13601307.020666404</v>
      </c>
      <c r="CB15" s="26">
        <f>股权价值增加表!CB17</f>
        <v>20201488.703928288</v>
      </c>
      <c r="CC15" s="26">
        <f>股权价值增加表!CC17</f>
        <v>14965505.676993422</v>
      </c>
      <c r="CD15" s="26">
        <f>股权价值增加表!CD17</f>
        <v>23396156.632841647</v>
      </c>
      <c r="CE15" s="26" t="e">
        <f>股权价值增加表!CE17</f>
        <v>#DIV/0!</v>
      </c>
      <c r="CF15" s="26" t="e">
        <f>股权价值增加表!CF17</f>
        <v>#DIV/0!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498</v>
      </c>
      <c r="E16" s="28">
        <f>E14/E15</f>
        <v>1.6560772153307753E-2</v>
      </c>
      <c r="F16" s="28">
        <f t="shared" ref="F16:BQ16" si="8">F14/F15</f>
        <v>1.276681292318151</v>
      </c>
      <c r="G16" s="28">
        <f t="shared" si="8"/>
        <v>0.90771581951911939</v>
      </c>
      <c r="H16" s="28">
        <f t="shared" si="8"/>
        <v>1.3283334039873358</v>
      </c>
      <c r="I16" s="28">
        <f t="shared" si="8"/>
        <v>-7.8279944938504391</v>
      </c>
      <c r="J16" s="28">
        <f t="shared" si="8"/>
        <v>0.48718358816561558</v>
      </c>
      <c r="K16" s="28">
        <f t="shared" si="8"/>
        <v>-1.5156284120231602</v>
      </c>
      <c r="L16" s="28">
        <f t="shared" si="8"/>
        <v>-3.2686321467606905</v>
      </c>
      <c r="M16" s="28">
        <f t="shared" si="8"/>
        <v>-3.5649672237427623</v>
      </c>
      <c r="N16" s="28">
        <f t="shared" si="8"/>
        <v>-1.4785850854287348</v>
      </c>
      <c r="O16" s="28">
        <f t="shared" si="8"/>
        <v>-1.450920669617932</v>
      </c>
      <c r="P16" s="28">
        <f t="shared" si="8"/>
        <v>-1.9231725630444549</v>
      </c>
      <c r="Q16" s="28">
        <f t="shared" si="8"/>
        <v>-2.7117160093362092</v>
      </c>
      <c r="R16" s="28">
        <f t="shared" si="8"/>
        <v>-1.2307630188289214</v>
      </c>
      <c r="S16" s="28">
        <f t="shared" si="8"/>
        <v>-1.4043767777724245</v>
      </c>
      <c r="T16" s="28">
        <f t="shared" si="8"/>
        <v>-1.8455287297836576</v>
      </c>
      <c r="U16" s="28">
        <f t="shared" si="8"/>
        <v>3.5920909595838357</v>
      </c>
      <c r="V16" s="28">
        <f t="shared" si="8"/>
        <v>0.35513154771654704</v>
      </c>
      <c r="W16" s="28">
        <f t="shared" si="8"/>
        <v>-0.20472374211360858</v>
      </c>
      <c r="X16" s="28">
        <f t="shared" si="8"/>
        <v>-0.71880110782365514</v>
      </c>
      <c r="Y16" s="28">
        <f t="shared" si="8"/>
        <v>1.5005568499197588</v>
      </c>
      <c r="Z16" s="28">
        <f t="shared" si="8"/>
        <v>2.5449345599307667</v>
      </c>
      <c r="AA16" s="28">
        <f t="shared" si="8"/>
        <v>1.2124432343505924</v>
      </c>
      <c r="AB16" s="28">
        <f t="shared" si="8"/>
        <v>-0.2495618066192061</v>
      </c>
      <c r="AC16" s="28">
        <f t="shared" si="8"/>
        <v>-0.34690556509246095</v>
      </c>
      <c r="AD16" s="28">
        <f t="shared" si="8"/>
        <v>4.0392052902110462</v>
      </c>
      <c r="AE16" s="28">
        <f t="shared" si="8"/>
        <v>2.310994167579731</v>
      </c>
      <c r="AF16" s="28">
        <f t="shared" si="8"/>
        <v>1.2508743975183716</v>
      </c>
      <c r="AG16" s="28">
        <f t="shared" si="8"/>
        <v>-0.28656116255908465</v>
      </c>
      <c r="AH16" s="28">
        <f t="shared" si="8"/>
        <v>-1.2700008544155372</v>
      </c>
      <c r="AI16" s="28">
        <f t="shared" si="8"/>
        <v>2.584637360714535</v>
      </c>
      <c r="AJ16" s="28">
        <f t="shared" si="8"/>
        <v>6.5526581879910841</v>
      </c>
      <c r="AK16" s="28">
        <f t="shared" si="8"/>
        <v>3.0285100392401612</v>
      </c>
      <c r="AL16" s="28">
        <f t="shared" si="8"/>
        <v>4.2943536979806209</v>
      </c>
      <c r="AM16" s="28">
        <f t="shared" si="8"/>
        <v>2.6624711311084228</v>
      </c>
      <c r="AN16" s="28">
        <f t="shared" si="8"/>
        <v>1.4793053578806619</v>
      </c>
      <c r="AO16" s="28">
        <f t="shared" si="8"/>
        <v>1.5754105746835063</v>
      </c>
      <c r="AP16" s="28">
        <f t="shared" si="8"/>
        <v>3.4858101865230888</v>
      </c>
      <c r="AQ16" s="28">
        <f t="shared" si="8"/>
        <v>1.205327793848024</v>
      </c>
      <c r="AR16" s="28">
        <f t="shared" si="8"/>
        <v>-0.33139607923863945</v>
      </c>
      <c r="AS16" s="28">
        <f t="shared" si="8"/>
        <v>2.0284106012151515</v>
      </c>
      <c r="AT16" s="28">
        <f t="shared" si="8"/>
        <v>4.1032026408112934</v>
      </c>
      <c r="AU16" s="28">
        <f t="shared" si="8"/>
        <v>5.0571792107481972</v>
      </c>
      <c r="AV16" s="28">
        <f t="shared" si="8"/>
        <v>7.5788409417809977</v>
      </c>
      <c r="AW16" s="28">
        <f t="shared" si="8"/>
        <v>6.9379161311018844</v>
      </c>
      <c r="AX16" s="28">
        <f t="shared" si="8"/>
        <v>3.5552696818817981</v>
      </c>
      <c r="AY16" s="28">
        <f t="shared" si="8"/>
        <v>1.0787648828217529</v>
      </c>
      <c r="AZ16" s="28">
        <f t="shared" si="8"/>
        <v>0.87981278214186687</v>
      </c>
      <c r="BA16" s="28">
        <f t="shared" si="8"/>
        <v>7.0534740267636149</v>
      </c>
      <c r="BB16" s="28">
        <f t="shared" si="8"/>
        <v>143.23948899013459</v>
      </c>
      <c r="BC16" s="28">
        <f t="shared" si="8"/>
        <v>8.2462308560030646</v>
      </c>
      <c r="BD16" s="28">
        <f t="shared" si="8"/>
        <v>0.65566596625314322</v>
      </c>
      <c r="BE16" s="28">
        <f t="shared" si="8"/>
        <v>10.971969528136292</v>
      </c>
      <c r="BF16" s="28">
        <f t="shared" si="8"/>
        <v>48.388862383738299</v>
      </c>
      <c r="BG16" s="28">
        <f t="shared" si="8"/>
        <v>13.320377179501888</v>
      </c>
      <c r="BH16" s="28">
        <f t="shared" si="8"/>
        <v>11.427973690677616</v>
      </c>
      <c r="BI16" s="28">
        <f t="shared" si="8"/>
        <v>11.778765455443942</v>
      </c>
      <c r="BJ16" s="28">
        <f t="shared" si="8"/>
        <v>-2.0816407899083629</v>
      </c>
      <c r="BK16" s="28">
        <f t="shared" si="8"/>
        <v>-1.5240343771311236</v>
      </c>
      <c r="BL16" s="28">
        <f t="shared" si="8"/>
        <v>-1.5186218435147687</v>
      </c>
      <c r="BM16" s="28">
        <f t="shared" si="8"/>
        <v>-15.973380171486847</v>
      </c>
      <c r="BN16" s="28">
        <f t="shared" si="8"/>
        <v>-0.52096960152664673</v>
      </c>
      <c r="BO16" s="28">
        <f t="shared" si="8"/>
        <v>-1.8707225592228109</v>
      </c>
      <c r="BP16" s="28">
        <f t="shared" si="8"/>
        <v>3.9166123452969024</v>
      </c>
      <c r="BQ16" s="28">
        <f t="shared" si="8"/>
        <v>3.712960168122422</v>
      </c>
      <c r="BR16" s="28">
        <f t="shared" ref="BR16:CL16" si="9">BR14/BR15</f>
        <v>-3.740740666643827</v>
      </c>
      <c r="BS16" s="28">
        <f t="shared" si="9"/>
        <v>0.99825211251669532</v>
      </c>
      <c r="BT16" s="28">
        <f t="shared" si="9"/>
        <v>-0.60265010629458282</v>
      </c>
      <c r="BU16" s="28">
        <f t="shared" si="9"/>
        <v>-0.99846403564271335</v>
      </c>
      <c r="BV16" s="28">
        <f t="shared" si="9"/>
        <v>-0.18359623963677971</v>
      </c>
      <c r="BW16" s="28">
        <f t="shared" si="9"/>
        <v>0</v>
      </c>
      <c r="BX16" s="28">
        <f t="shared" si="9"/>
        <v>0</v>
      </c>
      <c r="BY16" s="28">
        <f t="shared" si="9"/>
        <v>0</v>
      </c>
      <c r="BZ16" s="28">
        <f t="shared" si="9"/>
        <v>0</v>
      </c>
      <c r="CA16" s="28">
        <f t="shared" si="9"/>
        <v>0</v>
      </c>
      <c r="CB16" s="28">
        <f t="shared" si="9"/>
        <v>0</v>
      </c>
      <c r="CC16" s="28">
        <f t="shared" si="9"/>
        <v>0</v>
      </c>
      <c r="CD16" s="28">
        <f t="shared" si="9"/>
        <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c r="A17" s="17" t="s">
        <v>499</v>
      </c>
      <c r="E17" s="26">
        <f>股权价值增加表!E42</f>
        <v>-23241025.669999968</v>
      </c>
      <c r="F17" s="26">
        <f>股权价值增加表!F42</f>
        <v>142520996.4599998</v>
      </c>
      <c r="G17" s="26">
        <f>股权价值增加表!G42</f>
        <v>109547391.88999991</v>
      </c>
      <c r="H17" s="26">
        <f>股权价值增加表!H42</f>
        <v>81139483.079999998</v>
      </c>
      <c r="I17" s="26">
        <f>股权价值增加表!I42</f>
        <v>62690201.329999991</v>
      </c>
      <c r="J17" s="26">
        <f>股权价值增加表!J42</f>
        <v>62438843.769999914</v>
      </c>
      <c r="K17" s="26">
        <f>股权价值增加表!K42</f>
        <v>54569171.24000001</v>
      </c>
      <c r="L17" s="26">
        <f>股权价值增加表!L42</f>
        <v>40045679.679999985</v>
      </c>
      <c r="M17" s="26">
        <f>股权价值增加表!M42</f>
        <v>59549580.85999997</v>
      </c>
      <c r="N17" s="26">
        <f>股权价值增加表!N42</f>
        <v>84484949.960000128</v>
      </c>
      <c r="O17" s="26">
        <f>股权价值增加表!O42</f>
        <v>76296914.819999963</v>
      </c>
      <c r="P17" s="26">
        <f>股权价值增加表!P42</f>
        <v>54892004.409999989</v>
      </c>
      <c r="Q17" s="26">
        <f>股权价值增加表!Q42</f>
        <v>28861928.760000005</v>
      </c>
      <c r="R17" s="26">
        <f>股权价值增加表!R42</f>
        <v>103916778.45999993</v>
      </c>
      <c r="S17" s="26">
        <f>股权价值增加表!S42</f>
        <v>87239258.700000003</v>
      </c>
      <c r="T17" s="26">
        <f>股权价值增加表!T42</f>
        <v>58918964.819999963</v>
      </c>
      <c r="U17" s="26">
        <f>股权价值增加表!U42</f>
        <v>-3410896.4599999953</v>
      </c>
      <c r="V17" s="26">
        <f>股权价值增加表!V42</f>
        <v>110404709.39999998</v>
      </c>
      <c r="W17" s="26">
        <f>股权价值增加表!W42</f>
        <v>88123737.050000027</v>
      </c>
      <c r="X17" s="26">
        <f>股权价值增加表!X42</f>
        <v>65268710.880000025</v>
      </c>
      <c r="Y17" s="26">
        <f>股权价值增加表!Y42</f>
        <v>29222692.100000039</v>
      </c>
      <c r="Z17" s="26">
        <f>股权价值增加表!Z42</f>
        <v>59690369.499999896</v>
      </c>
      <c r="AA17" s="26">
        <f>股权价值增加表!AA42</f>
        <v>48183018.790000059</v>
      </c>
      <c r="AB17" s="26">
        <f>股权价值增加表!AB42</f>
        <v>38254813.789999917</v>
      </c>
      <c r="AC17" s="26">
        <f>股权价值增加表!AC42</f>
        <v>-6746385.9500000346</v>
      </c>
      <c r="AD17" s="26">
        <f>股权价值增加表!AD42</f>
        <v>47015072.410000108</v>
      </c>
      <c r="AE17" s="26">
        <f>股权价值增加表!AE42</f>
        <v>40226884.529999956</v>
      </c>
      <c r="AF17" s="26">
        <f>股权价值增加表!AF42</f>
        <v>28933110.570000011</v>
      </c>
      <c r="AG17" s="26">
        <f>股权价值增加表!AG42</f>
        <v>-5987950.2000000002</v>
      </c>
      <c r="AH17" s="26">
        <f>股权价值增加表!AH42</f>
        <v>-8085572.430000009</v>
      </c>
      <c r="AI17" s="26">
        <f>股权价值增加表!AI42</f>
        <v>28149980.62000002</v>
      </c>
      <c r="AJ17" s="26">
        <f>股权价值增加表!AJ42</f>
        <v>3403839.4700000277</v>
      </c>
      <c r="AK17" s="26">
        <f>股权价值增加表!AK42</f>
        <v>15860780.200000003</v>
      </c>
      <c r="AL17" s="26">
        <f>股权价值增加表!AL42</f>
        <v>51725280.130000062</v>
      </c>
      <c r="AM17" s="26">
        <f>股权价值增加表!AM42</f>
        <v>22059673.450000003</v>
      </c>
      <c r="AN17" s="26">
        <f>股权价值增加表!AN42</f>
        <v>14891552.449999969</v>
      </c>
      <c r="AO17" s="26">
        <f>股权价值增加表!AO42</f>
        <v>-10541463.039999997</v>
      </c>
      <c r="AP17" s="26">
        <f>股权价值增加表!AP42</f>
        <v>27822630.969999958</v>
      </c>
      <c r="AQ17" s="26">
        <f>股权价值增加表!AQ42</f>
        <v>21369601.73000003</v>
      </c>
      <c r="AR17" s="26">
        <f>股权价值增加表!AR42</f>
        <v>19460545.589999992</v>
      </c>
      <c r="AS17" s="26">
        <f>股权价值增加表!AS42</f>
        <v>-11119615.110000001</v>
      </c>
      <c r="AT17" s="26">
        <f>股权价值增加表!AT42</f>
        <v>15582409.86999991</v>
      </c>
      <c r="AU17" s="26">
        <f>股权价值增加表!AU42</f>
        <v>3983726.7200000165</v>
      </c>
      <c r="AV17" s="26">
        <f>股权价值增加表!AV42</f>
        <v>-2604622.3499999847</v>
      </c>
      <c r="AW17" s="26">
        <f>股权价值增加表!AW42</f>
        <v>-16626319.519999985</v>
      </c>
      <c r="AX17" s="26">
        <f>股权价值增加表!AX42</f>
        <v>5785250.8200000264</v>
      </c>
      <c r="AY17" s="26">
        <f>股权价值增加表!AY42</f>
        <v>9737422.7700000182</v>
      </c>
      <c r="AZ17" s="26">
        <f>股权价值增加表!AZ42</f>
        <v>9554947.139999995</v>
      </c>
      <c r="BA17" s="26">
        <f>股权价值增加表!BA42</f>
        <v>-1319036.8599999994</v>
      </c>
      <c r="BB17" s="26">
        <f>股权价值增加表!BB42</f>
        <v>-20259446.779999997</v>
      </c>
      <c r="BC17" s="26">
        <f>股权价值增加表!BC42</f>
        <v>-9589210.4199999813</v>
      </c>
      <c r="BD17" s="26">
        <f>股权价值增加表!BD42</f>
        <v>-3785434.4600000056</v>
      </c>
      <c r="BE17" s="26">
        <f>股权价值增加表!BE42</f>
        <v>-987516.25000000186</v>
      </c>
      <c r="BF17" s="26">
        <f>股权价值增加表!BF42</f>
        <v>-24989391.479999945</v>
      </c>
      <c r="BG17" s="26">
        <f>股权价值增加表!BG42</f>
        <v>-13903622.110000014</v>
      </c>
      <c r="BH17" s="26">
        <f>股权价值增加表!BH42</f>
        <v>-8478634.8500000108</v>
      </c>
      <c r="BI17" s="26">
        <f>股权价值增加表!BI42</f>
        <v>-3071670.5799999954</v>
      </c>
      <c r="BJ17" s="26">
        <f>股权价值增加表!BJ42</f>
        <v>-61356183.549999997</v>
      </c>
      <c r="BK17" s="26">
        <f>股权价值增加表!BK42</f>
        <v>-46397481.089999981</v>
      </c>
      <c r="BL17" s="26">
        <f>股权价值增加表!BL42</f>
        <v>-26902956.199999996</v>
      </c>
      <c r="BM17" s="26">
        <f>股权价值增加表!BM42</f>
        <v>-10621473.689999988</v>
      </c>
      <c r="BN17" s="26">
        <f>股权价值增加表!BN42</f>
        <v>-93741333.079999998</v>
      </c>
      <c r="BO17" s="26">
        <f>股权价值增加表!BO42</f>
        <v>-39768103.490000032</v>
      </c>
      <c r="BP17" s="26">
        <f>股权价值增加表!BP42</f>
        <v>-17144766.240000017</v>
      </c>
      <c r="BQ17" s="26">
        <f>股权价值增加表!BQ42</f>
        <v>-3946337.5600000103</v>
      </c>
      <c r="BR17" s="26">
        <f>股权价值增加表!BR42</f>
        <v>-53697955.039999977</v>
      </c>
      <c r="BS17" s="26">
        <f>股权价值增加表!BS42</f>
        <v>-6120999.6400000378</v>
      </c>
      <c r="BT17" s="26">
        <f>股权价值增加表!BT42</f>
        <v>-6517472.4200000167</v>
      </c>
      <c r="BU17" s="26">
        <f>股权价值增加表!BU42</f>
        <v>-2697210.0799999982</v>
      </c>
      <c r="BV17" s="26">
        <f>股权价值增加表!BV42</f>
        <v>-4057711.5900000287</v>
      </c>
      <c r="BW17" s="26">
        <f>股权价值增加表!BW42</f>
        <v>3858623.8100000112</v>
      </c>
      <c r="BX17" s="26">
        <f>股权价值增加表!BX42</f>
        <v>-852367.97999996506</v>
      </c>
      <c r="BY17" s="26">
        <f>股权价值增加表!BY42</f>
        <v>4530111.600000022</v>
      </c>
      <c r="BZ17" s="26">
        <f>股权价值增加表!BZ42</f>
        <v>15406324.73999998</v>
      </c>
      <c r="CA17" s="26">
        <f>股权价值增加表!CA42</f>
        <v>8418803.8300000206</v>
      </c>
      <c r="CB17" s="26">
        <f>股权价值增加表!CB42</f>
        <v>14292319.440000074</v>
      </c>
      <c r="CC17" s="26">
        <f>股权价值增加表!CC42</f>
        <v>11019678.120000001</v>
      </c>
      <c r="CD17" s="26">
        <f>股权价值增加表!CD42</f>
        <v>20003253.529999949</v>
      </c>
      <c r="CE17" s="26">
        <f>股权价值增加表!CE42</f>
        <v>0</v>
      </c>
      <c r="CF17" s="26">
        <f>股权价值增加表!CF42</f>
        <v>0</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c r="A18" s="20" t="s">
        <v>500</v>
      </c>
      <c r="E18" s="28">
        <f>E14/E17</f>
        <v>2.0214922795186632</v>
      </c>
      <c r="F18" s="28">
        <f t="shared" ref="F18:BQ18" si="10">F14/F17</f>
        <v>1.7405026803866086</v>
      </c>
      <c r="G18" s="28">
        <f t="shared" si="10"/>
        <v>1.2289320269275115</v>
      </c>
      <c r="H18" s="28">
        <f t="shared" si="10"/>
        <v>1.7533834281360818</v>
      </c>
      <c r="I18" s="28">
        <f t="shared" si="10"/>
        <v>-1.6878232215752242</v>
      </c>
      <c r="J18" s="28">
        <f t="shared" si="10"/>
        <v>0.57335427673631389</v>
      </c>
      <c r="K18" s="28">
        <f t="shared" si="10"/>
        <v>-1.7644970589075044</v>
      </c>
      <c r="L18" s="28">
        <f t="shared" si="10"/>
        <v>-3.8016494812056605</v>
      </c>
      <c r="M18" s="28">
        <f t="shared" si="10"/>
        <v>-1.6970980070807513</v>
      </c>
      <c r="N18" s="28">
        <f t="shared" si="10"/>
        <v>-1.5545898360854022</v>
      </c>
      <c r="O18" s="28">
        <f t="shared" si="10"/>
        <v>-1.5327495157031574</v>
      </c>
      <c r="P18" s="28">
        <f t="shared" si="10"/>
        <v>-1.982801057273325</v>
      </c>
      <c r="Q18" s="28">
        <f t="shared" si="10"/>
        <v>-2.8021916834639149</v>
      </c>
      <c r="R18" s="28">
        <f t="shared" si="10"/>
        <v>-1.1631127037538465</v>
      </c>
      <c r="S18" s="28">
        <f t="shared" si="10"/>
        <v>-1.3154839046104825</v>
      </c>
      <c r="T18" s="28">
        <f t="shared" si="10"/>
        <v>-1.7630257679737704</v>
      </c>
      <c r="U18" s="28">
        <f t="shared" si="10"/>
        <v>19.391828232159266</v>
      </c>
      <c r="V18" s="28">
        <f t="shared" si="10"/>
        <v>0.33743170986508664</v>
      </c>
      <c r="W18" s="28">
        <f t="shared" si="10"/>
        <v>-0.19944793126541602</v>
      </c>
      <c r="X18" s="28">
        <f t="shared" si="10"/>
        <v>-0.69569700301701409</v>
      </c>
      <c r="Y18" s="28">
        <f t="shared" si="10"/>
        <v>1.8299464812141633</v>
      </c>
      <c r="Z18" s="28">
        <f t="shared" si="10"/>
        <v>2.5440082891428619</v>
      </c>
      <c r="AA18" s="28">
        <f t="shared" si="10"/>
        <v>1.1986530748875881</v>
      </c>
      <c r="AB18" s="28">
        <f t="shared" si="10"/>
        <v>-0.25927663965241382</v>
      </c>
      <c r="AC18" s="28">
        <f t="shared" si="10"/>
        <v>-4.3521135016000452</v>
      </c>
      <c r="AD18" s="28">
        <f t="shared" si="10"/>
        <v>4.3837042257997769</v>
      </c>
      <c r="AE18" s="28">
        <f t="shared" si="10"/>
        <v>2.5283944985634741</v>
      </c>
      <c r="AF18" s="28">
        <f t="shared" si="10"/>
        <v>1.3649812907067593</v>
      </c>
      <c r="AG18" s="28">
        <f t="shared" si="10"/>
        <v>-4.7745575739758159</v>
      </c>
      <c r="AH18" s="28">
        <f t="shared" si="10"/>
        <v>-24.260116802886618</v>
      </c>
      <c r="AI18" s="28">
        <f t="shared" si="10"/>
        <v>2.7127323123535403</v>
      </c>
      <c r="AJ18" s="28">
        <f t="shared" si="10"/>
        <v>19.207062658568756</v>
      </c>
      <c r="AK18" s="28">
        <f t="shared" si="10"/>
        <v>3.6141263454366506</v>
      </c>
      <c r="AL18" s="28">
        <f t="shared" si="10"/>
        <v>3.5125352659931504</v>
      </c>
      <c r="AM18" s="28">
        <f t="shared" si="10"/>
        <v>3.6917826161202756</v>
      </c>
      <c r="AN18" s="28">
        <f t="shared" si="10"/>
        <v>2.177177340566669</v>
      </c>
      <c r="AO18" s="28">
        <f t="shared" si="10"/>
        <v>-3.9136084264068156</v>
      </c>
      <c r="AP18" s="28">
        <f t="shared" si="10"/>
        <v>4.834666841717457</v>
      </c>
      <c r="AQ18" s="28">
        <f t="shared" si="10"/>
        <v>1.4775815730656556</v>
      </c>
      <c r="AR18" s="28">
        <f t="shared" si="10"/>
        <v>-0.30425135064263131</v>
      </c>
      <c r="AS18" s="28">
        <f t="shared" si="10"/>
        <v>-2.5979720866435634</v>
      </c>
      <c r="AT18" s="28">
        <f t="shared" si="10"/>
        <v>7.364940206132613</v>
      </c>
      <c r="AU18" s="28">
        <f t="shared" si="10"/>
        <v>18.012367404559239</v>
      </c>
      <c r="AV18" s="28">
        <f t="shared" si="10"/>
        <v>-12.510979969898589</v>
      </c>
      <c r="AW18" s="28">
        <f t="shared" si="10"/>
        <v>-3.607308164495088</v>
      </c>
      <c r="AX18" s="28">
        <f t="shared" si="10"/>
        <v>11.364032031717461</v>
      </c>
      <c r="AY18" s="28">
        <f t="shared" si="10"/>
        <v>2.779098178151707</v>
      </c>
      <c r="AZ18" s="28">
        <f t="shared" si="10"/>
        <v>1.7750537006110543</v>
      </c>
      <c r="BA18" s="28">
        <f t="shared" si="10"/>
        <v>-29.464505525645446</v>
      </c>
      <c r="BB18" s="28">
        <f t="shared" si="10"/>
        <v>-6.4607341745982279</v>
      </c>
      <c r="BC18" s="28">
        <f t="shared" si="10"/>
        <v>-5.0813850865523182</v>
      </c>
      <c r="BD18" s="28">
        <f t="shared" si="10"/>
        <v>-1.317057849682066</v>
      </c>
      <c r="BE18" s="28">
        <f t="shared" si="10"/>
        <v>-59.596072621589656</v>
      </c>
      <c r="BF18" s="28">
        <f t="shared" si="10"/>
        <v>-3.9568673962764387</v>
      </c>
      <c r="BG18" s="28">
        <f t="shared" si="10"/>
        <v>-4.3528973285652635</v>
      </c>
      <c r="BH18" s="28">
        <f t="shared" si="10"/>
        <v>-4.6985819881133279</v>
      </c>
      <c r="BI18" s="28">
        <f t="shared" si="10"/>
        <v>-11.98315942134656</v>
      </c>
      <c r="BJ18" s="28">
        <f t="shared" si="10"/>
        <v>-1.1651873995999218</v>
      </c>
      <c r="BK18" s="28">
        <f t="shared" si="10"/>
        <v>-0.79853512560588913</v>
      </c>
      <c r="BL18" s="28">
        <f t="shared" si="10"/>
        <v>-0.71016694403271585</v>
      </c>
      <c r="BM18" s="28">
        <f t="shared" si="10"/>
        <v>-3.575199094618295</v>
      </c>
      <c r="BN18" s="28">
        <f t="shared" si="10"/>
        <v>-0.26812306027854499</v>
      </c>
      <c r="BO18" s="28">
        <f t="shared" si="10"/>
        <v>-0.46627480625679657</v>
      </c>
      <c r="BP18" s="28">
        <f t="shared" si="10"/>
        <v>0.21875033917056175</v>
      </c>
      <c r="BQ18" s="28">
        <f t="shared" si="10"/>
        <v>-3.3681088320280352</v>
      </c>
      <c r="BR18" s="28">
        <f t="shared" ref="BR18:CK18" si="11">BR14/BR17</f>
        <v>-1.2382242186033168</v>
      </c>
      <c r="BS18" s="28">
        <f t="shared" si="11"/>
        <v>-2.5369270859816457</v>
      </c>
      <c r="BT18" s="28">
        <f t="shared" si="11"/>
        <v>-6.9886781569226626</v>
      </c>
      <c r="BU18" s="28">
        <f t="shared" si="11"/>
        <v>-25.689215850772751</v>
      </c>
      <c r="BV18" s="28">
        <f t="shared" si="11"/>
        <v>-8.9071115672860692</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t="e">
        <f t="shared" si="11"/>
        <v>#DIV/0!</v>
      </c>
      <c r="CF18" s="28" t="e">
        <f t="shared" si="11"/>
        <v>#DIV/0!</v>
      </c>
      <c r="CG18" s="28">
        <f t="shared" si="11"/>
        <v>0</v>
      </c>
      <c r="CH18" s="28">
        <f t="shared" si="11"/>
        <v>0</v>
      </c>
      <c r="CI18" s="28">
        <f t="shared" si="11"/>
        <v>0</v>
      </c>
      <c r="CJ18" s="28">
        <f t="shared" si="11"/>
        <v>0</v>
      </c>
      <c r="CK18" s="28" t="e">
        <f t="shared" si="11"/>
        <v>#DIV/0!</v>
      </c>
    </row>
    <row r="19" spans="1:90" s="26" customFormat="1">
      <c r="A19" s="17" t="s">
        <v>501</v>
      </c>
      <c r="E19" s="26">
        <f>现金流量表!E48</f>
        <v>0</v>
      </c>
      <c r="F19" s="26">
        <f>现金流量表!F48</f>
        <v>752451.15</v>
      </c>
      <c r="G19" s="26">
        <f>现金流量表!G48</f>
        <v>0</v>
      </c>
      <c r="H19" s="26">
        <f>现金流量表!H48</f>
        <v>9790</v>
      </c>
      <c r="I19" s="26">
        <f>现金流量表!I48</f>
        <v>0</v>
      </c>
      <c r="J19" s="26">
        <f>现金流量表!J48</f>
        <v>1790832.56</v>
      </c>
      <c r="K19" s="26">
        <f>现金流量表!K48</f>
        <v>0</v>
      </c>
      <c r="L19" s="26">
        <f>现金流量表!L48</f>
        <v>236073.48</v>
      </c>
      <c r="M19" s="26">
        <f>现金流量表!M48</f>
        <v>0</v>
      </c>
      <c r="N19" s="26">
        <f>现金流量表!N48</f>
        <v>1653478.01</v>
      </c>
      <c r="O19" s="26">
        <f>现金流量表!O48</f>
        <v>0</v>
      </c>
      <c r="P19" s="26">
        <f>现金流量表!P48</f>
        <v>0</v>
      </c>
      <c r="Q19" s="26">
        <f>现金流量表!Q48</f>
        <v>0</v>
      </c>
      <c r="R19" s="26">
        <f>现金流量表!R48</f>
        <v>790872.63</v>
      </c>
      <c r="S19" s="26">
        <f>现金流量表!S48</f>
        <v>0</v>
      </c>
      <c r="T19" s="26">
        <f>现金流量表!T48</f>
        <v>0</v>
      </c>
      <c r="U19" s="26">
        <f>现金流量表!U48</f>
        <v>0</v>
      </c>
      <c r="V19" s="26">
        <f>现金流量表!V48</f>
        <v>-1832.17</v>
      </c>
      <c r="W19" s="26">
        <f>现金流量表!W48</f>
        <v>0</v>
      </c>
      <c r="X19" s="26">
        <f>现金流量表!X48</f>
        <v>0</v>
      </c>
      <c r="Y19" s="26">
        <f>现金流量表!Y48</f>
        <v>0</v>
      </c>
      <c r="Z19" s="26">
        <f>现金流量表!Z48</f>
        <v>5940057.7800000003</v>
      </c>
      <c r="AA19" s="26">
        <f>现金流量表!AA48</f>
        <v>0</v>
      </c>
      <c r="AB19" s="26">
        <f>现金流量表!AB48</f>
        <v>0</v>
      </c>
      <c r="AC19" s="26">
        <f>现金流量表!AC48</f>
        <v>121169.97</v>
      </c>
      <c r="AD19" s="26">
        <f>现金流量表!AD48</f>
        <v>482450.6</v>
      </c>
      <c r="AE19" s="26">
        <f>现金流量表!AE48</f>
        <v>0</v>
      </c>
      <c r="AF19" s="26">
        <f>现金流量表!AF48</f>
        <v>0</v>
      </c>
      <c r="AG19" s="26">
        <f>现金流量表!AG48</f>
        <v>0</v>
      </c>
      <c r="AH19" s="26">
        <f>现金流量表!AH48</f>
        <v>193452.97</v>
      </c>
      <c r="AI19" s="26">
        <f>现金流量表!AI48</f>
        <v>0</v>
      </c>
      <c r="AJ19" s="26">
        <f>现金流量表!AJ48</f>
        <v>0</v>
      </c>
      <c r="AK19" s="26">
        <f>现金流量表!AK48</f>
        <v>0</v>
      </c>
      <c r="AL19" s="26">
        <f>现金流量表!AL48</f>
        <v>199262.07999999999</v>
      </c>
      <c r="AM19" s="26">
        <f>现金流量表!AM48</f>
        <v>0</v>
      </c>
      <c r="AN19" s="26">
        <f>现金流量表!AN48</f>
        <v>0</v>
      </c>
      <c r="AO19" s="26">
        <f>现金流量表!AO48</f>
        <v>0</v>
      </c>
      <c r="AP19" s="26">
        <f>现金流量表!AP48</f>
        <v>461945.9</v>
      </c>
      <c r="AQ19" s="26">
        <f>现金流量表!AQ48</f>
        <v>0</v>
      </c>
      <c r="AR19" s="26">
        <f>现金流量表!AR48</f>
        <v>0</v>
      </c>
      <c r="AS19" s="26">
        <f>现金流量表!AS48</f>
        <v>0</v>
      </c>
      <c r="AT19" s="26">
        <f>现金流量表!AT48</f>
        <v>79777.259999999995</v>
      </c>
      <c r="AU19" s="26">
        <f>现金流量表!AU48</f>
        <v>0</v>
      </c>
      <c r="AV19" s="26">
        <f>现金流量表!AV48</f>
        <v>-258961.26</v>
      </c>
      <c r="AW19" s="26">
        <f>现金流量表!AW48</f>
        <v>0</v>
      </c>
      <c r="AX19" s="26">
        <f>现金流量表!AX48</f>
        <v>111980.15</v>
      </c>
      <c r="AY19" s="26">
        <f>现金流量表!AY48</f>
        <v>0</v>
      </c>
      <c r="AZ19" s="26">
        <f>现金流量表!AZ48</f>
        <v>0</v>
      </c>
      <c r="BA19" s="26">
        <f>现金流量表!BA48</f>
        <v>0</v>
      </c>
      <c r="BB19" s="26">
        <f>现金流量表!BB48</f>
        <v>22367501.010000002</v>
      </c>
      <c r="BC19" s="26">
        <f>现金流量表!BC48</f>
        <v>5456191.2599999998</v>
      </c>
      <c r="BD19" s="26">
        <f>现金流量表!BD48</f>
        <v>3016249.86</v>
      </c>
      <c r="BE19" s="26">
        <f>现金流量表!BE48</f>
        <v>1532938.13</v>
      </c>
      <c r="BF19" s="26">
        <f>现金流量表!BF48</f>
        <v>6706162.4100000001</v>
      </c>
      <c r="BG19" s="26">
        <f>现金流量表!BG48</f>
        <v>541364.76</v>
      </c>
      <c r="BH19" s="26">
        <f>现金流量表!BH48</f>
        <v>541364.76</v>
      </c>
      <c r="BI19" s="26">
        <f>现金流量表!BI48</f>
        <v>0</v>
      </c>
      <c r="BJ19" s="26">
        <f>现金流量表!BJ48</f>
        <v>3310443.59</v>
      </c>
      <c r="BK19" s="26">
        <f>现金流量表!BK48</f>
        <v>3226291.65</v>
      </c>
      <c r="BL19" s="26">
        <f>现金流量表!BL48</f>
        <v>121522.2</v>
      </c>
      <c r="BM19" s="26">
        <f>现金流量表!BM48</f>
        <v>-480206.12</v>
      </c>
      <c r="BN19" s="26">
        <f>现金流量表!BN48</f>
        <v>11393238.960000001</v>
      </c>
      <c r="BO19" s="26">
        <f>现金流量表!BO48</f>
        <v>108322.34</v>
      </c>
      <c r="BP19" s="26">
        <f>现金流量表!BP48</f>
        <v>6398135.7199999997</v>
      </c>
      <c r="BQ19" s="26">
        <f>现金流量表!BQ48</f>
        <v>-1007399.91</v>
      </c>
      <c r="BR19" s="26">
        <f>现金流量表!BR48</f>
        <v>643201.4</v>
      </c>
      <c r="BS19" s="26">
        <f>现金流量表!BS48</f>
        <v>1316332.67</v>
      </c>
      <c r="BT19" s="26">
        <f>现金流量表!BT48</f>
        <v>121504.94</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502</v>
      </c>
      <c r="E20" s="26">
        <f>现金流量表!E49</f>
        <v>0</v>
      </c>
      <c r="F20" s="26">
        <f>现金流量表!F49</f>
        <v>149878144.34999999</v>
      </c>
      <c r="G20" s="26">
        <f>现金流量表!G49</f>
        <v>0</v>
      </c>
      <c r="H20" s="26">
        <f>现金流量表!H49</f>
        <v>68794281.900000006</v>
      </c>
      <c r="I20" s="26">
        <f>现金流量表!I49</f>
        <v>0</v>
      </c>
      <c r="J20" s="26">
        <f>现金流量表!J49</f>
        <v>57457244.640000001</v>
      </c>
      <c r="K20" s="26">
        <f>现金流量表!K49</f>
        <v>0</v>
      </c>
      <c r="L20" s="26">
        <f>现金流量表!L49</f>
        <v>27283553.989999998</v>
      </c>
      <c r="M20" s="26">
        <f>现金流量表!M49</f>
        <v>0</v>
      </c>
      <c r="N20" s="26">
        <f>现金流量表!N49</f>
        <v>53101067.539999999</v>
      </c>
      <c r="O20" s="26">
        <f>现金流量表!O49</f>
        <v>0</v>
      </c>
      <c r="P20" s="26">
        <f>现金流量表!P49</f>
        <v>22825754.440000001</v>
      </c>
      <c r="Q20" s="26">
        <f>现金流量表!Q49</f>
        <v>0</v>
      </c>
      <c r="R20" s="26">
        <f>现金流量表!R49</f>
        <v>55297361.380000003</v>
      </c>
      <c r="S20" s="26">
        <f>现金流量表!S49</f>
        <v>0</v>
      </c>
      <c r="T20" s="26">
        <f>现金流量表!T49</f>
        <v>24254023.399999999</v>
      </c>
      <c r="U20" s="26">
        <f>现金流量表!U49</f>
        <v>0</v>
      </c>
      <c r="V20" s="26">
        <f>现金流量表!V49</f>
        <v>66355050.140000001</v>
      </c>
      <c r="W20" s="26">
        <f>现金流量表!W49</f>
        <v>0</v>
      </c>
      <c r="X20" s="26">
        <f>现金流量表!X49</f>
        <v>31132334.199999999</v>
      </c>
      <c r="Y20" s="26">
        <f>现金流量表!Y49</f>
        <v>0</v>
      </c>
      <c r="Z20" s="26">
        <f>现金流量表!Z49</f>
        <v>51643410.969999999</v>
      </c>
      <c r="AA20" s="26">
        <f>现金流量表!AA49</f>
        <v>0</v>
      </c>
      <c r="AB20" s="26">
        <f>现金流量表!AB49</f>
        <v>22618096.609999999</v>
      </c>
      <c r="AC20" s="26">
        <f>现金流量表!AC49</f>
        <v>12204814.43</v>
      </c>
      <c r="AD20" s="26">
        <f>现金流量表!AD49</f>
        <v>49797719.109999999</v>
      </c>
      <c r="AE20" s="26">
        <f>现金流量表!AE49</f>
        <v>0</v>
      </c>
      <c r="AF20" s="26">
        <f>现金流量表!AF49</f>
        <v>25191259.649999999</v>
      </c>
      <c r="AG20" s="26">
        <f>现金流量表!AG49</f>
        <v>0</v>
      </c>
      <c r="AH20" s="26">
        <f>现金流量表!AH49</f>
        <v>49579368.700000003</v>
      </c>
      <c r="AI20" s="26">
        <f>现金流量表!AI49</f>
        <v>0</v>
      </c>
      <c r="AJ20" s="26">
        <f>现金流量表!AJ49</f>
        <v>23952504.829999998</v>
      </c>
      <c r="AK20" s="26">
        <f>现金流量表!AK49</f>
        <v>0</v>
      </c>
      <c r="AL20" s="26">
        <f>现金流量表!AL49</f>
        <v>47455643.140000001</v>
      </c>
      <c r="AM20" s="26">
        <f>现金流量表!AM49</f>
        <v>0</v>
      </c>
      <c r="AN20" s="26">
        <f>现金流量表!AN49</f>
        <v>24285461.27</v>
      </c>
      <c r="AO20" s="26">
        <f>现金流量表!AO49</f>
        <v>0</v>
      </c>
      <c r="AP20" s="26">
        <f>现金流量表!AP49</f>
        <v>38344084.259999998</v>
      </c>
      <c r="AQ20" s="26">
        <f>现金流量表!AQ49</f>
        <v>0</v>
      </c>
      <c r="AR20" s="26">
        <f>现金流量表!AR49</f>
        <v>18497768.309999999</v>
      </c>
      <c r="AS20" s="26">
        <f>现金流量表!AS49</f>
        <v>0</v>
      </c>
      <c r="AT20" s="26">
        <f>现金流量表!AT49</f>
        <v>34777814.439999998</v>
      </c>
      <c r="AU20" s="26">
        <f>现金流量表!AU49</f>
        <v>0</v>
      </c>
      <c r="AV20" s="26">
        <f>现金流量表!AV49</f>
        <v>17857138.260000002</v>
      </c>
      <c r="AW20" s="26">
        <f>现金流量表!AW49</f>
        <v>0</v>
      </c>
      <c r="AX20" s="26">
        <f>现金流量表!AX49</f>
        <v>32367521.059999999</v>
      </c>
      <c r="AY20" s="26">
        <f>现金流量表!AY49</f>
        <v>22430765.899999999</v>
      </c>
      <c r="AZ20" s="26">
        <f>现金流量表!AZ49</f>
        <v>15174736.289999999</v>
      </c>
      <c r="BA20" s="26">
        <f>现金流量表!BA49</f>
        <v>7633124.8099999996</v>
      </c>
      <c r="BB20" s="26">
        <f>现金流量表!BB49</f>
        <v>33216198.539999999</v>
      </c>
      <c r="BC20" s="26">
        <f>现金流量表!BC49</f>
        <v>24921024.739999998</v>
      </c>
      <c r="BD20" s="26">
        <f>现金流量表!BD49</f>
        <v>15733045.529999999</v>
      </c>
      <c r="BE20" s="26">
        <f>现金流量表!BE49</f>
        <v>7903984.1200000001</v>
      </c>
      <c r="BF20" s="26">
        <f>现金流量表!BF49</f>
        <v>36395589.350000001</v>
      </c>
      <c r="BG20" s="26">
        <f>现金流量表!BG49</f>
        <v>26722746.91</v>
      </c>
      <c r="BH20" s="26">
        <f>现金流量表!BH49</f>
        <v>18027092.969999999</v>
      </c>
      <c r="BI20" s="26">
        <f>现金流量表!BI49</f>
        <v>9236470.2599999998</v>
      </c>
      <c r="BJ20" s="26">
        <f>现金流量表!BJ49</f>
        <v>38140267.93</v>
      </c>
      <c r="BK20" s="26">
        <f>现金流量表!BK49</f>
        <v>26958750.460000001</v>
      </c>
      <c r="BL20" s="26">
        <f>现金流量表!BL49</f>
        <v>17604928.329999998</v>
      </c>
      <c r="BM20" s="26">
        <f>现金流量表!BM49</f>
        <v>8953115.8599999994</v>
      </c>
      <c r="BN20" s="26">
        <f>现金流量表!BN49</f>
        <v>35626999.619999997</v>
      </c>
      <c r="BO20" s="26">
        <f>现金流量表!BO49</f>
        <v>15435840.18</v>
      </c>
      <c r="BP20" s="26">
        <f>现金流量表!BP49</f>
        <v>25422247.460000001</v>
      </c>
      <c r="BQ20" s="26">
        <f>现金流量表!BQ49</f>
        <v>12802984.52</v>
      </c>
      <c r="BR20" s="26">
        <f>现金流量表!BR49</f>
        <v>25149796.989999998</v>
      </c>
      <c r="BS20" s="26">
        <f>现金流量表!BS49</f>
        <v>11727018.91</v>
      </c>
      <c r="BT20" s="26">
        <f>现金流量表!BT49</f>
        <v>29788723.109999999</v>
      </c>
      <c r="BU20" s="26">
        <f>现金流量表!BU49</f>
        <v>14051786.890000001</v>
      </c>
      <c r="BV20" s="26">
        <f>现金流量表!BV49</f>
        <v>7330236.6399999997</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503</v>
      </c>
      <c r="E21" s="26">
        <f>现金流量表!E50</f>
        <v>0</v>
      </c>
      <c r="F21" s="26">
        <f>现金流量表!F50</f>
        <v>136621.07999999999</v>
      </c>
      <c r="G21" s="26">
        <f>现金流量表!G50</f>
        <v>0</v>
      </c>
      <c r="H21" s="26">
        <f>现金流量表!H50</f>
        <v>1070459.6499999999</v>
      </c>
      <c r="I21" s="26">
        <f>现金流量表!I50</f>
        <v>0</v>
      </c>
      <c r="J21" s="26">
        <f>现金流量表!J50</f>
        <v>116659.25</v>
      </c>
      <c r="K21" s="26">
        <f>现金流量表!K50</f>
        <v>0</v>
      </c>
      <c r="L21" s="26">
        <f>现金流量表!L50</f>
        <v>51200.4</v>
      </c>
      <c r="M21" s="26">
        <f>现金流量表!M50</f>
        <v>0</v>
      </c>
      <c r="N21" s="26">
        <f>现金流量表!N50</f>
        <v>107956.32</v>
      </c>
      <c r="O21" s="26">
        <f>现金流量表!O50</f>
        <v>0</v>
      </c>
      <c r="P21" s="26">
        <f>现金流量表!P50</f>
        <v>54533.72</v>
      </c>
      <c r="Q21" s="26">
        <f>现金流量表!Q50</f>
        <v>0</v>
      </c>
      <c r="R21" s="26">
        <f>现金流量表!R50</f>
        <v>82822.38</v>
      </c>
      <c r="S21" s="26">
        <f>现金流量表!S50</f>
        <v>0</v>
      </c>
      <c r="T21" s="26">
        <f>现金流量表!T50</f>
        <v>41320.019999999997</v>
      </c>
      <c r="U21" s="26">
        <f>现金流量表!U50</f>
        <v>0</v>
      </c>
      <c r="V21" s="26">
        <f>现金流量表!V50</f>
        <v>82880.210000000006</v>
      </c>
      <c r="W21" s="26">
        <f>现金流量表!W50</f>
        <v>0</v>
      </c>
      <c r="X21" s="26">
        <f>现金流量表!X50</f>
        <v>61920</v>
      </c>
      <c r="Y21" s="26">
        <f>现金流量表!Y50</f>
        <v>0</v>
      </c>
      <c r="Z21" s="26">
        <f>现金流量表!Z50</f>
        <v>152720.04</v>
      </c>
      <c r="AA21" s="26">
        <f>现金流量表!AA50</f>
        <v>0</v>
      </c>
      <c r="AB21" s="26">
        <f>现金流量表!AB50</f>
        <v>76360.02</v>
      </c>
      <c r="AC21" s="26">
        <f>现金流量表!AC50</f>
        <v>38180.01</v>
      </c>
      <c r="AD21" s="26">
        <f>现金流量表!AD50</f>
        <v>152720.03</v>
      </c>
      <c r="AE21" s="26">
        <f>现金流量表!AE50</f>
        <v>0</v>
      </c>
      <c r="AF21" s="26">
        <f>现金流量表!AF50</f>
        <v>76360.009999999995</v>
      </c>
      <c r="AG21" s="26">
        <f>现金流量表!AG50</f>
        <v>0</v>
      </c>
      <c r="AH21" s="26">
        <f>现金流量表!AH50</f>
        <v>137720</v>
      </c>
      <c r="AI21" s="26">
        <f>现金流量表!AI50</f>
        <v>0</v>
      </c>
      <c r="AJ21" s="26">
        <f>现金流量表!AJ50</f>
        <v>66360</v>
      </c>
      <c r="AK21" s="26">
        <f>现金流量表!AK50</f>
        <v>0</v>
      </c>
      <c r="AL21" s="26">
        <f>现金流量表!AL50</f>
        <v>136305.35999999999</v>
      </c>
      <c r="AM21" s="26">
        <f>现金流量表!AM50</f>
        <v>0</v>
      </c>
      <c r="AN21" s="26">
        <f>现金流量表!AN50</f>
        <v>69945.36</v>
      </c>
      <c r="AO21" s="26">
        <f>现金流量表!AO50</f>
        <v>0</v>
      </c>
      <c r="AP21" s="26">
        <f>现金流量表!AP50</f>
        <v>67094.64</v>
      </c>
      <c r="AQ21" s="26">
        <f>现金流量表!AQ50</f>
        <v>0</v>
      </c>
      <c r="AR21" s="26">
        <f>现金流量表!AR50</f>
        <v>93621.24</v>
      </c>
      <c r="AS21" s="26">
        <f>现金流量表!AS50</f>
        <v>0</v>
      </c>
      <c r="AT21" s="26">
        <f>现金流量表!AT50</f>
        <v>0</v>
      </c>
      <c r="AU21" s="26">
        <f>现金流量表!AU50</f>
        <v>0</v>
      </c>
      <c r="AV21" s="26">
        <f>现金流量表!AV50</f>
        <v>93621.24</v>
      </c>
      <c r="AW21" s="26">
        <f>现金流量表!AW50</f>
        <v>0</v>
      </c>
      <c r="AX21" s="26">
        <f>现金流量表!AX50</f>
        <v>660165</v>
      </c>
      <c r="AY21" s="26">
        <f>现金流量表!AY50</f>
        <v>495123.75</v>
      </c>
      <c r="AZ21" s="26">
        <f>现金流量表!AZ50</f>
        <v>330082.5</v>
      </c>
      <c r="BA21" s="26">
        <f>现金流量表!BA50</f>
        <v>330877.65000000002</v>
      </c>
      <c r="BB21" s="26">
        <f>现金流量表!BB50</f>
        <v>1323510.6000000001</v>
      </c>
      <c r="BC21" s="26">
        <f>现金流量表!BC50</f>
        <v>992632.95</v>
      </c>
      <c r="BD21" s="26">
        <f>现金流量表!BD50</f>
        <v>661755.30000000005</v>
      </c>
      <c r="BE21" s="26">
        <f>现金流量表!BE50</f>
        <v>330877.65000000002</v>
      </c>
      <c r="BF21" s="26">
        <f>现金流量表!BF50</f>
        <v>1761066.58</v>
      </c>
      <c r="BG21" s="26">
        <f>现金流量表!BG50</f>
        <v>1496494.31</v>
      </c>
      <c r="BH21" s="26">
        <f>现金流量表!BH50</f>
        <v>1090616.6599999999</v>
      </c>
      <c r="BI21" s="26">
        <f>现金流量表!BI50</f>
        <v>603495.15</v>
      </c>
      <c r="BJ21" s="26">
        <f>现金流量表!BJ50</f>
        <v>2413980.6</v>
      </c>
      <c r="BK21" s="26">
        <f>现金流量表!BK50</f>
        <v>1812285.45</v>
      </c>
      <c r="BL21" s="26">
        <f>现金流量表!BL50</f>
        <v>1208790.3</v>
      </c>
      <c r="BM21" s="26">
        <f>现金流量表!BM50</f>
        <v>605295.15</v>
      </c>
      <c r="BN21" s="26">
        <f>现金流量表!BN50</f>
        <v>2556892.56</v>
      </c>
      <c r="BO21" s="26">
        <f>现金流量表!BO50</f>
        <v>1206990.3</v>
      </c>
      <c r="BP21" s="26">
        <f>现金流量表!BP50</f>
        <v>2117262.9300000002</v>
      </c>
      <c r="BQ21" s="26">
        <f>现金流量表!BQ50</f>
        <v>1056990.3</v>
      </c>
      <c r="BR21" s="26">
        <f>现金流量表!BR50</f>
        <v>1640332.86</v>
      </c>
      <c r="BS21" s="26">
        <f>现金流量表!BS50</f>
        <v>373850.19</v>
      </c>
      <c r="BT21" s="26">
        <f>现金流量表!BT50</f>
        <v>583242.48</v>
      </c>
      <c r="BU21" s="26">
        <f>现金流量表!BU50</f>
        <v>187242.48</v>
      </c>
      <c r="BV21" s="26">
        <f>现金流量表!BV50</f>
        <v>93621.24</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504</v>
      </c>
      <c r="E22" s="26">
        <f>现金流量表!E51</f>
        <v>0</v>
      </c>
      <c r="F22" s="26">
        <f>现金流量表!F51</f>
        <v>6717658.5099999998</v>
      </c>
      <c r="G22" s="26">
        <f>现金流量表!G51</f>
        <v>0</v>
      </c>
      <c r="H22" s="26">
        <f>现金流量表!H51</f>
        <v>3397917.62</v>
      </c>
      <c r="I22" s="26">
        <f>现金流量表!I51</f>
        <v>0</v>
      </c>
      <c r="J22" s="26">
        <f>现金流量表!J51</f>
        <v>2039942.56</v>
      </c>
      <c r="K22" s="26">
        <f>现金流量表!K51</f>
        <v>0</v>
      </c>
      <c r="L22" s="26">
        <f>现金流量表!L51</f>
        <v>1002112.2</v>
      </c>
      <c r="M22" s="26">
        <f>现金流量表!M51</f>
        <v>0</v>
      </c>
      <c r="N22" s="26">
        <f>现金流量表!N51</f>
        <v>14427440.73</v>
      </c>
      <c r="O22" s="26">
        <f>现金流量表!O51</f>
        <v>0</v>
      </c>
      <c r="P22" s="26">
        <f>现金流量表!P51</f>
        <v>4816989.12</v>
      </c>
      <c r="Q22" s="26">
        <f>现金流量表!Q51</f>
        <v>0</v>
      </c>
      <c r="R22" s="26">
        <f>现金流量表!R51</f>
        <v>4951116.55</v>
      </c>
      <c r="S22" s="26">
        <f>现金流量表!S51</f>
        <v>0</v>
      </c>
      <c r="T22" s="26">
        <f>现金流量表!T51</f>
        <v>3278199.8</v>
      </c>
      <c r="U22" s="26">
        <f>现金流量表!U51</f>
        <v>0</v>
      </c>
      <c r="V22" s="26">
        <f>现金流量表!V51</f>
        <v>4058363.73</v>
      </c>
      <c r="W22" s="26">
        <f>现金流量表!W51</f>
        <v>0</v>
      </c>
      <c r="X22" s="26">
        <f>现金流量表!X51</f>
        <v>3872560.31</v>
      </c>
      <c r="Y22" s="26">
        <f>现金流量表!Y51</f>
        <v>0</v>
      </c>
      <c r="Z22" s="26">
        <f>现金流量表!Z51</f>
        <v>5173032.97</v>
      </c>
      <c r="AA22" s="26">
        <f>现金流量表!AA51</f>
        <v>0</v>
      </c>
      <c r="AB22" s="26">
        <f>现金流量表!AB51</f>
        <v>2715104.55</v>
      </c>
      <c r="AC22" s="26">
        <f>现金流量表!AC51</f>
        <v>1381643.32</v>
      </c>
      <c r="AD22" s="26">
        <f>现金流量表!AD51</f>
        <v>4541559.22</v>
      </c>
      <c r="AE22" s="26">
        <f>现金流量表!AE51</f>
        <v>0</v>
      </c>
      <c r="AF22" s="26">
        <f>现金流量表!AF51</f>
        <v>1683169.28</v>
      </c>
      <c r="AG22" s="26">
        <f>现金流量表!AG51</f>
        <v>0</v>
      </c>
      <c r="AH22" s="26">
        <f>现金流量表!AH51</f>
        <v>4143119.96</v>
      </c>
      <c r="AI22" s="26">
        <f>现金流量表!AI51</f>
        <v>0</v>
      </c>
      <c r="AJ22" s="26">
        <f>现金流量表!AJ51</f>
        <v>1805139.5</v>
      </c>
      <c r="AK22" s="26">
        <f>现金流量表!AK51</f>
        <v>0</v>
      </c>
      <c r="AL22" s="26">
        <f>现金流量表!AL51</f>
        <v>2477931.83</v>
      </c>
      <c r="AM22" s="26">
        <f>现金流量表!AM51</f>
        <v>0</v>
      </c>
      <c r="AN22" s="26">
        <f>现金流量表!AN51</f>
        <v>1127957.24</v>
      </c>
      <c r="AO22" s="26">
        <f>现金流量表!AO51</f>
        <v>0</v>
      </c>
      <c r="AP22" s="26">
        <f>现金流量表!AP51</f>
        <v>1561081.93</v>
      </c>
      <c r="AQ22" s="26">
        <f>现金流量表!AQ51</f>
        <v>0</v>
      </c>
      <c r="AR22" s="26">
        <f>现金流量表!AR51</f>
        <v>554313.68999999994</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38171.58</v>
      </c>
      <c r="BK22" s="26">
        <f>现金流量表!BK51</f>
        <v>0</v>
      </c>
      <c r="BL22" s="26">
        <f>现金流量表!BL51</f>
        <v>0</v>
      </c>
      <c r="BM22" s="26">
        <f>现金流量表!BM51</f>
        <v>-10191.75</v>
      </c>
      <c r="BN22" s="26">
        <f>现金流量表!BN51</f>
        <v>43049.8</v>
      </c>
      <c r="BO22" s="26">
        <f>现金流量表!BO51</f>
        <v>219833.3</v>
      </c>
      <c r="BP22" s="26">
        <f>现金流量表!BP51</f>
        <v>252326.05</v>
      </c>
      <c r="BQ22" s="26">
        <f>现金流量表!BQ51</f>
        <v>16270.62</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505</v>
      </c>
      <c r="E23" s="26">
        <f>现金流量表!E54</f>
        <v>0</v>
      </c>
      <c r="F23" s="26">
        <f>现金流量表!F54</f>
        <v>51849.42</v>
      </c>
      <c r="G23" s="26">
        <f>现金流量表!G54</f>
        <v>0</v>
      </c>
      <c r="H23" s="26">
        <f>现金流量表!H54</f>
        <v>0</v>
      </c>
      <c r="I23" s="26">
        <f>现金流量表!I54</f>
        <v>0</v>
      </c>
      <c r="J23" s="26">
        <f>现金流量表!J54</f>
        <v>2957213.62</v>
      </c>
      <c r="K23" s="26">
        <f>现金流量表!K54</f>
        <v>0</v>
      </c>
      <c r="L23" s="26">
        <f>现金流量表!L54</f>
        <v>-5974.32</v>
      </c>
      <c r="M23" s="26">
        <f>现金流量表!M54</f>
        <v>0</v>
      </c>
      <c r="N23" s="26">
        <f>现金流量表!N54</f>
        <v>1591027.39</v>
      </c>
      <c r="O23" s="26">
        <f>现金流量表!O54</f>
        <v>0</v>
      </c>
      <c r="P23" s="26">
        <f>现金流量表!P54</f>
        <v>0</v>
      </c>
      <c r="Q23" s="26">
        <f>现金流量表!Q54</f>
        <v>0</v>
      </c>
      <c r="R23" s="26">
        <f>现金流量表!R54</f>
        <v>2966273.15</v>
      </c>
      <c r="S23" s="26">
        <f>现金流量表!S54</f>
        <v>0</v>
      </c>
      <c r="T23" s="26">
        <f>现金流量表!T54</f>
        <v>16624.330000000002</v>
      </c>
      <c r="U23" s="26">
        <f>现金流量表!U54</f>
        <v>0</v>
      </c>
      <c r="V23" s="26">
        <f>现金流量表!V54</f>
        <v>1625753.52</v>
      </c>
      <c r="W23" s="26">
        <f>现金流量表!W54</f>
        <v>0</v>
      </c>
      <c r="X23" s="26">
        <f>现金流量表!X54</f>
        <v>140135.21</v>
      </c>
      <c r="Y23" s="26">
        <f>现金流量表!Y54</f>
        <v>0</v>
      </c>
      <c r="Z23" s="26">
        <f>现金流量表!Z54</f>
        <v>1233195.18</v>
      </c>
      <c r="AA23" s="26">
        <f>现金流量表!AA54</f>
        <v>0</v>
      </c>
      <c r="AB23" s="26">
        <f>现金流量表!AB54</f>
        <v>2043360.17</v>
      </c>
      <c r="AC23" s="26">
        <f>现金流量表!AC54</f>
        <v>114740.7</v>
      </c>
      <c r="AD23" s="26">
        <f>现金流量表!AD54</f>
        <v>4920158.99</v>
      </c>
      <c r="AE23" s="26">
        <f>现金流量表!AE54</f>
        <v>0</v>
      </c>
      <c r="AF23" s="26">
        <f>现金流量表!AF54</f>
        <v>3456679.18</v>
      </c>
      <c r="AG23" s="26">
        <f>现金流量表!AG54</f>
        <v>0</v>
      </c>
      <c r="AH23" s="26">
        <f>现金流量表!AH54</f>
        <v>10897436.99</v>
      </c>
      <c r="AI23" s="26">
        <f>现金流量表!AI54</f>
        <v>0</v>
      </c>
      <c r="AJ23" s="26">
        <f>现金流量表!AJ54</f>
        <v>11289272.609999999</v>
      </c>
      <c r="AK23" s="26">
        <f>现金流量表!AK54</f>
        <v>0</v>
      </c>
      <c r="AL23" s="26">
        <f>现金流量表!AL54</f>
        <v>700307.36</v>
      </c>
      <c r="AM23" s="26">
        <f>现金流量表!AM54</f>
        <v>0</v>
      </c>
      <c r="AN23" s="26">
        <f>现金流量表!AN54</f>
        <v>1489.14</v>
      </c>
      <c r="AO23" s="26">
        <f>现金流量表!AO54</f>
        <v>0</v>
      </c>
      <c r="AP23" s="26">
        <f>现金流量表!AP54</f>
        <v>61024.94</v>
      </c>
      <c r="AQ23" s="26">
        <f>现金流量表!AQ54</f>
        <v>0</v>
      </c>
      <c r="AR23" s="26">
        <f>现金流量表!AR54</f>
        <v>2165221.35</v>
      </c>
      <c r="AS23" s="26">
        <f>现金流量表!AS54</f>
        <v>0</v>
      </c>
      <c r="AT23" s="26">
        <f>现金流量表!AT54</f>
        <v>-607902.86</v>
      </c>
      <c r="AU23" s="26">
        <f>现金流量表!AU54</f>
        <v>0</v>
      </c>
      <c r="AV23" s="26">
        <f>现金流量表!AV54</f>
        <v>-21701</v>
      </c>
      <c r="AW23" s="26">
        <f>现金流量表!AW54</f>
        <v>0</v>
      </c>
      <c r="AX23" s="26">
        <f>现金流量表!AX54</f>
        <v>-3976329.75</v>
      </c>
      <c r="AY23" s="26">
        <f>现金流量表!AY54</f>
        <v>-4935597.4800000004</v>
      </c>
      <c r="AZ23" s="26">
        <f>现金流量表!AZ54</f>
        <v>-4924308.4800000004</v>
      </c>
      <c r="BA23" s="26">
        <f>现金流量表!BA54</f>
        <v>0</v>
      </c>
      <c r="BB23" s="26">
        <f>现金流量表!BB54</f>
        <v>633125.19999999995</v>
      </c>
      <c r="BC23" s="26">
        <f>现金流量表!BC54</f>
        <v>1067756.8600000001</v>
      </c>
      <c r="BD23" s="26">
        <f>现金流量表!BD54</f>
        <v>1067756.8600000001</v>
      </c>
      <c r="BE23" s="26">
        <f>现金流量表!BE54</f>
        <v>1067756.8600000001</v>
      </c>
      <c r="BF23" s="26">
        <f>现金流量表!BF54</f>
        <v>5749151.0800000001</v>
      </c>
      <c r="BG23" s="26">
        <f>现金流量表!BG54</f>
        <v>397644.64</v>
      </c>
      <c r="BH23" s="26">
        <f>现金流量表!BH54</f>
        <v>281274.99</v>
      </c>
      <c r="BI23" s="26">
        <f>现金流量表!BI54</f>
        <v>61229.23</v>
      </c>
      <c r="BJ23" s="26">
        <f>现金流量表!BJ54</f>
        <v>-330499.40999999997</v>
      </c>
      <c r="BK23" s="26">
        <f>现金流量表!BK54</f>
        <v>-74914.960000000006</v>
      </c>
      <c r="BL23" s="26">
        <f>现金流量表!BL54</f>
        <v>-276928.5</v>
      </c>
      <c r="BM23" s="26">
        <f>现金流量表!BM54</f>
        <v>-273093</v>
      </c>
      <c r="BN23" s="26">
        <f>现金流量表!BN54</f>
        <v>494802.18</v>
      </c>
      <c r="BO23" s="26">
        <f>现金流量表!BO54</f>
        <v>47401.62</v>
      </c>
      <c r="BP23" s="26">
        <f>现金流量表!BP54</f>
        <v>0</v>
      </c>
      <c r="BQ23" s="26">
        <f>现金流量表!BQ54</f>
        <v>66450.77</v>
      </c>
      <c r="BR23" s="26">
        <f>现金流量表!BR54</f>
        <v>-18679607.050000001</v>
      </c>
      <c r="BS23" s="26">
        <f>现金流量表!BS54</f>
        <v>-67654.45</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506</v>
      </c>
      <c r="E24" s="26">
        <f>现金流量表!E55</f>
        <v>0</v>
      </c>
      <c r="F24" s="26">
        <f>现金流量表!F55</f>
        <v>3220581.04</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80905.009999999995</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9444.92</v>
      </c>
      <c r="AE24" s="26">
        <f>现金流量表!AE55</f>
        <v>0</v>
      </c>
      <c r="AF24" s="26">
        <f>现金流量表!AF55</f>
        <v>8524.7099999999991</v>
      </c>
      <c r="AG24" s="26">
        <f>现金流量表!AG55</f>
        <v>0</v>
      </c>
      <c r="AH24" s="26">
        <f>现金流量表!AH55</f>
        <v>821920.72</v>
      </c>
      <c r="AI24" s="26">
        <f>现金流量表!AI55</f>
        <v>0</v>
      </c>
      <c r="AJ24" s="26">
        <f>现金流量表!AJ55</f>
        <v>0</v>
      </c>
      <c r="AK24" s="26">
        <f>现金流量表!AK55</f>
        <v>0</v>
      </c>
      <c r="AL24" s="26">
        <f>现金流量表!AL55</f>
        <v>2453213.0699999998</v>
      </c>
      <c r="AM24" s="26">
        <f>现金流量表!AM55</f>
        <v>0</v>
      </c>
      <c r="AN24" s="26">
        <f>现金流量表!AN55</f>
        <v>0</v>
      </c>
      <c r="AO24" s="26">
        <f>现金流量表!AO55</f>
        <v>0</v>
      </c>
      <c r="AP24" s="26">
        <f>现金流量表!AP55</f>
        <v>2617943.7799999998</v>
      </c>
      <c r="AQ24" s="26">
        <f>现金流量表!AQ55</f>
        <v>0</v>
      </c>
      <c r="AR24" s="26">
        <f>现金流量表!AR55</f>
        <v>1967573.9</v>
      </c>
      <c r="AS24" s="26">
        <f>现金流量表!AS55</f>
        <v>0</v>
      </c>
      <c r="AT24" s="26">
        <f>现金流量表!AT55</f>
        <v>13896347.84</v>
      </c>
      <c r="AU24" s="26">
        <f>现金流量表!AU55</f>
        <v>0</v>
      </c>
      <c r="AV24" s="26">
        <f>现金流量表!AV55</f>
        <v>13842882.880000001</v>
      </c>
      <c r="AW24" s="26">
        <f>现金流量表!AW55</f>
        <v>0</v>
      </c>
      <c r="AX24" s="26">
        <f>现金流量表!AX55</f>
        <v>3994475.48</v>
      </c>
      <c r="AY24" s="26">
        <f>现金流量表!AY55</f>
        <v>54720.6</v>
      </c>
      <c r="AZ24" s="26">
        <f>现金流量表!AZ55</f>
        <v>0</v>
      </c>
      <c r="BA24" s="26">
        <f>现金流量表!BA55</f>
        <v>0</v>
      </c>
      <c r="BB24" s="26">
        <f>现金流量表!BB55</f>
        <v>368141.99</v>
      </c>
      <c r="BC24" s="26">
        <f>现金流量表!BC55</f>
        <v>920</v>
      </c>
      <c r="BD24" s="26">
        <f>现金流量表!BD55</f>
        <v>0</v>
      </c>
      <c r="BE24" s="26">
        <f>现金流量表!BE55</f>
        <v>0</v>
      </c>
      <c r="BF24" s="26">
        <f>现金流量表!BF55</f>
        <v>8002.23</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18406.11</v>
      </c>
      <c r="BP24" s="26">
        <f>现金流量表!BP55</f>
        <v>460670.22</v>
      </c>
      <c r="BQ24" s="26">
        <f>现金流量表!BQ55</f>
        <v>388726.72</v>
      </c>
      <c r="BR24" s="26">
        <f>现金流量表!BR55</f>
        <v>11231.14</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507</v>
      </c>
      <c r="E25" s="28">
        <f>SUM(E19:E24)</f>
        <v>0</v>
      </c>
      <c r="F25" s="28">
        <f t="shared" ref="F25:BQ25" si="12">SUM(F19:F24)</f>
        <v>160757305.54999998</v>
      </c>
      <c r="G25" s="28">
        <f t="shared" si="12"/>
        <v>0</v>
      </c>
      <c r="H25" s="28">
        <f t="shared" si="12"/>
        <v>73272449.170000017</v>
      </c>
      <c r="I25" s="28">
        <f t="shared" si="12"/>
        <v>0</v>
      </c>
      <c r="J25" s="28">
        <f t="shared" si="12"/>
        <v>64361892.630000003</v>
      </c>
      <c r="K25" s="28">
        <f t="shared" si="12"/>
        <v>0</v>
      </c>
      <c r="L25" s="28">
        <f t="shared" si="12"/>
        <v>28566965.749999996</v>
      </c>
      <c r="M25" s="28">
        <f t="shared" si="12"/>
        <v>0</v>
      </c>
      <c r="N25" s="28">
        <f t="shared" si="12"/>
        <v>70880969.989999995</v>
      </c>
      <c r="O25" s="28">
        <f t="shared" si="12"/>
        <v>0</v>
      </c>
      <c r="P25" s="28">
        <f t="shared" si="12"/>
        <v>27697277.280000001</v>
      </c>
      <c r="Q25" s="28">
        <f t="shared" si="12"/>
        <v>0</v>
      </c>
      <c r="R25" s="28">
        <f t="shared" si="12"/>
        <v>64088446.090000004</v>
      </c>
      <c r="S25" s="28">
        <f t="shared" si="12"/>
        <v>0</v>
      </c>
      <c r="T25" s="28">
        <f t="shared" si="12"/>
        <v>27590167.549999997</v>
      </c>
      <c r="U25" s="28">
        <f t="shared" si="12"/>
        <v>0</v>
      </c>
      <c r="V25" s="28">
        <f t="shared" si="12"/>
        <v>72201120.439999998</v>
      </c>
      <c r="W25" s="28">
        <f t="shared" si="12"/>
        <v>0</v>
      </c>
      <c r="X25" s="28">
        <f t="shared" si="12"/>
        <v>35206949.719999999</v>
      </c>
      <c r="Y25" s="28">
        <f t="shared" si="12"/>
        <v>0</v>
      </c>
      <c r="Z25" s="28">
        <f t="shared" si="12"/>
        <v>64142416.939999998</v>
      </c>
      <c r="AA25" s="28">
        <f t="shared" si="12"/>
        <v>0</v>
      </c>
      <c r="AB25" s="28">
        <f t="shared" si="12"/>
        <v>27452921.350000001</v>
      </c>
      <c r="AC25" s="28">
        <f t="shared" si="12"/>
        <v>13860548.43</v>
      </c>
      <c r="AD25" s="28">
        <f t="shared" si="12"/>
        <v>59904052.870000005</v>
      </c>
      <c r="AE25" s="28">
        <f t="shared" si="12"/>
        <v>0</v>
      </c>
      <c r="AF25" s="28">
        <f t="shared" si="12"/>
        <v>30415992.830000002</v>
      </c>
      <c r="AG25" s="28">
        <f t="shared" si="12"/>
        <v>0</v>
      </c>
      <c r="AH25" s="28">
        <f t="shared" si="12"/>
        <v>65773019.340000004</v>
      </c>
      <c r="AI25" s="28">
        <f t="shared" si="12"/>
        <v>0</v>
      </c>
      <c r="AJ25" s="28">
        <f t="shared" si="12"/>
        <v>37113276.939999998</v>
      </c>
      <c r="AK25" s="28">
        <f t="shared" si="12"/>
        <v>0</v>
      </c>
      <c r="AL25" s="28">
        <f t="shared" si="12"/>
        <v>53422662.839999996</v>
      </c>
      <c r="AM25" s="28">
        <f t="shared" si="12"/>
        <v>0</v>
      </c>
      <c r="AN25" s="28">
        <f t="shared" si="12"/>
        <v>25484853.009999998</v>
      </c>
      <c r="AO25" s="28">
        <f t="shared" si="12"/>
        <v>0</v>
      </c>
      <c r="AP25" s="28">
        <f t="shared" si="12"/>
        <v>43113175.449999996</v>
      </c>
      <c r="AQ25" s="28">
        <f t="shared" si="12"/>
        <v>0</v>
      </c>
      <c r="AR25" s="28">
        <f t="shared" si="12"/>
        <v>23278498.489999998</v>
      </c>
      <c r="AS25" s="28">
        <f t="shared" si="12"/>
        <v>0</v>
      </c>
      <c r="AT25" s="28">
        <f t="shared" si="12"/>
        <v>48146036.679999992</v>
      </c>
      <c r="AU25" s="28">
        <f t="shared" si="12"/>
        <v>0</v>
      </c>
      <c r="AV25" s="28">
        <f t="shared" si="12"/>
        <v>31512980.119999997</v>
      </c>
      <c r="AW25" s="28">
        <f t="shared" si="12"/>
        <v>0</v>
      </c>
      <c r="AX25" s="28">
        <f t="shared" si="12"/>
        <v>33157811.939999998</v>
      </c>
      <c r="AY25" s="28">
        <f t="shared" si="12"/>
        <v>18045012.77</v>
      </c>
      <c r="AZ25" s="28">
        <f t="shared" si="12"/>
        <v>10580510.309999999</v>
      </c>
      <c r="BA25" s="28">
        <f t="shared" si="12"/>
        <v>7964002.46</v>
      </c>
      <c r="BB25" s="28">
        <f t="shared" si="12"/>
        <v>57908477.340000004</v>
      </c>
      <c r="BC25" s="28">
        <f t="shared" si="12"/>
        <v>32438525.809999999</v>
      </c>
      <c r="BD25" s="28">
        <f t="shared" si="12"/>
        <v>20478807.550000001</v>
      </c>
      <c r="BE25" s="28">
        <f t="shared" si="12"/>
        <v>10835556.76</v>
      </c>
      <c r="BF25" s="28">
        <f t="shared" si="12"/>
        <v>50619971.649999999</v>
      </c>
      <c r="BG25" s="28">
        <f t="shared" si="12"/>
        <v>29158250.620000001</v>
      </c>
      <c r="BH25" s="28">
        <f t="shared" si="12"/>
        <v>19940349.379999999</v>
      </c>
      <c r="BI25" s="28">
        <f t="shared" si="12"/>
        <v>9901194.6400000006</v>
      </c>
      <c r="BJ25" s="28">
        <f t="shared" si="12"/>
        <v>43572364.289999999</v>
      </c>
      <c r="BK25" s="28">
        <f t="shared" si="12"/>
        <v>31922412.599999998</v>
      </c>
      <c r="BL25" s="28">
        <f t="shared" si="12"/>
        <v>18658312.329999998</v>
      </c>
      <c r="BM25" s="28">
        <f t="shared" si="12"/>
        <v>8794920.1400000006</v>
      </c>
      <c r="BN25" s="28">
        <f t="shared" si="12"/>
        <v>50114983.119999997</v>
      </c>
      <c r="BO25" s="28">
        <f t="shared" si="12"/>
        <v>17036793.850000001</v>
      </c>
      <c r="BP25" s="28">
        <f t="shared" si="12"/>
        <v>34650642.379999995</v>
      </c>
      <c r="BQ25" s="28">
        <f t="shared" si="12"/>
        <v>13324023.02</v>
      </c>
      <c r="BR25" s="28">
        <f t="shared" ref="BR25:CK25" si="13">SUM(BR19:BR24)</f>
        <v>8764955.3399999961</v>
      </c>
      <c r="BS25" s="28">
        <f t="shared" si="13"/>
        <v>13349547.32</v>
      </c>
      <c r="BT25" s="28">
        <f t="shared" si="13"/>
        <v>30493470.530000001</v>
      </c>
      <c r="BU25" s="28">
        <f t="shared" si="13"/>
        <v>14239029.370000001</v>
      </c>
      <c r="BV25" s="28">
        <f t="shared" si="13"/>
        <v>7423857.8799999999</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c r="A26" s="20" t="s">
        <v>508</v>
      </c>
      <c r="E26" s="28">
        <f>E14-E25</f>
        <v>-46981553.960000001</v>
      </c>
      <c r="F26" s="28">
        <f t="shared" ref="F26:BQ26" si="14">F14-F25</f>
        <v>87300870.800000012</v>
      </c>
      <c r="G26" s="28">
        <f t="shared" si="14"/>
        <v>134626298.36000001</v>
      </c>
      <c r="H26" s="28">
        <f t="shared" si="14"/>
        <v>68996175.829999983</v>
      </c>
      <c r="I26" s="28">
        <f t="shared" si="14"/>
        <v>-105809977.56999999</v>
      </c>
      <c r="J26" s="28">
        <f t="shared" si="14"/>
        <v>-28562314.520000003</v>
      </c>
      <c r="K26" s="28">
        <f t="shared" si="14"/>
        <v>-96287142.159999996</v>
      </c>
      <c r="L26" s="28">
        <f t="shared" si="14"/>
        <v>-180806603.13</v>
      </c>
      <c r="M26" s="28">
        <f t="shared" si="14"/>
        <v>-101061475</v>
      </c>
      <c r="N26" s="28">
        <f t="shared" si="14"/>
        <v>-202220414.5</v>
      </c>
      <c r="O26" s="28">
        <f t="shared" si="14"/>
        <v>-116944059.23999999</v>
      </c>
      <c r="P26" s="28">
        <f t="shared" si="14"/>
        <v>-136537201.66</v>
      </c>
      <c r="Q26" s="28">
        <f t="shared" si="14"/>
        <v>-80876656.739999995</v>
      </c>
      <c r="R26" s="28">
        <f t="shared" si="14"/>
        <v>-184955371.25</v>
      </c>
      <c r="S26" s="28">
        <f t="shared" si="14"/>
        <v>-114761840.67</v>
      </c>
      <c r="T26" s="28">
        <f t="shared" si="14"/>
        <v>-131465820.75</v>
      </c>
      <c r="U26" s="28">
        <f t="shared" si="14"/>
        <v>-66143518.270000003</v>
      </c>
      <c r="V26" s="28">
        <f t="shared" si="14"/>
        <v>-34947070.57</v>
      </c>
      <c r="W26" s="28">
        <f t="shared" si="14"/>
        <v>-17576097.050000001</v>
      </c>
      <c r="X26" s="28">
        <f t="shared" si="14"/>
        <v>-80614196.269999996</v>
      </c>
      <c r="Y26" s="28">
        <f t="shared" si="14"/>
        <v>53475962.579999998</v>
      </c>
      <c r="Z26" s="28">
        <f t="shared" si="14"/>
        <v>87710377.849999994</v>
      </c>
      <c r="AA26" s="28">
        <f t="shared" si="14"/>
        <v>57754723.630000003</v>
      </c>
      <c r="AB26" s="28">
        <f t="shared" si="14"/>
        <v>-37371500.920000002</v>
      </c>
      <c r="AC26" s="28">
        <f t="shared" si="14"/>
        <v>15500488.949999999</v>
      </c>
      <c r="AD26" s="28">
        <f t="shared" si="14"/>
        <v>146196118.72999999</v>
      </c>
      <c r="AE26" s="28">
        <f t="shared" si="14"/>
        <v>101709433.54000001</v>
      </c>
      <c r="AF26" s="28">
        <f t="shared" si="14"/>
        <v>9077161.7799999975</v>
      </c>
      <c r="AG26" s="28">
        <f t="shared" si="14"/>
        <v>28589812.98</v>
      </c>
      <c r="AH26" s="28">
        <f t="shared" si="14"/>
        <v>130383912.22999999</v>
      </c>
      <c r="AI26" s="28">
        <f t="shared" si="14"/>
        <v>76363362.019999996</v>
      </c>
      <c r="AJ26" s="28">
        <f t="shared" si="14"/>
        <v>28264481.039999999</v>
      </c>
      <c r="AK26" s="28">
        <f t="shared" si="14"/>
        <v>57322863.579999998</v>
      </c>
      <c r="AL26" s="28">
        <f t="shared" si="14"/>
        <v>128264207.75999999</v>
      </c>
      <c r="AM26" s="28">
        <f t="shared" si="14"/>
        <v>81439518.959999993</v>
      </c>
      <c r="AN26" s="28">
        <f t="shared" si="14"/>
        <v>6936697.5500000007</v>
      </c>
      <c r="AO26" s="28">
        <f t="shared" si="14"/>
        <v>41255158.579999998</v>
      </c>
      <c r="AP26" s="28">
        <f t="shared" si="14"/>
        <v>91399975.950000018</v>
      </c>
      <c r="AQ26" s="28">
        <f t="shared" si="14"/>
        <v>31575329.739999998</v>
      </c>
      <c r="AR26" s="28">
        <f t="shared" si="14"/>
        <v>-29199395.77</v>
      </c>
      <c r="AS26" s="28">
        <f t="shared" si="14"/>
        <v>28888449.670000002</v>
      </c>
      <c r="AT26" s="28">
        <f t="shared" si="14"/>
        <v>66617480.280000001</v>
      </c>
      <c r="AU26" s="28">
        <f t="shared" si="14"/>
        <v>71756349.319999993</v>
      </c>
      <c r="AV26" s="28">
        <f t="shared" si="14"/>
        <v>1073397.9300000034</v>
      </c>
      <c r="AW26" s="28">
        <f t="shared" si="14"/>
        <v>59976258.149999999</v>
      </c>
      <c r="AX26" s="28">
        <f t="shared" si="14"/>
        <v>32585963.690000005</v>
      </c>
      <c r="AY26" s="28">
        <f t="shared" si="14"/>
        <v>9016241.1099999994</v>
      </c>
      <c r="AZ26" s="28">
        <f t="shared" si="14"/>
        <v>6380033.9700000025</v>
      </c>
      <c r="BA26" s="28">
        <f t="shared" si="14"/>
        <v>30900766.390000001</v>
      </c>
      <c r="BB26" s="28">
        <f t="shared" si="14"/>
        <v>72982422.829999998</v>
      </c>
      <c r="BC26" s="28">
        <f t="shared" si="14"/>
        <v>16287945.010000002</v>
      </c>
      <c r="BD26" s="28">
        <f t="shared" si="14"/>
        <v>-15493171.380000001</v>
      </c>
      <c r="BE26" s="28">
        <f t="shared" si="14"/>
        <v>48016533.390000001</v>
      </c>
      <c r="BF26" s="28">
        <f t="shared" si="14"/>
        <v>48259736.750000007</v>
      </c>
      <c r="BG26" s="28">
        <f t="shared" si="14"/>
        <v>31362788.919999998</v>
      </c>
      <c r="BH26" s="28">
        <f t="shared" si="14"/>
        <v>19897211.610000003</v>
      </c>
      <c r="BI26" s="28">
        <f t="shared" si="14"/>
        <v>26907123.609999999</v>
      </c>
      <c r="BJ26" s="28">
        <f t="shared" si="14"/>
        <v>27919087.669999994</v>
      </c>
      <c r="BK26" s="28">
        <f t="shared" si="14"/>
        <v>5127605.7900000028</v>
      </c>
      <c r="BL26" s="28">
        <f t="shared" si="14"/>
        <v>447277.86000000313</v>
      </c>
      <c r="BM26" s="28">
        <f t="shared" si="14"/>
        <v>29178962.979999997</v>
      </c>
      <c r="BN26" s="28">
        <f t="shared" si="14"/>
        <v>-24980770.019999996</v>
      </c>
      <c r="BO26" s="28">
        <f t="shared" si="14"/>
        <v>1506070.8999999985</v>
      </c>
      <c r="BP26" s="28">
        <f t="shared" si="14"/>
        <v>-38401065.809999995</v>
      </c>
      <c r="BQ26" s="28">
        <f t="shared" si="14"/>
        <v>-32328.629999998957</v>
      </c>
      <c r="BR26" s="28">
        <f t="shared" ref="BR26:CK26" si="15">BR14-BR25</f>
        <v>57725153.080000006</v>
      </c>
      <c r="BS26" s="28">
        <f t="shared" si="15"/>
        <v>2178982.459999999</v>
      </c>
      <c r="BT26" s="28">
        <f t="shared" si="15"/>
        <v>15055046.609999999</v>
      </c>
      <c r="BU26" s="28">
        <f t="shared" si="15"/>
        <v>55050182.569999993</v>
      </c>
      <c r="BV26" s="28">
        <f t="shared" si="15"/>
        <v>28718631.960000005</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67.5">
      <c r="A27" s="272" t="s">
        <v>749</v>
      </c>
      <c r="E27" s="26">
        <f>E26</f>
        <v>-46981553.960000001</v>
      </c>
      <c r="F27" s="192">
        <f t="shared" ref="F27:BQ27" si="16">F26</f>
        <v>87300870.800000012</v>
      </c>
      <c r="G27" s="192">
        <f t="shared" si="16"/>
        <v>134626298.36000001</v>
      </c>
      <c r="H27" s="192">
        <f t="shared" si="16"/>
        <v>68996175.829999983</v>
      </c>
      <c r="I27" s="192">
        <f t="shared" si="16"/>
        <v>-105809977.56999999</v>
      </c>
      <c r="J27" s="192">
        <f t="shared" si="16"/>
        <v>-28562314.520000003</v>
      </c>
      <c r="K27" s="192">
        <f t="shared" si="16"/>
        <v>-96287142.159999996</v>
      </c>
      <c r="L27" s="192">
        <f t="shared" si="16"/>
        <v>-180806603.13</v>
      </c>
      <c r="M27" s="192">
        <f t="shared" si="16"/>
        <v>-101061475</v>
      </c>
      <c r="N27" s="192">
        <f t="shared" si="16"/>
        <v>-202220414.5</v>
      </c>
      <c r="O27" s="192">
        <f t="shared" si="16"/>
        <v>-116944059.23999999</v>
      </c>
      <c r="P27" s="192">
        <f t="shared" si="16"/>
        <v>-136537201.66</v>
      </c>
      <c r="Q27" s="192">
        <f t="shared" si="16"/>
        <v>-80876656.739999995</v>
      </c>
      <c r="R27" s="192">
        <f t="shared" si="16"/>
        <v>-184955371.25</v>
      </c>
      <c r="S27" s="192">
        <f t="shared" si="16"/>
        <v>-114761840.67</v>
      </c>
      <c r="T27" s="192">
        <f t="shared" si="16"/>
        <v>-131465820.75</v>
      </c>
      <c r="U27" s="192">
        <f t="shared" si="16"/>
        <v>-66143518.270000003</v>
      </c>
      <c r="V27" s="192">
        <f t="shared" si="16"/>
        <v>-34947070.57</v>
      </c>
      <c r="W27" s="192">
        <f t="shared" si="16"/>
        <v>-17576097.050000001</v>
      </c>
      <c r="X27" s="192">
        <f t="shared" si="16"/>
        <v>-80614196.269999996</v>
      </c>
      <c r="Y27" s="192">
        <f t="shared" si="16"/>
        <v>53475962.579999998</v>
      </c>
      <c r="Z27" s="192">
        <f t="shared" si="16"/>
        <v>87710377.849999994</v>
      </c>
      <c r="AA27" s="192">
        <f t="shared" si="16"/>
        <v>57754723.630000003</v>
      </c>
      <c r="AB27" s="192">
        <f t="shared" si="16"/>
        <v>-37371500.920000002</v>
      </c>
      <c r="AC27" s="192">
        <f t="shared" si="16"/>
        <v>15500488.949999999</v>
      </c>
      <c r="AD27" s="192">
        <f t="shared" si="16"/>
        <v>146196118.72999999</v>
      </c>
      <c r="AE27" s="192">
        <f t="shared" si="16"/>
        <v>101709433.54000001</v>
      </c>
      <c r="AF27" s="192">
        <f t="shared" si="16"/>
        <v>9077161.7799999975</v>
      </c>
      <c r="AG27" s="192">
        <f t="shared" si="16"/>
        <v>28589812.98</v>
      </c>
      <c r="AH27" s="192">
        <f t="shared" si="16"/>
        <v>130383912.22999999</v>
      </c>
      <c r="AI27" s="192">
        <f t="shared" si="16"/>
        <v>76363362.019999996</v>
      </c>
      <c r="AJ27" s="192">
        <f t="shared" si="16"/>
        <v>28264481.039999999</v>
      </c>
      <c r="AK27" s="192">
        <f t="shared" si="16"/>
        <v>57322863.579999998</v>
      </c>
      <c r="AL27" s="192">
        <f t="shared" si="16"/>
        <v>128264207.75999999</v>
      </c>
      <c r="AM27" s="192">
        <f t="shared" si="16"/>
        <v>81439518.959999993</v>
      </c>
      <c r="AN27" s="192">
        <f t="shared" si="16"/>
        <v>6936697.5500000007</v>
      </c>
      <c r="AO27" s="192">
        <f t="shared" si="16"/>
        <v>41255158.579999998</v>
      </c>
      <c r="AP27" s="192">
        <f t="shared" si="16"/>
        <v>91399975.950000018</v>
      </c>
      <c r="AQ27" s="192">
        <f t="shared" si="16"/>
        <v>31575329.739999998</v>
      </c>
      <c r="AR27" s="192">
        <f t="shared" si="16"/>
        <v>-29199395.77</v>
      </c>
      <c r="AS27" s="192">
        <f t="shared" si="16"/>
        <v>28888449.670000002</v>
      </c>
      <c r="AT27" s="192">
        <f t="shared" si="16"/>
        <v>66617480.280000001</v>
      </c>
      <c r="AU27" s="192">
        <f t="shared" si="16"/>
        <v>71756349.319999993</v>
      </c>
      <c r="AV27" s="192">
        <f t="shared" si="16"/>
        <v>1073397.9300000034</v>
      </c>
      <c r="AW27" s="192">
        <f t="shared" si="16"/>
        <v>59976258.149999999</v>
      </c>
      <c r="AX27" s="192">
        <f t="shared" si="16"/>
        <v>32585963.690000005</v>
      </c>
      <c r="AY27" s="192">
        <f t="shared" si="16"/>
        <v>9016241.1099999994</v>
      </c>
      <c r="AZ27" s="192">
        <f t="shared" si="16"/>
        <v>6380033.9700000025</v>
      </c>
      <c r="BA27" s="192">
        <f t="shared" si="16"/>
        <v>30900766.390000001</v>
      </c>
      <c r="BB27" s="192">
        <f t="shared" si="16"/>
        <v>72982422.829999998</v>
      </c>
      <c r="BC27" s="192">
        <f t="shared" si="16"/>
        <v>16287945.010000002</v>
      </c>
      <c r="BD27" s="192">
        <f t="shared" si="16"/>
        <v>-15493171.380000001</v>
      </c>
      <c r="BE27" s="192">
        <f t="shared" si="16"/>
        <v>48016533.390000001</v>
      </c>
      <c r="BF27" s="192">
        <f t="shared" si="16"/>
        <v>48259736.750000007</v>
      </c>
      <c r="BG27" s="192">
        <f t="shared" si="16"/>
        <v>31362788.919999998</v>
      </c>
      <c r="BH27" s="192">
        <f t="shared" si="16"/>
        <v>19897211.610000003</v>
      </c>
      <c r="BI27" s="192">
        <f t="shared" si="16"/>
        <v>26907123.609999999</v>
      </c>
      <c r="BJ27" s="192">
        <f t="shared" si="16"/>
        <v>27919087.669999994</v>
      </c>
      <c r="BK27" s="192">
        <f t="shared" si="16"/>
        <v>5127605.7900000028</v>
      </c>
      <c r="BL27" s="192">
        <f t="shared" si="16"/>
        <v>447277.86000000313</v>
      </c>
      <c r="BM27" s="192">
        <f t="shared" si="16"/>
        <v>29178962.979999997</v>
      </c>
      <c r="BN27" s="192">
        <f t="shared" si="16"/>
        <v>-24980770.019999996</v>
      </c>
      <c r="BO27" s="192">
        <f t="shared" si="16"/>
        <v>1506070.8999999985</v>
      </c>
      <c r="BP27" s="192">
        <f t="shared" si="16"/>
        <v>-38401065.809999995</v>
      </c>
      <c r="BQ27" s="192">
        <f t="shared" si="16"/>
        <v>-32328.629999998957</v>
      </c>
      <c r="BR27" s="192">
        <f t="shared" ref="BR27:CL27" si="17">BR26</f>
        <v>57725153.080000006</v>
      </c>
      <c r="BS27" s="192">
        <f t="shared" si="17"/>
        <v>2178982.459999999</v>
      </c>
      <c r="BT27" s="192">
        <f t="shared" si="17"/>
        <v>15055046.609999999</v>
      </c>
      <c r="BU27" s="192">
        <f t="shared" si="17"/>
        <v>55050182.569999993</v>
      </c>
      <c r="BV27" s="192">
        <f t="shared" si="17"/>
        <v>28718631.960000005</v>
      </c>
      <c r="BW27" s="192">
        <f t="shared" si="17"/>
        <v>0</v>
      </c>
      <c r="BX27" s="192">
        <f t="shared" si="17"/>
        <v>0</v>
      </c>
      <c r="BY27" s="192">
        <f t="shared" si="17"/>
        <v>0</v>
      </c>
      <c r="BZ27" s="192">
        <f t="shared" si="17"/>
        <v>0</v>
      </c>
      <c r="CA27" s="192">
        <f t="shared" si="17"/>
        <v>0</v>
      </c>
      <c r="CB27" s="192">
        <f t="shared" si="17"/>
        <v>0</v>
      </c>
      <c r="CC27" s="192">
        <f t="shared" si="17"/>
        <v>0</v>
      </c>
      <c r="CD27" s="192">
        <f t="shared" si="17"/>
        <v>0</v>
      </c>
      <c r="CE27" s="192">
        <f t="shared" si="17"/>
        <v>0</v>
      </c>
      <c r="CF27" s="192">
        <f t="shared" si="17"/>
        <v>0</v>
      </c>
      <c r="CG27" s="192">
        <f t="shared" si="17"/>
        <v>0</v>
      </c>
      <c r="CH27" s="192">
        <f t="shared" si="17"/>
        <v>0</v>
      </c>
      <c r="CI27" s="192">
        <f t="shared" si="17"/>
        <v>0</v>
      </c>
      <c r="CJ27" s="192">
        <f t="shared" si="17"/>
        <v>0</v>
      </c>
      <c r="CK27" s="192">
        <f t="shared" si="17"/>
        <v>0</v>
      </c>
      <c r="CL27" s="192">
        <f t="shared" si="17"/>
        <v>0</v>
      </c>
    </row>
    <row r="28" spans="1:90" s="63" customFormat="1">
      <c r="A28" s="17" t="s">
        <v>509</v>
      </c>
      <c r="E28" s="63">
        <f>(E27-I27)/I27</f>
        <v>-0.5559818172258969</v>
      </c>
      <c r="F28" s="63">
        <f t="shared" ref="F28:BQ28" si="18">(F27-J27)/J27</f>
        <v>-4.0565054781841958</v>
      </c>
      <c r="G28" s="63">
        <f t="shared" si="18"/>
        <v>-2.3981752427161247</v>
      </c>
      <c r="H28" s="63">
        <f t="shared" si="18"/>
        <v>-1.3816020799881501</v>
      </c>
      <c r="I28" s="63">
        <f t="shared" si="18"/>
        <v>4.6986278104490291E-2</v>
      </c>
      <c r="J28" s="63">
        <f t="shared" si="18"/>
        <v>-0.85875652272486069</v>
      </c>
      <c r="K28" s="63">
        <f t="shared" si="18"/>
        <v>-0.17663930270802869</v>
      </c>
      <c r="L28" s="63">
        <f t="shared" si="18"/>
        <v>0.32422959407237645</v>
      </c>
      <c r="M28" s="63">
        <f t="shared" si="18"/>
        <v>0.24957532956498921</v>
      </c>
      <c r="N28" s="63">
        <f t="shared" si="18"/>
        <v>9.3347076828946107E-2</v>
      </c>
      <c r="O28" s="63">
        <f t="shared" si="18"/>
        <v>1.9015193179717348E-2</v>
      </c>
      <c r="P28" s="63">
        <f t="shared" si="18"/>
        <v>3.8575660814866179E-2</v>
      </c>
      <c r="Q28" s="63">
        <f t="shared" si="18"/>
        <v>0.22274500745271575</v>
      </c>
      <c r="R28" s="63">
        <f t="shared" si="18"/>
        <v>4.2924427779870422</v>
      </c>
      <c r="S28" s="63">
        <f t="shared" si="18"/>
        <v>5.5294268883204651</v>
      </c>
      <c r="T28" s="63">
        <f t="shared" si="18"/>
        <v>0.63080235036622301</v>
      </c>
      <c r="U28" s="63">
        <f t="shared" si="18"/>
        <v>-2.2368831729031404</v>
      </c>
      <c r="V28" s="63">
        <f t="shared" si="18"/>
        <v>-1.3984371225690713</v>
      </c>
      <c r="W28" s="63">
        <f t="shared" si="18"/>
        <v>-1.3043231089217837</v>
      </c>
      <c r="X28" s="63">
        <f t="shared" si="18"/>
        <v>1.1571035223489758</v>
      </c>
      <c r="Y28" s="63">
        <f t="shared" si="18"/>
        <v>2.4499532726030555</v>
      </c>
      <c r="Z28" s="63">
        <f t="shared" si="18"/>
        <v>-0.40004988769923139</v>
      </c>
      <c r="AA28" s="63">
        <f t="shared" si="18"/>
        <v>-0.43215961764956262</v>
      </c>
      <c r="AB28" s="63">
        <f t="shared" si="18"/>
        <v>-5.1170909834769978</v>
      </c>
      <c r="AC28" s="63">
        <f t="shared" si="18"/>
        <v>-0.45783174724355963</v>
      </c>
      <c r="AD28" s="63">
        <f t="shared" si="18"/>
        <v>0.12127421419988481</v>
      </c>
      <c r="AE28" s="63">
        <f t="shared" si="18"/>
        <v>0.33191403376611067</v>
      </c>
      <c r="AF28" s="63">
        <f t="shared" si="18"/>
        <v>-0.67884916170390797</v>
      </c>
      <c r="AG28" s="63">
        <f t="shared" si="18"/>
        <v>-0.50124939344490438</v>
      </c>
      <c r="AH28" s="63">
        <f t="shared" si="18"/>
        <v>1.652607930940686E-2</v>
      </c>
      <c r="AI28" s="63">
        <f t="shared" si="18"/>
        <v>-6.2330389531072915E-2</v>
      </c>
      <c r="AJ28" s="63">
        <f t="shared" si="18"/>
        <v>3.074630735485937</v>
      </c>
      <c r="AK28" s="63">
        <f t="shared" si="18"/>
        <v>0.38947141528597662</v>
      </c>
      <c r="AL28" s="63">
        <f t="shared" si="18"/>
        <v>0.40332868172926434</v>
      </c>
      <c r="AM28" s="63">
        <f t="shared" si="18"/>
        <v>1.5792135705500316</v>
      </c>
      <c r="AN28" s="63">
        <f t="shared" si="18"/>
        <v>-1.2375630511206295</v>
      </c>
      <c r="AO28" s="63">
        <f t="shared" si="18"/>
        <v>0.42808489383362591</v>
      </c>
      <c r="AP28" s="63">
        <f t="shared" si="18"/>
        <v>0.3720119038702257</v>
      </c>
      <c r="AQ28" s="63">
        <f t="shared" si="18"/>
        <v>-0.55996465763344938</v>
      </c>
      <c r="AR28" s="63">
        <f t="shared" si="18"/>
        <v>-28.20276884640527</v>
      </c>
      <c r="AS28" s="63">
        <f t="shared" si="18"/>
        <v>-0.51833524529405806</v>
      </c>
      <c r="AT28" s="63">
        <f t="shared" si="18"/>
        <v>1.0443612137345997</v>
      </c>
      <c r="AU28" s="63">
        <f t="shared" si="18"/>
        <v>6.9585659305865653</v>
      </c>
      <c r="AV28" s="63">
        <f t="shared" si="18"/>
        <v>-0.8317567061480704</v>
      </c>
      <c r="AW28" s="63">
        <f t="shared" si="18"/>
        <v>0.94093108866740949</v>
      </c>
      <c r="AX28" s="63">
        <f t="shared" si="18"/>
        <v>-0.55350942834683081</v>
      </c>
      <c r="AY28" s="63">
        <f t="shared" si="18"/>
        <v>-0.44644698244840164</v>
      </c>
      <c r="AZ28" s="63">
        <f t="shared" si="18"/>
        <v>-1.4117965143170061</v>
      </c>
      <c r="BA28" s="63">
        <f t="shared" si="18"/>
        <v>-0.35645569956044676</v>
      </c>
      <c r="BB28" s="63">
        <f t="shared" si="18"/>
        <v>0.51228389844045275</v>
      </c>
      <c r="BC28" s="63">
        <f t="shared" si="18"/>
        <v>-0.48066018454075665</v>
      </c>
      <c r="BD28" s="63">
        <f t="shared" si="18"/>
        <v>-1.7786604316060746</v>
      </c>
      <c r="BE28" s="63">
        <f t="shared" si="18"/>
        <v>0.78452866556701417</v>
      </c>
      <c r="BF28" s="63">
        <f t="shared" si="18"/>
        <v>0.72855708325514978</v>
      </c>
      <c r="BG28" s="63">
        <f t="shared" si="18"/>
        <v>5.1164586757360651</v>
      </c>
      <c r="BH28" s="63">
        <f t="shared" si="18"/>
        <v>43.485125219477361</v>
      </c>
      <c r="BI28" s="63">
        <f t="shared" si="18"/>
        <v>-7.7858811211254278E-2</v>
      </c>
      <c r="BJ28" s="63">
        <f t="shared" si="18"/>
        <v>-2.117623181657232</v>
      </c>
      <c r="BK28" s="63">
        <f t="shared" si="18"/>
        <v>2.4046244370036018</v>
      </c>
      <c r="BL28" s="63">
        <f t="shared" si="18"/>
        <v>-1.0116475376546328</v>
      </c>
      <c r="BM28" s="63">
        <f t="shared" si="18"/>
        <v>-903.57344588994147</v>
      </c>
      <c r="BN28" s="63">
        <f t="shared" si="18"/>
        <v>-1.432753638355531</v>
      </c>
      <c r="BO28" s="63">
        <f t="shared" si="18"/>
        <v>-0.30881917241316426</v>
      </c>
      <c r="BP28" s="63">
        <f t="shared" si="18"/>
        <v>-3.5507105228417486</v>
      </c>
      <c r="BQ28" s="63">
        <f t="shared" si="18"/>
        <v>-1.0005872574529411</v>
      </c>
      <c r="BR28" s="63">
        <f t="shared" ref="BR28:CK28" si="19">(BR27-BV27)/BV27</f>
        <v>1.0100244733245294</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15" customHeight="1">
      <c r="A29" s="277" t="s">
        <v>736</v>
      </c>
      <c r="B29" s="276"/>
      <c r="C29" s="276"/>
      <c r="D29" s="276"/>
      <c r="E29" s="276"/>
      <c r="F29" s="276"/>
      <c r="G29" s="276"/>
      <c r="H29" s="276"/>
      <c r="I29" s="276"/>
      <c r="J29" s="276"/>
      <c r="K29" s="276"/>
      <c r="L29" s="276"/>
      <c r="M29" s="276"/>
      <c r="N29" s="276"/>
      <c r="O29" s="276"/>
      <c r="P29" s="276"/>
      <c r="Q29" s="276"/>
      <c r="R29" s="276"/>
      <c r="S29" s="276"/>
      <c r="T29" s="276"/>
      <c r="U29" s="276"/>
      <c r="V29" s="276"/>
      <c r="W29" s="276"/>
      <c r="X29" s="276"/>
      <c r="Y29" s="276"/>
      <c r="Z29" s="276"/>
      <c r="AA29" s="276"/>
      <c r="AB29" s="276"/>
      <c r="AC29" s="276"/>
    </row>
    <row r="30" spans="1:90">
      <c r="A30" s="111" t="s">
        <v>567</v>
      </c>
      <c r="B30" s="96"/>
      <c r="C30" s="96"/>
      <c r="D30" s="96"/>
      <c r="E30" s="96" t="s">
        <v>566</v>
      </c>
      <c r="F30" s="96"/>
      <c r="G30" s="96"/>
      <c r="H30" s="96"/>
      <c r="I30" s="96" t="s">
        <v>600</v>
      </c>
      <c r="M30" s="96" t="s">
        <v>568</v>
      </c>
      <c r="Q30" s="114" t="s">
        <v>606</v>
      </c>
      <c r="R30" s="114"/>
      <c r="S30" s="114"/>
      <c r="T30" s="114"/>
      <c r="U30" s="114" t="s">
        <v>603</v>
      </c>
      <c r="V30" s="114"/>
      <c r="W30" s="114"/>
      <c r="X30" s="114"/>
      <c r="Y30" s="114" t="s">
        <v>604</v>
      </c>
      <c r="Z30" s="114"/>
      <c r="AA30" s="114"/>
      <c r="AB30" s="114"/>
      <c r="AC30" s="114" t="s">
        <v>605</v>
      </c>
    </row>
    <row r="31" spans="1:90" s="63" customFormat="1">
      <c r="A31" s="111" t="s">
        <v>569</v>
      </c>
      <c r="B31" s="112"/>
      <c r="C31" s="112"/>
      <c r="D31" s="112"/>
      <c r="E31" s="112">
        <f>POWER(E27/U27,1/5)-1</f>
        <v>-6.6126574746338762E-2</v>
      </c>
      <c r="F31" s="112"/>
      <c r="G31" s="112"/>
      <c r="H31" s="112"/>
      <c r="I31" s="112" t="e">
        <f>POWER(E27/Y27,1/6)-1</f>
        <v>#NUM!</v>
      </c>
      <c r="M31" s="112">
        <f>POWER(E27/AC27,1/7)-1</f>
        <v>-2.171648728752555</v>
      </c>
      <c r="Q31" s="115" t="s">
        <v>602</v>
      </c>
      <c r="R31" s="115"/>
      <c r="S31" s="115"/>
      <c r="T31" s="115"/>
      <c r="U31" s="115">
        <f>POWER(E14/U14,1/5)-1</f>
        <v>-6.6126574746338762E-2</v>
      </c>
      <c r="V31" s="115"/>
      <c r="W31" s="115"/>
      <c r="X31" s="115"/>
      <c r="Y31" s="115" t="e">
        <f>POWER(E14/Y14,1/6)-1</f>
        <v>#NUM!</v>
      </c>
      <c r="Z31" s="115"/>
      <c r="AA31" s="115"/>
      <c r="AB31" s="115"/>
      <c r="AC31" s="115">
        <f>POWER(E14/AC14,1/7)-1</f>
        <v>-2.0694614639702342</v>
      </c>
    </row>
    <row r="32" spans="1:90" s="66" customFormat="1">
      <c r="A32" s="46" t="s">
        <v>511</v>
      </c>
      <c r="E32" s="66">
        <v>0.17</v>
      </c>
    </row>
    <row r="39" spans="1:13" ht="40.5">
      <c r="A39" s="67" t="s">
        <v>512</v>
      </c>
    </row>
    <row r="41" spans="1:13" ht="111" customHeight="1">
      <c r="A41" s="277" t="s">
        <v>735</v>
      </c>
      <c r="B41" s="276"/>
      <c r="C41" s="276"/>
      <c r="D41" s="276"/>
      <c r="E41" s="276"/>
      <c r="F41" s="276"/>
      <c r="G41" s="276"/>
      <c r="H41" s="276"/>
      <c r="I41" s="276"/>
      <c r="J41" s="276"/>
      <c r="K41" s="276"/>
      <c r="L41" s="276"/>
      <c r="M41" s="276"/>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71"/>
  <sheetViews>
    <sheetView topLeftCell="A11" workbookViewId="0">
      <selection activeCell="C1" sqref="C1"/>
    </sheetView>
  </sheetViews>
  <sheetFormatPr defaultRowHeight="13.5"/>
  <cols>
    <col min="1" max="1" width="42.5" style="17" bestFit="1" customWidth="1"/>
    <col min="2" max="2" width="26.125" style="26" bestFit="1" customWidth="1"/>
    <col min="3" max="3" width="37.125" bestFit="1" customWidth="1"/>
    <col min="4" max="4" width="22" bestFit="1" customWidth="1"/>
    <col min="5" max="5" width="18.375" bestFit="1" customWidth="1"/>
    <col min="6" max="7" width="20.5" bestFit="1" customWidth="1"/>
    <col min="8" max="9" width="21.625" bestFit="1" customWidth="1"/>
    <col min="10" max="11" width="22.75" bestFit="1" customWidth="1"/>
    <col min="12" max="12" width="38.25" bestFit="1" customWidth="1"/>
    <col min="13" max="14" width="25" bestFit="1" customWidth="1"/>
    <col min="15" max="16" width="26.125" bestFit="1" customWidth="1"/>
    <col min="17" max="18" width="27.25" bestFit="1" customWidth="1"/>
    <col min="19" max="19" width="28.25" bestFit="1" customWidth="1"/>
    <col min="20" max="74" width="9.5" bestFit="1" customWidth="1"/>
  </cols>
  <sheetData>
    <row r="1" spans="1:10" ht="16.149999999999999" customHeight="1">
      <c r="A1" s="68" t="s">
        <v>513</v>
      </c>
      <c r="B1" s="69">
        <f>自由现金流分析表!E1</f>
        <v>43190</v>
      </c>
      <c r="C1" s="190" t="s">
        <v>748</v>
      </c>
      <c r="D1" s="271">
        <v>0.08</v>
      </c>
      <c r="E1" s="261" t="s">
        <v>747</v>
      </c>
      <c r="F1" s="63">
        <f>平均资本成本表!E13</f>
        <v>-0.59781495514611649</v>
      </c>
    </row>
    <row r="2" spans="1:10">
      <c r="A2" s="70" t="s">
        <v>514</v>
      </c>
      <c r="B2" s="71">
        <f>(自由现金流分析表!E27+自由现金流分析表!I27+自由现金流分析表!M27)/3</f>
        <v>-84617668.843333334</v>
      </c>
      <c r="C2" t="s">
        <v>547</v>
      </c>
      <c r="D2" s="63"/>
      <c r="E2" s="63"/>
      <c r="F2" s="56"/>
    </row>
    <row r="3" spans="1:10" s="63" customFormat="1">
      <c r="A3" s="72" t="s">
        <v>515</v>
      </c>
      <c r="B3" s="98">
        <v>0</v>
      </c>
      <c r="D3" s="189"/>
      <c r="E3" s="189"/>
      <c r="F3" s="259"/>
    </row>
    <row r="4" spans="1:10" s="63" customFormat="1">
      <c r="A4" s="72" t="s">
        <v>516</v>
      </c>
      <c r="B4" s="98">
        <f>F1</f>
        <v>-0.59781495514611649</v>
      </c>
      <c r="D4" s="189"/>
      <c r="E4" s="189"/>
      <c r="F4" s="260"/>
    </row>
    <row r="5" spans="1:10">
      <c r="A5" s="70" t="s">
        <v>517</v>
      </c>
      <c r="B5" s="71">
        <f>B2*(1+B3)/(B4-B3)</f>
        <v>141544918.06356916</v>
      </c>
      <c r="D5" s="63"/>
      <c r="E5" s="63"/>
    </row>
    <row r="6" spans="1:10">
      <c r="A6" s="70" t="s">
        <v>518</v>
      </c>
      <c r="B6" s="71">
        <f>资产资本表!E17</f>
        <v>3086145247.04</v>
      </c>
      <c r="D6" s="189"/>
      <c r="E6" s="189"/>
      <c r="F6" s="189"/>
      <c r="G6" s="189"/>
    </row>
    <row r="7" spans="1:10">
      <c r="A7" s="70" t="s">
        <v>519</v>
      </c>
      <c r="B7" s="71">
        <f>资产资本表!E19</f>
        <v>0</v>
      </c>
      <c r="D7" s="189"/>
      <c r="E7" s="189"/>
      <c r="F7" s="189"/>
      <c r="G7" s="189"/>
    </row>
    <row r="8" spans="1:10">
      <c r="A8" s="70" t="s">
        <v>520</v>
      </c>
      <c r="B8" s="71">
        <f>资产资本表!E89</f>
        <v>1560295925.9300001</v>
      </c>
      <c r="D8" s="63"/>
      <c r="E8" s="63"/>
      <c r="F8" s="189"/>
      <c r="G8" s="189"/>
    </row>
    <row r="9" spans="1:10">
      <c r="A9" s="70" t="s">
        <v>521</v>
      </c>
      <c r="B9" s="71">
        <f>B5+B6+B7-B8</f>
        <v>1667394239.173569</v>
      </c>
      <c r="D9" s="189"/>
      <c r="E9" s="189"/>
      <c r="F9" s="189"/>
      <c r="G9" s="189"/>
    </row>
    <row r="10" spans="1:10">
      <c r="A10" s="70" t="s">
        <v>522</v>
      </c>
      <c r="B10" s="73">
        <f>资产资本表!E103/资产资本表!E107</f>
        <v>0</v>
      </c>
      <c r="D10" s="189"/>
      <c r="E10" s="189"/>
      <c r="F10" s="189"/>
      <c r="G10" s="189"/>
    </row>
    <row r="11" spans="1:10">
      <c r="A11" s="70" t="s">
        <v>548</v>
      </c>
      <c r="B11" s="196">
        <f>B9*(1-B10)</f>
        <v>1667394239.173569</v>
      </c>
      <c r="C11" s="268" t="s">
        <v>744</v>
      </c>
      <c r="D11" s="269">
        <f>资产资本结构分析表!E2</f>
        <v>3086145247.04</v>
      </c>
      <c r="E11" s="63"/>
      <c r="F11" s="189"/>
      <c r="G11" s="189"/>
    </row>
    <row r="12" spans="1:10">
      <c r="A12" s="70" t="s">
        <v>523</v>
      </c>
      <c r="B12" s="267">
        <f>B55</f>
        <v>632487764</v>
      </c>
      <c r="C12" s="268" t="s">
        <v>745</v>
      </c>
      <c r="D12" s="270">
        <f>D11/B55</f>
        <v>4.8793754167234766</v>
      </c>
      <c r="E12" s="189"/>
      <c r="F12" s="189"/>
      <c r="G12" s="189"/>
    </row>
    <row r="13" spans="1:10" ht="14.25" thickBot="1">
      <c r="A13" s="74" t="s">
        <v>524</v>
      </c>
      <c r="B13" s="75">
        <f>B11/B12</f>
        <v>2.6362474249755903</v>
      </c>
      <c r="D13" s="189"/>
      <c r="E13" s="189"/>
    </row>
    <row r="14" spans="1:10" s="16" customFormat="1" ht="53.25" customHeight="1">
      <c r="A14" s="277" t="s">
        <v>737</v>
      </c>
      <c r="B14" s="276"/>
      <c r="C14" s="276"/>
      <c r="D14" s="276"/>
      <c r="E14" s="276"/>
      <c r="F14" s="276"/>
      <c r="G14" s="276"/>
      <c r="H14" s="276"/>
      <c r="I14" s="276"/>
    </row>
    <row r="16" spans="1:10" ht="14.45">
      <c r="A16" s="88"/>
      <c r="B16" s="76"/>
      <c r="C16" s="77"/>
      <c r="D16" s="77"/>
      <c r="E16" s="77"/>
      <c r="F16" s="77"/>
      <c r="G16" s="77"/>
      <c r="H16" s="77"/>
      <c r="I16" s="78"/>
      <c r="J16" s="77"/>
    </row>
    <row r="17" spans="1:10" s="63" customFormat="1">
      <c r="A17" s="90"/>
      <c r="B17" s="90"/>
      <c r="C17" s="90" t="s">
        <v>540</v>
      </c>
      <c r="D17" s="90">
        <v>0.02</v>
      </c>
      <c r="E17" s="90"/>
      <c r="F17" s="90"/>
      <c r="G17" s="90"/>
      <c r="H17" s="90" t="s">
        <v>541</v>
      </c>
      <c r="I17" s="90">
        <v>0</v>
      </c>
      <c r="J17" s="78"/>
    </row>
    <row r="18" spans="1:10" s="2" customFormat="1">
      <c r="A18" s="298" t="s">
        <v>525</v>
      </c>
      <c r="B18" s="298"/>
      <c r="C18" s="65" t="s">
        <v>539</v>
      </c>
      <c r="D18" s="97">
        <v>1</v>
      </c>
      <c r="E18" s="97">
        <v>2</v>
      </c>
      <c r="F18" s="97">
        <v>3</v>
      </c>
      <c r="G18" s="97">
        <v>4</v>
      </c>
      <c r="H18" s="97">
        <v>5</v>
      </c>
      <c r="I18" s="96">
        <v>6</v>
      </c>
      <c r="J18" s="80"/>
    </row>
    <row r="19" spans="1:10" s="26" customFormat="1">
      <c r="A19" s="99" t="s">
        <v>526</v>
      </c>
      <c r="B19" s="94"/>
      <c r="C19" s="89">
        <f>B2</f>
        <v>-84617668.843333334</v>
      </c>
      <c r="D19" s="89">
        <f>C19*(1+$D$17)</f>
        <v>-86310022.220200002</v>
      </c>
      <c r="E19" s="89">
        <f>D19*(1+$D$17)</f>
        <v>-88036222.664604008</v>
      </c>
      <c r="F19" s="89">
        <f>E19*(1+$D$17)</f>
        <v>-89796947.117896095</v>
      </c>
      <c r="G19" s="89">
        <f>F19*(1+$D$17)</f>
        <v>-91592886.060254022</v>
      </c>
      <c r="H19" s="89">
        <f>G19*(1+$D$17)</f>
        <v>-93424743.781459108</v>
      </c>
      <c r="I19" s="89">
        <f>H19*(1+I17)</f>
        <v>-93424743.781459108</v>
      </c>
      <c r="J19" s="76"/>
    </row>
    <row r="20" spans="1:10" s="26" customFormat="1">
      <c r="A20" s="99" t="s">
        <v>527</v>
      </c>
      <c r="B20" s="95">
        <f>B4</f>
        <v>-0.59781495514611649</v>
      </c>
      <c r="C20" s="89"/>
      <c r="D20" s="89">
        <f t="shared" ref="D20:I20" si="0">(1+$B$20)^D18</f>
        <v>0.40218504485388351</v>
      </c>
      <c r="E20" s="89">
        <f t="shared" si="0"/>
        <v>0.16175281030412028</v>
      </c>
      <c r="F20" s="89">
        <f t="shared" si="0"/>
        <v>6.5054561267404332E-2</v>
      </c>
      <c r="G20" s="89">
        <f t="shared" si="0"/>
        <v>2.6163971641280721E-2</v>
      </c>
      <c r="H20" s="89">
        <f t="shared" si="0"/>
        <v>1.0522758108104224E-2</v>
      </c>
      <c r="I20" s="89">
        <f t="shared" si="0"/>
        <v>4.2320959416944628E-3</v>
      </c>
      <c r="J20" s="76"/>
    </row>
    <row r="21" spans="1:10" s="26" customFormat="1">
      <c r="A21" s="299" t="s">
        <v>528</v>
      </c>
      <c r="B21" s="299"/>
      <c r="C21" s="89"/>
      <c r="D21" s="89">
        <f>D19/D20</f>
        <v>-214602763.88834152</v>
      </c>
      <c r="E21" s="89">
        <f>E19/E20</f>
        <v>-544263945.08436859</v>
      </c>
      <c r="F21" s="89">
        <f>F19/F20</f>
        <v>-1380332837.0594816</v>
      </c>
      <c r="G21" s="89">
        <f>G19/G20</f>
        <v>-3500725628.204762</v>
      </c>
      <c r="H21" s="89">
        <f>H19/H20</f>
        <v>-8878351362.0356789</v>
      </c>
      <c r="I21" s="89">
        <f>I19/((B20-I17)*I20)</f>
        <v>36926626659.114182</v>
      </c>
      <c r="J21" s="76"/>
    </row>
    <row r="22" spans="1:10" s="26" customFormat="1">
      <c r="A22" s="299" t="s">
        <v>546</v>
      </c>
      <c r="B22" s="299"/>
      <c r="C22" s="89"/>
      <c r="D22" s="295">
        <f>SUM(D21:H21)</f>
        <v>-14518276536.272633</v>
      </c>
      <c r="E22" s="296"/>
      <c r="F22" s="296"/>
      <c r="G22" s="296"/>
      <c r="H22" s="297"/>
      <c r="I22" s="89">
        <f>I21</f>
        <v>36926626659.114182</v>
      </c>
      <c r="J22" s="76"/>
    </row>
    <row r="23" spans="1:10">
      <c r="A23" s="92" t="s">
        <v>529</v>
      </c>
      <c r="B23" s="76">
        <f>D22+I22</f>
        <v>22408350122.841549</v>
      </c>
      <c r="C23" s="77"/>
      <c r="D23" s="77"/>
      <c r="E23" s="77"/>
      <c r="F23" s="77"/>
      <c r="G23" s="77"/>
      <c r="H23" s="77"/>
      <c r="I23" s="79"/>
      <c r="J23" s="77"/>
    </row>
    <row r="24" spans="1:10">
      <c r="A24" s="92" t="s">
        <v>530</v>
      </c>
      <c r="B24" s="76">
        <f>B23</f>
        <v>22408350122.841549</v>
      </c>
      <c r="C24" s="77"/>
      <c r="D24" s="77"/>
      <c r="E24" s="77"/>
      <c r="F24" s="77"/>
      <c r="G24" s="77"/>
      <c r="H24" s="77"/>
      <c r="I24" s="79"/>
      <c r="J24" s="77"/>
    </row>
    <row r="25" spans="1:10">
      <c r="A25" s="70" t="s">
        <v>531</v>
      </c>
      <c r="B25" s="71">
        <f>资产资本表!E17</f>
        <v>3086145247.04</v>
      </c>
      <c r="C25" s="77"/>
      <c r="D25" s="77"/>
      <c r="E25" s="77"/>
      <c r="F25" s="77"/>
      <c r="G25" s="77"/>
      <c r="H25" s="77"/>
      <c r="I25" s="79"/>
      <c r="J25" s="77"/>
    </row>
    <row r="26" spans="1:10">
      <c r="A26" s="70" t="s">
        <v>532</v>
      </c>
      <c r="B26" s="71">
        <f>资产资本表!E19</f>
        <v>0</v>
      </c>
      <c r="C26" s="77"/>
      <c r="D26" s="77"/>
      <c r="E26" s="77"/>
      <c r="F26" s="77"/>
      <c r="G26" s="77"/>
      <c r="H26" s="77"/>
      <c r="I26" s="79"/>
      <c r="J26" s="77"/>
    </row>
    <row r="27" spans="1:10">
      <c r="A27" s="70" t="s">
        <v>533</v>
      </c>
      <c r="B27" s="71">
        <f>资产资本表!E89</f>
        <v>1560295925.9300001</v>
      </c>
      <c r="C27" s="77"/>
      <c r="D27" s="77"/>
      <c r="E27" s="77"/>
      <c r="F27" s="77"/>
      <c r="G27" s="77"/>
      <c r="H27" s="77"/>
      <c r="I27" s="79"/>
      <c r="J27" s="77"/>
    </row>
    <row r="28" spans="1:10" s="2" customFormat="1">
      <c r="A28" s="82" t="s">
        <v>534</v>
      </c>
      <c r="B28" s="83">
        <f>B24+B25+B26-B27</f>
        <v>23934199443.95155</v>
      </c>
      <c r="C28" s="80"/>
      <c r="D28" s="80"/>
      <c r="E28" s="80"/>
      <c r="F28" s="80"/>
      <c r="G28" s="80"/>
      <c r="H28" s="80"/>
      <c r="I28" s="81"/>
      <c r="J28" s="80"/>
    </row>
    <row r="29" spans="1:10">
      <c r="A29" s="70" t="s">
        <v>535</v>
      </c>
      <c r="B29" s="78">
        <f>资产资本表!E103/资产资本表!E107</f>
        <v>0</v>
      </c>
      <c r="C29" s="300" t="s">
        <v>542</v>
      </c>
      <c r="D29" s="300"/>
      <c r="E29" s="300"/>
      <c r="F29" s="77"/>
      <c r="G29" s="77"/>
      <c r="H29" s="77"/>
      <c r="I29" s="79"/>
      <c r="J29" s="77"/>
    </row>
    <row r="30" spans="1:10" s="2" customFormat="1">
      <c r="A30" s="82" t="s">
        <v>536</v>
      </c>
      <c r="B30" s="83">
        <f>B28*(1-B29)</f>
        <v>23934199443.95155</v>
      </c>
      <c r="C30" s="91">
        <v>0.4</v>
      </c>
      <c r="D30" s="91">
        <v>0.3</v>
      </c>
      <c r="E30" s="91">
        <v>0.2</v>
      </c>
      <c r="F30" s="80"/>
      <c r="G30" s="80"/>
      <c r="H30" s="80"/>
      <c r="I30" s="81"/>
      <c r="J30" s="80"/>
    </row>
    <row r="31" spans="1:10">
      <c r="A31" s="70" t="s">
        <v>746</v>
      </c>
      <c r="B31" s="101">
        <f>B55</f>
        <v>632487764</v>
      </c>
      <c r="C31" s="214">
        <f>$B$32*(1-C30)</f>
        <v>22.704818154191088</v>
      </c>
      <c r="D31" s="214">
        <f>$B$32*(1-D30)</f>
        <v>26.488954513222936</v>
      </c>
      <c r="E31" s="214">
        <f>$B$32*(1-E30)</f>
        <v>30.273090872254784</v>
      </c>
      <c r="F31" s="77"/>
      <c r="G31" s="77"/>
      <c r="H31" s="77"/>
      <c r="I31" s="79"/>
      <c r="J31" s="77"/>
    </row>
    <row r="32" spans="1:10" s="2" customFormat="1" ht="14.25" thickBot="1">
      <c r="A32" s="84" t="s">
        <v>537</v>
      </c>
      <c r="B32" s="85">
        <f>B30/B31</f>
        <v>37.84136359031848</v>
      </c>
      <c r="C32" s="86"/>
      <c r="D32" s="86"/>
      <c r="E32" s="86"/>
      <c r="F32" s="86"/>
      <c r="G32" s="86"/>
      <c r="H32" s="86"/>
      <c r="I32" s="87"/>
      <c r="J32" s="80"/>
    </row>
    <row r="33" spans="1:19" ht="63" customHeight="1">
      <c r="A33" s="301" t="s">
        <v>738</v>
      </c>
      <c r="B33" s="302"/>
      <c r="C33" s="302"/>
      <c r="D33" s="302"/>
      <c r="E33" s="302"/>
      <c r="F33" s="302"/>
      <c r="G33" s="302"/>
      <c r="H33" s="302"/>
      <c r="I33" s="302"/>
    </row>
    <row r="37" spans="1:19" s="63" customFormat="1">
      <c r="A37" s="203"/>
      <c r="B37" s="203"/>
      <c r="C37" s="213" t="s">
        <v>540</v>
      </c>
      <c r="D37" s="213">
        <v>0.15</v>
      </c>
      <c r="E37" s="213"/>
      <c r="F37" s="213"/>
      <c r="G37" s="213"/>
      <c r="H37" s="213" t="s">
        <v>635</v>
      </c>
      <c r="I37" s="213">
        <v>0.09</v>
      </c>
      <c r="J37" s="213"/>
      <c r="K37" s="213"/>
      <c r="L37" s="213"/>
      <c r="M37" s="213"/>
      <c r="N37" s="213"/>
      <c r="O37" s="213"/>
      <c r="P37" s="213"/>
      <c r="Q37" s="213"/>
      <c r="R37" s="213" t="s">
        <v>545</v>
      </c>
      <c r="S37" s="213">
        <v>0.02</v>
      </c>
    </row>
    <row r="38" spans="1:19" s="24" customFormat="1">
      <c r="A38" s="309" t="s">
        <v>543</v>
      </c>
      <c r="B38" s="310"/>
      <c r="C38" s="215" t="s">
        <v>539</v>
      </c>
      <c r="D38" s="216">
        <v>1</v>
      </c>
      <c r="E38" s="216">
        <v>2</v>
      </c>
      <c r="F38" s="216">
        <v>3</v>
      </c>
      <c r="G38" s="216">
        <v>4</v>
      </c>
      <c r="H38" s="216">
        <v>5</v>
      </c>
      <c r="I38" s="217">
        <v>6</v>
      </c>
      <c r="J38" s="217">
        <v>7</v>
      </c>
      <c r="K38" s="217">
        <v>8</v>
      </c>
      <c r="L38" s="217">
        <v>9</v>
      </c>
      <c r="M38" s="217">
        <v>10</v>
      </c>
      <c r="N38" s="217">
        <v>11</v>
      </c>
      <c r="O38" s="217">
        <v>12</v>
      </c>
      <c r="P38" s="217">
        <v>13</v>
      </c>
      <c r="Q38" s="217">
        <v>14</v>
      </c>
      <c r="R38" s="217">
        <v>15</v>
      </c>
      <c r="S38" s="218">
        <v>16</v>
      </c>
    </row>
    <row r="39" spans="1:19" s="192" customFormat="1">
      <c r="A39" s="99" t="s">
        <v>526</v>
      </c>
      <c r="B39" s="94"/>
      <c r="C39" s="89">
        <f>B2</f>
        <v>-84617668.843333334</v>
      </c>
      <c r="D39" s="89">
        <f>$C$39*(1+$D$37)^D38</f>
        <v>-97310319.169833332</v>
      </c>
      <c r="E39" s="89">
        <f>$C$39*(1+$D$37)^E38</f>
        <v>-111906867.04530832</v>
      </c>
      <c r="F39" s="89">
        <f>$C$39*(1+$D$37)^F38</f>
        <v>-128692897.10210454</v>
      </c>
      <c r="G39" s="89">
        <f>$C$39*(1+$D$37)^G38</f>
        <v>-147996831.66742021</v>
      </c>
      <c r="H39" s="89">
        <f>$C$39*(1+$D$37)^H38</f>
        <v>-170196356.41753325</v>
      </c>
      <c r="I39" s="89">
        <f>H39*(1+$I$37)</f>
        <v>-185514028.49511126</v>
      </c>
      <c r="J39" s="89">
        <f t="shared" ref="J39:N39" si="1">I39*(1+$I$37)</f>
        <v>-202210291.05967128</v>
      </c>
      <c r="K39" s="89">
        <f t="shared" si="1"/>
        <v>-220409217.25504172</v>
      </c>
      <c r="L39" s="89">
        <f t="shared" si="1"/>
        <v>-240246046.8079955</v>
      </c>
      <c r="M39" s="89">
        <f t="shared" si="1"/>
        <v>-261868191.02071512</v>
      </c>
      <c r="N39" s="89">
        <f t="shared" si="1"/>
        <v>-285436328.21257949</v>
      </c>
      <c r="O39" s="89">
        <f t="shared" ref="O39" si="2">N39*(1+$I$37)</f>
        <v>-311125597.75171167</v>
      </c>
      <c r="P39" s="89">
        <f t="shared" ref="P39" si="3">O39*(1+$I$37)</f>
        <v>-339126901.54936576</v>
      </c>
      <c r="Q39" s="89">
        <f t="shared" ref="Q39" si="4">P39*(1+$I$37)</f>
        <v>-369648322.68880868</v>
      </c>
      <c r="R39" s="89">
        <f t="shared" ref="R39" si="5">Q39*(1+$I$37)</f>
        <v>-402916671.73080146</v>
      </c>
      <c r="S39" s="89">
        <f>R39*(1+S37)</f>
        <v>-410975005.16541749</v>
      </c>
    </row>
    <row r="40" spans="1:19" s="23" customFormat="1">
      <c r="A40" s="209" t="s">
        <v>527</v>
      </c>
      <c r="B40" s="208">
        <f>B4</f>
        <v>-0.59781495514611649</v>
      </c>
      <c r="C40" s="214"/>
      <c r="D40" s="214">
        <f>(1+$B$40)^D38</f>
        <v>0.40218504485388351</v>
      </c>
      <c r="E40" s="214">
        <f t="shared" ref="E40:R40" si="6">(1+$B$40)^E38</f>
        <v>0.16175281030412028</v>
      </c>
      <c r="F40" s="214">
        <f t="shared" si="6"/>
        <v>6.5054561267404332E-2</v>
      </c>
      <c r="G40" s="214">
        <f t="shared" si="6"/>
        <v>2.6163971641280721E-2</v>
      </c>
      <c r="H40" s="214">
        <f t="shared" si="6"/>
        <v>1.0522758108104224E-2</v>
      </c>
      <c r="I40" s="214">
        <f t="shared" si="6"/>
        <v>4.2320959416944628E-3</v>
      </c>
      <c r="J40" s="214">
        <f t="shared" si="6"/>
        <v>1.7020856961363262E-3</v>
      </c>
      <c r="K40" s="214">
        <f t="shared" si="6"/>
        <v>6.8455341204574178E-4</v>
      </c>
      <c r="L40" s="214">
        <f t="shared" si="6"/>
        <v>2.7531714472849565E-4</v>
      </c>
      <c r="M40" s="214">
        <f t="shared" si="6"/>
        <v>1.1072843820167316E-4</v>
      </c>
      <c r="N40" s="214">
        <f t="shared" si="6"/>
        <v>4.4533321884740394E-5</v>
      </c>
      <c r="O40" s="214">
        <f t="shared" si="6"/>
        <v>1.7910636059706745E-5</v>
      </c>
      <c r="P40" s="214">
        <f t="shared" si="6"/>
        <v>7.2033899670347411E-6</v>
      </c>
      <c r="Q40" s="214">
        <f t="shared" si="6"/>
        <v>2.8970957169918814E-6</v>
      </c>
      <c r="R40" s="214">
        <f t="shared" si="6"/>
        <v>1.1651685708843738E-6</v>
      </c>
      <c r="S40" s="182">
        <f>(1+$B$40)^S38</f>
        <v>4.6861337394346714E-7</v>
      </c>
    </row>
    <row r="41" spans="1:19" s="192" customFormat="1">
      <c r="A41" s="311" t="s">
        <v>528</v>
      </c>
      <c r="B41" s="312"/>
      <c r="C41" s="89"/>
      <c r="D41" s="89">
        <f t="shared" ref="D41:R41" si="7">D39/D40</f>
        <v>-241954096.54077718</v>
      </c>
      <c r="E41" s="89">
        <f t="shared" si="7"/>
        <v>-691838780.63636804</v>
      </c>
      <c r="F41" s="89">
        <f t="shared" si="7"/>
        <v>-1978230190.0879359</v>
      </c>
      <c r="G41" s="89">
        <f t="shared" si="7"/>
        <v>-5656512462.8829403</v>
      </c>
      <c r="H41" s="89">
        <f t="shared" si="7"/>
        <v>-16174120384.507799</v>
      </c>
      <c r="I41" s="89">
        <f t="shared" si="7"/>
        <v>-43835024312.051498</v>
      </c>
      <c r="J41" s="89">
        <f t="shared" si="7"/>
        <v>-118801474872.08278</v>
      </c>
      <c r="K41" s="89">
        <f t="shared" si="7"/>
        <v>-321975193427.73212</v>
      </c>
      <c r="L41" s="89">
        <f t="shared" si="7"/>
        <v>-872615641299.47095</v>
      </c>
      <c r="M41" s="89">
        <f t="shared" si="7"/>
        <v>-2364958770065.6123</v>
      </c>
      <c r="N41" s="89">
        <f t="shared" si="7"/>
        <v>-6409500035756.0557</v>
      </c>
      <c r="O41" s="89">
        <f t="shared" si="7"/>
        <v>-17370996580721.422</v>
      </c>
      <c r="P41" s="89">
        <f t="shared" si="7"/>
        <v>-47078792499271.922</v>
      </c>
      <c r="Q41" s="89">
        <f t="shared" si="7"/>
        <v>-127592720019835.14</v>
      </c>
      <c r="R41" s="89">
        <f t="shared" si="7"/>
        <v>-345801184308450.75</v>
      </c>
      <c r="S41" s="89">
        <f>S39/((B40-S37)*S40)</f>
        <v>1419522608337580.2</v>
      </c>
    </row>
    <row r="42" spans="1:19" s="23" customFormat="1">
      <c r="A42" s="313" t="s">
        <v>546</v>
      </c>
      <c r="B42" s="314"/>
      <c r="C42" s="214"/>
      <c r="D42" s="306">
        <f>SUM(D41:H41)</f>
        <v>-24742655914.655823</v>
      </c>
      <c r="E42" s="307"/>
      <c r="F42" s="307"/>
      <c r="G42" s="307"/>
      <c r="H42" s="308"/>
      <c r="I42" s="306">
        <f>SUM(I41:R41)</f>
        <v>-547975379548012.25</v>
      </c>
      <c r="J42" s="307"/>
      <c r="K42" s="307"/>
      <c r="L42" s="307"/>
      <c r="M42" s="307"/>
      <c r="N42" s="307"/>
      <c r="O42" s="307"/>
      <c r="P42" s="307"/>
      <c r="Q42" s="307"/>
      <c r="R42" s="308"/>
      <c r="S42" s="214">
        <f>S41</f>
        <v>1419522608337580.2</v>
      </c>
    </row>
    <row r="43" spans="1:19">
      <c r="A43" s="205" t="s">
        <v>544</v>
      </c>
      <c r="B43" s="196">
        <f>D42+I42+S42</f>
        <v>871522486133653.37</v>
      </c>
      <c r="C43" s="197"/>
      <c r="D43" s="197"/>
      <c r="E43" s="197"/>
      <c r="F43" s="197"/>
      <c r="G43" s="197"/>
      <c r="H43" s="197"/>
      <c r="I43" s="197"/>
      <c r="J43" s="197"/>
      <c r="K43" s="197"/>
      <c r="L43" s="197"/>
      <c r="M43" s="197"/>
      <c r="N43" s="197"/>
      <c r="O43" s="197"/>
      <c r="P43" s="197"/>
      <c r="Q43" s="197"/>
      <c r="R43" s="197"/>
      <c r="S43" s="199"/>
    </row>
    <row r="44" spans="1:19">
      <c r="A44" s="205" t="s">
        <v>530</v>
      </c>
      <c r="B44" s="196">
        <f>B43</f>
        <v>871522486133653.37</v>
      </c>
      <c r="C44" s="197"/>
      <c r="D44" s="197"/>
      <c r="E44" s="197"/>
      <c r="F44" s="197"/>
      <c r="G44" s="197"/>
      <c r="H44" s="197"/>
      <c r="I44" s="197"/>
      <c r="J44" s="197"/>
      <c r="K44" s="197"/>
      <c r="L44" s="197"/>
      <c r="M44" s="197"/>
      <c r="N44" s="197"/>
      <c r="O44" s="197"/>
      <c r="P44" s="197"/>
      <c r="Q44" s="197"/>
      <c r="R44" s="197"/>
      <c r="S44" s="199"/>
    </row>
    <row r="45" spans="1:19">
      <c r="A45" s="195" t="s">
        <v>531</v>
      </c>
      <c r="B45" s="196">
        <f>资产资本表!E17</f>
        <v>3086145247.04</v>
      </c>
      <c r="C45" s="197"/>
      <c r="D45" s="197"/>
      <c r="E45" s="197"/>
      <c r="F45" s="197"/>
      <c r="G45" s="197"/>
      <c r="H45" s="197"/>
      <c r="I45" s="197"/>
      <c r="J45" s="197"/>
      <c r="K45" s="197"/>
      <c r="L45" s="197"/>
      <c r="M45" s="197"/>
      <c r="N45" s="197"/>
      <c r="O45" s="197"/>
      <c r="P45" s="197"/>
      <c r="Q45" s="197"/>
      <c r="R45" s="197"/>
      <c r="S45" s="199"/>
    </row>
    <row r="46" spans="1:19">
      <c r="A46" s="195" t="s">
        <v>532</v>
      </c>
      <c r="B46" s="196">
        <f>资产资本表!E19</f>
        <v>0</v>
      </c>
      <c r="C46" s="197"/>
      <c r="D46" s="197"/>
      <c r="E46" s="197"/>
      <c r="F46" s="197"/>
      <c r="G46" s="197"/>
      <c r="H46" s="197"/>
      <c r="I46" s="197"/>
      <c r="J46" s="197"/>
      <c r="K46" s="197"/>
      <c r="L46" s="197"/>
      <c r="M46" s="197"/>
      <c r="N46" s="197"/>
      <c r="O46" s="197"/>
      <c r="P46" s="197"/>
      <c r="Q46" s="197"/>
      <c r="R46" s="197"/>
      <c r="S46" s="199"/>
    </row>
    <row r="47" spans="1:19">
      <c r="A47" s="195" t="s">
        <v>533</v>
      </c>
      <c r="B47" s="196">
        <f>资产资本表!E89</f>
        <v>1560295925.9300001</v>
      </c>
      <c r="C47" s="197"/>
      <c r="D47" s="197"/>
      <c r="E47" s="197"/>
      <c r="F47" s="197"/>
      <c r="G47" s="197"/>
      <c r="H47" s="197"/>
      <c r="I47" s="197"/>
      <c r="J47" s="197"/>
      <c r="K47" s="197"/>
      <c r="L47" s="197"/>
      <c r="M47" s="197"/>
      <c r="N47" s="197"/>
      <c r="O47" s="197"/>
      <c r="P47" s="197"/>
      <c r="Q47" s="197"/>
      <c r="R47" s="197"/>
      <c r="S47" s="199"/>
    </row>
    <row r="48" spans="1:19">
      <c r="A48" s="200" t="s">
        <v>534</v>
      </c>
      <c r="B48" s="196">
        <f>B44+B45+B46-B47</f>
        <v>871524011982974.5</v>
      </c>
      <c r="C48" s="197"/>
      <c r="D48" s="197"/>
      <c r="E48" s="197"/>
      <c r="F48" s="197"/>
      <c r="G48" s="197"/>
      <c r="H48" s="197"/>
      <c r="I48" s="197"/>
      <c r="J48" s="197"/>
      <c r="K48" s="197"/>
      <c r="L48" s="197"/>
      <c r="M48" s="197"/>
      <c r="N48" s="197"/>
      <c r="O48" s="197"/>
      <c r="P48" s="197"/>
      <c r="Q48" s="197"/>
      <c r="R48" s="197"/>
      <c r="S48" s="199"/>
    </row>
    <row r="49" spans="1:74">
      <c r="A49" s="195" t="s">
        <v>535</v>
      </c>
      <c r="B49" s="198">
        <f>资产资本表!E103/资产资本表!E107</f>
        <v>0</v>
      </c>
      <c r="C49" s="197"/>
      <c r="D49" s="197"/>
      <c r="E49" s="197"/>
      <c r="F49" s="197"/>
      <c r="G49" s="197"/>
      <c r="H49" s="197"/>
      <c r="I49" s="197"/>
      <c r="J49" s="197"/>
      <c r="K49" s="197"/>
      <c r="L49" s="197"/>
      <c r="M49" s="197"/>
      <c r="N49" s="197"/>
      <c r="O49" s="197"/>
      <c r="P49" s="197"/>
      <c r="Q49" s="197"/>
      <c r="R49" s="197"/>
      <c r="S49" s="199"/>
      <c r="T49" s="189"/>
      <c r="U49" s="189"/>
      <c r="V49" s="189"/>
      <c r="W49" s="189"/>
      <c r="X49" s="189"/>
      <c r="Y49" s="189"/>
      <c r="Z49" s="189"/>
      <c r="AA49" s="189"/>
      <c r="AB49" s="189"/>
      <c r="AC49" s="189"/>
      <c r="AD49" s="189"/>
      <c r="AE49" s="189"/>
      <c r="AF49" s="189"/>
      <c r="AG49" s="189"/>
      <c r="AH49" s="189"/>
      <c r="AI49" s="189"/>
      <c r="AJ49" s="189"/>
      <c r="AK49" s="189"/>
      <c r="AL49" s="189"/>
      <c r="AM49" s="189"/>
      <c r="AN49" s="189"/>
      <c r="AO49" s="189"/>
      <c r="AP49" s="189"/>
      <c r="AQ49" s="189"/>
      <c r="AR49" s="189"/>
      <c r="AS49" s="189"/>
      <c r="AT49" s="189"/>
      <c r="AU49" s="189"/>
      <c r="AV49" s="189"/>
      <c r="AW49" s="189"/>
      <c r="AX49" s="189"/>
      <c r="AY49" s="189"/>
      <c r="AZ49" s="189"/>
      <c r="BA49" s="189"/>
      <c r="BB49" s="189"/>
      <c r="BC49" s="189"/>
      <c r="BD49" s="189"/>
      <c r="BE49" s="189"/>
      <c r="BF49" s="189"/>
      <c r="BG49" s="189"/>
      <c r="BH49" s="189"/>
      <c r="BI49" s="189"/>
      <c r="BJ49" s="189"/>
      <c r="BK49" s="189"/>
      <c r="BL49" s="189"/>
      <c r="BM49" s="189"/>
      <c r="BN49" s="189"/>
      <c r="BO49" s="189"/>
      <c r="BP49" s="189"/>
      <c r="BQ49" s="189"/>
      <c r="BR49" s="189"/>
      <c r="BS49" s="189"/>
      <c r="BT49" s="189"/>
      <c r="BU49" s="189"/>
      <c r="BV49" s="189"/>
    </row>
    <row r="50" spans="1:74">
      <c r="A50" s="200" t="s">
        <v>536</v>
      </c>
      <c r="B50" s="196">
        <f>B48*(1-B49)</f>
        <v>871524011982974.5</v>
      </c>
      <c r="C50" s="303" t="s">
        <v>542</v>
      </c>
      <c r="D50" s="304"/>
      <c r="E50" s="305"/>
      <c r="F50" s="197"/>
      <c r="G50" s="197"/>
      <c r="H50" s="197"/>
      <c r="I50" s="197"/>
      <c r="J50" s="197"/>
      <c r="K50" s="197"/>
      <c r="L50" s="197"/>
      <c r="M50" s="197"/>
      <c r="N50" s="197"/>
      <c r="O50" s="197"/>
      <c r="P50" s="197"/>
      <c r="Q50" s="197"/>
      <c r="R50" s="197"/>
      <c r="S50" s="199"/>
      <c r="T50" s="189"/>
      <c r="U50" s="189"/>
      <c r="V50" s="189"/>
      <c r="W50" s="189"/>
      <c r="X50" s="189"/>
      <c r="Y50" s="189"/>
      <c r="Z50" s="189"/>
      <c r="AA50" s="189"/>
      <c r="AB50" s="189"/>
      <c r="AC50" s="189"/>
      <c r="AD50" s="189"/>
      <c r="AE50" s="189"/>
      <c r="AF50" s="189"/>
      <c r="AG50" s="189"/>
      <c r="AH50" s="189"/>
      <c r="AI50" s="189"/>
      <c r="AJ50" s="189"/>
      <c r="AK50" s="189"/>
      <c r="AL50" s="189"/>
      <c r="AM50" s="189"/>
      <c r="AN50" s="189"/>
      <c r="AO50" s="189"/>
      <c r="AP50" s="189"/>
      <c r="AQ50" s="189"/>
      <c r="AR50" s="189"/>
      <c r="AS50" s="189"/>
      <c r="AT50" s="189"/>
      <c r="AU50" s="189"/>
      <c r="AV50" s="189"/>
      <c r="AW50" s="189"/>
      <c r="AX50" s="189"/>
      <c r="AY50" s="189"/>
      <c r="AZ50" s="189"/>
      <c r="BA50" s="189"/>
      <c r="BB50" s="189"/>
      <c r="BC50" s="189"/>
      <c r="BD50" s="189"/>
      <c r="BE50" s="189"/>
      <c r="BF50" s="189"/>
      <c r="BG50" s="189"/>
      <c r="BH50" s="189"/>
      <c r="BI50" s="189"/>
      <c r="BJ50" s="189"/>
      <c r="BK50" s="189"/>
      <c r="BL50" s="189"/>
      <c r="BM50" s="189"/>
      <c r="BN50" s="189"/>
      <c r="BO50" s="189"/>
      <c r="BP50" s="189"/>
      <c r="BQ50" s="189"/>
      <c r="BR50" s="189"/>
      <c r="BS50" s="189"/>
      <c r="BT50" s="189"/>
      <c r="BU50" s="189"/>
      <c r="BV50" s="189"/>
    </row>
    <row r="51" spans="1:74">
      <c r="A51" s="195" t="s">
        <v>538</v>
      </c>
      <c r="B51" s="210">
        <f>B55</f>
        <v>632487764</v>
      </c>
      <c r="C51" s="204">
        <v>0.4</v>
      </c>
      <c r="D51" s="204">
        <v>0.3</v>
      </c>
      <c r="E51" s="204">
        <v>0.2</v>
      </c>
      <c r="F51" s="197"/>
      <c r="G51" s="197"/>
      <c r="H51" s="197"/>
      <c r="I51" s="197"/>
      <c r="J51" s="197"/>
      <c r="K51" s="197"/>
      <c r="L51" s="197"/>
      <c r="M51" s="197"/>
      <c r="N51" s="197"/>
      <c r="O51" s="197"/>
      <c r="P51" s="197"/>
      <c r="Q51" s="197"/>
      <c r="R51" s="197"/>
      <c r="S51" s="199"/>
      <c r="T51" s="189"/>
      <c r="U51" s="189"/>
      <c r="V51" s="189"/>
      <c r="W51" s="189"/>
      <c r="X51" s="189"/>
      <c r="Y51" s="189"/>
      <c r="Z51" s="189"/>
      <c r="AA51" s="189"/>
      <c r="AB51" s="189"/>
      <c r="AC51" s="189"/>
      <c r="AD51" s="189"/>
      <c r="AE51" s="189"/>
      <c r="AF51" s="189"/>
      <c r="AG51" s="189"/>
      <c r="AH51" s="189"/>
      <c r="AI51" s="189"/>
      <c r="AJ51" s="189"/>
      <c r="AK51" s="189"/>
      <c r="AL51" s="189"/>
      <c r="AM51" s="189"/>
      <c r="AN51" s="189"/>
      <c r="AO51" s="189"/>
      <c r="AP51" s="189"/>
      <c r="AQ51" s="189"/>
      <c r="AR51" s="189"/>
      <c r="AS51" s="189"/>
      <c r="AT51" s="189"/>
      <c r="AU51" s="189"/>
      <c r="AV51" s="189"/>
      <c r="AW51" s="189"/>
      <c r="AX51" s="189"/>
      <c r="AY51" s="189"/>
      <c r="AZ51" s="189"/>
      <c r="BA51" s="189"/>
      <c r="BB51" s="189"/>
      <c r="BC51" s="189"/>
      <c r="BD51" s="189"/>
      <c r="BE51" s="189"/>
      <c r="BF51" s="189"/>
      <c r="BG51" s="189"/>
      <c r="BH51" s="189"/>
      <c r="BI51" s="189"/>
      <c r="BJ51" s="189"/>
      <c r="BK51" s="189"/>
      <c r="BL51" s="189"/>
      <c r="BM51" s="189"/>
      <c r="BN51" s="189"/>
      <c r="BO51" s="189"/>
      <c r="BP51" s="189"/>
      <c r="BQ51" s="189"/>
      <c r="BR51" s="189"/>
      <c r="BS51" s="189"/>
      <c r="BT51" s="189"/>
      <c r="BU51" s="189"/>
      <c r="BV51" s="189"/>
    </row>
    <row r="52" spans="1:74" ht="14.25" thickBot="1">
      <c r="A52" s="201" t="s">
        <v>537</v>
      </c>
      <c r="B52" s="206">
        <f>B50/B51</f>
        <v>1377930.2329443553</v>
      </c>
      <c r="C52" s="207">
        <f>$B$52*(1-C51)</f>
        <v>826758.13976661314</v>
      </c>
      <c r="D52" s="207">
        <f>$B$52*(1-D51)</f>
        <v>964551.16306104872</v>
      </c>
      <c r="E52" s="207">
        <f>$B$52*(1-E51)</f>
        <v>1102344.1863554844</v>
      </c>
      <c r="F52" s="193"/>
      <c r="G52" s="193"/>
      <c r="H52" s="193"/>
      <c r="I52" s="193"/>
      <c r="J52" s="193"/>
      <c r="K52" s="193"/>
      <c r="L52" s="193"/>
      <c r="M52" s="193"/>
      <c r="N52" s="193"/>
      <c r="O52" s="193"/>
      <c r="P52" s="193"/>
      <c r="Q52" s="193"/>
      <c r="R52" s="193"/>
      <c r="S52" s="202"/>
      <c r="T52" s="189"/>
      <c r="U52" s="189"/>
      <c r="V52" s="189"/>
      <c r="W52" s="189"/>
      <c r="X52" s="189"/>
      <c r="Y52" s="189"/>
      <c r="Z52" s="189"/>
      <c r="AA52" s="189"/>
      <c r="AB52" s="189"/>
      <c r="AC52" s="189"/>
      <c r="AD52" s="189"/>
      <c r="AE52" s="189"/>
      <c r="AF52" s="189"/>
      <c r="AG52" s="189"/>
      <c r="AH52" s="189"/>
      <c r="AI52" s="189"/>
      <c r="AJ52" s="189"/>
      <c r="AK52" s="189"/>
      <c r="AL52" s="189"/>
      <c r="AM52" s="189"/>
      <c r="AN52" s="189"/>
      <c r="AO52" s="189"/>
      <c r="AP52" s="189"/>
      <c r="AQ52" s="189"/>
      <c r="AR52" s="189"/>
      <c r="AS52" s="189"/>
      <c r="AT52" s="189"/>
      <c r="AU52" s="189"/>
      <c r="AV52" s="189"/>
      <c r="AW52" s="189"/>
      <c r="AX52" s="189"/>
      <c r="AY52" s="189"/>
      <c r="AZ52" s="189"/>
      <c r="BA52" s="189"/>
      <c r="BB52" s="189"/>
      <c r="BC52" s="189"/>
      <c r="BD52" s="189"/>
      <c r="BE52" s="189"/>
      <c r="BF52" s="189"/>
      <c r="BG52" s="189"/>
      <c r="BH52" s="189"/>
      <c r="BI52" s="189"/>
      <c r="BJ52" s="189"/>
      <c r="BK52" s="189"/>
      <c r="BL52" s="189"/>
      <c r="BM52" s="189"/>
      <c r="BN52" s="189"/>
      <c r="BO52" s="189"/>
      <c r="BP52" s="189"/>
      <c r="BQ52" s="189"/>
      <c r="BR52" s="189"/>
      <c r="BS52" s="189"/>
      <c r="BT52" s="189"/>
      <c r="BU52" s="189"/>
      <c r="BV52" s="189"/>
    </row>
    <row r="53" spans="1:74" ht="12.75" customHeight="1" thickBot="1">
      <c r="A53" s="191"/>
      <c r="B53" s="192"/>
      <c r="C53" s="189"/>
      <c r="D53" s="189"/>
      <c r="E53" s="189"/>
      <c r="F53" s="189"/>
      <c r="G53" s="189"/>
      <c r="H53" s="189"/>
      <c r="I53" s="189"/>
      <c r="J53" s="189"/>
      <c r="K53" s="189"/>
      <c r="L53" s="189"/>
      <c r="M53" s="189"/>
      <c r="N53" s="189"/>
      <c r="O53" s="189"/>
      <c r="P53" s="189"/>
      <c r="Q53" s="189"/>
      <c r="R53" s="189"/>
      <c r="S53" s="189"/>
      <c r="T53" s="189"/>
      <c r="U53" s="189"/>
      <c r="V53" s="189"/>
      <c r="W53" s="189"/>
      <c r="X53" s="189"/>
      <c r="Y53" s="189"/>
      <c r="Z53" s="189"/>
      <c r="AA53" s="189"/>
      <c r="AB53" s="189"/>
      <c r="AC53" s="189"/>
      <c r="AD53" s="189"/>
      <c r="AE53" s="189"/>
      <c r="AF53" s="189"/>
      <c r="AG53" s="189"/>
      <c r="AH53" s="189"/>
      <c r="AI53" s="189"/>
      <c r="AJ53" s="189"/>
      <c r="AK53" s="189"/>
      <c r="AL53" s="189"/>
      <c r="AM53" s="189"/>
      <c r="AN53" s="189"/>
      <c r="AO53" s="189"/>
      <c r="AP53" s="189"/>
      <c r="AQ53" s="189"/>
      <c r="AR53" s="189"/>
      <c r="AS53" s="189"/>
      <c r="AT53" s="189"/>
      <c r="AU53" s="189"/>
      <c r="AV53" s="189"/>
      <c r="AW53" s="189"/>
      <c r="AX53" s="189"/>
      <c r="AY53" s="189"/>
      <c r="AZ53" s="189"/>
      <c r="BA53" s="189"/>
      <c r="BB53" s="189"/>
      <c r="BC53" s="189"/>
      <c r="BD53" s="189"/>
      <c r="BE53" s="189"/>
      <c r="BF53" s="189"/>
      <c r="BG53" s="189"/>
      <c r="BH53" s="189"/>
      <c r="BI53" s="189"/>
      <c r="BJ53" s="189"/>
      <c r="BK53" s="189"/>
      <c r="BL53" s="189"/>
      <c r="BM53" s="189"/>
      <c r="BN53" s="189"/>
      <c r="BO53" s="189"/>
      <c r="BP53" s="189"/>
      <c r="BQ53" s="189"/>
      <c r="BR53" s="189"/>
      <c r="BS53" s="189"/>
      <c r="BT53" s="189"/>
      <c r="BU53" s="189"/>
      <c r="BV53" s="189"/>
    </row>
    <row r="54" spans="1:74" s="103" customFormat="1">
      <c r="A54" s="194">
        <v>600738</v>
      </c>
      <c r="B54" s="179">
        <f>自由现金流分析表!E1</f>
        <v>43190</v>
      </c>
      <c r="C54" s="190"/>
      <c r="D54" s="190"/>
      <c r="E54" s="190"/>
      <c r="F54" s="190"/>
      <c r="G54" s="190"/>
      <c r="H54" s="190"/>
      <c r="I54" s="190"/>
      <c r="J54" s="190"/>
      <c r="K54" s="190"/>
      <c r="L54" s="190"/>
      <c r="M54" s="190"/>
      <c r="N54" s="190"/>
      <c r="O54" s="190"/>
      <c r="P54" s="190"/>
      <c r="Q54" s="190"/>
      <c r="R54" s="190"/>
      <c r="S54" s="190"/>
      <c r="T54" s="190"/>
      <c r="U54" s="190"/>
      <c r="V54" s="190"/>
      <c r="W54" s="190"/>
      <c r="X54" s="190"/>
      <c r="Y54" s="190"/>
      <c r="Z54" s="190"/>
      <c r="AA54" s="190"/>
      <c r="AB54" s="190"/>
      <c r="AC54" s="190"/>
      <c r="AD54" s="190"/>
      <c r="AE54" s="190"/>
      <c r="AF54" s="190"/>
      <c r="AG54" s="190"/>
      <c r="AH54" s="190"/>
      <c r="AI54" s="190"/>
      <c r="AJ54" s="190"/>
      <c r="AK54" s="190"/>
      <c r="AL54" s="190"/>
      <c r="AM54" s="190"/>
      <c r="AN54" s="190"/>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row>
    <row r="55" spans="1:74" s="102" customFormat="1">
      <c r="A55" s="211" t="s">
        <v>549</v>
      </c>
      <c r="B55" s="100">
        <v>632487764</v>
      </c>
      <c r="C55" s="212"/>
      <c r="D55" s="212"/>
      <c r="E55" s="212"/>
      <c r="F55" s="212"/>
      <c r="G55" s="212"/>
      <c r="H55" s="212"/>
      <c r="I55" s="212"/>
      <c r="J55" s="212"/>
      <c r="K55" s="212"/>
      <c r="L55" s="212"/>
      <c r="M55" s="212"/>
      <c r="N55" s="212"/>
      <c r="O55" s="212"/>
      <c r="P55" s="212"/>
      <c r="Q55" s="212"/>
      <c r="R55" s="212"/>
      <c r="S55" s="212"/>
      <c r="T55" s="212"/>
      <c r="U55" s="212"/>
      <c r="V55" s="212"/>
      <c r="W55" s="212"/>
      <c r="X55" s="212"/>
      <c r="Y55" s="212"/>
      <c r="Z55" s="212"/>
      <c r="AA55" s="212"/>
      <c r="AB55" s="212"/>
      <c r="AC55" s="212"/>
      <c r="AD55" s="212"/>
      <c r="AE55" s="212"/>
      <c r="AF55" s="212"/>
      <c r="AG55" s="212"/>
      <c r="AH55" s="212"/>
      <c r="AI55" s="212"/>
      <c r="AJ55" s="212"/>
      <c r="AK55" s="212"/>
      <c r="AL55" s="212"/>
      <c r="AM55" s="212"/>
      <c r="AN55" s="212"/>
      <c r="AO55" s="212"/>
      <c r="AP55" s="212"/>
      <c r="AQ55" s="212"/>
      <c r="AR55" s="212"/>
      <c r="AS55" s="212"/>
      <c r="AT55" s="212"/>
      <c r="AU55" s="212"/>
      <c r="AV55" s="212"/>
      <c r="AW55" s="212"/>
      <c r="AX55" s="212"/>
      <c r="AY55" s="212"/>
      <c r="AZ55" s="212"/>
      <c r="BA55" s="212"/>
      <c r="BB55" s="212"/>
      <c r="BC55" s="212"/>
      <c r="BD55" s="212"/>
      <c r="BE55" s="212"/>
      <c r="BF55" s="212"/>
      <c r="BG55" s="212"/>
      <c r="BH55" s="212"/>
      <c r="BI55" s="212"/>
      <c r="BJ55" s="212"/>
      <c r="BK55" s="212"/>
      <c r="BL55" s="212"/>
      <c r="BM55" s="212"/>
      <c r="BN55" s="212"/>
      <c r="BO55" s="212"/>
      <c r="BP55" s="212"/>
      <c r="BQ55" s="212"/>
      <c r="BR55" s="212"/>
      <c r="BS55" s="212"/>
      <c r="BT55" s="212"/>
      <c r="BU55" s="212"/>
      <c r="BV55" s="212"/>
    </row>
    <row r="56" spans="1:74" s="62" customFormat="1" ht="14.25" thickBot="1">
      <c r="A56" s="74"/>
      <c r="B56" s="93"/>
    </row>
    <row r="57" spans="1:74" ht="52.9" customHeight="1">
      <c r="A57" s="293" t="s">
        <v>739</v>
      </c>
      <c r="B57" s="294"/>
      <c r="C57" s="294"/>
      <c r="D57" s="294"/>
      <c r="E57" s="294"/>
      <c r="F57" s="294"/>
      <c r="G57" s="294"/>
      <c r="H57" s="294"/>
      <c r="I57" s="294"/>
    </row>
    <row r="60" spans="1:74" s="155" customFormat="1" ht="51" customHeight="1">
      <c r="A60" s="291" t="s">
        <v>607</v>
      </c>
      <c r="B60" s="292"/>
      <c r="C60" s="292"/>
      <c r="D60" s="292"/>
      <c r="E60" s="292"/>
      <c r="F60" s="292"/>
      <c r="G60" s="292"/>
      <c r="H60" s="292"/>
      <c r="I60" s="292"/>
    </row>
    <row r="63" spans="1:74" s="4" customFormat="1">
      <c r="A63" s="177" t="s">
        <v>609</v>
      </c>
      <c r="B63" s="176" t="s">
        <v>610</v>
      </c>
      <c r="C63" s="96" t="s">
        <v>611</v>
      </c>
      <c r="D63" s="96" t="s">
        <v>612</v>
      </c>
      <c r="E63" s="96" t="s">
        <v>627</v>
      </c>
      <c r="F63" s="96" t="s">
        <v>613</v>
      </c>
      <c r="G63" s="96" t="s">
        <v>614</v>
      </c>
      <c r="H63" s="96" t="s">
        <v>623</v>
      </c>
      <c r="I63" s="96" t="s">
        <v>616</v>
      </c>
      <c r="J63" s="96" t="s">
        <v>622</v>
      </c>
      <c r="K63" s="96" t="s">
        <v>618</v>
      </c>
      <c r="L63" s="96" t="s">
        <v>624</v>
      </c>
    </row>
    <row r="64" spans="1:74" s="26" customFormat="1">
      <c r="A64" s="178">
        <f>股权价值增加表!M1</f>
        <v>42460</v>
      </c>
      <c r="B64" s="166">
        <v>42366</v>
      </c>
      <c r="C64" s="165">
        <v>17.39</v>
      </c>
      <c r="D64" s="165">
        <v>3.4</v>
      </c>
      <c r="E64" s="167">
        <f>股权价值增加表!M42/100000000</f>
        <v>0.59549580859999973</v>
      </c>
      <c r="F64" s="167">
        <v>0</v>
      </c>
      <c r="G64" s="165">
        <v>16.47</v>
      </c>
      <c r="H64" s="167">
        <f>G64*D64</f>
        <v>55.997999999999998</v>
      </c>
      <c r="I64" s="167">
        <f>C64*D64</f>
        <v>59.125999999999998</v>
      </c>
      <c r="J64" s="167">
        <f>H64/E64</f>
        <v>94.035926351270746</v>
      </c>
      <c r="K64" s="167">
        <f>I64/E64</f>
        <v>99.288692121954966</v>
      </c>
      <c r="L64" s="262">
        <v>0</v>
      </c>
    </row>
    <row r="65" spans="1:12" s="26" customFormat="1">
      <c r="A65" s="178">
        <f>股权价值增加表!I1</f>
        <v>42825</v>
      </c>
      <c r="B65" s="166">
        <v>42543</v>
      </c>
      <c r="C65" s="165">
        <v>23.13</v>
      </c>
      <c r="D65" s="165">
        <v>3.64</v>
      </c>
      <c r="E65" s="167">
        <f>股权价值增加表!I42/100000000</f>
        <v>0.62690201329999995</v>
      </c>
      <c r="F65" s="167">
        <f>(E65-E64)/E64*100</f>
        <v>5.2739589845032926</v>
      </c>
      <c r="G65" s="165">
        <v>23.11</v>
      </c>
      <c r="H65" s="167">
        <f t="shared" ref="H65:H66" si="8">G65*D65</f>
        <v>84.120400000000004</v>
      </c>
      <c r="I65" s="167">
        <f t="shared" ref="I65:I66" si="9">C65*D65</f>
        <v>84.193200000000004</v>
      </c>
      <c r="J65" s="167">
        <f t="shared" ref="J65:J66" si="10">H65/E65</f>
        <v>134.18428752077514</v>
      </c>
      <c r="K65" s="167">
        <f t="shared" ref="K65:K66" si="11">I65/E65</f>
        <v>134.30041412183164</v>
      </c>
      <c r="L65" s="262">
        <f>K65/F65</f>
        <v>25.464819600693236</v>
      </c>
    </row>
    <row r="66" spans="1:12" s="26" customFormat="1">
      <c r="A66" s="178">
        <f>股权价值增加表!E1</f>
        <v>43190</v>
      </c>
      <c r="B66" s="166">
        <v>42872</v>
      </c>
      <c r="C66" s="165">
        <v>16.399999999999999</v>
      </c>
      <c r="D66" s="165">
        <v>9.09</v>
      </c>
      <c r="E66" s="167">
        <f>股权价值增加表!E42/100000000</f>
        <v>-0.23241025669999968</v>
      </c>
      <c r="F66" s="167">
        <f t="shared" ref="F66" si="12">(E66-E65)/E65*100</f>
        <v>-137.07282027642515</v>
      </c>
      <c r="G66" s="165">
        <v>15.76</v>
      </c>
      <c r="H66" s="167">
        <f t="shared" si="8"/>
        <v>143.25839999999999</v>
      </c>
      <c r="I66" s="167">
        <f t="shared" si="9"/>
        <v>149.07599999999999</v>
      </c>
      <c r="J66" s="167">
        <f t="shared" si="10"/>
        <v>-616.40308837540294</v>
      </c>
      <c r="K66" s="167">
        <f t="shared" si="11"/>
        <v>-641.43468587288123</v>
      </c>
      <c r="L66" s="262">
        <f t="shared" ref="L66" si="13">K66/F66</f>
        <v>4.6795176795760449</v>
      </c>
    </row>
    <row r="67" spans="1:12" s="26" customFormat="1">
      <c r="A67" s="161"/>
      <c r="B67" s="162"/>
      <c r="C67" s="83"/>
      <c r="D67" s="83"/>
      <c r="E67" s="83"/>
      <c r="F67" s="164"/>
      <c r="G67" s="83"/>
      <c r="H67" s="164"/>
      <c r="I67" s="164"/>
      <c r="J67" s="164"/>
      <c r="K67" s="164"/>
      <c r="L67" s="263"/>
    </row>
    <row r="68" spans="1:12" s="156" customFormat="1" ht="14.25" thickBot="1">
      <c r="A68" s="163" t="s">
        <v>621</v>
      </c>
      <c r="B68" s="44" t="s">
        <v>610</v>
      </c>
      <c r="C68" s="44" t="s">
        <v>611</v>
      </c>
      <c r="D68" s="44" t="s">
        <v>612</v>
      </c>
      <c r="E68" s="44" t="s">
        <v>620</v>
      </c>
      <c r="F68" s="44" t="s">
        <v>613</v>
      </c>
      <c r="G68" s="44" t="s">
        <v>614</v>
      </c>
      <c r="H68" s="44" t="s">
        <v>615</v>
      </c>
      <c r="I68" s="44" t="s">
        <v>616</v>
      </c>
      <c r="J68" s="44" t="s">
        <v>617</v>
      </c>
      <c r="K68" s="44" t="s">
        <v>618</v>
      </c>
      <c r="L68" s="264" t="s">
        <v>619</v>
      </c>
    </row>
    <row r="69" spans="1:12" s="26" customFormat="1" ht="14.25" thickBot="1">
      <c r="A69" s="168" t="s">
        <v>626</v>
      </c>
      <c r="B69" s="169">
        <v>43305</v>
      </c>
      <c r="C69" s="170">
        <v>11.65</v>
      </c>
      <c r="D69" s="170">
        <v>9.09</v>
      </c>
      <c r="E69" s="170">
        <v>4.33</v>
      </c>
      <c r="F69" s="171">
        <f>(E69-E66)/E66*100</f>
        <v>-1963.0847284804904</v>
      </c>
      <c r="G69" s="170">
        <v>10.119999999999999</v>
      </c>
      <c r="H69" s="171">
        <f>G69*D69</f>
        <v>91.990799999999993</v>
      </c>
      <c r="I69" s="171">
        <f>C69*D69</f>
        <v>105.8985</v>
      </c>
      <c r="J69" s="171">
        <f>H69/E69</f>
        <v>21.244988452655885</v>
      </c>
      <c r="K69" s="171">
        <f>I69/E69</f>
        <v>24.456928406466513</v>
      </c>
      <c r="L69" s="265">
        <f>K69/F69</f>
        <v>-1.2458417128738604E-2</v>
      </c>
    </row>
    <row r="70" spans="1:12" s="26" customFormat="1" ht="14.25" thickBot="1">
      <c r="A70" s="172" t="s">
        <v>625</v>
      </c>
      <c r="B70" s="173">
        <v>43305</v>
      </c>
      <c r="C70" s="174">
        <v>11.65</v>
      </c>
      <c r="D70" s="174">
        <v>9.09</v>
      </c>
      <c r="E70" s="174">
        <v>3.86</v>
      </c>
      <c r="F70" s="175">
        <f>(E70-E66)/E66*100</f>
        <v>-1760.8561320865342</v>
      </c>
      <c r="G70" s="170">
        <v>10.119999999999999</v>
      </c>
      <c r="H70" s="175">
        <f t="shared" ref="H70" si="14">G70*D70</f>
        <v>91.990799999999993</v>
      </c>
      <c r="I70" s="175">
        <f t="shared" ref="I70" si="15">C70*D70</f>
        <v>105.8985</v>
      </c>
      <c r="J70" s="175">
        <f t="shared" ref="J70" si="16">H70/E70</f>
        <v>23.831813471502588</v>
      </c>
      <c r="K70" s="175">
        <f t="shared" ref="K70" si="17">I70/E70</f>
        <v>27.434844559585493</v>
      </c>
      <c r="L70" s="266">
        <f t="shared" ref="L70" si="18">K70/F70</f>
        <v>-1.5580400953640916E-2</v>
      </c>
    </row>
    <row r="71" spans="1:12" s="88" customFormat="1" ht="138" customHeight="1">
      <c r="A71" s="289" t="s">
        <v>628</v>
      </c>
      <c r="B71" s="290"/>
      <c r="C71" s="290"/>
      <c r="D71" s="290"/>
      <c r="E71" s="290"/>
      <c r="F71" s="290"/>
      <c r="G71" s="290"/>
      <c r="H71" s="290"/>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2019-02-27T02:18:25Z</dcterms:modified>
</cp:coreProperties>
</file>